
<file path=[Content_Types].xml><?xml version="1.0" encoding="utf-8"?>
<Types xmlns="http://schemas.openxmlformats.org/package/2006/content-types">
  <Override PartName="/customXml/itemProps3.xml" ContentType="application/vnd.openxmlformats-officedocument.customXmlProperties+xml"/>
  <Override PartName="/xl/slicerCaches/slicerCache4.xml" ContentType="application/vnd.ms-excel.slicerCache+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customXml/itemProps1.xml" ContentType="application/vnd.openxmlformats-officedocument.customXmlProperties+xml"/>
  <Override PartName="/xl/slicerCaches/slicerCache1.xml" ContentType="application/vnd.ms-excel.slicerCache+xml"/>
  <Override PartName="/xl/slicerCaches/slicerCache2.xml" ContentType="application/vnd.ms-excel.slicerCach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2.xml" ContentType="application/vnd.openxmlformats-officedocument.drawingml.chart+xml"/>
  <Override PartName="/xl/pivotTables/pivotTable1.xml" ContentType="application/vnd.openxmlformats-officedocument.spreadsheetml.pivotTable+xml"/>
  <Override PartName="/xl/charts/chart3.xml" ContentType="application/vnd.openxmlformats-officedocument.drawingml.chart+xml"/>
  <Override PartName="/xl/pivotTables/pivotTable2.xml" ContentType="application/vnd.openxmlformats-officedocument.spreadsheetml.pivotTable+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style2.xml" ContentType="application/vnd.ms-office.chartstyle+xml"/>
  <Override PartName="/xl/charts/style1.xml" ContentType="application/vnd.ms-office.chartstyle+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4.xml" ContentType="application/vnd.ms-excel.controlproperties+xml"/>
  <Override PartName="/xl/ctrlProps/ctrlProp3.xml" ContentType="application/vnd.ms-excel.controlproperties+xml"/>
  <Override PartName="/xl/charts/colors2.xml" ContentType="application/vnd.ms-office.chartcolorstyle+xml"/>
  <Override PartName="/xl/pivotCache/pivotCacheRecords1.xml" ContentType="application/vnd.openxmlformats-officedocument.spreadsheetml.pivotCacheRecords+xml"/>
  <Override PartName="/customXml/itemProps4.xml" ContentType="application/vnd.openxmlformats-officedocument.customXmlProperties+xml"/>
  <Override PartName="/xl/slicerCaches/slicerCache5.xml" ContentType="application/vnd.ms-excel.slicerCache+xml"/>
  <Override PartName="/xl/slicers/slicer1.xml" ContentType="application/vnd.ms-excel.slicer+xml"/>
  <Override PartName="/xl/slicers/slicer2.xml" ContentType="application/vnd.ms-excel.slicer+xml"/>
  <Override PartName="/xl/ctrlProps/ctrlProp2.xml" ContentType="application/vnd.ms-excel.controlproperties+xml"/>
  <Override PartName="/xl/ctrlProps/ctrlProp1.xml" ContentType="application/vnd.ms-excel.controlproperties+xml"/>
  <Override PartName="/xl/charts/colors1.xml" ContentType="application/vnd.ms-office.chartcolorstyle+xml"/>
  <Override PartName="/docProps/core.xml" ContentType="application/vnd.openxmlformats-package.core-properties+xml"/>
  <Default Extension="bin" ContentType="application/vnd.openxmlformats-officedocument.spreadsheetml.printerSettings"/>
  <Override PartName="/customXml/itemProps2.xml" ContentType="application/vnd.openxmlformats-officedocument.customXmlProperties+xml"/>
  <Override PartName="/xl/slicerCaches/slicerCache3.xml" ContentType="application/vnd.ms-excel.slicerCach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7" codeName="{B7FE6334-C1A2-E50D-BD3D-5F4D41BBC2E3}"/>
  <workbookPr codeName="ThisWorkbook" hidePivotFieldList="1"/>
  <bookViews>
    <workbookView xWindow="0" yWindow="0" windowWidth="20490" windowHeight="7755" tabRatio="838" activeTab="4"/>
  </bookViews>
  <sheets>
    <sheet name="DefinitionArrays" sheetId="2" r:id="rId1"/>
    <sheet name="RangeNames" sheetId="162" r:id="rId2"/>
    <sheet name="OnCallSchedule" sheetId="3" r:id="rId3"/>
    <sheet name="StandingMtgs" sheetId="5" r:id="rId4"/>
    <sheet name="DailyOnCall" sheetId="10" r:id="rId5"/>
    <sheet name="MonthTemplate" sheetId="1" r:id="rId6"/>
    <sheet name="YrAnalysis1" sheetId="133" r:id="rId7"/>
    <sheet name="YrAnalysis2" sheetId="149" r:id="rId8"/>
    <sheet name="YearlyAnalysisData" sheetId="73" r:id="rId9"/>
  </sheets>
  <definedNames>
    <definedName name="DATE">DailyOnCall!$A$2:$A$366</definedName>
    <definedName name="Dates">MonthTemplate!$B$3:$V$3,MonthTemplate!$B$18:$V$18,MonthTemplate!$B$33:$V$33,MonthTemplate!$B$48:$V$48,MonthTemplate!$B$63:$V$63,MonthTemplate!$B$78:$V$78</definedName>
    <definedName name="Doc_Code">DefinitionArrays!$D$6:$E$13</definedName>
    <definedName name="DoctorMonthData">MonthTemplate!#REF!</definedName>
    <definedName name="Fel_Names">DefinitionArrays!$R$6:$R$10</definedName>
    <definedName name="FellowMonthData">MonthTemplate!$AJ$19:$AK$23</definedName>
    <definedName name="Fri4Mtg1">StandingMtgs!$G$14</definedName>
    <definedName name="FriBox1">MonthTemplate!$N$3</definedName>
    <definedName name="Fx_Code">DefinitionArrays!$U$6:$W$12</definedName>
    <definedName name="Loc_Code">OFFSET(DefinitionArrays!$B$6,0,0,COUNTA(DefinitionArrays!$B:$B)-1,1)</definedName>
    <definedName name="MoDay_Code">DefinitionArrays!$L$6:$O$17</definedName>
    <definedName name="Mon2Mtg1">StandingMtgs!$C$9</definedName>
    <definedName name="Mon2Mtg2">StandingMtgs!$C$10</definedName>
    <definedName name="Mon3Mtg1">StandingMtgs!$C$11</definedName>
    <definedName name="Mon3Mtg2">StandingMtgs!$C$12</definedName>
    <definedName name="Mon3Mtg3">StandingMtgs!$C$13</definedName>
    <definedName name="MonBox1">MonthTemplate!$B$3</definedName>
    <definedName name="Month">MonthTemplate!$B$1</definedName>
    <definedName name="MonthCalendar">MonthTemplate!$A$1:$V$77</definedName>
    <definedName name="Months">DefinitionArrays!$M$6:$M$17</definedName>
    <definedName name="OnCall_Weekend_Array">OnCallSchedule!$M$3:$N$55</definedName>
    <definedName name="OnCall_Workweek_Array">OnCallSchedule!$F$3:$G$55</definedName>
    <definedName name="_xlnm.Print_Area" localSheetId="5">MonthTemplate!$B$1:$V$92</definedName>
    <definedName name="RawYearData">OFFSET(YearlyAnalysisData!$E$1,0,0,COUNTA(YearlyAnalysisData!$A:$A),COUNTA(YearlyAnalysisData!$2:$2)-4)</definedName>
    <definedName name="S">MonthTemplate!$C$7,MonthTemplate!$F$7,MonthTemplate!$I$7,MonthTemplate!$L$7,MonthTemplate!$O$7,MonthTemplate!$R$7,MonthTemplate!$U$7,MonthTemplate!$C$22,MonthTemplate!$F$22,MonthTemplate!$I$22,MonthTemplate!$L$22,MonthTemplate!$O$22,MonthTemplate!$R$22,MonthTemplate!$U$22,MonthTemplate!$C$37,MonthTemplate!$F$37,MonthTemplate!$I$37,MonthTemplate!$L$37,MonthTemplate!$O$37,MonthTemplate!$R$37,MonthTemplate!$U$37,MonthTemplate!$C$52,MonthTemplate!$F$52,MonthTemplate!$I$52,MonthTemplate!$L$52,MonthTemplate!$O$52,MonthTemplate!$R$52,MonthTemplate!$U$52,MonthTemplate!$C$67,MonthTemplate!$F$67,MonthTemplate!$I$67,MonthTemplate!$L$67,MonthTemplate!$O$67,MonthTemplate!$R$67,MonthTemplate!$U$67,MonthTemplate!$C$82,MonthTemplate!$F$82,MonthTemplate!$I$82,MonthTemplate!$L$82,MonthTemplate!$O$82,MonthTemplate!$R$82,MonthTemplate!$U$82</definedName>
    <definedName name="SatBox1">MonthTemplate!$Q$3</definedName>
    <definedName name="Slicer_Month">#N/A</definedName>
    <definedName name="Slicer_Month1">#N/A</definedName>
    <definedName name="Slicer_WeekCategory">#N/A</definedName>
    <definedName name="Slicer_WeekCategory1">#N/A</definedName>
    <definedName name="Slicer_Weekday">#N/A</definedName>
    <definedName name="SunBox1">MonthTemplate!$T$3</definedName>
    <definedName name="Thu1Mtg1">StandingMtgs!$F$3</definedName>
    <definedName name="Thu1Mtg2">StandingMtgs!$F$4</definedName>
    <definedName name="Thu2Mtg1">StandingMtgs!$F$6</definedName>
    <definedName name="Thu4Mtg1">StandingMtgs!$F$14</definedName>
    <definedName name="ThuBox1">MonthTemplate!$K$3</definedName>
    <definedName name="Tue1Mtg1">StandingMtgs!$D$5</definedName>
    <definedName name="Tue2Mtg1">StandingMtgs!$D$6</definedName>
    <definedName name="Tue2Mtg2">StandingMtgs!$D$8</definedName>
    <definedName name="Tue3Mtg1">StandingMtgs!$D$11</definedName>
    <definedName name="Tue4Mtg1">StandingMtgs!$D$14</definedName>
    <definedName name="Tue4Mtg2">StandingMtgs!$D$15</definedName>
    <definedName name="TueBox1">MonthTemplate!$E$3</definedName>
    <definedName name="Wday_Code">DefinitionArrays!$G$6:$J$12</definedName>
    <definedName name="Wed2Mtg1">StandingMtgs!$E$6</definedName>
    <definedName name="WedBox1">MonthTemplate!$H$3</definedName>
    <definedName name="WeekDayNum">MonthTemplate!$B$2:$V$2</definedName>
  </definedNames>
  <calcPr calcId="125725"/>
  <pivotCaches>
    <pivotCache cacheId="2" r:id="rId10"/>
  </pivotCaches>
  <extLst xmlns:x15="http://schemas.microsoft.com/office/spreadsheetml/2010/11/main">
    <ext xmlns:x14="http://schemas.microsoft.com/office/spreadsheetml/2009/9/main" uri="{BBE1A952-AA13-448e-AADC-164F8A28A991}">
      <x14:slicerCaches>
        <x14:slicerCache r:id="rId23"/>
        <x14:slicerCache r:id="rId24"/>
        <x14:slicerCache r:id="rId25"/>
        <x14:slicerCache r:id="rId26"/>
        <x14:slicerCache r:id="rId27"/>
      </x14:slicerCaches>
    </ext>
    <ext xmlns:x14="http://schemas.microsoft.com/office/spreadsheetml/2009/9/main" uri="{79F54976-1DA5-4618-B147-4CDE4B953A38}">
      <x14:workbookPr/>
    </ext>
    <ext uri="{140A7094-0E35-4892-8432-C4D2E57EDEB5}">
      <x15:workbookPr chartTrackingRefBase="1"/>
    </ext>
  </extLst>
</workbook>
</file>

<file path=xl/calcChain.xml><?xml version="1.0" encoding="utf-8"?>
<calcChain xmlns="http://schemas.openxmlformats.org/spreadsheetml/2006/main">
  <c r="Q59" i="3"/>
  <c r="P59"/>
  <c r="E59"/>
  <c r="B59"/>
  <c r="M50"/>
  <c r="D50"/>
  <c r="J50"/>
  <c r="M4"/>
  <c r="M5"/>
  <c r="M6"/>
  <c r="M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1"/>
  <c r="M52"/>
  <c r="M53"/>
  <c r="M54"/>
  <c r="M55"/>
  <c r="M3"/>
  <c r="B332" i="10"/>
  <c r="AK21" i="1"/>
  <c r="A2" i="73"/>
  <c r="C2" s="1"/>
  <c r="I3"/>
  <c r="C332" i="10" l="1"/>
  <c r="AK23" i="1"/>
  <c r="AK22"/>
  <c r="Q50" i="3" l="1"/>
  <c r="Y7" i="1"/>
  <c r="Y8" l="1"/>
  <c r="Z8"/>
  <c r="AA8"/>
  <c r="AB8"/>
  <c r="AC8"/>
  <c r="AD8"/>
  <c r="AE8"/>
  <c r="AF8"/>
  <c r="AG8"/>
  <c r="AH8"/>
  <c r="AI8"/>
  <c r="AJ8"/>
  <c r="Y9"/>
  <c r="Z9"/>
  <c r="AA9"/>
  <c r="AB9"/>
  <c r="AC9"/>
  <c r="AD9"/>
  <c r="AE9"/>
  <c r="AF9"/>
  <c r="AG9"/>
  <c r="AH9"/>
  <c r="AI9"/>
  <c r="AJ9"/>
  <c r="Y10"/>
  <c r="Z10"/>
  <c r="AA10"/>
  <c r="AB10"/>
  <c r="AC10"/>
  <c r="AD10"/>
  <c r="AE10"/>
  <c r="AF10"/>
  <c r="AG10"/>
  <c r="AH10"/>
  <c r="AI10"/>
  <c r="AJ10"/>
  <c r="Y11"/>
  <c r="Z11"/>
  <c r="AA11"/>
  <c r="AB11"/>
  <c r="AC11"/>
  <c r="AD11"/>
  <c r="AE11"/>
  <c r="AF11"/>
  <c r="AG11"/>
  <c r="AH11"/>
  <c r="AI11"/>
  <c r="AJ11"/>
  <c r="Y12"/>
  <c r="Z12"/>
  <c r="AA12"/>
  <c r="AB12"/>
  <c r="AC12"/>
  <c r="AD12"/>
  <c r="AE12"/>
  <c r="AF12"/>
  <c r="AG12"/>
  <c r="AH12"/>
  <c r="AI12"/>
  <c r="AJ12"/>
  <c r="Y13"/>
  <c r="Z13"/>
  <c r="AA13"/>
  <c r="AB13"/>
  <c r="AC13"/>
  <c r="AD13"/>
  <c r="AE13"/>
  <c r="AF13"/>
  <c r="AG13"/>
  <c r="AH13"/>
  <c r="AI13"/>
  <c r="AJ13"/>
  <c r="Y14"/>
  <c r="Z14"/>
  <c r="AA14"/>
  <c r="AB14"/>
  <c r="AC14"/>
  <c r="AD14"/>
  <c r="AE14"/>
  <c r="AF14"/>
  <c r="AG14"/>
  <c r="AH14"/>
  <c r="AI14"/>
  <c r="AJ14"/>
  <c r="Z7"/>
  <c r="AA7"/>
  <c r="AB7"/>
  <c r="AC7"/>
  <c r="AD7"/>
  <c r="AE7"/>
  <c r="AF7"/>
  <c r="AG7"/>
  <c r="AH7"/>
  <c r="AI7"/>
  <c r="AJ7"/>
  <c r="J3" i="73"/>
  <c r="J4"/>
  <c r="J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81"/>
  <c r="J182"/>
  <c r="J183"/>
  <c r="J184"/>
  <c r="J185"/>
  <c r="J186"/>
  <c r="J187"/>
  <c r="J188"/>
  <c r="J189"/>
  <c r="J190"/>
  <c r="J191"/>
  <c r="J192"/>
  <c r="J193"/>
  <c r="J194"/>
  <c r="J195"/>
  <c r="J196"/>
  <c r="J197"/>
  <c r="J198"/>
  <c r="J199"/>
  <c r="J200"/>
  <c r="J201"/>
  <c r="J202"/>
  <c r="J203"/>
  <c r="J204"/>
  <c r="J205"/>
  <c r="J206"/>
  <c r="J207"/>
  <c r="J208"/>
  <c r="J209"/>
  <c r="J210"/>
  <c r="J211"/>
  <c r="J212"/>
  <c r="J213"/>
  <c r="J214"/>
  <c r="J215"/>
  <c r="J216"/>
  <c r="J217"/>
  <c r="J218"/>
  <c r="J219"/>
  <c r="J220"/>
  <c r="J221"/>
  <c r="J222"/>
  <c r="J223"/>
  <c r="J224"/>
  <c r="J225"/>
  <c r="J226"/>
  <c r="J227"/>
  <c r="J228"/>
  <c r="J229"/>
  <c r="J230"/>
  <c r="J231"/>
  <c r="J232"/>
  <c r="J233"/>
  <c r="J234"/>
  <c r="J235"/>
  <c r="J236"/>
  <c r="J237"/>
  <c r="J238"/>
  <c r="J239"/>
  <c r="J240"/>
  <c r="J241"/>
  <c r="J242"/>
  <c r="J243"/>
  <c r="J244"/>
  <c r="J245"/>
  <c r="J246"/>
  <c r="J247"/>
  <c r="J248"/>
  <c r="J249"/>
  <c r="J250"/>
  <c r="J251"/>
  <c r="J252"/>
  <c r="J253"/>
  <c r="J254"/>
  <c r="J255"/>
  <c r="J256"/>
  <c r="J257"/>
  <c r="J258"/>
  <c r="J259"/>
  <c r="J260"/>
  <c r="J261"/>
  <c r="J262"/>
  <c r="J263"/>
  <c r="J264"/>
  <c r="J265"/>
  <c r="J266"/>
  <c r="J267"/>
  <c r="J268"/>
  <c r="J269"/>
  <c r="J270"/>
  <c r="J271"/>
  <c r="J272"/>
  <c r="J273"/>
  <c r="J274"/>
  <c r="J275"/>
  <c r="J276"/>
  <c r="J277"/>
  <c r="J278"/>
  <c r="J279"/>
  <c r="J280"/>
  <c r="J281"/>
  <c r="J282"/>
  <c r="J283"/>
  <c r="J284"/>
  <c r="J285"/>
  <c r="J286"/>
  <c r="J287"/>
  <c r="J288"/>
  <c r="J289"/>
  <c r="J290"/>
  <c r="J291"/>
  <c r="J292"/>
  <c r="J293"/>
  <c r="J294"/>
  <c r="J295"/>
  <c r="J296"/>
  <c r="J297"/>
  <c r="J298"/>
  <c r="J299"/>
  <c r="J300"/>
  <c r="J301"/>
  <c r="J302"/>
  <c r="J303"/>
  <c r="J304"/>
  <c r="J305"/>
  <c r="J306"/>
  <c r="J307"/>
  <c r="J308"/>
  <c r="J309"/>
  <c r="J310"/>
  <c r="J311"/>
  <c r="J312"/>
  <c r="J313"/>
  <c r="J314"/>
  <c r="J315"/>
  <c r="J316"/>
  <c r="J317"/>
  <c r="J318"/>
  <c r="J319"/>
  <c r="J320"/>
  <c r="J321"/>
  <c r="J322"/>
  <c r="J323"/>
  <c r="J324"/>
  <c r="J325"/>
  <c r="J326"/>
  <c r="J327"/>
  <c r="J328"/>
  <c r="J329"/>
  <c r="J330"/>
  <c r="J331"/>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J387"/>
  <c r="J388"/>
  <c r="J389"/>
  <c r="J390"/>
  <c r="J391"/>
  <c r="J392"/>
  <c r="J393"/>
  <c r="J394"/>
  <c r="J395"/>
  <c r="J396"/>
  <c r="J397"/>
  <c r="J398"/>
  <c r="J399"/>
  <c r="J400"/>
  <c r="J401"/>
  <c r="J402"/>
  <c r="J403"/>
  <c r="J404"/>
  <c r="J405"/>
  <c r="J406"/>
  <c r="J407"/>
  <c r="J408"/>
  <c r="J409"/>
  <c r="J410"/>
  <c r="J411"/>
  <c r="J412"/>
  <c r="J413"/>
  <c r="J414"/>
  <c r="J415"/>
  <c r="J416"/>
  <c r="J417"/>
  <c r="J418"/>
  <c r="J419"/>
  <c r="J420"/>
  <c r="J421"/>
  <c r="J422"/>
  <c r="J423"/>
  <c r="J424"/>
  <c r="J425"/>
  <c r="J426"/>
  <c r="J427"/>
  <c r="J428"/>
  <c r="J429"/>
  <c r="J430"/>
  <c r="J431"/>
  <c r="J432"/>
  <c r="J433"/>
  <c r="J434"/>
  <c r="J435"/>
  <c r="J436"/>
  <c r="J437"/>
  <c r="J438"/>
  <c r="J439"/>
  <c r="J440"/>
  <c r="J441"/>
  <c r="J442"/>
  <c r="J443"/>
  <c r="J444"/>
  <c r="J445"/>
  <c r="J446"/>
  <c r="J447"/>
  <c r="J448"/>
  <c r="J449"/>
  <c r="J450"/>
  <c r="J451"/>
  <c r="J452"/>
  <c r="J453"/>
  <c r="J454"/>
  <c r="J455"/>
  <c r="J456"/>
  <c r="J457"/>
  <c r="J458"/>
  <c r="J459"/>
  <c r="J460"/>
  <c r="J461"/>
  <c r="J462"/>
  <c r="J463"/>
  <c r="J464"/>
  <c r="J465"/>
  <c r="J466"/>
  <c r="J467"/>
  <c r="J468"/>
  <c r="J469"/>
  <c r="J470"/>
  <c r="J471"/>
  <c r="J472"/>
  <c r="J473"/>
  <c r="J474"/>
  <c r="J475"/>
  <c r="J476"/>
  <c r="J477"/>
  <c r="J478"/>
  <c r="J479"/>
  <c r="J480"/>
  <c r="J481"/>
  <c r="J482"/>
  <c r="J483"/>
  <c r="J484"/>
  <c r="J485"/>
  <c r="J486"/>
  <c r="J487"/>
  <c r="J488"/>
  <c r="J489"/>
  <c r="J490"/>
  <c r="J491"/>
  <c r="J492"/>
  <c r="J493"/>
  <c r="J494"/>
  <c r="J495"/>
  <c r="J496"/>
  <c r="J497"/>
  <c r="J498"/>
  <c r="J499"/>
  <c r="J500"/>
  <c r="J501"/>
  <c r="J502"/>
  <c r="J503"/>
  <c r="J504"/>
  <c r="J505"/>
  <c r="J506"/>
  <c r="J507"/>
  <c r="J508"/>
  <c r="J509"/>
  <c r="J510"/>
  <c r="J511"/>
  <c r="J512"/>
  <c r="J513"/>
  <c r="J514"/>
  <c r="J515"/>
  <c r="J516"/>
  <c r="J517"/>
  <c r="J518"/>
  <c r="J519"/>
  <c r="J520"/>
  <c r="J521"/>
  <c r="J522"/>
  <c r="J523"/>
  <c r="J524"/>
  <c r="J525"/>
  <c r="J526"/>
  <c r="J527"/>
  <c r="J528"/>
  <c r="J529"/>
  <c r="J530"/>
  <c r="J531"/>
  <c r="J532"/>
  <c r="J533"/>
  <c r="J534"/>
  <c r="J535"/>
  <c r="J536"/>
  <c r="J537"/>
  <c r="J538"/>
  <c r="J539"/>
  <c r="J540"/>
  <c r="J541"/>
  <c r="J542"/>
  <c r="J543"/>
  <c r="J544"/>
  <c r="J545"/>
  <c r="J546"/>
  <c r="J547"/>
  <c r="J548"/>
  <c r="J549"/>
  <c r="J550"/>
  <c r="J551"/>
  <c r="J552"/>
  <c r="J553"/>
  <c r="J554"/>
  <c r="J555"/>
  <c r="J556"/>
  <c r="J557"/>
  <c r="J558"/>
  <c r="J559"/>
  <c r="J560"/>
  <c r="J561"/>
  <c r="J562"/>
  <c r="J563"/>
  <c r="J564"/>
  <c r="J565"/>
  <c r="J566"/>
  <c r="J567"/>
  <c r="J568"/>
  <c r="J569"/>
  <c r="J570"/>
  <c r="J571"/>
  <c r="J572"/>
  <c r="J573"/>
  <c r="J574"/>
  <c r="J575"/>
  <c r="J576"/>
  <c r="J577"/>
  <c r="J578"/>
  <c r="J579"/>
  <c r="J580"/>
  <c r="J581"/>
  <c r="J582"/>
  <c r="J583"/>
  <c r="J584"/>
  <c r="J585"/>
  <c r="J586"/>
  <c r="J587"/>
  <c r="J588"/>
  <c r="J589"/>
  <c r="J590"/>
  <c r="J591"/>
  <c r="J592"/>
  <c r="J593"/>
  <c r="J594"/>
  <c r="J595"/>
  <c r="J596"/>
  <c r="J597"/>
  <c r="J598"/>
  <c r="J599"/>
  <c r="J600"/>
  <c r="J601"/>
  <c r="J602"/>
  <c r="J603"/>
  <c r="J604"/>
  <c r="J605"/>
  <c r="J606"/>
  <c r="J607"/>
  <c r="J608"/>
  <c r="J609"/>
  <c r="J610"/>
  <c r="J611"/>
  <c r="J612"/>
  <c r="J613"/>
  <c r="J614"/>
  <c r="J615"/>
  <c r="J616"/>
  <c r="J617"/>
  <c r="J618"/>
  <c r="J619"/>
  <c r="J620"/>
  <c r="J621"/>
  <c r="J622"/>
  <c r="J623"/>
  <c r="J624"/>
  <c r="J625"/>
  <c r="J626"/>
  <c r="J627"/>
  <c r="J628"/>
  <c r="J629"/>
  <c r="J630"/>
  <c r="J631"/>
  <c r="J632"/>
  <c r="J633"/>
  <c r="J634"/>
  <c r="J635"/>
  <c r="J636"/>
  <c r="J637"/>
  <c r="J638"/>
  <c r="J639"/>
  <c r="J640"/>
  <c r="J641"/>
  <c r="J642"/>
  <c r="J643"/>
  <c r="J644"/>
  <c r="J645"/>
  <c r="J646"/>
  <c r="J647"/>
  <c r="J648"/>
  <c r="J649"/>
  <c r="J650"/>
  <c r="J651"/>
  <c r="J652"/>
  <c r="J653"/>
  <c r="J654"/>
  <c r="J655"/>
  <c r="J656"/>
  <c r="J657"/>
  <c r="J658"/>
  <c r="J659"/>
  <c r="J660"/>
  <c r="J661"/>
  <c r="J662"/>
  <c r="J663"/>
  <c r="J664"/>
  <c r="J665"/>
  <c r="J666"/>
  <c r="J667"/>
  <c r="J668"/>
  <c r="J669"/>
  <c r="J670"/>
  <c r="J671"/>
  <c r="J672"/>
  <c r="J673"/>
  <c r="J674"/>
  <c r="J675"/>
  <c r="J676"/>
  <c r="J677"/>
  <c r="J678"/>
  <c r="J679"/>
  <c r="J680"/>
  <c r="J681"/>
  <c r="J682"/>
  <c r="J683"/>
  <c r="J684"/>
  <c r="J685"/>
  <c r="J686"/>
  <c r="J687"/>
  <c r="J688"/>
  <c r="J689"/>
  <c r="J690"/>
  <c r="J691"/>
  <c r="J692"/>
  <c r="J693"/>
  <c r="J694"/>
  <c r="J695"/>
  <c r="J696"/>
  <c r="J697"/>
  <c r="J698"/>
  <c r="J699"/>
  <c r="J700"/>
  <c r="J701"/>
  <c r="J702"/>
  <c r="J703"/>
  <c r="J704"/>
  <c r="J705"/>
  <c r="J706"/>
  <c r="J707"/>
  <c r="J708"/>
  <c r="J709"/>
  <c r="J710"/>
  <c r="J711"/>
  <c r="J712"/>
  <c r="J713"/>
  <c r="J714"/>
  <c r="J715"/>
  <c r="J716"/>
  <c r="J717"/>
  <c r="J718"/>
  <c r="J719"/>
  <c r="J720"/>
  <c r="J721"/>
  <c r="J722"/>
  <c r="J723"/>
  <c r="J724"/>
  <c r="J725"/>
  <c r="J726"/>
  <c r="J727"/>
  <c r="J728"/>
  <c r="J729"/>
  <c r="J730"/>
  <c r="J731"/>
  <c r="J732"/>
  <c r="J733"/>
  <c r="J734"/>
  <c r="J735"/>
  <c r="J736"/>
  <c r="J737"/>
  <c r="J738"/>
  <c r="J739"/>
  <c r="J740"/>
  <c r="J741"/>
  <c r="J742"/>
  <c r="J743"/>
  <c r="J744"/>
  <c r="J745"/>
  <c r="J746"/>
  <c r="J747"/>
  <c r="J748"/>
  <c r="J749"/>
  <c r="J750"/>
  <c r="J751"/>
  <c r="J752"/>
  <c r="J753"/>
  <c r="J754"/>
  <c r="J755"/>
  <c r="J756"/>
  <c r="J757"/>
  <c r="J758"/>
  <c r="J759"/>
  <c r="J760"/>
  <c r="J761"/>
  <c r="J762"/>
  <c r="J763"/>
  <c r="J764"/>
  <c r="J765"/>
  <c r="J766"/>
  <c r="J767"/>
  <c r="J768"/>
  <c r="J769"/>
  <c r="J770"/>
  <c r="J771"/>
  <c r="J772"/>
  <c r="J773"/>
  <c r="J774"/>
  <c r="J775"/>
  <c r="J776"/>
  <c r="J777"/>
  <c r="J778"/>
  <c r="J779"/>
  <c r="J780"/>
  <c r="J781"/>
  <c r="J782"/>
  <c r="J783"/>
  <c r="J784"/>
  <c r="J785"/>
  <c r="J786"/>
  <c r="J787"/>
  <c r="J788"/>
  <c r="J789"/>
  <c r="J790"/>
  <c r="J791"/>
  <c r="J792"/>
  <c r="J793"/>
  <c r="J794"/>
  <c r="J795"/>
  <c r="J796"/>
  <c r="J797"/>
  <c r="J798"/>
  <c r="J799"/>
  <c r="J800"/>
  <c r="J801"/>
  <c r="J802"/>
  <c r="J803"/>
  <c r="J804"/>
  <c r="J805"/>
  <c r="J806"/>
  <c r="J807"/>
  <c r="J808"/>
  <c r="J809"/>
  <c r="J810"/>
  <c r="J811"/>
  <c r="J812"/>
  <c r="J813"/>
  <c r="J814"/>
  <c r="J815"/>
  <c r="J816"/>
  <c r="J817"/>
  <c r="J818"/>
  <c r="J819"/>
  <c r="J820"/>
  <c r="J821"/>
  <c r="J822"/>
  <c r="J823"/>
  <c r="J824"/>
  <c r="J825"/>
  <c r="J826"/>
  <c r="J827"/>
  <c r="J828"/>
  <c r="J829"/>
  <c r="J830"/>
  <c r="J831"/>
  <c r="J832"/>
  <c r="J833"/>
  <c r="J834"/>
  <c r="J835"/>
  <c r="J836"/>
  <c r="J837"/>
  <c r="J838"/>
  <c r="J839"/>
  <c r="J840"/>
  <c r="J841"/>
  <c r="J842"/>
  <c r="J843"/>
  <c r="J844"/>
  <c r="J845"/>
  <c r="J846"/>
  <c r="J847"/>
  <c r="J848"/>
  <c r="J849"/>
  <c r="J850"/>
  <c r="J851"/>
  <c r="J852"/>
  <c r="J853"/>
  <c r="J854"/>
  <c r="J855"/>
  <c r="J856"/>
  <c r="J857"/>
  <c r="J858"/>
  <c r="J859"/>
  <c r="J860"/>
  <c r="J861"/>
  <c r="J862"/>
  <c r="J863"/>
  <c r="J864"/>
  <c r="J865"/>
  <c r="J866"/>
  <c r="J867"/>
  <c r="J868"/>
  <c r="J869"/>
  <c r="J870"/>
  <c r="J871"/>
  <c r="J872"/>
  <c r="J873"/>
  <c r="J874"/>
  <c r="J875"/>
  <c r="J876"/>
  <c r="J877"/>
  <c r="J878"/>
  <c r="J879"/>
  <c r="J880"/>
  <c r="J881"/>
  <c r="J882"/>
  <c r="J883"/>
  <c r="J884"/>
  <c r="J885"/>
  <c r="J886"/>
  <c r="J887"/>
  <c r="J888"/>
  <c r="J889"/>
  <c r="J890"/>
  <c r="J891"/>
  <c r="J892"/>
  <c r="J893"/>
  <c r="J894"/>
  <c r="J895"/>
  <c r="J896"/>
  <c r="J897"/>
  <c r="J898"/>
  <c r="J899"/>
  <c r="J900"/>
  <c r="J901"/>
  <c r="J902"/>
  <c r="J903"/>
  <c r="J904"/>
  <c r="J905"/>
  <c r="J906"/>
  <c r="J907"/>
  <c r="J908"/>
  <c r="J909"/>
  <c r="J910"/>
  <c r="J911"/>
  <c r="J912"/>
  <c r="J913"/>
  <c r="J914"/>
  <c r="J915"/>
  <c r="J916"/>
  <c r="J917"/>
  <c r="J918"/>
  <c r="J919"/>
  <c r="J920"/>
  <c r="J921"/>
  <c r="J922"/>
  <c r="J923"/>
  <c r="J924"/>
  <c r="J925"/>
  <c r="J926"/>
  <c r="J927"/>
  <c r="J928"/>
  <c r="J929"/>
  <c r="J930"/>
  <c r="J931"/>
  <c r="J932"/>
  <c r="J933"/>
  <c r="J934"/>
  <c r="J935"/>
  <c r="J936"/>
  <c r="J937"/>
  <c r="J938"/>
  <c r="J939"/>
  <c r="J940"/>
  <c r="J941"/>
  <c r="J942"/>
  <c r="J943"/>
  <c r="J944"/>
  <c r="J945"/>
  <c r="J946"/>
  <c r="J947"/>
  <c r="J948"/>
  <c r="J949"/>
  <c r="J950"/>
  <c r="J951"/>
  <c r="J952"/>
  <c r="J953"/>
  <c r="J954"/>
  <c r="J955"/>
  <c r="J956"/>
  <c r="J957"/>
  <c r="J958"/>
  <c r="J959"/>
  <c r="J960"/>
  <c r="J961"/>
  <c r="J962"/>
  <c r="J963"/>
  <c r="J964"/>
  <c r="J965"/>
  <c r="J966"/>
  <c r="J967"/>
  <c r="J968"/>
  <c r="J969"/>
  <c r="J970"/>
  <c r="J971"/>
  <c r="J972"/>
  <c r="J973"/>
  <c r="J974"/>
  <c r="J975"/>
  <c r="J976"/>
  <c r="J977"/>
  <c r="J978"/>
  <c r="J979"/>
  <c r="J980"/>
  <c r="J981"/>
  <c r="J982"/>
  <c r="J983"/>
  <c r="J984"/>
  <c r="J985"/>
  <c r="J986"/>
  <c r="J987"/>
  <c r="J988"/>
  <c r="J989"/>
  <c r="J990"/>
  <c r="J991"/>
  <c r="J992"/>
  <c r="J993"/>
  <c r="J994"/>
  <c r="J995"/>
  <c r="J996"/>
  <c r="J997"/>
  <c r="J998"/>
  <c r="J999"/>
  <c r="J1000"/>
  <c r="J1001"/>
  <c r="J1002"/>
  <c r="J1003"/>
  <c r="J1004"/>
  <c r="J1005"/>
  <c r="J1006"/>
  <c r="J1007"/>
  <c r="J1008"/>
  <c r="J1009"/>
  <c r="J1010"/>
  <c r="J1011"/>
  <c r="J1012"/>
  <c r="J1013"/>
  <c r="J1014"/>
  <c r="J1015"/>
  <c r="J1016"/>
  <c r="J1017"/>
  <c r="J1018"/>
  <c r="J1019"/>
  <c r="J1020"/>
  <c r="J1021"/>
  <c r="J1022"/>
  <c r="J1023"/>
  <c r="J1024"/>
  <c r="J1025"/>
  <c r="J1026"/>
  <c r="J1027"/>
  <c r="J1028"/>
  <c r="J1029"/>
  <c r="J1030"/>
  <c r="J1031"/>
  <c r="J1032"/>
  <c r="J1033"/>
  <c r="J1034"/>
  <c r="J1035"/>
  <c r="J1036"/>
  <c r="J1037"/>
  <c r="J1038"/>
  <c r="J1039"/>
  <c r="J1040"/>
  <c r="J1041"/>
  <c r="J1042"/>
  <c r="J1043"/>
  <c r="J1044"/>
  <c r="J1045"/>
  <c r="J1046"/>
  <c r="J1047"/>
  <c r="J1048"/>
  <c r="J1049"/>
  <c r="J1050"/>
  <c r="J1051"/>
  <c r="J1052"/>
  <c r="J1053"/>
  <c r="J1054"/>
  <c r="J1055"/>
  <c r="J1056"/>
  <c r="J1057"/>
  <c r="J1058"/>
  <c r="J1059"/>
  <c r="J1060"/>
  <c r="J1061"/>
  <c r="J1062"/>
  <c r="J1063"/>
  <c r="J1064"/>
  <c r="J1065"/>
  <c r="J1066"/>
  <c r="J1067"/>
  <c r="J1068"/>
  <c r="J1069"/>
  <c r="J1070"/>
  <c r="J1071"/>
  <c r="J1072"/>
  <c r="J1073"/>
  <c r="J1074"/>
  <c r="J1075"/>
  <c r="J1076"/>
  <c r="J1077"/>
  <c r="J1078"/>
  <c r="J1079"/>
  <c r="J1080"/>
  <c r="J1081"/>
  <c r="J1082"/>
  <c r="J1083"/>
  <c r="J1084"/>
  <c r="J1085"/>
  <c r="J1086"/>
  <c r="J1087"/>
  <c r="J1088"/>
  <c r="J1089"/>
  <c r="J1090"/>
  <c r="J1091"/>
  <c r="J1092"/>
  <c r="J1093"/>
  <c r="J1094"/>
  <c r="J1095"/>
  <c r="J1096"/>
  <c r="J1097"/>
  <c r="J1098"/>
  <c r="J1099"/>
  <c r="J1100"/>
  <c r="J1101"/>
  <c r="J1102"/>
  <c r="J1103"/>
  <c r="J1104"/>
  <c r="J1105"/>
  <c r="J1106"/>
  <c r="J1107"/>
  <c r="J1108"/>
  <c r="J1109"/>
  <c r="J1110"/>
  <c r="J1111"/>
  <c r="J1112"/>
  <c r="J1113"/>
  <c r="J1114"/>
  <c r="J1115"/>
  <c r="J1116"/>
  <c r="J1117"/>
  <c r="J1118"/>
  <c r="J1119"/>
  <c r="J1120"/>
  <c r="J1121"/>
  <c r="J1122"/>
  <c r="J1123"/>
  <c r="J1124"/>
  <c r="J1125"/>
  <c r="J1126"/>
  <c r="J1127"/>
  <c r="J1128"/>
  <c r="J1129"/>
  <c r="J1130"/>
  <c r="J1131"/>
  <c r="J1132"/>
  <c r="J1133"/>
  <c r="J1134"/>
  <c r="J1135"/>
  <c r="J1136"/>
  <c r="J1137"/>
  <c r="J1138"/>
  <c r="J1139"/>
  <c r="J1140"/>
  <c r="J1141"/>
  <c r="J1142"/>
  <c r="J1143"/>
  <c r="J1144"/>
  <c r="J1145"/>
  <c r="J1146"/>
  <c r="J1147"/>
  <c r="J1148"/>
  <c r="J1149"/>
  <c r="J1150"/>
  <c r="J1151"/>
  <c r="J1152"/>
  <c r="J1153"/>
  <c r="J1154"/>
  <c r="J1155"/>
  <c r="J1156"/>
  <c r="J1157"/>
  <c r="J1158"/>
  <c r="J1159"/>
  <c r="J1160"/>
  <c r="J1161"/>
  <c r="J1162"/>
  <c r="J1163"/>
  <c r="J1164"/>
  <c r="J1165"/>
  <c r="J1166"/>
  <c r="J1167"/>
  <c r="J1168"/>
  <c r="J1169"/>
  <c r="J1170"/>
  <c r="J1171"/>
  <c r="J1172"/>
  <c r="J1173"/>
  <c r="J1174"/>
  <c r="J1175"/>
  <c r="J1176"/>
  <c r="J1177"/>
  <c r="J1178"/>
  <c r="J1179"/>
  <c r="J1180"/>
  <c r="J1181"/>
  <c r="J1182"/>
  <c r="J1183"/>
  <c r="J1184"/>
  <c r="J1185"/>
  <c r="J1186"/>
  <c r="J1187"/>
  <c r="J1188"/>
  <c r="J1189"/>
  <c r="J1190"/>
  <c r="J1191"/>
  <c r="J1192"/>
  <c r="J1193"/>
  <c r="J1194"/>
  <c r="J1195"/>
  <c r="J1196"/>
  <c r="J1197"/>
  <c r="J1198"/>
  <c r="J1199"/>
  <c r="J1200"/>
  <c r="J1201"/>
  <c r="J1202"/>
  <c r="J1203"/>
  <c r="J1204"/>
  <c r="J1205"/>
  <c r="J1206"/>
  <c r="J1207"/>
  <c r="J1208"/>
  <c r="J1209"/>
  <c r="J1210"/>
  <c r="J1211"/>
  <c r="J1212"/>
  <c r="J1213"/>
  <c r="J1214"/>
  <c r="J1215"/>
  <c r="J1216"/>
  <c r="J1217"/>
  <c r="J1218"/>
  <c r="J1219"/>
  <c r="J1220"/>
  <c r="J1221"/>
  <c r="J1222"/>
  <c r="J1223"/>
  <c r="J1224"/>
  <c r="J1225"/>
  <c r="J1226"/>
  <c r="J1227"/>
  <c r="J1228"/>
  <c r="J1229"/>
  <c r="J1230"/>
  <c r="J1231"/>
  <c r="J1232"/>
  <c r="J1233"/>
  <c r="J1234"/>
  <c r="J1235"/>
  <c r="J1236"/>
  <c r="J1237"/>
  <c r="J1238"/>
  <c r="J1239"/>
  <c r="J1240"/>
  <c r="J1241"/>
  <c r="J1242"/>
  <c r="J1243"/>
  <c r="J1244"/>
  <c r="J1245"/>
  <c r="J1246"/>
  <c r="J1247"/>
  <c r="J1248"/>
  <c r="J1249"/>
  <c r="J1250"/>
  <c r="J1251"/>
  <c r="J1252"/>
  <c r="J1253"/>
  <c r="J1254"/>
  <c r="J1255"/>
  <c r="J1256"/>
  <c r="J1257"/>
  <c r="J1258"/>
  <c r="J1259"/>
  <c r="J1260"/>
  <c r="J1261"/>
  <c r="J1262"/>
  <c r="J1263"/>
  <c r="J1264"/>
  <c r="J1265"/>
  <c r="J1266"/>
  <c r="J1267"/>
  <c r="J1268"/>
  <c r="J1269"/>
  <c r="J1270"/>
  <c r="J1271"/>
  <c r="J1272"/>
  <c r="J1273"/>
  <c r="J1274"/>
  <c r="J1275"/>
  <c r="J1276"/>
  <c r="J1277"/>
  <c r="J1278"/>
  <c r="J1279"/>
  <c r="J1280"/>
  <c r="J1281"/>
  <c r="J1282"/>
  <c r="J1283"/>
  <c r="J1284"/>
  <c r="J1285"/>
  <c r="J1286"/>
  <c r="J1287"/>
  <c r="J1288"/>
  <c r="J1289"/>
  <c r="J1290"/>
  <c r="J1291"/>
  <c r="J1292"/>
  <c r="J1293"/>
  <c r="J1294"/>
  <c r="J1295"/>
  <c r="J1296"/>
  <c r="J1297"/>
  <c r="J1298"/>
  <c r="J1299"/>
  <c r="J1300"/>
  <c r="J1301"/>
  <c r="J1302"/>
  <c r="J1303"/>
  <c r="J1304"/>
  <c r="J1305"/>
  <c r="J1306"/>
  <c r="J1307"/>
  <c r="J1308"/>
  <c r="J1309"/>
  <c r="J1310"/>
  <c r="J1311"/>
  <c r="J1312"/>
  <c r="J1313"/>
  <c r="J1314"/>
  <c r="J1315"/>
  <c r="J1316"/>
  <c r="J1317"/>
  <c r="J1318"/>
  <c r="J1319"/>
  <c r="J1320"/>
  <c r="J1321"/>
  <c r="J1322"/>
  <c r="J1323"/>
  <c r="J1324"/>
  <c r="J1325"/>
  <c r="J1326"/>
  <c r="J1327"/>
  <c r="J1328"/>
  <c r="J1329"/>
  <c r="J1330"/>
  <c r="J1331"/>
  <c r="J1332"/>
  <c r="J1333"/>
  <c r="J1334"/>
  <c r="J1335"/>
  <c r="J1336"/>
  <c r="J1337"/>
  <c r="J1338"/>
  <c r="J1339"/>
  <c r="J1340"/>
  <c r="J1341"/>
  <c r="J1342"/>
  <c r="J1343"/>
  <c r="J1344"/>
  <c r="J1345"/>
  <c r="J1346"/>
  <c r="J1347"/>
  <c r="J1348"/>
  <c r="J1349"/>
  <c r="J1350"/>
  <c r="J1351"/>
  <c r="J1352"/>
  <c r="J1353"/>
  <c r="J1354"/>
  <c r="J1355"/>
  <c r="J1356"/>
  <c r="J1357"/>
  <c r="J1358"/>
  <c r="J1359"/>
  <c r="J1360"/>
  <c r="J1361"/>
  <c r="J1362"/>
  <c r="J1363"/>
  <c r="J1364"/>
  <c r="J1365"/>
  <c r="J1366"/>
  <c r="J1367"/>
  <c r="J1368"/>
  <c r="J1369"/>
  <c r="J1370"/>
  <c r="J1371"/>
  <c r="J1372"/>
  <c r="J1373"/>
  <c r="J1374"/>
  <c r="J1375"/>
  <c r="J1376"/>
  <c r="J1377"/>
  <c r="J1378"/>
  <c r="J1379"/>
  <c r="J1380"/>
  <c r="J1381"/>
  <c r="J1382"/>
  <c r="J1383"/>
  <c r="J1384"/>
  <c r="J1385"/>
  <c r="J1386"/>
  <c r="J1387"/>
  <c r="J1388"/>
  <c r="J1389"/>
  <c r="J1390"/>
  <c r="J1391"/>
  <c r="J1392"/>
  <c r="J1393"/>
  <c r="J1394"/>
  <c r="J1395"/>
  <c r="J1396"/>
  <c r="J1397"/>
  <c r="J1398"/>
  <c r="J1399"/>
  <c r="J1400"/>
  <c r="J1401"/>
  <c r="J1402"/>
  <c r="J1403"/>
  <c r="J1404"/>
  <c r="J1405"/>
  <c r="J1406"/>
  <c r="J1407"/>
  <c r="J1408"/>
  <c r="J1409"/>
  <c r="J1410"/>
  <c r="J1411"/>
  <c r="J1412"/>
  <c r="J1413"/>
  <c r="J1414"/>
  <c r="J1415"/>
  <c r="J1416"/>
  <c r="J1417"/>
  <c r="J1418"/>
  <c r="J1419"/>
  <c r="J1420"/>
  <c r="J1421"/>
  <c r="J1422"/>
  <c r="J1423"/>
  <c r="J1424"/>
  <c r="J1425"/>
  <c r="J1426"/>
  <c r="J1427"/>
  <c r="J1428"/>
  <c r="J1429"/>
  <c r="J1430"/>
  <c r="J1431"/>
  <c r="J1432"/>
  <c r="J1433"/>
  <c r="J1434"/>
  <c r="J1435"/>
  <c r="J1436"/>
  <c r="J1437"/>
  <c r="J1438"/>
  <c r="J1439"/>
  <c r="J1440"/>
  <c r="J1441"/>
  <c r="J1442"/>
  <c r="J1443"/>
  <c r="J1444"/>
  <c r="J1445"/>
  <c r="J1446"/>
  <c r="J1447"/>
  <c r="J1448"/>
  <c r="J1449"/>
  <c r="J1450"/>
  <c r="J1451"/>
  <c r="J1452"/>
  <c r="J1453"/>
  <c r="J1454"/>
  <c r="J1455"/>
  <c r="J1456"/>
  <c r="J1457"/>
  <c r="J1458"/>
  <c r="J1459"/>
  <c r="J1460"/>
  <c r="J1461"/>
  <c r="J1462"/>
  <c r="J1463"/>
  <c r="J1464"/>
  <c r="J1465"/>
  <c r="J1466"/>
  <c r="J1467"/>
  <c r="J1468"/>
  <c r="J1469"/>
  <c r="J1470"/>
  <c r="J1471"/>
  <c r="J1472"/>
  <c r="J1473"/>
  <c r="J1474"/>
  <c r="J1475"/>
  <c r="J1476"/>
  <c r="J1477"/>
  <c r="J1478"/>
  <c r="J1479"/>
  <c r="J1480"/>
  <c r="J1481"/>
  <c r="J1482"/>
  <c r="J1483"/>
  <c r="J1484"/>
  <c r="J1485"/>
  <c r="J1486"/>
  <c r="J1487"/>
  <c r="J1488"/>
  <c r="J1489"/>
  <c r="J1490"/>
  <c r="J1491"/>
  <c r="J1492"/>
  <c r="J1493"/>
  <c r="J1494"/>
  <c r="J1495"/>
  <c r="J1496"/>
  <c r="J1497"/>
  <c r="J1498"/>
  <c r="J1499"/>
  <c r="J1500"/>
  <c r="J1501"/>
  <c r="J1502"/>
  <c r="J1503"/>
  <c r="J1504"/>
  <c r="J1505"/>
  <c r="J1506"/>
  <c r="J1507"/>
  <c r="J1508"/>
  <c r="J1509"/>
  <c r="J1510"/>
  <c r="J1511"/>
  <c r="J1512"/>
  <c r="J1513"/>
  <c r="J1514"/>
  <c r="J1515"/>
  <c r="J1516"/>
  <c r="J1517"/>
  <c r="J1518"/>
  <c r="J1519"/>
  <c r="J1520"/>
  <c r="J1521"/>
  <c r="J1522"/>
  <c r="J1523"/>
  <c r="J1524"/>
  <c r="J1525"/>
  <c r="J1526"/>
  <c r="J1527"/>
  <c r="J1528"/>
  <c r="J1529"/>
  <c r="J1530"/>
  <c r="J1531"/>
  <c r="J1532"/>
  <c r="J1533"/>
  <c r="J1534"/>
  <c r="J1535"/>
  <c r="J1536"/>
  <c r="J1537"/>
  <c r="J1538"/>
  <c r="J1539"/>
  <c r="J1540"/>
  <c r="J1541"/>
  <c r="J1542"/>
  <c r="J1543"/>
  <c r="J1544"/>
  <c r="J1545"/>
  <c r="J1546"/>
  <c r="J1547"/>
  <c r="J1548"/>
  <c r="J1549"/>
  <c r="J1550"/>
  <c r="J1551"/>
  <c r="J1552"/>
  <c r="J1553"/>
  <c r="J1554"/>
  <c r="J1555"/>
  <c r="J1556"/>
  <c r="J1557"/>
  <c r="J1558"/>
  <c r="J1559"/>
  <c r="J1560"/>
  <c r="J1561"/>
  <c r="J1562"/>
  <c r="J1563"/>
  <c r="J1564"/>
  <c r="J1565"/>
  <c r="J1566"/>
  <c r="J1567"/>
  <c r="J1568"/>
  <c r="J1569"/>
  <c r="J1570"/>
  <c r="J1571"/>
  <c r="J1572"/>
  <c r="J1573"/>
  <c r="J1574"/>
  <c r="J1575"/>
  <c r="J1576"/>
  <c r="J1577"/>
  <c r="J1578"/>
  <c r="J1579"/>
  <c r="J1580"/>
  <c r="J1581"/>
  <c r="J1582"/>
  <c r="J1583"/>
  <c r="J1584"/>
  <c r="J1585"/>
  <c r="J1586"/>
  <c r="J1587"/>
  <c r="J1588"/>
  <c r="J1589"/>
  <c r="J1590"/>
  <c r="J1591"/>
  <c r="J1592"/>
  <c r="J1593"/>
  <c r="J1594"/>
  <c r="J1595"/>
  <c r="J1596"/>
  <c r="J1597"/>
  <c r="J1598"/>
  <c r="J1599"/>
  <c r="J1600"/>
  <c r="J1601"/>
  <c r="J1602"/>
  <c r="J1603"/>
  <c r="J1604"/>
  <c r="J1605"/>
  <c r="J1606"/>
  <c r="J1607"/>
  <c r="J1608"/>
  <c r="J1609"/>
  <c r="J1610"/>
  <c r="J1611"/>
  <c r="J1612"/>
  <c r="J1613"/>
  <c r="J1614"/>
  <c r="J1615"/>
  <c r="J1616"/>
  <c r="J1617"/>
  <c r="J1618"/>
  <c r="J1619"/>
  <c r="J1620"/>
  <c r="J1621"/>
  <c r="J1622"/>
  <c r="J1623"/>
  <c r="J1624"/>
  <c r="J1625"/>
  <c r="J1626"/>
  <c r="J1627"/>
  <c r="J1628"/>
  <c r="J1629"/>
  <c r="J1630"/>
  <c r="J1631"/>
  <c r="J1632"/>
  <c r="J1633"/>
  <c r="J1634"/>
  <c r="J1635"/>
  <c r="J1636"/>
  <c r="J1637"/>
  <c r="J1638"/>
  <c r="J1639"/>
  <c r="J1640"/>
  <c r="J1641"/>
  <c r="J1642"/>
  <c r="J1643"/>
  <c r="J1644"/>
  <c r="J1645"/>
  <c r="J1646"/>
  <c r="J1647"/>
  <c r="J1648"/>
  <c r="J1649"/>
  <c r="J1650"/>
  <c r="J1651"/>
  <c r="J1652"/>
  <c r="J1653"/>
  <c r="J1654"/>
  <c r="J1655"/>
  <c r="J1656"/>
  <c r="J1657"/>
  <c r="J1658"/>
  <c r="J1659"/>
  <c r="J1660"/>
  <c r="J1661"/>
  <c r="J1662"/>
  <c r="J1663"/>
  <c r="J1664"/>
  <c r="J1665"/>
  <c r="J1666"/>
  <c r="J1667"/>
  <c r="J1668"/>
  <c r="J1669"/>
  <c r="J1670"/>
  <c r="J1671"/>
  <c r="J1672"/>
  <c r="J1673"/>
  <c r="J1674"/>
  <c r="J1675"/>
  <c r="J1676"/>
  <c r="J1677"/>
  <c r="J1678"/>
  <c r="J1679"/>
  <c r="J1680"/>
  <c r="J1681"/>
  <c r="J1682"/>
  <c r="J1683"/>
  <c r="J1684"/>
  <c r="J1685"/>
  <c r="J1686"/>
  <c r="J1687"/>
  <c r="J1688"/>
  <c r="J1689"/>
  <c r="J1690"/>
  <c r="J1691"/>
  <c r="J1692"/>
  <c r="J1693"/>
  <c r="J1694"/>
  <c r="J1695"/>
  <c r="J1696"/>
  <c r="J1697"/>
  <c r="J1698"/>
  <c r="J1699"/>
  <c r="J1700"/>
  <c r="J1701"/>
  <c r="J1702"/>
  <c r="J1703"/>
  <c r="J1704"/>
  <c r="J1705"/>
  <c r="J1706"/>
  <c r="J1707"/>
  <c r="J1708"/>
  <c r="J1709"/>
  <c r="J1710"/>
  <c r="J1711"/>
  <c r="J1712"/>
  <c r="J1713"/>
  <c r="J1714"/>
  <c r="J1715"/>
  <c r="J1716"/>
  <c r="J1717"/>
  <c r="J1718"/>
  <c r="J1719"/>
  <c r="J1720"/>
  <c r="J1721"/>
  <c r="J1722"/>
  <c r="J1723"/>
  <c r="J1724"/>
  <c r="J1725"/>
  <c r="J1726"/>
  <c r="J1727"/>
  <c r="J1728"/>
  <c r="J1729"/>
  <c r="J1730"/>
  <c r="J1731"/>
  <c r="J1732"/>
  <c r="J1733"/>
  <c r="J1734"/>
  <c r="J1735"/>
  <c r="J1736"/>
  <c r="J1737"/>
  <c r="J1738"/>
  <c r="J1739"/>
  <c r="J1740"/>
  <c r="J1741"/>
  <c r="J1742"/>
  <c r="J1743"/>
  <c r="J1744"/>
  <c r="J1745"/>
  <c r="J1746"/>
  <c r="J1747"/>
  <c r="J1748"/>
  <c r="J1749"/>
  <c r="J1750"/>
  <c r="J1751"/>
  <c r="J1752"/>
  <c r="J1753"/>
  <c r="J1754"/>
  <c r="J1755"/>
  <c r="J1756"/>
  <c r="J1757"/>
  <c r="J1758"/>
  <c r="J1759"/>
  <c r="J1760"/>
  <c r="J1761"/>
  <c r="J1762"/>
  <c r="J1763"/>
  <c r="J1764"/>
  <c r="J1765"/>
  <c r="J1766"/>
  <c r="J1767"/>
  <c r="J1768"/>
  <c r="J1769"/>
  <c r="J1770"/>
  <c r="J1771"/>
  <c r="J1772"/>
  <c r="J1773"/>
  <c r="J1774"/>
  <c r="J1775"/>
  <c r="J1776"/>
  <c r="J1777"/>
  <c r="J1778"/>
  <c r="J1779"/>
  <c r="J1780"/>
  <c r="J1781"/>
  <c r="J1782"/>
  <c r="J1783"/>
  <c r="J1784"/>
  <c r="J1785"/>
  <c r="J1786"/>
  <c r="J1787"/>
  <c r="J1788"/>
  <c r="J1789"/>
  <c r="J1790"/>
  <c r="J1791"/>
  <c r="J1792"/>
  <c r="J1793"/>
  <c r="J1794"/>
  <c r="J1795"/>
  <c r="J1796"/>
  <c r="J1797"/>
  <c r="J1798"/>
  <c r="J1799"/>
  <c r="J1800"/>
  <c r="J1801"/>
  <c r="J1802"/>
  <c r="J1803"/>
  <c r="J1804"/>
  <c r="J1805"/>
  <c r="J1806"/>
  <c r="J1807"/>
  <c r="J1808"/>
  <c r="J1809"/>
  <c r="J1810"/>
  <c r="J1811"/>
  <c r="J1812"/>
  <c r="J1813"/>
  <c r="J1814"/>
  <c r="J1815"/>
  <c r="J1816"/>
  <c r="J1817"/>
  <c r="J1818"/>
  <c r="J1819"/>
  <c r="J1820"/>
  <c r="J1821"/>
  <c r="J1822"/>
  <c r="J1823"/>
  <c r="J1824"/>
  <c r="J1825"/>
  <c r="J1826"/>
  <c r="J1827"/>
  <c r="J1828"/>
  <c r="J1829"/>
  <c r="J1830"/>
  <c r="J1831"/>
  <c r="J1832"/>
  <c r="J1833"/>
  <c r="J1834"/>
  <c r="J1835"/>
  <c r="J1836"/>
  <c r="J1837"/>
  <c r="J1838"/>
  <c r="J1839"/>
  <c r="J1840"/>
  <c r="J1841"/>
  <c r="J1842"/>
  <c r="J1843"/>
  <c r="J1844"/>
  <c r="J1845"/>
  <c r="J1846"/>
  <c r="J1847"/>
  <c r="J1848"/>
  <c r="J1849"/>
  <c r="J1850"/>
  <c r="J1851"/>
  <c r="J1852"/>
  <c r="J1853"/>
  <c r="J1854"/>
  <c r="J1855"/>
  <c r="J1856"/>
  <c r="J1857"/>
  <c r="J1858"/>
  <c r="J1859"/>
  <c r="J1860"/>
  <c r="J1861"/>
  <c r="J1862"/>
  <c r="J1863"/>
  <c r="J1864"/>
  <c r="J1865"/>
  <c r="J1866"/>
  <c r="J1867"/>
  <c r="J1868"/>
  <c r="J1869"/>
  <c r="J1870"/>
  <c r="J1871"/>
  <c r="J1872"/>
  <c r="J1873"/>
  <c r="J1874"/>
  <c r="J1875"/>
  <c r="J1876"/>
  <c r="J1877"/>
  <c r="J1878"/>
  <c r="J1879"/>
  <c r="J1880"/>
  <c r="J1881"/>
  <c r="J1882"/>
  <c r="J1883"/>
  <c r="J1884"/>
  <c r="J1885"/>
  <c r="J1886"/>
  <c r="J1887"/>
  <c r="J1888"/>
  <c r="J1889"/>
  <c r="J1890"/>
  <c r="J1891"/>
  <c r="J1892"/>
  <c r="J1893"/>
  <c r="J1894"/>
  <c r="J1895"/>
  <c r="J1896"/>
  <c r="J1897"/>
  <c r="J1898"/>
  <c r="J1899"/>
  <c r="J1900"/>
  <c r="J1901"/>
  <c r="J1902"/>
  <c r="J1903"/>
  <c r="J1904"/>
  <c r="J1905"/>
  <c r="J1906"/>
  <c r="J1907"/>
  <c r="J1908"/>
  <c r="J1909"/>
  <c r="J1910"/>
  <c r="J1911"/>
  <c r="J1912"/>
  <c r="J1913"/>
  <c r="J1914"/>
  <c r="J1915"/>
  <c r="J1916"/>
  <c r="J1917"/>
  <c r="J1918"/>
  <c r="J1919"/>
  <c r="J1920"/>
  <c r="J1921"/>
  <c r="J1922"/>
  <c r="J1923"/>
  <c r="J1924"/>
  <c r="J1925"/>
  <c r="J1926"/>
  <c r="J1927"/>
  <c r="J1928"/>
  <c r="J1929"/>
  <c r="J1930"/>
  <c r="J1931"/>
  <c r="J1932"/>
  <c r="J1933"/>
  <c r="J1934"/>
  <c r="J1935"/>
  <c r="J1936"/>
  <c r="J1937"/>
  <c r="J1938"/>
  <c r="J1939"/>
  <c r="J1940"/>
  <c r="J1941"/>
  <c r="J1942"/>
  <c r="J1943"/>
  <c r="J1944"/>
  <c r="J1945"/>
  <c r="J1946"/>
  <c r="J1947"/>
  <c r="J1948"/>
  <c r="J1949"/>
  <c r="J1950"/>
  <c r="J1951"/>
  <c r="J1952"/>
  <c r="J1953"/>
  <c r="J1954"/>
  <c r="J1955"/>
  <c r="J1956"/>
  <c r="J1957"/>
  <c r="J1958"/>
  <c r="J1959"/>
  <c r="J1960"/>
  <c r="J1961"/>
  <c r="J1962"/>
  <c r="J1963"/>
  <c r="J1964"/>
  <c r="J1965"/>
  <c r="J1966"/>
  <c r="J1967"/>
  <c r="J1968"/>
  <c r="J1969"/>
  <c r="J1970"/>
  <c r="J1971"/>
  <c r="J1972"/>
  <c r="J1973"/>
  <c r="J1974"/>
  <c r="J1975"/>
  <c r="J1976"/>
  <c r="J1977"/>
  <c r="J1978"/>
  <c r="J1979"/>
  <c r="J1980"/>
  <c r="J1981"/>
  <c r="J1982"/>
  <c r="J1983"/>
  <c r="J1984"/>
  <c r="J1985"/>
  <c r="J1986"/>
  <c r="J1987"/>
  <c r="J1988"/>
  <c r="J1989"/>
  <c r="J1990"/>
  <c r="J1991"/>
  <c r="J1992"/>
  <c r="J1993"/>
  <c r="J1994"/>
  <c r="J1995"/>
  <c r="J1996"/>
  <c r="J1997"/>
  <c r="J1998"/>
  <c r="J1999"/>
  <c r="J2000"/>
  <c r="J2001"/>
  <c r="J2002"/>
  <c r="J2003"/>
  <c r="J2004"/>
  <c r="J2005"/>
  <c r="J2006"/>
  <c r="J2007"/>
  <c r="J2008"/>
  <c r="J2009"/>
  <c r="J2010"/>
  <c r="J2011"/>
  <c r="J2012"/>
  <c r="J2013"/>
  <c r="J2014"/>
  <c r="J2015"/>
  <c r="J2016"/>
  <c r="J2017"/>
  <c r="J2018"/>
  <c r="J2019"/>
  <c r="J2020"/>
  <c r="J2021"/>
  <c r="J2022"/>
  <c r="J2023"/>
  <c r="J2024"/>
  <c r="J2025"/>
  <c r="J2026"/>
  <c r="J2027"/>
  <c r="J2028"/>
  <c r="J2029"/>
  <c r="J2030"/>
  <c r="J2031"/>
  <c r="J2032"/>
  <c r="J2033"/>
  <c r="J2034"/>
  <c r="J2035"/>
  <c r="J2036"/>
  <c r="J2037"/>
  <c r="J2038"/>
  <c r="J2039"/>
  <c r="J2040"/>
  <c r="J2041"/>
  <c r="J2042"/>
  <c r="J2043"/>
  <c r="J2044"/>
  <c r="J2045"/>
  <c r="J2046"/>
  <c r="J2047"/>
  <c r="J2048"/>
  <c r="J2049"/>
  <c r="J2050"/>
  <c r="J2051"/>
  <c r="J2052"/>
  <c r="J2053"/>
  <c r="J2054"/>
  <c r="J2055"/>
  <c r="J2056"/>
  <c r="J2057"/>
  <c r="J2058"/>
  <c r="J2059"/>
  <c r="J2060"/>
  <c r="J2061"/>
  <c r="J2062"/>
  <c r="J2063"/>
  <c r="J2064"/>
  <c r="J2065"/>
  <c r="J2066"/>
  <c r="J2067"/>
  <c r="J2068"/>
  <c r="J2069"/>
  <c r="J2070"/>
  <c r="J2071"/>
  <c r="J2072"/>
  <c r="J2073"/>
  <c r="J2074"/>
  <c r="J2075"/>
  <c r="J2076"/>
  <c r="J2077"/>
  <c r="J2078"/>
  <c r="J2079"/>
  <c r="J2080"/>
  <c r="J2081"/>
  <c r="J2082"/>
  <c r="J2083"/>
  <c r="J2084"/>
  <c r="J2085"/>
  <c r="J2086"/>
  <c r="J2087"/>
  <c r="J2088"/>
  <c r="J2089"/>
  <c r="J2090"/>
  <c r="J2091"/>
  <c r="J2092"/>
  <c r="J2093"/>
  <c r="J2094"/>
  <c r="J2095"/>
  <c r="J2096"/>
  <c r="J2097"/>
  <c r="J2098"/>
  <c r="J2099"/>
  <c r="J2100"/>
  <c r="J2101"/>
  <c r="J2102"/>
  <c r="J2103"/>
  <c r="J2104"/>
  <c r="J2105"/>
  <c r="J2106"/>
  <c r="J2107"/>
  <c r="J2108"/>
  <c r="J2109"/>
  <c r="J2110"/>
  <c r="J2111"/>
  <c r="J2112"/>
  <c r="J2113"/>
  <c r="J2114"/>
  <c r="J2115"/>
  <c r="J2116"/>
  <c r="J2117"/>
  <c r="J2118"/>
  <c r="J2119"/>
  <c r="J2120"/>
  <c r="J2121"/>
  <c r="J2122"/>
  <c r="J2123"/>
  <c r="J2124"/>
  <c r="J2125"/>
  <c r="J2126"/>
  <c r="J2127"/>
  <c r="J2128"/>
  <c r="J2129"/>
  <c r="J2130"/>
  <c r="J2131"/>
  <c r="J2132"/>
  <c r="J2133"/>
  <c r="J2134"/>
  <c r="J2135"/>
  <c r="J2136"/>
  <c r="J2137"/>
  <c r="J2138"/>
  <c r="J2139"/>
  <c r="J2140"/>
  <c r="J2141"/>
  <c r="J2142"/>
  <c r="J2143"/>
  <c r="J2144"/>
  <c r="J2145"/>
  <c r="J2146"/>
  <c r="J2147"/>
  <c r="J2148"/>
  <c r="J2149"/>
  <c r="J2150"/>
  <c r="J2151"/>
  <c r="J2152"/>
  <c r="J2153"/>
  <c r="J2154"/>
  <c r="J2155"/>
  <c r="J2156"/>
  <c r="J2157"/>
  <c r="J2158"/>
  <c r="J2159"/>
  <c r="J2160"/>
  <c r="J2161"/>
  <c r="J2162"/>
  <c r="J2163"/>
  <c r="J2164"/>
  <c r="J2165"/>
  <c r="J2166"/>
  <c r="J2167"/>
  <c r="J2168"/>
  <c r="J2169"/>
  <c r="J2170"/>
  <c r="J2171"/>
  <c r="J2172"/>
  <c r="J2173"/>
  <c r="J2174"/>
  <c r="J2175"/>
  <c r="J2176"/>
  <c r="J2177"/>
  <c r="J2178"/>
  <c r="J2179"/>
  <c r="J2180"/>
  <c r="J2181"/>
  <c r="J2182"/>
  <c r="J2183"/>
  <c r="J2184"/>
  <c r="J2185"/>
  <c r="J2186"/>
  <c r="J2187"/>
  <c r="J2188"/>
  <c r="J2189"/>
  <c r="J2190"/>
  <c r="J2191"/>
  <c r="J2192"/>
  <c r="J2193"/>
  <c r="J2194"/>
  <c r="J2195"/>
  <c r="J2196"/>
  <c r="J2197"/>
  <c r="J2198"/>
  <c r="J2199"/>
  <c r="J2200"/>
  <c r="J2201"/>
  <c r="J2202"/>
  <c r="J2203"/>
  <c r="J2204"/>
  <c r="J2205"/>
  <c r="J2206"/>
  <c r="J2207"/>
  <c r="J2208"/>
  <c r="J2209"/>
  <c r="J2210"/>
  <c r="J2211"/>
  <c r="J2212"/>
  <c r="J2213"/>
  <c r="J2214"/>
  <c r="J2215"/>
  <c r="J2216"/>
  <c r="J2217"/>
  <c r="J2218"/>
  <c r="J2219"/>
  <c r="J2220"/>
  <c r="J2221"/>
  <c r="J2222"/>
  <c r="J2223"/>
  <c r="J2224"/>
  <c r="J2225"/>
  <c r="J2226"/>
  <c r="J2227"/>
  <c r="J2228"/>
  <c r="J2229"/>
  <c r="J2230"/>
  <c r="J2231"/>
  <c r="J2232"/>
  <c r="J2233"/>
  <c r="J2234"/>
  <c r="J2235"/>
  <c r="J2236"/>
  <c r="J2237"/>
  <c r="J2238"/>
  <c r="J2239"/>
  <c r="J2240"/>
  <c r="J2241"/>
  <c r="J2242"/>
  <c r="J2243"/>
  <c r="J2244"/>
  <c r="J2245"/>
  <c r="J2246"/>
  <c r="J2247"/>
  <c r="J2248"/>
  <c r="J2249"/>
  <c r="J2250"/>
  <c r="J2251"/>
  <c r="J2252"/>
  <c r="J2253"/>
  <c r="J2254"/>
  <c r="J2255"/>
  <c r="J2256"/>
  <c r="J2257"/>
  <c r="J2258"/>
  <c r="J2259"/>
  <c r="J2260"/>
  <c r="J2261"/>
  <c r="J2262"/>
  <c r="J2263"/>
  <c r="J2264"/>
  <c r="J2265"/>
  <c r="J2266"/>
  <c r="J2267"/>
  <c r="J2268"/>
  <c r="J2269"/>
  <c r="J2270"/>
  <c r="J2271"/>
  <c r="J2272"/>
  <c r="J2273"/>
  <c r="J2274"/>
  <c r="J2275"/>
  <c r="J2276"/>
  <c r="J2277"/>
  <c r="J2278"/>
  <c r="J2279"/>
  <c r="J2280"/>
  <c r="J2281"/>
  <c r="J2282"/>
  <c r="J2283"/>
  <c r="J2284"/>
  <c r="J2285"/>
  <c r="J2286"/>
  <c r="J2287"/>
  <c r="J2288"/>
  <c r="J2289"/>
  <c r="J2290"/>
  <c r="J2291"/>
  <c r="J2292"/>
  <c r="J2293"/>
  <c r="J2294"/>
  <c r="J2295"/>
  <c r="J2296"/>
  <c r="J2297"/>
  <c r="J2298"/>
  <c r="J2299"/>
  <c r="J2300"/>
  <c r="J2301"/>
  <c r="J2302"/>
  <c r="J2303"/>
  <c r="J2304"/>
  <c r="J2305"/>
  <c r="J2306"/>
  <c r="J2307"/>
  <c r="J2308"/>
  <c r="J2309"/>
  <c r="J2310"/>
  <c r="J2311"/>
  <c r="J2312"/>
  <c r="J2313"/>
  <c r="J2314"/>
  <c r="J2315"/>
  <c r="J2316"/>
  <c r="J2317"/>
  <c r="J2318"/>
  <c r="J2319"/>
  <c r="J2320"/>
  <c r="J2321"/>
  <c r="J2322"/>
  <c r="J2323"/>
  <c r="J2324"/>
  <c r="J2325"/>
  <c r="J2326"/>
  <c r="J2327"/>
  <c r="J2328"/>
  <c r="J2329"/>
  <c r="J2330"/>
  <c r="J2331"/>
  <c r="J2332"/>
  <c r="J2333"/>
  <c r="J2334"/>
  <c r="J2335"/>
  <c r="J2336"/>
  <c r="J2337"/>
  <c r="J2338"/>
  <c r="J2339"/>
  <c r="J2340"/>
  <c r="J2341"/>
  <c r="J2342"/>
  <c r="J2343"/>
  <c r="J2344"/>
  <c r="J2345"/>
  <c r="J2346"/>
  <c r="J2347"/>
  <c r="J2348"/>
  <c r="J2349"/>
  <c r="J2350"/>
  <c r="J2351"/>
  <c r="J2352"/>
  <c r="J2353"/>
  <c r="J2354"/>
  <c r="J2355"/>
  <c r="J2356"/>
  <c r="J2357"/>
  <c r="J2358"/>
  <c r="J2359"/>
  <c r="J2360"/>
  <c r="J2361"/>
  <c r="J2362"/>
  <c r="J2363"/>
  <c r="J2364"/>
  <c r="J2365"/>
  <c r="J2366"/>
  <c r="J2367"/>
  <c r="J2368"/>
  <c r="J2369"/>
  <c r="J2370"/>
  <c r="J2371"/>
  <c r="J2372"/>
  <c r="J2373"/>
  <c r="J2374"/>
  <c r="J2375"/>
  <c r="J2376"/>
  <c r="J2377"/>
  <c r="J2378"/>
  <c r="J2379"/>
  <c r="J2380"/>
  <c r="J2381"/>
  <c r="J2382"/>
  <c r="J2383"/>
  <c r="J2384"/>
  <c r="J2385"/>
  <c r="J2386"/>
  <c r="J2387"/>
  <c r="J2388"/>
  <c r="J2389"/>
  <c r="J2390"/>
  <c r="J2391"/>
  <c r="J2392"/>
  <c r="J2393"/>
  <c r="J2394"/>
  <c r="J2395"/>
  <c r="J2396"/>
  <c r="J2397"/>
  <c r="J2398"/>
  <c r="J2399"/>
  <c r="J2400"/>
  <c r="J2401"/>
  <c r="J2402"/>
  <c r="J2403"/>
  <c r="J2404"/>
  <c r="J2405"/>
  <c r="J2406"/>
  <c r="J2407"/>
  <c r="J2408"/>
  <c r="J2409"/>
  <c r="J2410"/>
  <c r="J2411"/>
  <c r="J2412"/>
  <c r="J2413"/>
  <c r="J2414"/>
  <c r="J2415"/>
  <c r="J2416"/>
  <c r="J2417"/>
  <c r="J2418"/>
  <c r="J2419"/>
  <c r="J2420"/>
  <c r="J2421"/>
  <c r="J2422"/>
  <c r="J2423"/>
  <c r="J2424"/>
  <c r="J2425"/>
  <c r="J2426"/>
  <c r="J2427"/>
  <c r="J2428"/>
  <c r="J2429"/>
  <c r="J2430"/>
  <c r="J2431"/>
  <c r="J2432"/>
  <c r="J2433"/>
  <c r="J2434"/>
  <c r="J2435"/>
  <c r="J2436"/>
  <c r="J2437"/>
  <c r="J2438"/>
  <c r="J2439"/>
  <c r="J2440"/>
  <c r="J2441"/>
  <c r="J2442"/>
  <c r="J2443"/>
  <c r="J2444"/>
  <c r="J2445"/>
  <c r="J2446"/>
  <c r="J2447"/>
  <c r="J2448"/>
  <c r="J2449"/>
  <c r="J2450"/>
  <c r="J2451"/>
  <c r="J2452"/>
  <c r="J2453"/>
  <c r="J2454"/>
  <c r="J2455"/>
  <c r="J2456"/>
  <c r="J2457"/>
  <c r="J2458"/>
  <c r="J2459"/>
  <c r="J2460"/>
  <c r="J2461"/>
  <c r="J2462"/>
  <c r="J2463"/>
  <c r="J2464"/>
  <c r="J2465"/>
  <c r="J2466"/>
  <c r="J2467"/>
  <c r="J2468"/>
  <c r="J2469"/>
  <c r="J2470"/>
  <c r="J2471"/>
  <c r="J2472"/>
  <c r="J2473"/>
  <c r="J2474"/>
  <c r="J2475"/>
  <c r="J2476"/>
  <c r="J2477"/>
  <c r="J2478"/>
  <c r="J2479"/>
  <c r="J2480"/>
  <c r="J2481"/>
  <c r="J2482"/>
  <c r="J2483"/>
  <c r="J2484"/>
  <c r="J2485"/>
  <c r="J2486"/>
  <c r="J2487"/>
  <c r="J2488"/>
  <c r="J2489"/>
  <c r="J2490"/>
  <c r="J2491"/>
  <c r="J2492"/>
  <c r="J2493"/>
  <c r="J2494"/>
  <c r="J2495"/>
  <c r="J2496"/>
  <c r="J2497"/>
  <c r="J2498"/>
  <c r="J2499"/>
  <c r="J2500"/>
  <c r="J2501"/>
  <c r="J2502"/>
  <c r="J2503"/>
  <c r="J2504"/>
  <c r="J2505"/>
  <c r="J2506"/>
  <c r="J2507"/>
  <c r="J2508"/>
  <c r="J2509"/>
  <c r="J2510"/>
  <c r="J2511"/>
  <c r="J2512"/>
  <c r="J2513"/>
  <c r="J2514"/>
  <c r="J2515"/>
  <c r="J2516"/>
  <c r="J2517"/>
  <c r="J2518"/>
  <c r="J2519"/>
  <c r="J2520"/>
  <c r="J2521"/>
  <c r="J2522"/>
  <c r="J2523"/>
  <c r="J2524"/>
  <c r="J2525"/>
  <c r="J2526"/>
  <c r="J2527"/>
  <c r="J2528"/>
  <c r="J2529"/>
  <c r="J2530"/>
  <c r="J2531"/>
  <c r="J2532"/>
  <c r="J2533"/>
  <c r="J2534"/>
  <c r="J2535"/>
  <c r="J2536"/>
  <c r="J2537"/>
  <c r="J2538"/>
  <c r="J2539"/>
  <c r="J2540"/>
  <c r="J2541"/>
  <c r="J2542"/>
  <c r="J2543"/>
  <c r="J2544"/>
  <c r="J2545"/>
  <c r="J2546"/>
  <c r="J2547"/>
  <c r="J2548"/>
  <c r="J2549"/>
  <c r="J2550"/>
  <c r="J2551"/>
  <c r="J2552"/>
  <c r="J2553"/>
  <c r="J2554"/>
  <c r="J2555"/>
  <c r="J2556"/>
  <c r="J2557"/>
  <c r="J2558"/>
  <c r="J2559"/>
  <c r="J2560"/>
  <c r="J2561"/>
  <c r="J2562"/>
  <c r="J2563"/>
  <c r="J2564"/>
  <c r="J2565"/>
  <c r="J2566"/>
  <c r="J2567"/>
  <c r="J2568"/>
  <c r="J2569"/>
  <c r="J2570"/>
  <c r="J2571"/>
  <c r="J2572"/>
  <c r="J2573"/>
  <c r="J2574"/>
  <c r="J2575"/>
  <c r="J2576"/>
  <c r="J2577"/>
  <c r="J2578"/>
  <c r="J2579"/>
  <c r="J2580"/>
  <c r="J2581"/>
  <c r="J2582"/>
  <c r="J2583"/>
  <c r="J2584"/>
  <c r="J2585"/>
  <c r="J2586"/>
  <c r="J2587"/>
  <c r="J2588"/>
  <c r="J2589"/>
  <c r="J2590"/>
  <c r="J2591"/>
  <c r="J2592"/>
  <c r="J2593"/>
  <c r="J2594"/>
  <c r="J2595"/>
  <c r="J2596"/>
  <c r="J2597"/>
  <c r="J2598"/>
  <c r="J2599"/>
  <c r="J2600"/>
  <c r="J2601"/>
  <c r="J2602"/>
  <c r="J2603"/>
  <c r="J2604"/>
  <c r="J2605"/>
  <c r="J2606"/>
  <c r="J2607"/>
  <c r="J2608"/>
  <c r="J2609"/>
  <c r="J2610"/>
  <c r="J2611"/>
  <c r="J2612"/>
  <c r="J2613"/>
  <c r="J2614"/>
  <c r="J2615"/>
  <c r="J2616"/>
  <c r="J2617"/>
  <c r="J2618"/>
  <c r="J2619"/>
  <c r="J2620"/>
  <c r="J2621"/>
  <c r="J2622"/>
  <c r="J2623"/>
  <c r="J2624"/>
  <c r="J2625"/>
  <c r="J2626"/>
  <c r="J2627"/>
  <c r="J2628"/>
  <c r="J2629"/>
  <c r="J2630"/>
  <c r="J2631"/>
  <c r="J2632"/>
  <c r="J2633"/>
  <c r="J2634"/>
  <c r="J2635"/>
  <c r="J2636"/>
  <c r="J2637"/>
  <c r="J2638"/>
  <c r="J2639"/>
  <c r="J2640"/>
  <c r="J2641"/>
  <c r="J2642"/>
  <c r="J2643"/>
  <c r="J2644"/>
  <c r="J2645"/>
  <c r="J2646"/>
  <c r="J2647"/>
  <c r="J2648"/>
  <c r="J2649"/>
  <c r="J2650"/>
  <c r="J2651"/>
  <c r="J2652"/>
  <c r="J2653"/>
  <c r="J2654"/>
  <c r="J2655"/>
  <c r="J2656"/>
  <c r="J2657"/>
  <c r="J2658"/>
  <c r="J2659"/>
  <c r="J2660"/>
  <c r="J2661"/>
  <c r="J2662"/>
  <c r="J2663"/>
  <c r="J2664"/>
  <c r="J2665"/>
  <c r="J2666"/>
  <c r="J2667"/>
  <c r="J2668"/>
  <c r="J2669"/>
  <c r="J2670"/>
  <c r="J2671"/>
  <c r="J2672"/>
  <c r="J2673"/>
  <c r="J2674"/>
  <c r="J2675"/>
  <c r="J2676"/>
  <c r="J2677"/>
  <c r="J2678"/>
  <c r="J2679"/>
  <c r="J2680"/>
  <c r="J2681"/>
  <c r="J2682"/>
  <c r="J2683"/>
  <c r="J2684"/>
  <c r="J2685"/>
  <c r="J2686"/>
  <c r="J2687"/>
  <c r="J2688"/>
  <c r="J2689"/>
  <c r="J2690"/>
  <c r="J2691"/>
  <c r="J2692"/>
  <c r="J2693"/>
  <c r="J2694"/>
  <c r="J2695"/>
  <c r="J2696"/>
  <c r="J2697"/>
  <c r="J2698"/>
  <c r="J2699"/>
  <c r="J2700"/>
  <c r="J2701"/>
  <c r="J2702"/>
  <c r="J2703"/>
  <c r="J2704"/>
  <c r="J2705"/>
  <c r="J2706"/>
  <c r="J2707"/>
  <c r="J2708"/>
  <c r="J2709"/>
  <c r="J2710"/>
  <c r="J2711"/>
  <c r="J2712"/>
  <c r="J2713"/>
  <c r="J2714"/>
  <c r="J2715"/>
  <c r="J2716"/>
  <c r="J2717"/>
  <c r="J2718"/>
  <c r="J2719"/>
  <c r="J2720"/>
  <c r="J2721"/>
  <c r="J2722"/>
  <c r="J2723"/>
  <c r="J2724"/>
  <c r="J2725"/>
  <c r="J2726"/>
  <c r="J2727"/>
  <c r="J2728"/>
  <c r="J2729"/>
  <c r="J2730"/>
  <c r="J2731"/>
  <c r="J2732"/>
  <c r="J2733"/>
  <c r="J2734"/>
  <c r="J2735"/>
  <c r="J2736"/>
  <c r="J2737"/>
  <c r="J2738"/>
  <c r="J2739"/>
  <c r="J2740"/>
  <c r="J2741"/>
  <c r="J2742"/>
  <c r="J2743"/>
  <c r="J2744"/>
  <c r="J2745"/>
  <c r="J2746"/>
  <c r="J2747"/>
  <c r="J2748"/>
  <c r="J2749"/>
  <c r="J2750"/>
  <c r="J2751"/>
  <c r="J2752"/>
  <c r="J2753"/>
  <c r="J2754"/>
  <c r="J2755"/>
  <c r="J2756"/>
  <c r="J2757"/>
  <c r="J2758"/>
  <c r="J2759"/>
  <c r="J2760"/>
  <c r="J2761"/>
  <c r="J2762"/>
  <c r="J2763"/>
  <c r="J2764"/>
  <c r="J2765"/>
  <c r="J2766"/>
  <c r="J2767"/>
  <c r="J2768"/>
  <c r="J2769"/>
  <c r="J2770"/>
  <c r="J2771"/>
  <c r="J2772"/>
  <c r="J2773"/>
  <c r="J2774"/>
  <c r="J2775"/>
  <c r="J2776"/>
  <c r="J2777"/>
  <c r="J2778"/>
  <c r="J2779"/>
  <c r="J2780"/>
  <c r="J2781"/>
  <c r="J2782"/>
  <c r="J2783"/>
  <c r="J2784"/>
  <c r="J2785"/>
  <c r="J2786"/>
  <c r="J2787"/>
  <c r="J2788"/>
  <c r="J2789"/>
  <c r="J2790"/>
  <c r="J2791"/>
  <c r="J2792"/>
  <c r="J2793"/>
  <c r="J2794"/>
  <c r="J2795"/>
  <c r="J2796"/>
  <c r="J2797"/>
  <c r="J2798"/>
  <c r="J2799"/>
  <c r="J2800"/>
  <c r="J2801"/>
  <c r="J2802"/>
  <c r="J2803"/>
  <c r="J2804"/>
  <c r="J2805"/>
  <c r="J2806"/>
  <c r="J2807"/>
  <c r="J2808"/>
  <c r="J2809"/>
  <c r="J2810"/>
  <c r="J2811"/>
  <c r="J2812"/>
  <c r="J2813"/>
  <c r="J2814"/>
  <c r="J2815"/>
  <c r="J2816"/>
  <c r="J2817"/>
  <c r="J2818"/>
  <c r="J2819"/>
  <c r="J2820"/>
  <c r="J2821"/>
  <c r="J2822"/>
  <c r="J2823"/>
  <c r="J2824"/>
  <c r="J2825"/>
  <c r="J2826"/>
  <c r="J2827"/>
  <c r="J2828"/>
  <c r="J2829"/>
  <c r="J2830"/>
  <c r="J2831"/>
  <c r="J2832"/>
  <c r="J2833"/>
  <c r="J2834"/>
  <c r="J2835"/>
  <c r="J2836"/>
  <c r="J2837"/>
  <c r="J2838"/>
  <c r="J2839"/>
  <c r="J2840"/>
  <c r="J2841"/>
  <c r="J2842"/>
  <c r="J2843"/>
  <c r="J2844"/>
  <c r="J2845"/>
  <c r="J2846"/>
  <c r="J2847"/>
  <c r="J2848"/>
  <c r="J2849"/>
  <c r="J2850"/>
  <c r="J2851"/>
  <c r="J2852"/>
  <c r="J2853"/>
  <c r="J2854"/>
  <c r="J2855"/>
  <c r="J2856"/>
  <c r="J2857"/>
  <c r="J2858"/>
  <c r="J2859"/>
  <c r="J2860"/>
  <c r="J2861"/>
  <c r="J2862"/>
  <c r="J2863"/>
  <c r="J2864"/>
  <c r="J2865"/>
  <c r="J2866"/>
  <c r="J2867"/>
  <c r="J2868"/>
  <c r="J2869"/>
  <c r="J2870"/>
  <c r="J2871"/>
  <c r="J2872"/>
  <c r="J2873"/>
  <c r="J2874"/>
  <c r="J2875"/>
  <c r="J2876"/>
  <c r="J2877"/>
  <c r="J2878"/>
  <c r="J2879"/>
  <c r="J2880"/>
  <c r="J2881"/>
  <c r="J2882"/>
  <c r="J2883"/>
  <c r="J2884"/>
  <c r="J2885"/>
  <c r="J2886"/>
  <c r="J2887"/>
  <c r="J2888"/>
  <c r="J2889"/>
  <c r="J2890"/>
  <c r="J2891"/>
  <c r="J2892"/>
  <c r="J2893"/>
  <c r="J2894"/>
  <c r="J2895"/>
  <c r="J2896"/>
  <c r="J2897"/>
  <c r="J2898"/>
  <c r="J2899"/>
  <c r="J2900"/>
  <c r="J2901"/>
  <c r="J2902"/>
  <c r="J2903"/>
  <c r="J2904"/>
  <c r="J2905"/>
  <c r="J2906"/>
  <c r="J2907"/>
  <c r="J2908"/>
  <c r="J2909"/>
  <c r="J2910"/>
  <c r="J2911"/>
  <c r="J2912"/>
  <c r="J2913"/>
  <c r="J2914"/>
  <c r="J2915"/>
  <c r="J2916"/>
  <c r="J2917"/>
  <c r="J2918"/>
  <c r="J2919"/>
  <c r="J2920"/>
  <c r="J2921"/>
  <c r="J2922"/>
  <c r="J2923"/>
  <c r="J2924"/>
  <c r="J2925"/>
  <c r="J2926"/>
  <c r="J2927"/>
  <c r="J2928"/>
  <c r="J2929"/>
  <c r="J2930"/>
  <c r="J2931"/>
  <c r="J2932"/>
  <c r="J2933"/>
  <c r="J2934"/>
  <c r="J2935"/>
  <c r="J2936"/>
  <c r="J2937"/>
  <c r="J2938"/>
  <c r="J2939"/>
  <c r="J2940"/>
  <c r="J2941"/>
  <c r="J2942"/>
  <c r="J2943"/>
  <c r="J2944"/>
  <c r="J2945"/>
  <c r="J2946"/>
  <c r="J2947"/>
  <c r="J2948"/>
  <c r="J2949"/>
  <c r="J2950"/>
  <c r="J2951"/>
  <c r="J2952"/>
  <c r="J2953"/>
  <c r="J2954"/>
  <c r="J2955"/>
  <c r="J2956"/>
  <c r="J2957"/>
  <c r="J2958"/>
  <c r="J2959"/>
  <c r="J2960"/>
  <c r="J2961"/>
  <c r="J2962"/>
  <c r="J2963"/>
  <c r="J2964"/>
  <c r="J2965"/>
  <c r="J2966"/>
  <c r="J2967"/>
  <c r="J2968"/>
  <c r="J2969"/>
  <c r="J2970"/>
  <c r="J2971"/>
  <c r="J2972"/>
  <c r="J2973"/>
  <c r="J2974"/>
  <c r="J2975"/>
  <c r="J2976"/>
  <c r="J2977"/>
  <c r="J2978"/>
  <c r="J2979"/>
  <c r="J2980"/>
  <c r="J2981"/>
  <c r="J2982"/>
  <c r="J2983"/>
  <c r="J2984"/>
  <c r="J2985"/>
  <c r="J2986"/>
  <c r="J2987"/>
  <c r="J2988"/>
  <c r="J2989"/>
  <c r="J2990"/>
  <c r="J2991"/>
  <c r="J2992"/>
  <c r="J2993"/>
  <c r="J2994"/>
  <c r="J2995"/>
  <c r="J2996"/>
  <c r="J2997"/>
  <c r="J2998"/>
  <c r="J2999"/>
  <c r="J3000"/>
  <c r="J3001"/>
  <c r="J3002"/>
  <c r="J3003"/>
  <c r="J3004"/>
  <c r="J3005"/>
  <c r="J3006"/>
  <c r="J3007"/>
  <c r="J3008"/>
  <c r="J3009"/>
  <c r="J3010"/>
  <c r="J3011"/>
  <c r="J3012"/>
  <c r="J3013"/>
  <c r="J3014"/>
  <c r="J3015"/>
  <c r="J3016"/>
  <c r="J3017"/>
  <c r="J3018"/>
  <c r="J3019"/>
  <c r="J3020"/>
  <c r="J3021"/>
  <c r="J3022"/>
  <c r="J3023"/>
  <c r="J3024"/>
  <c r="J3025"/>
  <c r="J3026"/>
  <c r="J3027"/>
  <c r="J3028"/>
  <c r="J3029"/>
  <c r="J3030"/>
  <c r="J3031"/>
  <c r="J3032"/>
  <c r="J3033"/>
  <c r="J3034"/>
  <c r="J3035"/>
  <c r="J3036"/>
  <c r="J3037"/>
  <c r="J3038"/>
  <c r="J3039"/>
  <c r="J3040"/>
  <c r="J3041"/>
  <c r="J3042"/>
  <c r="J3043"/>
  <c r="J3044"/>
  <c r="J3045"/>
  <c r="J3046"/>
  <c r="J3047"/>
  <c r="J3048"/>
  <c r="J3049"/>
  <c r="J3050"/>
  <c r="J3051"/>
  <c r="J3052"/>
  <c r="J3053"/>
  <c r="J3054"/>
  <c r="J3055"/>
  <c r="J3056"/>
  <c r="J3057"/>
  <c r="J3058"/>
  <c r="J3059"/>
  <c r="J3060"/>
  <c r="J3061"/>
  <c r="J3062"/>
  <c r="J3063"/>
  <c r="J3064"/>
  <c r="J3065"/>
  <c r="J3066"/>
  <c r="J3067"/>
  <c r="J3068"/>
  <c r="J3069"/>
  <c r="J3070"/>
  <c r="J3071"/>
  <c r="J3072"/>
  <c r="J3073"/>
  <c r="J3074"/>
  <c r="J3075"/>
  <c r="J3076"/>
  <c r="J3077"/>
  <c r="J3078"/>
  <c r="J3079"/>
  <c r="J3080"/>
  <c r="J3081"/>
  <c r="J3082"/>
  <c r="J3083"/>
  <c r="J3084"/>
  <c r="J3085"/>
  <c r="J3086"/>
  <c r="J3087"/>
  <c r="J3088"/>
  <c r="J3089"/>
  <c r="J3090"/>
  <c r="J3091"/>
  <c r="J3092"/>
  <c r="J3093"/>
  <c r="J3094"/>
  <c r="J3095"/>
  <c r="J3096"/>
  <c r="J3097"/>
  <c r="J3098"/>
  <c r="J3099"/>
  <c r="J3100"/>
  <c r="J3101"/>
  <c r="J3102"/>
  <c r="J3103"/>
  <c r="J3104"/>
  <c r="J3105"/>
  <c r="J3106"/>
  <c r="J3107"/>
  <c r="J3108"/>
  <c r="J3109"/>
  <c r="J3110"/>
  <c r="J3111"/>
  <c r="J3112"/>
  <c r="J3113"/>
  <c r="J3114"/>
  <c r="J3115"/>
  <c r="J3116"/>
  <c r="J3117"/>
  <c r="J3118"/>
  <c r="J3119"/>
  <c r="J3120"/>
  <c r="J3121"/>
  <c r="J3122"/>
  <c r="J3123"/>
  <c r="J3124"/>
  <c r="J3125"/>
  <c r="J3126"/>
  <c r="J3127"/>
  <c r="J3128"/>
  <c r="J3129"/>
  <c r="J3130"/>
  <c r="J3131"/>
  <c r="J3132"/>
  <c r="J3133"/>
  <c r="J3134"/>
  <c r="J3135"/>
  <c r="J3136"/>
  <c r="J3137"/>
  <c r="J3138"/>
  <c r="J3139"/>
  <c r="J3140"/>
  <c r="J3141"/>
  <c r="J3142"/>
  <c r="J3143"/>
  <c r="J3144"/>
  <c r="J3145"/>
  <c r="J3146"/>
  <c r="J3147"/>
  <c r="J3148"/>
  <c r="J3149"/>
  <c r="J3150"/>
  <c r="J3151"/>
  <c r="J3152"/>
  <c r="J3153"/>
  <c r="J3154"/>
  <c r="J3155"/>
  <c r="J3156"/>
  <c r="J3157"/>
  <c r="J3158"/>
  <c r="J3159"/>
  <c r="J3160"/>
  <c r="J3161"/>
  <c r="J3162"/>
  <c r="J3163"/>
  <c r="J3164"/>
  <c r="J3165"/>
  <c r="J3166"/>
  <c r="J3167"/>
  <c r="J3168"/>
  <c r="J3169"/>
  <c r="J3170"/>
  <c r="J3171"/>
  <c r="J3172"/>
  <c r="J3173"/>
  <c r="J3174"/>
  <c r="J3175"/>
  <c r="J3176"/>
  <c r="J3177"/>
  <c r="J3178"/>
  <c r="J3179"/>
  <c r="J3180"/>
  <c r="J3181"/>
  <c r="J3182"/>
  <c r="J3183"/>
  <c r="J3184"/>
  <c r="J3185"/>
  <c r="J3186"/>
  <c r="J3187"/>
  <c r="J3188"/>
  <c r="J3189"/>
  <c r="J3190"/>
  <c r="J3191"/>
  <c r="J3192"/>
  <c r="J3193"/>
  <c r="J3194"/>
  <c r="J3195"/>
  <c r="J3196"/>
  <c r="J3197"/>
  <c r="J3198"/>
  <c r="J3199"/>
  <c r="J3200"/>
  <c r="J3201"/>
  <c r="J3202"/>
  <c r="J3203"/>
  <c r="J3204"/>
  <c r="J3205"/>
  <c r="J3206"/>
  <c r="J3207"/>
  <c r="J3208"/>
  <c r="J3209"/>
  <c r="J3210"/>
  <c r="J3211"/>
  <c r="J3212"/>
  <c r="J3213"/>
  <c r="J3214"/>
  <c r="J3215"/>
  <c r="J3216"/>
  <c r="J3217"/>
  <c r="J3218"/>
  <c r="J3219"/>
  <c r="J3220"/>
  <c r="J3221"/>
  <c r="J3222"/>
  <c r="J3223"/>
  <c r="J3224"/>
  <c r="J3225"/>
  <c r="J3226"/>
  <c r="J3227"/>
  <c r="J3228"/>
  <c r="J3229"/>
  <c r="J3230"/>
  <c r="J3231"/>
  <c r="J3232"/>
  <c r="J3233"/>
  <c r="J3234"/>
  <c r="J3235"/>
  <c r="J3236"/>
  <c r="J3237"/>
  <c r="J3238"/>
  <c r="J3239"/>
  <c r="J3240"/>
  <c r="J3241"/>
  <c r="J3242"/>
  <c r="J3243"/>
  <c r="J3244"/>
  <c r="J3245"/>
  <c r="J3246"/>
  <c r="J3247"/>
  <c r="J3248"/>
  <c r="J3249"/>
  <c r="J3250"/>
  <c r="J3251"/>
  <c r="J3252"/>
  <c r="J3253"/>
  <c r="J3254"/>
  <c r="J3255"/>
  <c r="J3256"/>
  <c r="J3257"/>
  <c r="J3258"/>
  <c r="J3259"/>
  <c r="J3260"/>
  <c r="J3261"/>
  <c r="J3262"/>
  <c r="J3263"/>
  <c r="J3264"/>
  <c r="J3265"/>
  <c r="J3266"/>
  <c r="J3267"/>
  <c r="J3268"/>
  <c r="J3269"/>
  <c r="J3270"/>
  <c r="J3271"/>
  <c r="J3272"/>
  <c r="J3273"/>
  <c r="J3274"/>
  <c r="J3275"/>
  <c r="J3276"/>
  <c r="J3277"/>
  <c r="J3278"/>
  <c r="J3279"/>
  <c r="J3280"/>
  <c r="J3281"/>
  <c r="J3282"/>
  <c r="J3283"/>
  <c r="J3284"/>
  <c r="J3285"/>
  <c r="J3286"/>
  <c r="J3287"/>
  <c r="J3288"/>
  <c r="J3289"/>
  <c r="J3290"/>
  <c r="J3291"/>
  <c r="J3292"/>
  <c r="J3293"/>
  <c r="J3294"/>
  <c r="J3295"/>
  <c r="J3296"/>
  <c r="J3297"/>
  <c r="J3298"/>
  <c r="J3299"/>
  <c r="J3300"/>
  <c r="J3301"/>
  <c r="J3302"/>
  <c r="J3303"/>
  <c r="J3304"/>
  <c r="J3305"/>
  <c r="J3306"/>
  <c r="J3307"/>
  <c r="J3308"/>
  <c r="J3309"/>
  <c r="J3310"/>
  <c r="J3311"/>
  <c r="J3312"/>
  <c r="J3313"/>
  <c r="J3314"/>
  <c r="J3315"/>
  <c r="J3316"/>
  <c r="J3317"/>
  <c r="J3318"/>
  <c r="J3319"/>
  <c r="J3320"/>
  <c r="J3321"/>
  <c r="J3322"/>
  <c r="J3323"/>
  <c r="J3324"/>
  <c r="J3325"/>
  <c r="J3326"/>
  <c r="J3327"/>
  <c r="J3328"/>
  <c r="J3329"/>
  <c r="J3330"/>
  <c r="J3331"/>
  <c r="J3332"/>
  <c r="J3333"/>
  <c r="J3334"/>
  <c r="J3335"/>
  <c r="J3336"/>
  <c r="J3337"/>
  <c r="J3338"/>
  <c r="J3339"/>
  <c r="J3340"/>
  <c r="J3341"/>
  <c r="J3342"/>
  <c r="J3343"/>
  <c r="J3344"/>
  <c r="J3345"/>
  <c r="J3346"/>
  <c r="J3347"/>
  <c r="J3348"/>
  <c r="J3349"/>
  <c r="J3350"/>
  <c r="J3351"/>
  <c r="J3352"/>
  <c r="J3353"/>
  <c r="J3354"/>
  <c r="J3355"/>
  <c r="J3356"/>
  <c r="J3357"/>
  <c r="J3358"/>
  <c r="J3359"/>
  <c r="J3360"/>
  <c r="J3361"/>
  <c r="J3362"/>
  <c r="J3363"/>
  <c r="J3364"/>
  <c r="J3365"/>
  <c r="J3366"/>
  <c r="J3367"/>
  <c r="J3368"/>
  <c r="J3369"/>
  <c r="J3370"/>
  <c r="J3371"/>
  <c r="J3372"/>
  <c r="J3373"/>
  <c r="J3374"/>
  <c r="J3375"/>
  <c r="J3376"/>
  <c r="J3377"/>
  <c r="J3378"/>
  <c r="J3379"/>
  <c r="J3380"/>
  <c r="J3381"/>
  <c r="J3382"/>
  <c r="J3383"/>
  <c r="J3384"/>
  <c r="J3385"/>
  <c r="J3386"/>
  <c r="J3387"/>
  <c r="J3388"/>
  <c r="J3389"/>
  <c r="J3390"/>
  <c r="J3391"/>
  <c r="J3392"/>
  <c r="J3393"/>
  <c r="J3394"/>
  <c r="J3395"/>
  <c r="J3396"/>
  <c r="J3397"/>
  <c r="J3398"/>
  <c r="J3399"/>
  <c r="J3400"/>
  <c r="J3401"/>
  <c r="J3402"/>
  <c r="J3403"/>
  <c r="J3404"/>
  <c r="J3405"/>
  <c r="J3406"/>
  <c r="J3407"/>
  <c r="J3408"/>
  <c r="J3409"/>
  <c r="J3410"/>
  <c r="J3411"/>
  <c r="J3412"/>
  <c r="J3413"/>
  <c r="J3414"/>
  <c r="J3415"/>
  <c r="J3416"/>
  <c r="J3417"/>
  <c r="J3418"/>
  <c r="J3419"/>
  <c r="J3420"/>
  <c r="J3421"/>
  <c r="J3422"/>
  <c r="J3423"/>
  <c r="J3424"/>
  <c r="J3425"/>
  <c r="J3426"/>
  <c r="J3427"/>
  <c r="J3428"/>
  <c r="J3429"/>
  <c r="J3430"/>
  <c r="J3431"/>
  <c r="J3432"/>
  <c r="J3433"/>
  <c r="J3434"/>
  <c r="J3435"/>
  <c r="J3436"/>
  <c r="J3437"/>
  <c r="J3438"/>
  <c r="J3439"/>
  <c r="J3440"/>
  <c r="J3441"/>
  <c r="J3442"/>
  <c r="J3443"/>
  <c r="J3444"/>
  <c r="J3445"/>
  <c r="J3446"/>
  <c r="J3447"/>
  <c r="J3448"/>
  <c r="J3449"/>
  <c r="J3450"/>
  <c r="J3451"/>
  <c r="J3452"/>
  <c r="J3453"/>
  <c r="J3454"/>
  <c r="J3455"/>
  <c r="J3456"/>
  <c r="J3457"/>
  <c r="J3458"/>
  <c r="J3459"/>
  <c r="J3460"/>
  <c r="J3461"/>
  <c r="J3462"/>
  <c r="J3463"/>
  <c r="J3464"/>
  <c r="J3465"/>
  <c r="J3466"/>
  <c r="J3467"/>
  <c r="J3468"/>
  <c r="J3469"/>
  <c r="J3470"/>
  <c r="J3471"/>
  <c r="J3472"/>
  <c r="J3473"/>
  <c r="J3474"/>
  <c r="J3475"/>
  <c r="J3476"/>
  <c r="J3477"/>
  <c r="J3478"/>
  <c r="J3479"/>
  <c r="J3480"/>
  <c r="J3481"/>
  <c r="J3482"/>
  <c r="J3483"/>
  <c r="J3484"/>
  <c r="J3485"/>
  <c r="J3486"/>
  <c r="J3487"/>
  <c r="J3488"/>
  <c r="J3489"/>
  <c r="J3490"/>
  <c r="J3491"/>
  <c r="J3492"/>
  <c r="J3493"/>
  <c r="J3494"/>
  <c r="J3495"/>
  <c r="J3496"/>
  <c r="J3497"/>
  <c r="J3498"/>
  <c r="J3499"/>
  <c r="J3500"/>
  <c r="J3501"/>
  <c r="J3502"/>
  <c r="J3503"/>
  <c r="J3504"/>
  <c r="J3505"/>
  <c r="J3506"/>
  <c r="J3507"/>
  <c r="J3508"/>
  <c r="J3509"/>
  <c r="J3510"/>
  <c r="J3511"/>
  <c r="J3512"/>
  <c r="J3513"/>
  <c r="J3514"/>
  <c r="J3515"/>
  <c r="J3516"/>
  <c r="J3517"/>
  <c r="J3518"/>
  <c r="J3519"/>
  <c r="J3520"/>
  <c r="J3521"/>
  <c r="J3522"/>
  <c r="J3523"/>
  <c r="J3524"/>
  <c r="J3525"/>
  <c r="J3526"/>
  <c r="J3527"/>
  <c r="J3528"/>
  <c r="J3529"/>
  <c r="J3530"/>
  <c r="J3531"/>
  <c r="J3532"/>
  <c r="J3533"/>
  <c r="J3534"/>
  <c r="J3535"/>
  <c r="J3536"/>
  <c r="J3537"/>
  <c r="J3538"/>
  <c r="J3539"/>
  <c r="J3540"/>
  <c r="J3541"/>
  <c r="J3542"/>
  <c r="J3543"/>
  <c r="J3544"/>
  <c r="J3545"/>
  <c r="J3546"/>
  <c r="J3547"/>
  <c r="J3548"/>
  <c r="J3549"/>
  <c r="J3550"/>
  <c r="J3551"/>
  <c r="J3552"/>
  <c r="J3553"/>
  <c r="J3554"/>
  <c r="J3555"/>
  <c r="J3556"/>
  <c r="J3557"/>
  <c r="J3558"/>
  <c r="J3559"/>
  <c r="J3560"/>
  <c r="J3561"/>
  <c r="J3562"/>
  <c r="J3563"/>
  <c r="J3564"/>
  <c r="J3565"/>
  <c r="J3566"/>
  <c r="J3567"/>
  <c r="J3568"/>
  <c r="J3569"/>
  <c r="J3570"/>
  <c r="J3571"/>
  <c r="J3572"/>
  <c r="J3573"/>
  <c r="J3574"/>
  <c r="J3575"/>
  <c r="J3576"/>
  <c r="J3577"/>
  <c r="J3578"/>
  <c r="J3579"/>
  <c r="J3580"/>
  <c r="J3581"/>
  <c r="J3582"/>
  <c r="J3583"/>
  <c r="J3584"/>
  <c r="J3585"/>
  <c r="J3586"/>
  <c r="J3587"/>
  <c r="J3588"/>
  <c r="J3589"/>
  <c r="J3590"/>
  <c r="J3591"/>
  <c r="J3592"/>
  <c r="J3593"/>
  <c r="J3594"/>
  <c r="J3595"/>
  <c r="J3596"/>
  <c r="J3597"/>
  <c r="J3598"/>
  <c r="J3599"/>
  <c r="J3600"/>
  <c r="J3601"/>
  <c r="J3602"/>
  <c r="J3603"/>
  <c r="J3604"/>
  <c r="J3605"/>
  <c r="J3606"/>
  <c r="J3607"/>
  <c r="J3608"/>
  <c r="J3609"/>
  <c r="J3610"/>
  <c r="J3611"/>
  <c r="J3612"/>
  <c r="J3613"/>
  <c r="J3614"/>
  <c r="J3615"/>
  <c r="J3616"/>
  <c r="J3617"/>
  <c r="J3618"/>
  <c r="J3619"/>
  <c r="J3620"/>
  <c r="J3621"/>
  <c r="J3622"/>
  <c r="J3623"/>
  <c r="J3624"/>
  <c r="J3625"/>
  <c r="J3626"/>
  <c r="J3627"/>
  <c r="J3628"/>
  <c r="J3629"/>
  <c r="J3630"/>
  <c r="J3631"/>
  <c r="J3632"/>
  <c r="J3633"/>
  <c r="J3634"/>
  <c r="J3635"/>
  <c r="J3636"/>
  <c r="J3637"/>
  <c r="J3638"/>
  <c r="J3639"/>
  <c r="J3640"/>
  <c r="J3641"/>
  <c r="J3642"/>
  <c r="J3643"/>
  <c r="J3644"/>
  <c r="J3645"/>
  <c r="J3646"/>
  <c r="J3647"/>
  <c r="J3648"/>
  <c r="J3649"/>
  <c r="J3650"/>
  <c r="J3651"/>
  <c r="J3652"/>
  <c r="J3653"/>
  <c r="J3654"/>
  <c r="J3655"/>
  <c r="J3656"/>
  <c r="J3657"/>
  <c r="J3658"/>
  <c r="J3659"/>
  <c r="J3660"/>
  <c r="J3661"/>
  <c r="J3662"/>
  <c r="J3663"/>
  <c r="J3664"/>
  <c r="J3665"/>
  <c r="J3666"/>
  <c r="J3667"/>
  <c r="J3668"/>
  <c r="J3669"/>
  <c r="J3670"/>
  <c r="J3671"/>
  <c r="J3672"/>
  <c r="J3673"/>
  <c r="J3674"/>
  <c r="J3675"/>
  <c r="J3676"/>
  <c r="J3677"/>
  <c r="J3678"/>
  <c r="J3679"/>
  <c r="J3680"/>
  <c r="J3681"/>
  <c r="J3682"/>
  <c r="J3683"/>
  <c r="J3684"/>
  <c r="J3685"/>
  <c r="J3686"/>
  <c r="J3687"/>
  <c r="J3688"/>
  <c r="J3689"/>
  <c r="J3690"/>
  <c r="J3691"/>
  <c r="J3692"/>
  <c r="J3693"/>
  <c r="J3694"/>
  <c r="J3695"/>
  <c r="J3696"/>
  <c r="J3697"/>
  <c r="J3698"/>
  <c r="J3699"/>
  <c r="J3700"/>
  <c r="J3701"/>
  <c r="J3702"/>
  <c r="J3703"/>
  <c r="J3704"/>
  <c r="J3705"/>
  <c r="J3706"/>
  <c r="J3707"/>
  <c r="J3708"/>
  <c r="J3709"/>
  <c r="J3710"/>
  <c r="J3711"/>
  <c r="J3712"/>
  <c r="J3713"/>
  <c r="J3714"/>
  <c r="J3715"/>
  <c r="J3716"/>
  <c r="J3717"/>
  <c r="J3718"/>
  <c r="J3719"/>
  <c r="J3720"/>
  <c r="J3721"/>
  <c r="J3722"/>
  <c r="J3723"/>
  <c r="J3724"/>
  <c r="J3725"/>
  <c r="J3726"/>
  <c r="J3727"/>
  <c r="J3728"/>
  <c r="J3729"/>
  <c r="J3730"/>
  <c r="J3731"/>
  <c r="J3732"/>
  <c r="J3733"/>
  <c r="J3734"/>
  <c r="J3735"/>
  <c r="J3736"/>
  <c r="J3737"/>
  <c r="J3738"/>
  <c r="J3739"/>
  <c r="J3740"/>
  <c r="J3741"/>
  <c r="J3742"/>
  <c r="J3743"/>
  <c r="J3744"/>
  <c r="J3745"/>
  <c r="J3746"/>
  <c r="J3747"/>
  <c r="J3748"/>
  <c r="J3749"/>
  <c r="J3750"/>
  <c r="J3751"/>
  <c r="J3752"/>
  <c r="J3753"/>
  <c r="J3754"/>
  <c r="J3755"/>
  <c r="J3756"/>
  <c r="J3757"/>
  <c r="J3758"/>
  <c r="J3759"/>
  <c r="J3760"/>
  <c r="J3761"/>
  <c r="J3762"/>
  <c r="J3763"/>
  <c r="J3764"/>
  <c r="J3765"/>
  <c r="J3766"/>
  <c r="J3767"/>
  <c r="J3768"/>
  <c r="J3769"/>
  <c r="J3770"/>
  <c r="J3771"/>
  <c r="J3772"/>
  <c r="J3773"/>
  <c r="J3774"/>
  <c r="J3775"/>
  <c r="J3776"/>
  <c r="J3777"/>
  <c r="J3778"/>
  <c r="J3779"/>
  <c r="J3780"/>
  <c r="J3781"/>
  <c r="J3782"/>
  <c r="J3783"/>
  <c r="J3784"/>
  <c r="J3785"/>
  <c r="J3786"/>
  <c r="J3787"/>
  <c r="J3788"/>
  <c r="J3789"/>
  <c r="J3790"/>
  <c r="J3791"/>
  <c r="J3792"/>
  <c r="J3793"/>
  <c r="J3794"/>
  <c r="J3795"/>
  <c r="J3796"/>
  <c r="J3797"/>
  <c r="J3798"/>
  <c r="J3799"/>
  <c r="J3800"/>
  <c r="J3801"/>
  <c r="J3802"/>
  <c r="J3803"/>
  <c r="J3804"/>
  <c r="J3805"/>
  <c r="J3806"/>
  <c r="J3807"/>
  <c r="J3808"/>
  <c r="J3809"/>
  <c r="J3810"/>
  <c r="J3811"/>
  <c r="J3812"/>
  <c r="J3813"/>
  <c r="J3814"/>
  <c r="J3815"/>
  <c r="J3816"/>
  <c r="J3817"/>
  <c r="J3818"/>
  <c r="J3819"/>
  <c r="J3820"/>
  <c r="J3821"/>
  <c r="J3822"/>
  <c r="J3823"/>
  <c r="J3824"/>
  <c r="J3825"/>
  <c r="J3826"/>
  <c r="J3827"/>
  <c r="J3828"/>
  <c r="J3829"/>
  <c r="J3830"/>
  <c r="J3831"/>
  <c r="J3832"/>
  <c r="J3833"/>
  <c r="J3834"/>
  <c r="J3835"/>
  <c r="J3836"/>
  <c r="J3837"/>
  <c r="J3838"/>
  <c r="J3839"/>
  <c r="J3840"/>
  <c r="J3841"/>
  <c r="J3842"/>
  <c r="J3843"/>
  <c r="J3844"/>
  <c r="J3845"/>
  <c r="J3846"/>
  <c r="J3847"/>
  <c r="J3848"/>
  <c r="J3849"/>
  <c r="J3850"/>
  <c r="J3851"/>
  <c r="J3852"/>
  <c r="J3853"/>
  <c r="J3854"/>
  <c r="J3855"/>
  <c r="J3856"/>
  <c r="J3857"/>
  <c r="J3858"/>
  <c r="J3859"/>
  <c r="J3860"/>
  <c r="J3861"/>
  <c r="J3862"/>
  <c r="J3863"/>
  <c r="J3864"/>
  <c r="J3865"/>
  <c r="J3866"/>
  <c r="J3867"/>
  <c r="J3868"/>
  <c r="J3869"/>
  <c r="J3870"/>
  <c r="J3871"/>
  <c r="J3872"/>
  <c r="J3873"/>
  <c r="J3874"/>
  <c r="J3875"/>
  <c r="J3876"/>
  <c r="J3877"/>
  <c r="J3878"/>
  <c r="J3879"/>
  <c r="J3880"/>
  <c r="J3881"/>
  <c r="J3882"/>
  <c r="J3883"/>
  <c r="J3884"/>
  <c r="J3885"/>
  <c r="J3886"/>
  <c r="J3887"/>
  <c r="J3888"/>
  <c r="J3889"/>
  <c r="J3890"/>
  <c r="J3891"/>
  <c r="J3892"/>
  <c r="J3893"/>
  <c r="J3894"/>
  <c r="J3895"/>
  <c r="J3896"/>
  <c r="J3897"/>
  <c r="J3898"/>
  <c r="J3899"/>
  <c r="J3900"/>
  <c r="J3901"/>
  <c r="J3902"/>
  <c r="J3903"/>
  <c r="J3904"/>
  <c r="J3905"/>
  <c r="J3906"/>
  <c r="J3907"/>
  <c r="J3908"/>
  <c r="J3909"/>
  <c r="J3910"/>
  <c r="J3911"/>
  <c r="J3912"/>
  <c r="J3913"/>
  <c r="J3914"/>
  <c r="J3915"/>
  <c r="J3916"/>
  <c r="J3917"/>
  <c r="J3918"/>
  <c r="J3919"/>
  <c r="J3920"/>
  <c r="J3921"/>
  <c r="J3922"/>
  <c r="J3923"/>
  <c r="J3924"/>
  <c r="J3925"/>
  <c r="J3926"/>
  <c r="J3927"/>
  <c r="J3928"/>
  <c r="J3929"/>
  <c r="J3930"/>
  <c r="J3931"/>
  <c r="J3932"/>
  <c r="J3933"/>
  <c r="J3934"/>
  <c r="J3935"/>
  <c r="J3936"/>
  <c r="J3937"/>
  <c r="J3938"/>
  <c r="J3939"/>
  <c r="J3940"/>
  <c r="J3941"/>
  <c r="J3942"/>
  <c r="J3943"/>
  <c r="J3944"/>
  <c r="J3945"/>
  <c r="J3946"/>
  <c r="J3947"/>
  <c r="J3948"/>
  <c r="J3949"/>
  <c r="J3950"/>
  <c r="J3951"/>
  <c r="J3952"/>
  <c r="J3953"/>
  <c r="J3954"/>
  <c r="J3955"/>
  <c r="J3956"/>
  <c r="J3957"/>
  <c r="J3958"/>
  <c r="J3959"/>
  <c r="J3960"/>
  <c r="J3961"/>
  <c r="J3962"/>
  <c r="J3963"/>
  <c r="J3964"/>
  <c r="J3965"/>
  <c r="J3966"/>
  <c r="J3967"/>
  <c r="J3968"/>
  <c r="J3969"/>
  <c r="J3970"/>
  <c r="J3971"/>
  <c r="J3972"/>
  <c r="J3973"/>
  <c r="J3974"/>
  <c r="J3975"/>
  <c r="J3976"/>
  <c r="J3977"/>
  <c r="J3978"/>
  <c r="J3979"/>
  <c r="J3980"/>
  <c r="J3981"/>
  <c r="J3982"/>
  <c r="J3983"/>
  <c r="J3984"/>
  <c r="J3985"/>
  <c r="J3986"/>
  <c r="J3987"/>
  <c r="J3988"/>
  <c r="J3989"/>
  <c r="J3990"/>
  <c r="J3991"/>
  <c r="J3992"/>
  <c r="J3993"/>
  <c r="J3994"/>
  <c r="J3995"/>
  <c r="J3996"/>
  <c r="J3997"/>
  <c r="J3998"/>
  <c r="J3999"/>
  <c r="J4000"/>
  <c r="J4001"/>
  <c r="J4002"/>
  <c r="J4003"/>
  <c r="J4004"/>
  <c r="J4005"/>
  <c r="J4006"/>
  <c r="J4007"/>
  <c r="J4008"/>
  <c r="J4009"/>
  <c r="J4010"/>
  <c r="J4011"/>
  <c r="J4012"/>
  <c r="J4013"/>
  <c r="J4014"/>
  <c r="J4015"/>
  <c r="J4016"/>
  <c r="J4017"/>
  <c r="J4018"/>
  <c r="J4019"/>
  <c r="J4020"/>
  <c r="J4021"/>
  <c r="J4022"/>
  <c r="J4023"/>
  <c r="J4024"/>
  <c r="J4025"/>
  <c r="J4026"/>
  <c r="J4027"/>
  <c r="J4028"/>
  <c r="J4029"/>
  <c r="J4030"/>
  <c r="J4031"/>
  <c r="J4032"/>
  <c r="J4033"/>
  <c r="J4034"/>
  <c r="J4035"/>
  <c r="J4036"/>
  <c r="J4037"/>
  <c r="J4038"/>
  <c r="J4039"/>
  <c r="J4040"/>
  <c r="J4041"/>
  <c r="J4042"/>
  <c r="J4043"/>
  <c r="J4044"/>
  <c r="J4045"/>
  <c r="J4046"/>
  <c r="J4047"/>
  <c r="J4048"/>
  <c r="J4049"/>
  <c r="J4050"/>
  <c r="J4051"/>
  <c r="J4052"/>
  <c r="J4053"/>
  <c r="J4054"/>
  <c r="J4055"/>
  <c r="J4056"/>
  <c r="J4057"/>
  <c r="J4058"/>
  <c r="J4059"/>
  <c r="J4060"/>
  <c r="J4061"/>
  <c r="J4062"/>
  <c r="J4063"/>
  <c r="J4064"/>
  <c r="J4065"/>
  <c r="J4066"/>
  <c r="J4067"/>
  <c r="J4068"/>
  <c r="J4069"/>
  <c r="J4070"/>
  <c r="J4071"/>
  <c r="J4072"/>
  <c r="J4073"/>
  <c r="J4074"/>
  <c r="J4075"/>
  <c r="J4076"/>
  <c r="J4077"/>
  <c r="J4078"/>
  <c r="J4079"/>
  <c r="J4080"/>
  <c r="J4081"/>
  <c r="J4082"/>
  <c r="J4083"/>
  <c r="J4084"/>
  <c r="J4085"/>
  <c r="J4086"/>
  <c r="J4087"/>
  <c r="J4088"/>
  <c r="J4089"/>
  <c r="J4090"/>
  <c r="J4091"/>
  <c r="J4092"/>
  <c r="J4093"/>
  <c r="J4094"/>
  <c r="J4095"/>
  <c r="J4096"/>
  <c r="J4097"/>
  <c r="J4098"/>
  <c r="J4099"/>
  <c r="J4100"/>
  <c r="J4101"/>
  <c r="J4102"/>
  <c r="J4103"/>
  <c r="J4104"/>
  <c r="J4105"/>
  <c r="J4106"/>
  <c r="J4107"/>
  <c r="J4108"/>
  <c r="J4109"/>
  <c r="J4110"/>
  <c r="J4111"/>
  <c r="J4112"/>
  <c r="J4113"/>
  <c r="J4114"/>
  <c r="J4115"/>
  <c r="J4116"/>
  <c r="J4117"/>
  <c r="J4118"/>
  <c r="J4119"/>
  <c r="J4120"/>
  <c r="J4121"/>
  <c r="J4122"/>
  <c r="J4123"/>
  <c r="J4124"/>
  <c r="J4125"/>
  <c r="J4126"/>
  <c r="J4127"/>
  <c r="J4128"/>
  <c r="J4129"/>
  <c r="J4130"/>
  <c r="J4131"/>
  <c r="J4132"/>
  <c r="J4133"/>
  <c r="J4134"/>
  <c r="J4135"/>
  <c r="J4136"/>
  <c r="J4137"/>
  <c r="J4138"/>
  <c r="J4139"/>
  <c r="J4140"/>
  <c r="J4141"/>
  <c r="J4142"/>
  <c r="J4143"/>
  <c r="J4144"/>
  <c r="J4145"/>
  <c r="J4146"/>
  <c r="J4147"/>
  <c r="J4148"/>
  <c r="J4149"/>
  <c r="J4150"/>
  <c r="J4151"/>
  <c r="J4152"/>
  <c r="J4153"/>
  <c r="J4154"/>
  <c r="J4155"/>
  <c r="J4156"/>
  <c r="J4157"/>
  <c r="J4158"/>
  <c r="J4159"/>
  <c r="J4160"/>
  <c r="J4161"/>
  <c r="J4162"/>
  <c r="J4163"/>
  <c r="J4164"/>
  <c r="J4165"/>
  <c r="J4166"/>
  <c r="J4167"/>
  <c r="J4168"/>
  <c r="J4169"/>
  <c r="J4170"/>
  <c r="J4171"/>
  <c r="J4172"/>
  <c r="J4173"/>
  <c r="J4174"/>
  <c r="J4175"/>
  <c r="J4176"/>
  <c r="J4177"/>
  <c r="J4178"/>
  <c r="J4179"/>
  <c r="J4180"/>
  <c r="J4181"/>
  <c r="J4182"/>
  <c r="J4183"/>
  <c r="J4184"/>
  <c r="J4185"/>
  <c r="J4186"/>
  <c r="J4187"/>
  <c r="J4188"/>
  <c r="J4189"/>
  <c r="J4190"/>
  <c r="J4191"/>
  <c r="J4192"/>
  <c r="J4193"/>
  <c r="J4194"/>
  <c r="J4195"/>
  <c r="J4196"/>
  <c r="J4197"/>
  <c r="J4198"/>
  <c r="J4199"/>
  <c r="J4200"/>
  <c r="J4201"/>
  <c r="J4202"/>
  <c r="J4203"/>
  <c r="J4204"/>
  <c r="J4205"/>
  <c r="J4206"/>
  <c r="J4207"/>
  <c r="J4208"/>
  <c r="J4209"/>
  <c r="J4210"/>
  <c r="J4211"/>
  <c r="J4212"/>
  <c r="J4213"/>
  <c r="J4214"/>
  <c r="J4215"/>
  <c r="J4216"/>
  <c r="J4217"/>
  <c r="J4218"/>
  <c r="J4219"/>
  <c r="J4220"/>
  <c r="J4221"/>
  <c r="J4222"/>
  <c r="J4223"/>
  <c r="J4224"/>
  <c r="J4225"/>
  <c r="J4226"/>
  <c r="J4227"/>
  <c r="J4228"/>
  <c r="J4229"/>
  <c r="J4230"/>
  <c r="J4231"/>
  <c r="J4232"/>
  <c r="J4233"/>
  <c r="J4234"/>
  <c r="J4235"/>
  <c r="J4236"/>
  <c r="J4237"/>
  <c r="J4238"/>
  <c r="J4239"/>
  <c r="J4240"/>
  <c r="J4241"/>
  <c r="J4242"/>
  <c r="J4243"/>
  <c r="J4244"/>
  <c r="J4245"/>
  <c r="J4246"/>
  <c r="J4247"/>
  <c r="J4248"/>
  <c r="J4249"/>
  <c r="J4250"/>
  <c r="J4251"/>
  <c r="J4252"/>
  <c r="J4253"/>
  <c r="J4254"/>
  <c r="J4255"/>
  <c r="J4256"/>
  <c r="J4257"/>
  <c r="J4258"/>
  <c r="J4259"/>
  <c r="J4260"/>
  <c r="J4261"/>
  <c r="J4262"/>
  <c r="J4263"/>
  <c r="J4264"/>
  <c r="J4265"/>
  <c r="J4266"/>
  <c r="J4267"/>
  <c r="J4268"/>
  <c r="J4269"/>
  <c r="J4270"/>
  <c r="J4271"/>
  <c r="J4272"/>
  <c r="J4273"/>
  <c r="J4274"/>
  <c r="J4275"/>
  <c r="J4276"/>
  <c r="J4277"/>
  <c r="J4278"/>
  <c r="J4279"/>
  <c r="J4280"/>
  <c r="J4281"/>
  <c r="J4282"/>
  <c r="J4283"/>
  <c r="J4284"/>
  <c r="J4285"/>
  <c r="J4286"/>
  <c r="J4287"/>
  <c r="J4288"/>
  <c r="J4289"/>
  <c r="J4290"/>
  <c r="J4291"/>
  <c r="J4292"/>
  <c r="J4293"/>
  <c r="J4294"/>
  <c r="J4295"/>
  <c r="J4296"/>
  <c r="J4297"/>
  <c r="J4298"/>
  <c r="J4299"/>
  <c r="J4300"/>
  <c r="J4301"/>
  <c r="J4302"/>
  <c r="J4303"/>
  <c r="J4304"/>
  <c r="J4305"/>
  <c r="J4306"/>
  <c r="J4307"/>
  <c r="J4308"/>
  <c r="J4309"/>
  <c r="J4310"/>
  <c r="J4311"/>
  <c r="J4312"/>
  <c r="J4313"/>
  <c r="J4314"/>
  <c r="J4315"/>
  <c r="J4316"/>
  <c r="J4317"/>
  <c r="J4318"/>
  <c r="J4319"/>
  <c r="J4320"/>
  <c r="J4321"/>
  <c r="J4322"/>
  <c r="J4323"/>
  <c r="J4324"/>
  <c r="J4325"/>
  <c r="J4326"/>
  <c r="J4327"/>
  <c r="J4328"/>
  <c r="J4329"/>
  <c r="J4330"/>
  <c r="J4331"/>
  <c r="J4332"/>
  <c r="J4333"/>
  <c r="J4334"/>
  <c r="J4335"/>
  <c r="J4336"/>
  <c r="J4337"/>
  <c r="J4338"/>
  <c r="J4339"/>
  <c r="J4340"/>
  <c r="J4341"/>
  <c r="J4342"/>
  <c r="J4343"/>
  <c r="J4344"/>
  <c r="J4345"/>
  <c r="J4346"/>
  <c r="J4347"/>
  <c r="J4348"/>
  <c r="J4349"/>
  <c r="J4350"/>
  <c r="J4351"/>
  <c r="J4352"/>
  <c r="J4353"/>
  <c r="J4354"/>
  <c r="J4355"/>
  <c r="J4356"/>
  <c r="J4357"/>
  <c r="J4358"/>
  <c r="J4359"/>
  <c r="J4360"/>
  <c r="J4361"/>
  <c r="J4362"/>
  <c r="J4363"/>
  <c r="J4364"/>
  <c r="J4365"/>
  <c r="J4366"/>
  <c r="J4367"/>
  <c r="J4368"/>
  <c r="J4369"/>
  <c r="J4370"/>
  <c r="J4371"/>
  <c r="J4372"/>
  <c r="J4373"/>
  <c r="J4374"/>
  <c r="J4375"/>
  <c r="J4376"/>
  <c r="J4377"/>
  <c r="J4378"/>
  <c r="J4379"/>
  <c r="J4380"/>
  <c r="J4381"/>
  <c r="J4382"/>
  <c r="J4383"/>
  <c r="J4384"/>
  <c r="J4385"/>
  <c r="J4386"/>
  <c r="J4387"/>
  <c r="J4388"/>
  <c r="J4389"/>
  <c r="J4390"/>
  <c r="J4391"/>
  <c r="J4392"/>
  <c r="J4393"/>
  <c r="J4394"/>
  <c r="J4395"/>
  <c r="J4396"/>
  <c r="J4397"/>
  <c r="J4398"/>
  <c r="J4399"/>
  <c r="J4400"/>
  <c r="J4401"/>
  <c r="J4402"/>
  <c r="J4403"/>
  <c r="J4404"/>
  <c r="J4405"/>
  <c r="J4406"/>
  <c r="J4407"/>
  <c r="J4408"/>
  <c r="J4409"/>
  <c r="J4410"/>
  <c r="J4411"/>
  <c r="J4412"/>
  <c r="J4413"/>
  <c r="J4414"/>
  <c r="J4415"/>
  <c r="J4416"/>
  <c r="J4417"/>
  <c r="J4418"/>
  <c r="J4419"/>
  <c r="J4420"/>
  <c r="J4421"/>
  <c r="J4422"/>
  <c r="J4423"/>
  <c r="J4424"/>
  <c r="J4425"/>
  <c r="J4426"/>
  <c r="J4427"/>
  <c r="J4428"/>
  <c r="J4429"/>
  <c r="J4430"/>
  <c r="J4431"/>
  <c r="J4432"/>
  <c r="J4433"/>
  <c r="J4434"/>
  <c r="J4435"/>
  <c r="J4436"/>
  <c r="J4437"/>
  <c r="J4438"/>
  <c r="J4439"/>
  <c r="J4440"/>
  <c r="J4441"/>
  <c r="J4442"/>
  <c r="J4443"/>
  <c r="J4444"/>
  <c r="J4445"/>
  <c r="J4446"/>
  <c r="J4447"/>
  <c r="J4448"/>
  <c r="J4449"/>
  <c r="J4450"/>
  <c r="J4451"/>
  <c r="J4452"/>
  <c r="J4453"/>
  <c r="J4454"/>
  <c r="J4455"/>
  <c r="J4456"/>
  <c r="J4457"/>
  <c r="J4458"/>
  <c r="J4459"/>
  <c r="J4460"/>
  <c r="J4461"/>
  <c r="J4462"/>
  <c r="J4463"/>
  <c r="J4464"/>
  <c r="J4465"/>
  <c r="J4466"/>
  <c r="J4467"/>
  <c r="J4468"/>
  <c r="J4469"/>
  <c r="J4470"/>
  <c r="J4471"/>
  <c r="J4472"/>
  <c r="J4473"/>
  <c r="J4474"/>
  <c r="J4475"/>
  <c r="J4476"/>
  <c r="J4477"/>
  <c r="J4478"/>
  <c r="J4479"/>
  <c r="J4480"/>
  <c r="J4481"/>
  <c r="J4482"/>
  <c r="J4483"/>
  <c r="J4484"/>
  <c r="J4485"/>
  <c r="J4486"/>
  <c r="J4487"/>
  <c r="J4488"/>
  <c r="J4489"/>
  <c r="J4490"/>
  <c r="J4491"/>
  <c r="J4492"/>
  <c r="J4493"/>
  <c r="J4494"/>
  <c r="J4495"/>
  <c r="J4496"/>
  <c r="J4497"/>
  <c r="J4498"/>
  <c r="J4499"/>
  <c r="J4500"/>
  <c r="J4501"/>
  <c r="J4502"/>
  <c r="J4503"/>
  <c r="J4504"/>
  <c r="J4505"/>
  <c r="J4506"/>
  <c r="J4507"/>
  <c r="J4508"/>
  <c r="J4509"/>
  <c r="J4510"/>
  <c r="J4511"/>
  <c r="J4512"/>
  <c r="J4513"/>
  <c r="J4514"/>
  <c r="J4515"/>
  <c r="J4516"/>
  <c r="J4517"/>
  <c r="J4518"/>
  <c r="J4519"/>
  <c r="J4520"/>
  <c r="J4521"/>
  <c r="J4522"/>
  <c r="J4523"/>
  <c r="J4524"/>
  <c r="J4525"/>
  <c r="J4526"/>
  <c r="J4527"/>
  <c r="J4528"/>
  <c r="J4529"/>
  <c r="J4530"/>
  <c r="J4531"/>
  <c r="J4532"/>
  <c r="J4533"/>
  <c r="J4534"/>
  <c r="J4535"/>
  <c r="J4536"/>
  <c r="J4537"/>
  <c r="J4538"/>
  <c r="J4539"/>
  <c r="J4540"/>
  <c r="J4541"/>
  <c r="J4542"/>
  <c r="J4543"/>
  <c r="J4544"/>
  <c r="J4545"/>
  <c r="J4546"/>
  <c r="J4547"/>
  <c r="J4548"/>
  <c r="J4549"/>
  <c r="J4550"/>
  <c r="J4551"/>
  <c r="J4552"/>
  <c r="J4553"/>
  <c r="J4554"/>
  <c r="J4555"/>
  <c r="J4556"/>
  <c r="J4557"/>
  <c r="J4558"/>
  <c r="J4559"/>
  <c r="J4560"/>
  <c r="J4561"/>
  <c r="J4562"/>
  <c r="J4563"/>
  <c r="J4564"/>
  <c r="J4565"/>
  <c r="J4566"/>
  <c r="J4567"/>
  <c r="J4568"/>
  <c r="J4569"/>
  <c r="J4570"/>
  <c r="J4571"/>
  <c r="J4572"/>
  <c r="J4573"/>
  <c r="J4574"/>
  <c r="J4575"/>
  <c r="J4576"/>
  <c r="J4577"/>
  <c r="J4578"/>
  <c r="J4579"/>
  <c r="J4580"/>
  <c r="J4581"/>
  <c r="J4582"/>
  <c r="J4583"/>
  <c r="J4584"/>
  <c r="J4585"/>
  <c r="J4586"/>
  <c r="J4587"/>
  <c r="J4588"/>
  <c r="J4589"/>
  <c r="J4590"/>
  <c r="J4591"/>
  <c r="J4592"/>
  <c r="J4593"/>
  <c r="J4594"/>
  <c r="J4595"/>
  <c r="J4596"/>
  <c r="J4597"/>
  <c r="J4598"/>
  <c r="J4599"/>
  <c r="J4600"/>
  <c r="J4601"/>
  <c r="J4602"/>
  <c r="J4603"/>
  <c r="J4604"/>
  <c r="J4605"/>
  <c r="J4606"/>
  <c r="J4607"/>
  <c r="J4608"/>
  <c r="J4609"/>
  <c r="J4610"/>
  <c r="J4611"/>
  <c r="J4612"/>
  <c r="J4613"/>
  <c r="J4614"/>
  <c r="J4615"/>
  <c r="J4616"/>
  <c r="J4617"/>
  <c r="J4618"/>
  <c r="J4619"/>
  <c r="J4620"/>
  <c r="J4621"/>
  <c r="J4622"/>
  <c r="J4623"/>
  <c r="J4624"/>
  <c r="J4625"/>
  <c r="J4626"/>
  <c r="J4627"/>
  <c r="J4628"/>
  <c r="J4629"/>
  <c r="J4630"/>
  <c r="J4631"/>
  <c r="J4632"/>
  <c r="J4633"/>
  <c r="J4634"/>
  <c r="J4635"/>
  <c r="J4636"/>
  <c r="J4637"/>
  <c r="J4638"/>
  <c r="J4639"/>
  <c r="J4640"/>
  <c r="J4641"/>
  <c r="J4642"/>
  <c r="J4643"/>
  <c r="J4644"/>
  <c r="J4645"/>
  <c r="J4646"/>
  <c r="J4647"/>
  <c r="J4648"/>
  <c r="J4649"/>
  <c r="J4650"/>
  <c r="J4651"/>
  <c r="J4652"/>
  <c r="J4653"/>
  <c r="J4654"/>
  <c r="J4655"/>
  <c r="J4656"/>
  <c r="J4657"/>
  <c r="J4658"/>
  <c r="J4659"/>
  <c r="J4660"/>
  <c r="J4661"/>
  <c r="J4662"/>
  <c r="J4663"/>
  <c r="J4664"/>
  <c r="J4665"/>
  <c r="J4666"/>
  <c r="J4667"/>
  <c r="J4668"/>
  <c r="J4669"/>
  <c r="J4670"/>
  <c r="J4671"/>
  <c r="J4672"/>
  <c r="J4673"/>
  <c r="J4674"/>
  <c r="J4675"/>
  <c r="J4676"/>
  <c r="J4677"/>
  <c r="J4678"/>
  <c r="J4679"/>
  <c r="J4680"/>
  <c r="J4681"/>
  <c r="J4682"/>
  <c r="J4683"/>
  <c r="J4684"/>
  <c r="J4685"/>
  <c r="J4686"/>
  <c r="J4687"/>
  <c r="J4688"/>
  <c r="J4689"/>
  <c r="J4690"/>
  <c r="J4691"/>
  <c r="J4692"/>
  <c r="J4693"/>
  <c r="J4694"/>
  <c r="J4695"/>
  <c r="J4696"/>
  <c r="J4697"/>
  <c r="J4698"/>
  <c r="J4699"/>
  <c r="J4700"/>
  <c r="J4701"/>
  <c r="J4702"/>
  <c r="J4703"/>
  <c r="J4704"/>
  <c r="J4705"/>
  <c r="J4706"/>
  <c r="J4707"/>
  <c r="J4708"/>
  <c r="J4709"/>
  <c r="J4710"/>
  <c r="J4711"/>
  <c r="J4712"/>
  <c r="J4713"/>
  <c r="J4714"/>
  <c r="J4715"/>
  <c r="J4716"/>
  <c r="J4717"/>
  <c r="J4718"/>
  <c r="J4719"/>
  <c r="J4720"/>
  <c r="J4721"/>
  <c r="J4722"/>
  <c r="J4723"/>
  <c r="J4724"/>
  <c r="J4725"/>
  <c r="J4726"/>
  <c r="J4727"/>
  <c r="J4728"/>
  <c r="J4729"/>
  <c r="J4730"/>
  <c r="J4731"/>
  <c r="J4732"/>
  <c r="J4733"/>
  <c r="J4734"/>
  <c r="J4735"/>
  <c r="J4736"/>
  <c r="J4737"/>
  <c r="J4738"/>
  <c r="J4739"/>
  <c r="J4740"/>
  <c r="J4741"/>
  <c r="J4742"/>
  <c r="J4743"/>
  <c r="J4744"/>
  <c r="J4745"/>
  <c r="J4746"/>
  <c r="J4747"/>
  <c r="J4748"/>
  <c r="J4749"/>
  <c r="J4750"/>
  <c r="J4751"/>
  <c r="J4752"/>
  <c r="J4753"/>
  <c r="J4754"/>
  <c r="J4755"/>
  <c r="J4756"/>
  <c r="J4757"/>
  <c r="J4758"/>
  <c r="J4759"/>
  <c r="J4760"/>
  <c r="J4761"/>
  <c r="J4762"/>
  <c r="J4763"/>
  <c r="J4764"/>
  <c r="J4765"/>
  <c r="J4766"/>
  <c r="J4767"/>
  <c r="J4768"/>
  <c r="J4769"/>
  <c r="J4770"/>
  <c r="J4771"/>
  <c r="J4772"/>
  <c r="J4773"/>
  <c r="J4774"/>
  <c r="J4775"/>
  <c r="J4776"/>
  <c r="J4777"/>
  <c r="J4778"/>
  <c r="J4779"/>
  <c r="J4780"/>
  <c r="J4781"/>
  <c r="J4782"/>
  <c r="J4783"/>
  <c r="J4784"/>
  <c r="J4785"/>
  <c r="J4786"/>
  <c r="J4787"/>
  <c r="J4788"/>
  <c r="J4789"/>
  <c r="J4790"/>
  <c r="J4791"/>
  <c r="J4792"/>
  <c r="J4793"/>
  <c r="J4794"/>
  <c r="J4795"/>
  <c r="J4796"/>
  <c r="J4797"/>
  <c r="J4798"/>
  <c r="J4799"/>
  <c r="J4800"/>
  <c r="J4801"/>
  <c r="J4802"/>
  <c r="J4803"/>
  <c r="J4804"/>
  <c r="J4805"/>
  <c r="J4806"/>
  <c r="J4807"/>
  <c r="J4808"/>
  <c r="J4809"/>
  <c r="J4810"/>
  <c r="J4811"/>
  <c r="J4812"/>
  <c r="J4813"/>
  <c r="J4814"/>
  <c r="J4815"/>
  <c r="J4816"/>
  <c r="J4817"/>
  <c r="J4818"/>
  <c r="J4819"/>
  <c r="J4820"/>
  <c r="J4821"/>
  <c r="J4822"/>
  <c r="J4823"/>
  <c r="J4824"/>
  <c r="J4825"/>
  <c r="J4826"/>
  <c r="J4827"/>
  <c r="J4828"/>
  <c r="J4829"/>
  <c r="J4830"/>
  <c r="J4831"/>
  <c r="J4832"/>
  <c r="J4833"/>
  <c r="J4834"/>
  <c r="J4835"/>
  <c r="J4836"/>
  <c r="J4837"/>
  <c r="J4838"/>
  <c r="J4839"/>
  <c r="J4840"/>
  <c r="J4841"/>
  <c r="J4842"/>
  <c r="J4843"/>
  <c r="J4844"/>
  <c r="J4845"/>
  <c r="J4846"/>
  <c r="J4847"/>
  <c r="J4848"/>
  <c r="J4849"/>
  <c r="J4850"/>
  <c r="J4851"/>
  <c r="J4852"/>
  <c r="J4853"/>
  <c r="J4854"/>
  <c r="J4855"/>
  <c r="J4856"/>
  <c r="J4857"/>
  <c r="J4858"/>
  <c r="J4859"/>
  <c r="J4860"/>
  <c r="J4861"/>
  <c r="J4862"/>
  <c r="J4863"/>
  <c r="J4864"/>
  <c r="J4865"/>
  <c r="J4866"/>
  <c r="J4867"/>
  <c r="J4868"/>
  <c r="J4869"/>
  <c r="J4870"/>
  <c r="J4871"/>
  <c r="J4872"/>
  <c r="J4873"/>
  <c r="J4874"/>
  <c r="J4875"/>
  <c r="J4876"/>
  <c r="J4877"/>
  <c r="J4878"/>
  <c r="J4879"/>
  <c r="J4880"/>
  <c r="J4881"/>
  <c r="J4882"/>
  <c r="J4883"/>
  <c r="J4884"/>
  <c r="J4885"/>
  <c r="J4886"/>
  <c r="J4887"/>
  <c r="J4888"/>
  <c r="J4889"/>
  <c r="J4890"/>
  <c r="J4891"/>
  <c r="J4892"/>
  <c r="J4893"/>
  <c r="J4894"/>
  <c r="J4895"/>
  <c r="J4896"/>
  <c r="J4897"/>
  <c r="J4898"/>
  <c r="J4899"/>
  <c r="J4900"/>
  <c r="J4901"/>
  <c r="J4902"/>
  <c r="J4903"/>
  <c r="J4904"/>
  <c r="J4905"/>
  <c r="J4906"/>
  <c r="J4907"/>
  <c r="J4908"/>
  <c r="J4909"/>
  <c r="J4910"/>
  <c r="J4911"/>
  <c r="J4912"/>
  <c r="J4913"/>
  <c r="J4914"/>
  <c r="J4915"/>
  <c r="J4916"/>
  <c r="J4917"/>
  <c r="J4918"/>
  <c r="J4919"/>
  <c r="J4920"/>
  <c r="J4921"/>
  <c r="J4922"/>
  <c r="J4923"/>
  <c r="J4924"/>
  <c r="J4925"/>
  <c r="J4926"/>
  <c r="J4927"/>
  <c r="J4928"/>
  <c r="J4929"/>
  <c r="J4930"/>
  <c r="J4931"/>
  <c r="J4932"/>
  <c r="J4933"/>
  <c r="J4934"/>
  <c r="J4935"/>
  <c r="J4936"/>
  <c r="J4937"/>
  <c r="J4938"/>
  <c r="J4939"/>
  <c r="J4940"/>
  <c r="J4941"/>
  <c r="J4942"/>
  <c r="J4943"/>
  <c r="J4944"/>
  <c r="J4945"/>
  <c r="J4946"/>
  <c r="J4947"/>
  <c r="J4948"/>
  <c r="J4949"/>
  <c r="J4950"/>
  <c r="J4951"/>
  <c r="J4952"/>
  <c r="J4953"/>
  <c r="J4954"/>
  <c r="J4955"/>
  <c r="J4956"/>
  <c r="J4957"/>
  <c r="J4958"/>
  <c r="J4959"/>
  <c r="J4960"/>
  <c r="J4961"/>
  <c r="J4962"/>
  <c r="J4963"/>
  <c r="J4964"/>
  <c r="J4965"/>
  <c r="J4966"/>
  <c r="J4967"/>
  <c r="J4968"/>
  <c r="J4969"/>
  <c r="J4970"/>
  <c r="J4971"/>
  <c r="J4972"/>
  <c r="J4973"/>
  <c r="J4974"/>
  <c r="J4975"/>
  <c r="J4976"/>
  <c r="J4977"/>
  <c r="J4978"/>
  <c r="J4979"/>
  <c r="J4980"/>
  <c r="J4981"/>
  <c r="J4982"/>
  <c r="J4983"/>
  <c r="J4984"/>
  <c r="J4985"/>
  <c r="J4986"/>
  <c r="J4987"/>
  <c r="J4988"/>
  <c r="J4989"/>
  <c r="J4990"/>
  <c r="J4991"/>
  <c r="J4992"/>
  <c r="J4993"/>
  <c r="J4994"/>
  <c r="J4995"/>
  <c r="J4996"/>
  <c r="J4997"/>
  <c r="J4998"/>
  <c r="J4999"/>
  <c r="J5000"/>
  <c r="J5001"/>
  <c r="J5002"/>
  <c r="J5003"/>
  <c r="J5004"/>
  <c r="J5005"/>
  <c r="J5006"/>
  <c r="J5007"/>
  <c r="J5008"/>
  <c r="J5009"/>
  <c r="J5010"/>
  <c r="J5011"/>
  <c r="J5012"/>
  <c r="J5013"/>
  <c r="J5014"/>
  <c r="J5015"/>
  <c r="J5016"/>
  <c r="J5017"/>
  <c r="J5018"/>
  <c r="J5019"/>
  <c r="J5020"/>
  <c r="J5021"/>
  <c r="J5022"/>
  <c r="J5023"/>
  <c r="J5024"/>
  <c r="J5025"/>
  <c r="J5026"/>
  <c r="J5027"/>
  <c r="J5028"/>
  <c r="J5029"/>
  <c r="J5030"/>
  <c r="J5031"/>
  <c r="J5032"/>
  <c r="J5033"/>
  <c r="J5034"/>
  <c r="J5035"/>
  <c r="J5036"/>
  <c r="J5037"/>
  <c r="J5038"/>
  <c r="J5039"/>
  <c r="J5040"/>
  <c r="J5041"/>
  <c r="J5042"/>
  <c r="J5043"/>
  <c r="J5044"/>
  <c r="J5045"/>
  <c r="J5046"/>
  <c r="J5047"/>
  <c r="J5048"/>
  <c r="J5049"/>
  <c r="J5050"/>
  <c r="J5051"/>
  <c r="J5052"/>
  <c r="J5053"/>
  <c r="J5054"/>
  <c r="J5055"/>
  <c r="J5056"/>
  <c r="J5057"/>
  <c r="J5058"/>
  <c r="J5059"/>
  <c r="J5060"/>
  <c r="J5061"/>
  <c r="J5062"/>
  <c r="J5063"/>
  <c r="J5064"/>
  <c r="J5065"/>
  <c r="J5066"/>
  <c r="J5067"/>
  <c r="J5068"/>
  <c r="J5069"/>
  <c r="J5070"/>
  <c r="J5071"/>
  <c r="J5072"/>
  <c r="J5073"/>
  <c r="J5074"/>
  <c r="J5075"/>
  <c r="J5076"/>
  <c r="J5077"/>
  <c r="J5078"/>
  <c r="J5079"/>
  <c r="J5080"/>
  <c r="J5081"/>
  <c r="J5082"/>
  <c r="J5083"/>
  <c r="J5084"/>
  <c r="J5085"/>
  <c r="J5086"/>
  <c r="J5087"/>
  <c r="J5088"/>
  <c r="J5089"/>
  <c r="J5090"/>
  <c r="J5091"/>
  <c r="J5092"/>
  <c r="J5093"/>
  <c r="J5094"/>
  <c r="J5095"/>
  <c r="J5096"/>
  <c r="J5097"/>
  <c r="J5098"/>
  <c r="J5099"/>
  <c r="J5100"/>
  <c r="J5101"/>
  <c r="J5102"/>
  <c r="J5103"/>
  <c r="J5104"/>
  <c r="J5105"/>
  <c r="J5106"/>
  <c r="J5107"/>
  <c r="J5108"/>
  <c r="J5109"/>
  <c r="J5110"/>
  <c r="J5111"/>
  <c r="J5112"/>
  <c r="J5113"/>
  <c r="J5114"/>
  <c r="J5115"/>
  <c r="J5116"/>
  <c r="J5117"/>
  <c r="J5118"/>
  <c r="J5119"/>
  <c r="J5120"/>
  <c r="J5121"/>
  <c r="J5122"/>
  <c r="J5123"/>
  <c r="J5124"/>
  <c r="J5125"/>
  <c r="J5126"/>
  <c r="J5127"/>
  <c r="J5128"/>
  <c r="J5129"/>
  <c r="J5130"/>
  <c r="J5131"/>
  <c r="J5132"/>
  <c r="J5133"/>
  <c r="J5134"/>
  <c r="J5135"/>
  <c r="J5136"/>
  <c r="J5137"/>
  <c r="J5138"/>
  <c r="J5139"/>
  <c r="J5140"/>
  <c r="J5141"/>
  <c r="J5142"/>
  <c r="J5143"/>
  <c r="J5144"/>
  <c r="J5145"/>
  <c r="J5146"/>
  <c r="J5147"/>
  <c r="J5148"/>
  <c r="J5149"/>
  <c r="J5150"/>
  <c r="J5151"/>
  <c r="J5152"/>
  <c r="J5153"/>
  <c r="J5154"/>
  <c r="J5155"/>
  <c r="J5156"/>
  <c r="J5157"/>
  <c r="J5158"/>
  <c r="J5159"/>
  <c r="J5160"/>
  <c r="J5161"/>
  <c r="J5162"/>
  <c r="J5163"/>
  <c r="J5164"/>
  <c r="J5165"/>
  <c r="J5166"/>
  <c r="J5167"/>
  <c r="J5168"/>
  <c r="J5169"/>
  <c r="J5170"/>
  <c r="J5171"/>
  <c r="J5172"/>
  <c r="J5173"/>
  <c r="J5174"/>
  <c r="J5175"/>
  <c r="J5176"/>
  <c r="J5177"/>
  <c r="J5178"/>
  <c r="J5179"/>
  <c r="J5180"/>
  <c r="J5181"/>
  <c r="J5182"/>
  <c r="J5183"/>
  <c r="J5184"/>
  <c r="J5185"/>
  <c r="J5186"/>
  <c r="J5187"/>
  <c r="J5188"/>
  <c r="J5189"/>
  <c r="J5190"/>
  <c r="J5191"/>
  <c r="J5192"/>
  <c r="J5193"/>
  <c r="J5194"/>
  <c r="J5195"/>
  <c r="J5196"/>
  <c r="J5197"/>
  <c r="J5198"/>
  <c r="J5199"/>
  <c r="J5200"/>
  <c r="J5201"/>
  <c r="J5202"/>
  <c r="J5203"/>
  <c r="J5204"/>
  <c r="J5205"/>
  <c r="J5206"/>
  <c r="J5207"/>
  <c r="J5208"/>
  <c r="J5209"/>
  <c r="J5210"/>
  <c r="J5211"/>
  <c r="J5212"/>
  <c r="J5213"/>
  <c r="J5214"/>
  <c r="J5215"/>
  <c r="J5216"/>
  <c r="J5217"/>
  <c r="J5218"/>
  <c r="J5219"/>
  <c r="J5220"/>
  <c r="J5221"/>
  <c r="J5222"/>
  <c r="J5223"/>
  <c r="J5224"/>
  <c r="J5225"/>
  <c r="J5226"/>
  <c r="J5227"/>
  <c r="J5228"/>
  <c r="J5229"/>
  <c r="J5230"/>
  <c r="J5231"/>
  <c r="J5232"/>
  <c r="J5233"/>
  <c r="J5234"/>
  <c r="J5235"/>
  <c r="J5236"/>
  <c r="J5237"/>
  <c r="J5238"/>
  <c r="J5239"/>
  <c r="J5240"/>
  <c r="J5241"/>
  <c r="J5242"/>
  <c r="J5243"/>
  <c r="J5244"/>
  <c r="J5245"/>
  <c r="J5246"/>
  <c r="J5247"/>
  <c r="J5248"/>
  <c r="J5249"/>
  <c r="J5250"/>
  <c r="J5251"/>
  <c r="J5252"/>
  <c r="J5253"/>
  <c r="J5254"/>
  <c r="J5255"/>
  <c r="J5256"/>
  <c r="J5257"/>
  <c r="J5258"/>
  <c r="J5259"/>
  <c r="J5260"/>
  <c r="J5261"/>
  <c r="J5262"/>
  <c r="J5263"/>
  <c r="J5264"/>
  <c r="J5265"/>
  <c r="J5266"/>
  <c r="J5267"/>
  <c r="J5268"/>
  <c r="J5269"/>
  <c r="J5270"/>
  <c r="J5271"/>
  <c r="J5272"/>
  <c r="J5273"/>
  <c r="J5274"/>
  <c r="J5275"/>
  <c r="J5276"/>
  <c r="J5277"/>
  <c r="J5278"/>
  <c r="J5279"/>
  <c r="J5280"/>
  <c r="J5281"/>
  <c r="J5282"/>
  <c r="J5283"/>
  <c r="J5284"/>
  <c r="J5285"/>
  <c r="J5286"/>
  <c r="J5287"/>
  <c r="J5288"/>
  <c r="J5289"/>
  <c r="J5290"/>
  <c r="J5291"/>
  <c r="J5292"/>
  <c r="J5293"/>
  <c r="J5294"/>
  <c r="J5295"/>
  <c r="J5296"/>
  <c r="J5297"/>
  <c r="J5298"/>
  <c r="J5299"/>
  <c r="J5300"/>
  <c r="J5301"/>
  <c r="J5302"/>
  <c r="J5303"/>
  <c r="J5304"/>
  <c r="J5305"/>
  <c r="J5306"/>
  <c r="J5307"/>
  <c r="J5308"/>
  <c r="J5309"/>
  <c r="J5310"/>
  <c r="J5311"/>
  <c r="J5312"/>
  <c r="J5313"/>
  <c r="J5314"/>
  <c r="J5315"/>
  <c r="J5316"/>
  <c r="J5317"/>
  <c r="J5318"/>
  <c r="J5319"/>
  <c r="J5320"/>
  <c r="J5321"/>
  <c r="J5322"/>
  <c r="J5323"/>
  <c r="J5324"/>
  <c r="J5325"/>
  <c r="J5326"/>
  <c r="J5327"/>
  <c r="J5328"/>
  <c r="J5329"/>
  <c r="J5330"/>
  <c r="J5331"/>
  <c r="J5332"/>
  <c r="J5333"/>
  <c r="J5334"/>
  <c r="J5335"/>
  <c r="J5336"/>
  <c r="J5337"/>
  <c r="J5338"/>
  <c r="J5339"/>
  <c r="J5340"/>
  <c r="J5341"/>
  <c r="J5342"/>
  <c r="J5343"/>
  <c r="J5344"/>
  <c r="J5345"/>
  <c r="J5346"/>
  <c r="J5347"/>
  <c r="J5348"/>
  <c r="J5349"/>
  <c r="J5350"/>
  <c r="J5351"/>
  <c r="J5352"/>
  <c r="J5353"/>
  <c r="J5354"/>
  <c r="J5355"/>
  <c r="J5356"/>
  <c r="J5357"/>
  <c r="J5358"/>
  <c r="J5359"/>
  <c r="J5360"/>
  <c r="J5361"/>
  <c r="J5362"/>
  <c r="J5363"/>
  <c r="J5364"/>
  <c r="J5365"/>
  <c r="J5366"/>
  <c r="J5367"/>
  <c r="J5368"/>
  <c r="J5369"/>
  <c r="J5370"/>
  <c r="J5371"/>
  <c r="J5372"/>
  <c r="J5373"/>
  <c r="J5374"/>
  <c r="J5375"/>
  <c r="J5376"/>
  <c r="J5377"/>
  <c r="J5378"/>
  <c r="J5379"/>
  <c r="J5380"/>
  <c r="J5381"/>
  <c r="J5382"/>
  <c r="J5383"/>
  <c r="J5384"/>
  <c r="J5385"/>
  <c r="J5386"/>
  <c r="J5387"/>
  <c r="J5388"/>
  <c r="J5389"/>
  <c r="J5390"/>
  <c r="J5391"/>
  <c r="J5392"/>
  <c r="J5393"/>
  <c r="J5394"/>
  <c r="J5395"/>
  <c r="J5396"/>
  <c r="J5397"/>
  <c r="J5398"/>
  <c r="J5399"/>
  <c r="J5400"/>
  <c r="J5401"/>
  <c r="J5402"/>
  <c r="J5403"/>
  <c r="J5404"/>
  <c r="J5405"/>
  <c r="J5406"/>
  <c r="J5407"/>
  <c r="J5408"/>
  <c r="J5409"/>
  <c r="J5410"/>
  <c r="J5411"/>
  <c r="J5412"/>
  <c r="J5413"/>
  <c r="J5414"/>
  <c r="J5415"/>
  <c r="J5416"/>
  <c r="J5417"/>
  <c r="J5418"/>
  <c r="J5419"/>
  <c r="J5420"/>
  <c r="J5421"/>
  <c r="J5422"/>
  <c r="J5423"/>
  <c r="J5424"/>
  <c r="J5425"/>
  <c r="J5426"/>
  <c r="J5427"/>
  <c r="J5428"/>
  <c r="J5429"/>
  <c r="J5430"/>
  <c r="J5431"/>
  <c r="J5432"/>
  <c r="J5433"/>
  <c r="J5434"/>
  <c r="J5435"/>
  <c r="J5436"/>
  <c r="J5437"/>
  <c r="J5438"/>
  <c r="J5439"/>
  <c r="J5440"/>
  <c r="J5441"/>
  <c r="J5442"/>
  <c r="J5443"/>
  <c r="J5444"/>
  <c r="J5445"/>
  <c r="J5446"/>
  <c r="J5447"/>
  <c r="J5448"/>
  <c r="J5449"/>
  <c r="J5450"/>
  <c r="J5451"/>
  <c r="J5452"/>
  <c r="J5453"/>
  <c r="J5454"/>
  <c r="J5455"/>
  <c r="J5456"/>
  <c r="J5457"/>
  <c r="J5458"/>
  <c r="J5459"/>
  <c r="J5460"/>
  <c r="J5461"/>
  <c r="J5462"/>
  <c r="J5463"/>
  <c r="J5464"/>
  <c r="J5465"/>
  <c r="J5466"/>
  <c r="J5467"/>
  <c r="J5468"/>
  <c r="J5469"/>
  <c r="J5470"/>
  <c r="J5471"/>
  <c r="J5472"/>
  <c r="J5473"/>
  <c r="J5474"/>
  <c r="J5475"/>
  <c r="J5476"/>
  <c r="J5477"/>
  <c r="J5478"/>
  <c r="J5479"/>
  <c r="J5480"/>
  <c r="J5481"/>
  <c r="J5482"/>
  <c r="J5483"/>
  <c r="J5484"/>
  <c r="J5485"/>
  <c r="J5486"/>
  <c r="J5487"/>
  <c r="J5488"/>
  <c r="J5489"/>
  <c r="J5490"/>
  <c r="J5491"/>
  <c r="J5492"/>
  <c r="J5493"/>
  <c r="J5494"/>
  <c r="J5495"/>
  <c r="J5496"/>
  <c r="J5497"/>
  <c r="J5498"/>
  <c r="J5499"/>
  <c r="J5500"/>
  <c r="J5501"/>
  <c r="J5502"/>
  <c r="J5503"/>
  <c r="J5504"/>
  <c r="J5505"/>
  <c r="J5506"/>
  <c r="J5507"/>
  <c r="J5508"/>
  <c r="J5509"/>
  <c r="J5510"/>
  <c r="J5511"/>
  <c r="J5512"/>
  <c r="J5513"/>
  <c r="J5514"/>
  <c r="J5515"/>
  <c r="J5516"/>
  <c r="J5517"/>
  <c r="J5518"/>
  <c r="J5519"/>
  <c r="J5520"/>
  <c r="J5521"/>
  <c r="J5522"/>
  <c r="J5523"/>
  <c r="J5524"/>
  <c r="J5525"/>
  <c r="J5526"/>
  <c r="J5527"/>
  <c r="J5528"/>
  <c r="J5529"/>
  <c r="J5530"/>
  <c r="J5531"/>
  <c r="J5532"/>
  <c r="J5533"/>
  <c r="J5534"/>
  <c r="J5535"/>
  <c r="J5536"/>
  <c r="J5537"/>
  <c r="J5538"/>
  <c r="J5539"/>
  <c r="J5540"/>
  <c r="J5541"/>
  <c r="J5542"/>
  <c r="J5543"/>
  <c r="J5544"/>
  <c r="J5545"/>
  <c r="J5546"/>
  <c r="J5547"/>
  <c r="J5548"/>
  <c r="J5549"/>
  <c r="J5550"/>
  <c r="J5551"/>
  <c r="J5552"/>
  <c r="J5553"/>
  <c r="J5554"/>
  <c r="J5555"/>
  <c r="J5556"/>
  <c r="J5557"/>
  <c r="J5558"/>
  <c r="J5559"/>
  <c r="J5560"/>
  <c r="J5561"/>
  <c r="J5562"/>
  <c r="J5563"/>
  <c r="J5564"/>
  <c r="J5565"/>
  <c r="J5566"/>
  <c r="J5567"/>
  <c r="J5568"/>
  <c r="J5569"/>
  <c r="J5570"/>
  <c r="J5571"/>
  <c r="J5572"/>
  <c r="J5573"/>
  <c r="J5574"/>
  <c r="J5575"/>
  <c r="J5576"/>
  <c r="J5577"/>
  <c r="J5578"/>
  <c r="J5579"/>
  <c r="J5580"/>
  <c r="J5581"/>
  <c r="J5582"/>
  <c r="J5583"/>
  <c r="J5584"/>
  <c r="J5585"/>
  <c r="J5586"/>
  <c r="J5587"/>
  <c r="J5588"/>
  <c r="J5589"/>
  <c r="J5590"/>
  <c r="J5591"/>
  <c r="J5592"/>
  <c r="J5593"/>
  <c r="J5594"/>
  <c r="J5595"/>
  <c r="J5596"/>
  <c r="J5597"/>
  <c r="J5598"/>
  <c r="J5599"/>
  <c r="J5600"/>
  <c r="J5601"/>
  <c r="J5602"/>
  <c r="J5603"/>
  <c r="J5604"/>
  <c r="J5605"/>
  <c r="J5606"/>
  <c r="J5607"/>
  <c r="J5608"/>
  <c r="J5609"/>
  <c r="J5610"/>
  <c r="J5611"/>
  <c r="J5612"/>
  <c r="J5613"/>
  <c r="J5614"/>
  <c r="J5615"/>
  <c r="J5616"/>
  <c r="J5617"/>
  <c r="J5618"/>
  <c r="J5619"/>
  <c r="J5620"/>
  <c r="J5621"/>
  <c r="J5622"/>
  <c r="J5623"/>
  <c r="J5624"/>
  <c r="J5625"/>
  <c r="J5626"/>
  <c r="J5627"/>
  <c r="J5628"/>
  <c r="J5629"/>
  <c r="J5630"/>
  <c r="J5631"/>
  <c r="J5632"/>
  <c r="J5633"/>
  <c r="J5634"/>
  <c r="J5635"/>
  <c r="J5636"/>
  <c r="J5637"/>
  <c r="J5638"/>
  <c r="J5639"/>
  <c r="J5640"/>
  <c r="J5641"/>
  <c r="J5642"/>
  <c r="J5643"/>
  <c r="J5644"/>
  <c r="J5645"/>
  <c r="J5646"/>
  <c r="J5647"/>
  <c r="J5648"/>
  <c r="J5649"/>
  <c r="J5650"/>
  <c r="J5651"/>
  <c r="J5652"/>
  <c r="J5653"/>
  <c r="J5654"/>
  <c r="J5655"/>
  <c r="J5656"/>
  <c r="J5657"/>
  <c r="J5658"/>
  <c r="J5659"/>
  <c r="J5660"/>
  <c r="J5661"/>
  <c r="J5662"/>
  <c r="J5663"/>
  <c r="J5664"/>
  <c r="J5665"/>
  <c r="J5666"/>
  <c r="J5667"/>
  <c r="J5668"/>
  <c r="J5669"/>
  <c r="J5670"/>
  <c r="J5671"/>
  <c r="J5672"/>
  <c r="J5673"/>
  <c r="J5674"/>
  <c r="J5675"/>
  <c r="J5676"/>
  <c r="J5677"/>
  <c r="J5678"/>
  <c r="J5679"/>
  <c r="J5680"/>
  <c r="J5681"/>
  <c r="J5682"/>
  <c r="J5683"/>
  <c r="J5684"/>
  <c r="J5685"/>
  <c r="J5686"/>
  <c r="J5687"/>
  <c r="J5688"/>
  <c r="J5689"/>
  <c r="J5690"/>
  <c r="J5691"/>
  <c r="J5692"/>
  <c r="J5693"/>
  <c r="J5694"/>
  <c r="J5695"/>
  <c r="J5696"/>
  <c r="J5697"/>
  <c r="J5698"/>
  <c r="J5699"/>
  <c r="J5700"/>
  <c r="J5701"/>
  <c r="J5702"/>
  <c r="J5703"/>
  <c r="J5704"/>
  <c r="J5705"/>
  <c r="J5706"/>
  <c r="J5707"/>
  <c r="J5708"/>
  <c r="J5709"/>
  <c r="J5710"/>
  <c r="J5711"/>
  <c r="J5712"/>
  <c r="J5713"/>
  <c r="J5714"/>
  <c r="J5715"/>
  <c r="J5716"/>
  <c r="J5717"/>
  <c r="J5718"/>
  <c r="J5719"/>
  <c r="J5720"/>
  <c r="J5721"/>
  <c r="J5722"/>
  <c r="J5723"/>
  <c r="J5724"/>
  <c r="J5725"/>
  <c r="J5726"/>
  <c r="J5727"/>
  <c r="J5728"/>
  <c r="J5729"/>
  <c r="J5730"/>
  <c r="J5731"/>
  <c r="J5732"/>
  <c r="J5733"/>
  <c r="J5734"/>
  <c r="J5735"/>
  <c r="J5736"/>
  <c r="J5737"/>
  <c r="J5738"/>
  <c r="J5739"/>
  <c r="J5740"/>
  <c r="J5741"/>
  <c r="J5742"/>
  <c r="J5743"/>
  <c r="J5744"/>
  <c r="J5745"/>
  <c r="J5746"/>
  <c r="J5747"/>
  <c r="J5748"/>
  <c r="J5749"/>
  <c r="J5750"/>
  <c r="J5751"/>
  <c r="J5752"/>
  <c r="J5753"/>
  <c r="J5754"/>
  <c r="J5755"/>
  <c r="J5756"/>
  <c r="J5757"/>
  <c r="J5758"/>
  <c r="J5759"/>
  <c r="J5760"/>
  <c r="J5761"/>
  <c r="J5762"/>
  <c r="J5763"/>
  <c r="J5764"/>
  <c r="J5765"/>
  <c r="J5766"/>
  <c r="J5767"/>
  <c r="J5768"/>
  <c r="J5769"/>
  <c r="J5770"/>
  <c r="J5771"/>
  <c r="J5772"/>
  <c r="J5773"/>
  <c r="J5774"/>
  <c r="J5775"/>
  <c r="J5776"/>
  <c r="J5777"/>
  <c r="J5778"/>
  <c r="J5779"/>
  <c r="J5780"/>
  <c r="J5781"/>
  <c r="J5782"/>
  <c r="J5783"/>
  <c r="J5784"/>
  <c r="J5785"/>
  <c r="J5786"/>
  <c r="J5787"/>
  <c r="J5788"/>
  <c r="J5789"/>
  <c r="J5790"/>
  <c r="J5791"/>
  <c r="J5792"/>
  <c r="J5793"/>
  <c r="J5794"/>
  <c r="J5795"/>
  <c r="J5796"/>
  <c r="J5797"/>
  <c r="J5798"/>
  <c r="J5799"/>
  <c r="J5800"/>
  <c r="J5801"/>
  <c r="J5802"/>
  <c r="J5803"/>
  <c r="J5804"/>
  <c r="J5805"/>
  <c r="J5806"/>
  <c r="J5807"/>
  <c r="J5808"/>
  <c r="J5809"/>
  <c r="J5810"/>
  <c r="J5811"/>
  <c r="J5812"/>
  <c r="J5813"/>
  <c r="J5814"/>
  <c r="J5815"/>
  <c r="J5816"/>
  <c r="J5817"/>
  <c r="J5818"/>
  <c r="J5819"/>
  <c r="J5820"/>
  <c r="J5821"/>
  <c r="J5822"/>
  <c r="J5823"/>
  <c r="J5824"/>
  <c r="J5825"/>
  <c r="J5826"/>
  <c r="J5827"/>
  <c r="J5828"/>
  <c r="J5829"/>
  <c r="J5830"/>
  <c r="J5831"/>
  <c r="J5832"/>
  <c r="J5833"/>
  <c r="J5834"/>
  <c r="J5835"/>
  <c r="J5836"/>
  <c r="J5837"/>
  <c r="J5838"/>
  <c r="J5839"/>
  <c r="J5840"/>
  <c r="J5841"/>
  <c r="J5842"/>
  <c r="J5843"/>
  <c r="J5844"/>
  <c r="J5845"/>
  <c r="J5846"/>
  <c r="J5847"/>
  <c r="J5848"/>
  <c r="J5849"/>
  <c r="J5850"/>
  <c r="J5851"/>
  <c r="J5852"/>
  <c r="J5853"/>
  <c r="J5854"/>
  <c r="J5855"/>
  <c r="J5856"/>
  <c r="J5857"/>
  <c r="J5858"/>
  <c r="J5859"/>
  <c r="J5860"/>
  <c r="J5861"/>
  <c r="J5862"/>
  <c r="J5863"/>
  <c r="J5864"/>
  <c r="J5865"/>
  <c r="J5866"/>
  <c r="J5867"/>
  <c r="J5868"/>
  <c r="J5869"/>
  <c r="J5870"/>
  <c r="J5871"/>
  <c r="J5872"/>
  <c r="J5873"/>
  <c r="J5874"/>
  <c r="J5875"/>
  <c r="J5876"/>
  <c r="J5877"/>
  <c r="J5878"/>
  <c r="J5879"/>
  <c r="J5880"/>
  <c r="J5881"/>
  <c r="J5882"/>
  <c r="J5883"/>
  <c r="J5884"/>
  <c r="J5885"/>
  <c r="J5886"/>
  <c r="J5887"/>
  <c r="J5888"/>
  <c r="J5889"/>
  <c r="J5890"/>
  <c r="J5891"/>
  <c r="J5892"/>
  <c r="J5893"/>
  <c r="J5894"/>
  <c r="J5895"/>
  <c r="J5896"/>
  <c r="J5897"/>
  <c r="J5898"/>
  <c r="J5899"/>
  <c r="J5900"/>
  <c r="J5901"/>
  <c r="J5902"/>
  <c r="J5903"/>
  <c r="J5904"/>
  <c r="J5905"/>
  <c r="J5906"/>
  <c r="J5907"/>
  <c r="J5908"/>
  <c r="J5909"/>
  <c r="J5910"/>
  <c r="J5911"/>
  <c r="J5912"/>
  <c r="J5913"/>
  <c r="J5914"/>
  <c r="J5915"/>
  <c r="J5916"/>
  <c r="J5917"/>
  <c r="J5918"/>
  <c r="J5919"/>
  <c r="J5920"/>
  <c r="J5921"/>
  <c r="J5922"/>
  <c r="J5923"/>
  <c r="J5924"/>
  <c r="J5925"/>
  <c r="J5926"/>
  <c r="J5927"/>
  <c r="J5928"/>
  <c r="J5929"/>
  <c r="J5930"/>
  <c r="J5931"/>
  <c r="J5932"/>
  <c r="J5933"/>
  <c r="J5934"/>
  <c r="J5935"/>
  <c r="J5936"/>
  <c r="J5937"/>
  <c r="J5938"/>
  <c r="J5939"/>
  <c r="J5940"/>
  <c r="J5941"/>
  <c r="J5942"/>
  <c r="J5943"/>
  <c r="J5944"/>
  <c r="J5945"/>
  <c r="J5946"/>
  <c r="J5947"/>
  <c r="J5948"/>
  <c r="J5949"/>
  <c r="J5950"/>
  <c r="J5951"/>
  <c r="J5952"/>
  <c r="J5953"/>
  <c r="J2"/>
  <c r="B5953"/>
  <c r="D5953" s="1"/>
  <c r="A5953"/>
  <c r="C5953" s="1"/>
  <c r="B5952"/>
  <c r="D5952" s="1"/>
  <c r="A5952"/>
  <c r="C5952" s="1"/>
  <c r="B5951"/>
  <c r="D5951" s="1"/>
  <c r="A5951"/>
  <c r="C5951" s="1"/>
  <c r="B5950"/>
  <c r="D5950" s="1"/>
  <c r="A5950"/>
  <c r="C5950" s="1"/>
  <c r="B5949"/>
  <c r="D5949" s="1"/>
  <c r="A5949"/>
  <c r="C5949" s="1"/>
  <c r="B5948"/>
  <c r="D5948" s="1"/>
  <c r="A5948"/>
  <c r="C5948" s="1"/>
  <c r="B5947"/>
  <c r="D5947" s="1"/>
  <c r="A5947"/>
  <c r="C5947" s="1"/>
  <c r="B5946"/>
  <c r="D5946" s="1"/>
  <c r="A5946"/>
  <c r="C5946" s="1"/>
  <c r="B5945"/>
  <c r="D5945" s="1"/>
  <c r="A5945"/>
  <c r="C5945" s="1"/>
  <c r="B5944"/>
  <c r="D5944" s="1"/>
  <c r="A5944"/>
  <c r="C5944" s="1"/>
  <c r="B5943"/>
  <c r="D5943" s="1"/>
  <c r="A5943"/>
  <c r="C5943" s="1"/>
  <c r="B5942"/>
  <c r="D5942" s="1"/>
  <c r="A5942"/>
  <c r="C5942" s="1"/>
  <c r="B5941"/>
  <c r="D5941" s="1"/>
  <c r="A5941"/>
  <c r="C5941" s="1"/>
  <c r="B5940"/>
  <c r="D5940" s="1"/>
  <c r="A5940"/>
  <c r="C5940" s="1"/>
  <c r="B5939"/>
  <c r="D5939" s="1"/>
  <c r="A5939"/>
  <c r="C5939" s="1"/>
  <c r="B5938"/>
  <c r="D5938" s="1"/>
  <c r="A5938"/>
  <c r="C5938" s="1"/>
  <c r="B5937"/>
  <c r="D5937" s="1"/>
  <c r="A5937"/>
  <c r="C5937" s="1"/>
  <c r="B5936"/>
  <c r="D5936" s="1"/>
  <c r="A5936"/>
  <c r="C5936" s="1"/>
  <c r="B5935"/>
  <c r="D5935" s="1"/>
  <c r="A5935"/>
  <c r="C5935" s="1"/>
  <c r="B5934"/>
  <c r="D5934" s="1"/>
  <c r="A5934"/>
  <c r="C5934" s="1"/>
  <c r="B5933"/>
  <c r="D5933" s="1"/>
  <c r="A5933"/>
  <c r="C5933" s="1"/>
  <c r="B5932"/>
  <c r="D5932" s="1"/>
  <c r="A5932"/>
  <c r="C5932" s="1"/>
  <c r="B5931"/>
  <c r="D5931" s="1"/>
  <c r="A5931"/>
  <c r="C5931" s="1"/>
  <c r="B5930"/>
  <c r="D5930" s="1"/>
  <c r="A5930"/>
  <c r="C5930" s="1"/>
  <c r="B5929"/>
  <c r="D5929" s="1"/>
  <c r="A5929"/>
  <c r="C5929" s="1"/>
  <c r="B5928"/>
  <c r="D5928" s="1"/>
  <c r="A5928"/>
  <c r="C5928" s="1"/>
  <c r="B5927"/>
  <c r="D5927" s="1"/>
  <c r="A5927"/>
  <c r="C5927" s="1"/>
  <c r="B5926"/>
  <c r="D5926" s="1"/>
  <c r="A5926"/>
  <c r="C5926" s="1"/>
  <c r="B5925"/>
  <c r="D5925" s="1"/>
  <c r="A5925"/>
  <c r="C5925" s="1"/>
  <c r="B5924"/>
  <c r="D5924" s="1"/>
  <c r="A5924"/>
  <c r="C5924" s="1"/>
  <c r="B5923"/>
  <c r="D5923" s="1"/>
  <c r="A5923"/>
  <c r="C5923" s="1"/>
  <c r="B5922"/>
  <c r="D5922" s="1"/>
  <c r="A5922"/>
  <c r="C5922" s="1"/>
  <c r="B5921"/>
  <c r="D5921" s="1"/>
  <c r="A5921"/>
  <c r="C5921" s="1"/>
  <c r="B5920"/>
  <c r="D5920" s="1"/>
  <c r="A5920"/>
  <c r="C5920" s="1"/>
  <c r="B5919"/>
  <c r="D5919" s="1"/>
  <c r="A5919"/>
  <c r="C5919" s="1"/>
  <c r="B5918"/>
  <c r="D5918" s="1"/>
  <c r="A5918"/>
  <c r="C5918" s="1"/>
  <c r="B5917"/>
  <c r="D5917" s="1"/>
  <c r="A5917"/>
  <c r="C5917" s="1"/>
  <c r="B5916"/>
  <c r="D5916" s="1"/>
  <c r="A5916"/>
  <c r="C5916" s="1"/>
  <c r="B5915"/>
  <c r="D5915" s="1"/>
  <c r="A5915"/>
  <c r="C5915" s="1"/>
  <c r="B5914"/>
  <c r="D5914" s="1"/>
  <c r="A5914"/>
  <c r="C5914" s="1"/>
  <c r="B5913"/>
  <c r="D5913" s="1"/>
  <c r="A5913"/>
  <c r="C5913" s="1"/>
  <c r="B5912"/>
  <c r="D5912" s="1"/>
  <c r="A5912"/>
  <c r="C5912" s="1"/>
  <c r="B5911"/>
  <c r="D5911" s="1"/>
  <c r="A5911"/>
  <c r="C5911" s="1"/>
  <c r="B5910"/>
  <c r="D5910" s="1"/>
  <c r="A5910"/>
  <c r="C5910" s="1"/>
  <c r="B5909"/>
  <c r="D5909" s="1"/>
  <c r="A5909"/>
  <c r="C5909" s="1"/>
  <c r="B5908"/>
  <c r="D5908" s="1"/>
  <c r="A5908"/>
  <c r="C5908" s="1"/>
  <c r="B5907"/>
  <c r="D5907" s="1"/>
  <c r="A5907"/>
  <c r="C5907" s="1"/>
  <c r="B5906"/>
  <c r="D5906" s="1"/>
  <c r="A5906"/>
  <c r="C5906" s="1"/>
  <c r="B5905"/>
  <c r="D5905" s="1"/>
  <c r="A5905"/>
  <c r="C5905" s="1"/>
  <c r="B5904"/>
  <c r="D5904" s="1"/>
  <c r="A5904"/>
  <c r="C5904" s="1"/>
  <c r="B5903"/>
  <c r="D5903" s="1"/>
  <c r="A5903"/>
  <c r="C5903" s="1"/>
  <c r="B5902"/>
  <c r="D5902" s="1"/>
  <c r="A5902"/>
  <c r="C5902" s="1"/>
  <c r="B5901"/>
  <c r="D5901" s="1"/>
  <c r="A5901"/>
  <c r="C5901" s="1"/>
  <c r="B5900"/>
  <c r="D5900" s="1"/>
  <c r="A5900"/>
  <c r="C5900" s="1"/>
  <c r="B5899"/>
  <c r="D5899" s="1"/>
  <c r="A5899"/>
  <c r="C5899" s="1"/>
  <c r="B5898"/>
  <c r="D5898" s="1"/>
  <c r="A5898"/>
  <c r="C5898" s="1"/>
  <c r="B5897"/>
  <c r="D5897" s="1"/>
  <c r="A5897"/>
  <c r="C5897" s="1"/>
  <c r="B5896"/>
  <c r="D5896" s="1"/>
  <c r="A5896"/>
  <c r="C5896" s="1"/>
  <c r="B5895"/>
  <c r="D5895" s="1"/>
  <c r="A5895"/>
  <c r="C5895" s="1"/>
  <c r="B5894"/>
  <c r="D5894" s="1"/>
  <c r="A5894"/>
  <c r="C5894" s="1"/>
  <c r="B5893"/>
  <c r="D5893" s="1"/>
  <c r="A5893"/>
  <c r="C5893" s="1"/>
  <c r="B5892"/>
  <c r="D5892" s="1"/>
  <c r="A5892"/>
  <c r="C5892" s="1"/>
  <c r="B5891"/>
  <c r="D5891" s="1"/>
  <c r="A5891"/>
  <c r="C5891" s="1"/>
  <c r="B5890"/>
  <c r="D5890" s="1"/>
  <c r="A5890"/>
  <c r="C5890" s="1"/>
  <c r="B5889"/>
  <c r="D5889" s="1"/>
  <c r="A5889"/>
  <c r="C5889" s="1"/>
  <c r="B5888"/>
  <c r="D5888" s="1"/>
  <c r="A5888"/>
  <c r="C5888" s="1"/>
  <c r="B5887"/>
  <c r="D5887" s="1"/>
  <c r="A5887"/>
  <c r="C5887" s="1"/>
  <c r="B5886"/>
  <c r="D5886" s="1"/>
  <c r="A5886"/>
  <c r="C5886" s="1"/>
  <c r="B5885"/>
  <c r="D5885" s="1"/>
  <c r="A5885"/>
  <c r="C5885" s="1"/>
  <c r="B5884"/>
  <c r="D5884" s="1"/>
  <c r="A5884"/>
  <c r="C5884" s="1"/>
  <c r="B5883"/>
  <c r="D5883" s="1"/>
  <c r="A5883"/>
  <c r="C5883" s="1"/>
  <c r="B5882"/>
  <c r="D5882" s="1"/>
  <c r="A5882"/>
  <c r="C5882" s="1"/>
  <c r="B5881"/>
  <c r="D5881" s="1"/>
  <c r="A5881"/>
  <c r="C5881" s="1"/>
  <c r="B5880"/>
  <c r="D5880" s="1"/>
  <c r="A5880"/>
  <c r="C5880" s="1"/>
  <c r="B5879"/>
  <c r="D5879" s="1"/>
  <c r="A5879"/>
  <c r="C5879" s="1"/>
  <c r="B5878"/>
  <c r="D5878" s="1"/>
  <c r="A5878"/>
  <c r="C5878" s="1"/>
  <c r="B5877"/>
  <c r="D5877" s="1"/>
  <c r="A5877"/>
  <c r="C5877" s="1"/>
  <c r="B5876"/>
  <c r="D5876" s="1"/>
  <c r="A5876"/>
  <c r="C5876" s="1"/>
  <c r="B5875"/>
  <c r="D5875" s="1"/>
  <c r="A5875"/>
  <c r="C5875" s="1"/>
  <c r="B5874"/>
  <c r="D5874" s="1"/>
  <c r="A5874"/>
  <c r="C5874" s="1"/>
  <c r="B5873"/>
  <c r="D5873" s="1"/>
  <c r="A5873"/>
  <c r="C5873" s="1"/>
  <c r="B5872"/>
  <c r="D5872" s="1"/>
  <c r="A5872"/>
  <c r="C5872" s="1"/>
  <c r="B5871"/>
  <c r="D5871" s="1"/>
  <c r="A5871"/>
  <c r="C5871" s="1"/>
  <c r="B5870"/>
  <c r="D5870" s="1"/>
  <c r="A5870"/>
  <c r="C5870" s="1"/>
  <c r="B5869"/>
  <c r="D5869" s="1"/>
  <c r="A5869"/>
  <c r="C5869" s="1"/>
  <c r="B5868"/>
  <c r="D5868" s="1"/>
  <c r="A5868"/>
  <c r="C5868" s="1"/>
  <c r="B5867"/>
  <c r="D5867" s="1"/>
  <c r="A5867"/>
  <c r="C5867" s="1"/>
  <c r="B5866"/>
  <c r="D5866" s="1"/>
  <c r="A5866"/>
  <c r="C5866" s="1"/>
  <c r="B5865"/>
  <c r="D5865" s="1"/>
  <c r="A5865"/>
  <c r="C5865" s="1"/>
  <c r="B5864"/>
  <c r="D5864" s="1"/>
  <c r="A5864"/>
  <c r="C5864" s="1"/>
  <c r="B5863"/>
  <c r="D5863" s="1"/>
  <c r="A5863"/>
  <c r="C5863" s="1"/>
  <c r="B5862"/>
  <c r="D5862" s="1"/>
  <c r="A5862"/>
  <c r="C5862" s="1"/>
  <c r="B5861"/>
  <c r="D5861" s="1"/>
  <c r="A5861"/>
  <c r="C5861" s="1"/>
  <c r="B5860"/>
  <c r="D5860" s="1"/>
  <c r="A5860"/>
  <c r="C5860" s="1"/>
  <c r="B5859"/>
  <c r="D5859" s="1"/>
  <c r="A5859"/>
  <c r="C5859" s="1"/>
  <c r="B5858"/>
  <c r="D5858" s="1"/>
  <c r="A5858"/>
  <c r="C5858" s="1"/>
  <c r="B5857"/>
  <c r="D5857" s="1"/>
  <c r="A5857"/>
  <c r="C5857" s="1"/>
  <c r="B5856"/>
  <c r="D5856" s="1"/>
  <c r="A5856"/>
  <c r="C5856" s="1"/>
  <c r="B5855"/>
  <c r="D5855" s="1"/>
  <c r="A5855"/>
  <c r="C5855" s="1"/>
  <c r="B5854"/>
  <c r="D5854" s="1"/>
  <c r="A5854"/>
  <c r="C5854" s="1"/>
  <c r="B5853"/>
  <c r="D5853" s="1"/>
  <c r="A5853"/>
  <c r="C5853" s="1"/>
  <c r="B5852"/>
  <c r="D5852" s="1"/>
  <c r="A5852"/>
  <c r="C5852" s="1"/>
  <c r="B5851"/>
  <c r="D5851" s="1"/>
  <c r="A5851"/>
  <c r="C5851" s="1"/>
  <c r="B5850"/>
  <c r="D5850" s="1"/>
  <c r="A5850"/>
  <c r="C5850" s="1"/>
  <c r="B5849"/>
  <c r="D5849" s="1"/>
  <c r="A5849"/>
  <c r="C5849" s="1"/>
  <c r="B5848"/>
  <c r="D5848" s="1"/>
  <c r="A5848"/>
  <c r="C5848" s="1"/>
  <c r="B5847"/>
  <c r="D5847" s="1"/>
  <c r="A5847"/>
  <c r="C5847" s="1"/>
  <c r="B5846"/>
  <c r="D5846" s="1"/>
  <c r="A5846"/>
  <c r="C5846" s="1"/>
  <c r="B5845"/>
  <c r="D5845" s="1"/>
  <c r="A5845"/>
  <c r="C5845" s="1"/>
  <c r="B5844"/>
  <c r="D5844" s="1"/>
  <c r="A5844"/>
  <c r="C5844" s="1"/>
  <c r="B5843"/>
  <c r="D5843" s="1"/>
  <c r="A5843"/>
  <c r="C5843" s="1"/>
  <c r="B5842"/>
  <c r="D5842" s="1"/>
  <c r="A5842"/>
  <c r="C5842" s="1"/>
  <c r="B5841"/>
  <c r="D5841" s="1"/>
  <c r="A5841"/>
  <c r="C5841" s="1"/>
  <c r="B5840"/>
  <c r="D5840" s="1"/>
  <c r="A5840"/>
  <c r="C5840" s="1"/>
  <c r="B5839"/>
  <c r="D5839" s="1"/>
  <c r="A5839"/>
  <c r="C5839" s="1"/>
  <c r="B5838"/>
  <c r="D5838" s="1"/>
  <c r="A5838"/>
  <c r="C5838" s="1"/>
  <c r="B5837"/>
  <c r="D5837" s="1"/>
  <c r="A5837"/>
  <c r="C5837" s="1"/>
  <c r="B5836"/>
  <c r="D5836" s="1"/>
  <c r="A5836"/>
  <c r="C5836" s="1"/>
  <c r="B5835"/>
  <c r="D5835" s="1"/>
  <c r="A5835"/>
  <c r="C5835" s="1"/>
  <c r="B5834"/>
  <c r="D5834" s="1"/>
  <c r="A5834"/>
  <c r="C5834" s="1"/>
  <c r="B5833"/>
  <c r="D5833" s="1"/>
  <c r="A5833"/>
  <c r="C5833" s="1"/>
  <c r="B5832"/>
  <c r="D5832" s="1"/>
  <c r="A5832"/>
  <c r="C5832" s="1"/>
  <c r="B5831"/>
  <c r="D5831" s="1"/>
  <c r="A5831"/>
  <c r="C5831" s="1"/>
  <c r="B5830"/>
  <c r="D5830" s="1"/>
  <c r="A5830"/>
  <c r="C5830" s="1"/>
  <c r="B5829"/>
  <c r="D5829" s="1"/>
  <c r="A5829"/>
  <c r="C5829" s="1"/>
  <c r="B5828"/>
  <c r="D5828" s="1"/>
  <c r="A5828"/>
  <c r="C5828" s="1"/>
  <c r="B5827"/>
  <c r="D5827" s="1"/>
  <c r="A5827"/>
  <c r="C5827" s="1"/>
  <c r="B5826"/>
  <c r="D5826" s="1"/>
  <c r="A5826"/>
  <c r="C5826" s="1"/>
  <c r="B5825"/>
  <c r="D5825" s="1"/>
  <c r="A5825"/>
  <c r="C5825" s="1"/>
  <c r="B5824"/>
  <c r="D5824" s="1"/>
  <c r="A5824"/>
  <c r="C5824" s="1"/>
  <c r="B5823"/>
  <c r="D5823" s="1"/>
  <c r="A5823"/>
  <c r="C5823" s="1"/>
  <c r="B5822"/>
  <c r="D5822" s="1"/>
  <c r="A5822"/>
  <c r="C5822" s="1"/>
  <c r="B5821"/>
  <c r="D5821" s="1"/>
  <c r="A5821"/>
  <c r="C5821" s="1"/>
  <c r="B5820"/>
  <c r="D5820" s="1"/>
  <c r="A5820"/>
  <c r="C5820" s="1"/>
  <c r="B5819"/>
  <c r="D5819" s="1"/>
  <c r="A5819"/>
  <c r="C5819" s="1"/>
  <c r="B5818"/>
  <c r="D5818" s="1"/>
  <c r="A5818"/>
  <c r="C5818" s="1"/>
  <c r="B5817"/>
  <c r="D5817" s="1"/>
  <c r="A5817"/>
  <c r="C5817" s="1"/>
  <c r="B5816"/>
  <c r="D5816" s="1"/>
  <c r="A5816"/>
  <c r="C5816" s="1"/>
  <c r="B5815"/>
  <c r="D5815" s="1"/>
  <c r="A5815"/>
  <c r="C5815" s="1"/>
  <c r="B5814"/>
  <c r="D5814" s="1"/>
  <c r="A5814"/>
  <c r="C5814" s="1"/>
  <c r="B5813"/>
  <c r="D5813" s="1"/>
  <c r="A5813"/>
  <c r="C5813" s="1"/>
  <c r="B5812"/>
  <c r="D5812" s="1"/>
  <c r="A5812"/>
  <c r="C5812" s="1"/>
  <c r="B5811"/>
  <c r="D5811" s="1"/>
  <c r="A5811"/>
  <c r="C5811" s="1"/>
  <c r="B5810"/>
  <c r="D5810" s="1"/>
  <c r="A5810"/>
  <c r="C5810" s="1"/>
  <c r="B5809"/>
  <c r="D5809" s="1"/>
  <c r="A5809"/>
  <c r="C5809" s="1"/>
  <c r="B5808"/>
  <c r="D5808" s="1"/>
  <c r="A5808"/>
  <c r="C5808" s="1"/>
  <c r="B5807"/>
  <c r="D5807" s="1"/>
  <c r="A5807"/>
  <c r="C5807" s="1"/>
  <c r="B5806"/>
  <c r="D5806" s="1"/>
  <c r="A5806"/>
  <c r="C5806" s="1"/>
  <c r="B5805"/>
  <c r="D5805" s="1"/>
  <c r="A5805"/>
  <c r="C5805" s="1"/>
  <c r="B5804"/>
  <c r="D5804" s="1"/>
  <c r="A5804"/>
  <c r="C5804" s="1"/>
  <c r="B5803"/>
  <c r="D5803" s="1"/>
  <c r="A5803"/>
  <c r="C5803" s="1"/>
  <c r="B5802"/>
  <c r="D5802" s="1"/>
  <c r="A5802"/>
  <c r="C5802" s="1"/>
  <c r="B5801"/>
  <c r="D5801" s="1"/>
  <c r="A5801"/>
  <c r="C5801" s="1"/>
  <c r="B5800"/>
  <c r="D5800" s="1"/>
  <c r="A5800"/>
  <c r="C5800" s="1"/>
  <c r="B5799"/>
  <c r="D5799" s="1"/>
  <c r="A5799"/>
  <c r="C5799" s="1"/>
  <c r="B5798"/>
  <c r="D5798" s="1"/>
  <c r="A5798"/>
  <c r="C5798" s="1"/>
  <c r="B5797"/>
  <c r="D5797" s="1"/>
  <c r="A5797"/>
  <c r="C5797" s="1"/>
  <c r="B5796"/>
  <c r="D5796" s="1"/>
  <c r="A5796"/>
  <c r="C5796" s="1"/>
  <c r="B5795"/>
  <c r="D5795" s="1"/>
  <c r="A5795"/>
  <c r="C5795" s="1"/>
  <c r="B5794"/>
  <c r="D5794" s="1"/>
  <c r="A5794"/>
  <c r="C5794" s="1"/>
  <c r="B5793"/>
  <c r="D5793" s="1"/>
  <c r="A5793"/>
  <c r="C5793" s="1"/>
  <c r="B5792"/>
  <c r="D5792" s="1"/>
  <c r="A5792"/>
  <c r="C5792" s="1"/>
  <c r="B5791"/>
  <c r="D5791" s="1"/>
  <c r="A5791"/>
  <c r="C5791" s="1"/>
  <c r="B5790"/>
  <c r="D5790" s="1"/>
  <c r="A5790"/>
  <c r="C5790" s="1"/>
  <c r="B5789"/>
  <c r="D5789" s="1"/>
  <c r="A5789"/>
  <c r="C5789" s="1"/>
  <c r="B5788"/>
  <c r="D5788" s="1"/>
  <c r="A5788"/>
  <c r="C5788" s="1"/>
  <c r="B5787"/>
  <c r="D5787" s="1"/>
  <c r="A5787"/>
  <c r="C5787" s="1"/>
  <c r="B5786"/>
  <c r="D5786" s="1"/>
  <c r="A5786"/>
  <c r="C5786" s="1"/>
  <c r="B5785"/>
  <c r="D5785" s="1"/>
  <c r="A5785"/>
  <c r="C5785" s="1"/>
  <c r="B5784"/>
  <c r="D5784" s="1"/>
  <c r="A5784"/>
  <c r="C5784" s="1"/>
  <c r="B5783"/>
  <c r="D5783" s="1"/>
  <c r="A5783"/>
  <c r="C5783" s="1"/>
  <c r="B5782"/>
  <c r="D5782" s="1"/>
  <c r="A5782"/>
  <c r="C5782" s="1"/>
  <c r="B5781"/>
  <c r="D5781" s="1"/>
  <c r="A5781"/>
  <c r="C5781" s="1"/>
  <c r="B5780"/>
  <c r="D5780" s="1"/>
  <c r="A5780"/>
  <c r="C5780" s="1"/>
  <c r="B5779"/>
  <c r="D5779" s="1"/>
  <c r="A5779"/>
  <c r="C5779" s="1"/>
  <c r="B5778"/>
  <c r="D5778" s="1"/>
  <c r="A5778"/>
  <c r="C5778" s="1"/>
  <c r="B5777"/>
  <c r="D5777" s="1"/>
  <c r="A5777"/>
  <c r="C5777" s="1"/>
  <c r="B5776"/>
  <c r="D5776" s="1"/>
  <c r="A5776"/>
  <c r="C5776" s="1"/>
  <c r="B5775"/>
  <c r="D5775" s="1"/>
  <c r="A5775"/>
  <c r="C5775" s="1"/>
  <c r="B5774"/>
  <c r="D5774" s="1"/>
  <c r="A5774"/>
  <c r="C5774" s="1"/>
  <c r="B5773"/>
  <c r="D5773" s="1"/>
  <c r="A5773"/>
  <c r="C5773" s="1"/>
  <c r="B5772"/>
  <c r="D5772" s="1"/>
  <c r="A5772"/>
  <c r="C5772" s="1"/>
  <c r="B5771"/>
  <c r="D5771" s="1"/>
  <c r="A5771"/>
  <c r="C5771" s="1"/>
  <c r="B5770"/>
  <c r="D5770" s="1"/>
  <c r="A5770"/>
  <c r="C5770" s="1"/>
  <c r="B5769"/>
  <c r="D5769" s="1"/>
  <c r="A5769"/>
  <c r="C5769" s="1"/>
  <c r="B5768"/>
  <c r="D5768" s="1"/>
  <c r="A5768"/>
  <c r="C5768" s="1"/>
  <c r="B5767"/>
  <c r="D5767" s="1"/>
  <c r="A5767"/>
  <c r="C5767" s="1"/>
  <c r="B5766"/>
  <c r="D5766" s="1"/>
  <c r="A5766"/>
  <c r="C5766" s="1"/>
  <c r="B5765"/>
  <c r="D5765" s="1"/>
  <c r="A5765"/>
  <c r="C5765" s="1"/>
  <c r="B5764"/>
  <c r="D5764" s="1"/>
  <c r="A5764"/>
  <c r="C5764" s="1"/>
  <c r="B5763"/>
  <c r="D5763" s="1"/>
  <c r="A5763"/>
  <c r="C5763" s="1"/>
  <c r="B5762"/>
  <c r="D5762" s="1"/>
  <c r="A5762"/>
  <c r="C5762" s="1"/>
  <c r="B5761"/>
  <c r="D5761" s="1"/>
  <c r="A5761"/>
  <c r="C5761" s="1"/>
  <c r="B5760"/>
  <c r="D5760" s="1"/>
  <c r="A5760"/>
  <c r="C5760" s="1"/>
  <c r="B5759"/>
  <c r="D5759" s="1"/>
  <c r="A5759"/>
  <c r="C5759" s="1"/>
  <c r="B5758"/>
  <c r="D5758" s="1"/>
  <c r="A5758"/>
  <c r="C5758" s="1"/>
  <c r="B5757"/>
  <c r="D5757" s="1"/>
  <c r="A5757"/>
  <c r="C5757" s="1"/>
  <c r="B5756"/>
  <c r="D5756" s="1"/>
  <c r="A5756"/>
  <c r="C5756" s="1"/>
  <c r="B5755"/>
  <c r="D5755" s="1"/>
  <c r="A5755"/>
  <c r="C5755" s="1"/>
  <c r="B5754"/>
  <c r="D5754" s="1"/>
  <c r="A5754"/>
  <c r="C5754" s="1"/>
  <c r="B5753"/>
  <c r="D5753" s="1"/>
  <c r="A5753"/>
  <c r="C5753" s="1"/>
  <c r="B5752"/>
  <c r="D5752" s="1"/>
  <c r="A5752"/>
  <c r="C5752" s="1"/>
  <c r="B5751"/>
  <c r="D5751" s="1"/>
  <c r="A5751"/>
  <c r="C5751" s="1"/>
  <c r="B5750"/>
  <c r="D5750" s="1"/>
  <c r="A5750"/>
  <c r="C5750" s="1"/>
  <c r="B5749"/>
  <c r="D5749" s="1"/>
  <c r="A5749"/>
  <c r="C5749" s="1"/>
  <c r="B5748"/>
  <c r="D5748" s="1"/>
  <c r="A5748"/>
  <c r="C5748" s="1"/>
  <c r="B5747"/>
  <c r="D5747" s="1"/>
  <c r="A5747"/>
  <c r="C5747" s="1"/>
  <c r="B5746"/>
  <c r="D5746" s="1"/>
  <c r="A5746"/>
  <c r="C5746" s="1"/>
  <c r="B5745"/>
  <c r="D5745" s="1"/>
  <c r="A5745"/>
  <c r="C5745" s="1"/>
  <c r="B5744"/>
  <c r="D5744" s="1"/>
  <c r="A5744"/>
  <c r="C5744" s="1"/>
  <c r="B5743"/>
  <c r="D5743" s="1"/>
  <c r="A5743"/>
  <c r="C5743" s="1"/>
  <c r="B5742"/>
  <c r="D5742" s="1"/>
  <c r="A5742"/>
  <c r="C5742" s="1"/>
  <c r="B5741"/>
  <c r="D5741" s="1"/>
  <c r="A5741"/>
  <c r="C5741" s="1"/>
  <c r="B5740"/>
  <c r="D5740" s="1"/>
  <c r="A5740"/>
  <c r="C5740" s="1"/>
  <c r="B5739"/>
  <c r="D5739" s="1"/>
  <c r="A5739"/>
  <c r="C5739" s="1"/>
  <c r="B5738"/>
  <c r="D5738" s="1"/>
  <c r="A5738"/>
  <c r="C5738" s="1"/>
  <c r="B5737"/>
  <c r="D5737" s="1"/>
  <c r="A5737"/>
  <c r="C5737" s="1"/>
  <c r="B5736"/>
  <c r="D5736" s="1"/>
  <c r="A5736"/>
  <c r="C5736" s="1"/>
  <c r="B5735"/>
  <c r="D5735" s="1"/>
  <c r="A5735"/>
  <c r="C5735" s="1"/>
  <c r="B5734"/>
  <c r="D5734" s="1"/>
  <c r="A5734"/>
  <c r="C5734" s="1"/>
  <c r="B5733"/>
  <c r="D5733" s="1"/>
  <c r="A5733"/>
  <c r="C5733" s="1"/>
  <c r="B5732"/>
  <c r="D5732" s="1"/>
  <c r="A5732"/>
  <c r="C5732" s="1"/>
  <c r="B5731"/>
  <c r="D5731" s="1"/>
  <c r="A5731"/>
  <c r="C5731" s="1"/>
  <c r="B5730"/>
  <c r="D5730" s="1"/>
  <c r="A5730"/>
  <c r="C5730" s="1"/>
  <c r="B5729"/>
  <c r="D5729" s="1"/>
  <c r="A5729"/>
  <c r="C5729" s="1"/>
  <c r="B5728"/>
  <c r="D5728" s="1"/>
  <c r="A5728"/>
  <c r="C5728" s="1"/>
  <c r="B5727"/>
  <c r="D5727" s="1"/>
  <c r="A5727"/>
  <c r="C5727" s="1"/>
  <c r="B5726"/>
  <c r="D5726" s="1"/>
  <c r="A5726"/>
  <c r="C5726" s="1"/>
  <c r="B5725"/>
  <c r="D5725" s="1"/>
  <c r="A5725"/>
  <c r="C5725" s="1"/>
  <c r="B5724"/>
  <c r="D5724" s="1"/>
  <c r="A5724"/>
  <c r="C5724" s="1"/>
  <c r="B5723"/>
  <c r="D5723" s="1"/>
  <c r="A5723"/>
  <c r="C5723" s="1"/>
  <c r="B5722"/>
  <c r="D5722" s="1"/>
  <c r="A5722"/>
  <c r="C5722" s="1"/>
  <c r="B5721"/>
  <c r="D5721" s="1"/>
  <c r="A5721"/>
  <c r="C5721" s="1"/>
  <c r="B5720"/>
  <c r="D5720" s="1"/>
  <c r="A5720"/>
  <c r="C5720" s="1"/>
  <c r="B5719"/>
  <c r="D5719" s="1"/>
  <c r="A5719"/>
  <c r="C5719" s="1"/>
  <c r="B5718"/>
  <c r="D5718" s="1"/>
  <c r="A5718"/>
  <c r="C5718" s="1"/>
  <c r="B5717"/>
  <c r="D5717" s="1"/>
  <c r="A5717"/>
  <c r="C5717" s="1"/>
  <c r="B5716"/>
  <c r="D5716" s="1"/>
  <c r="A5716"/>
  <c r="C5716" s="1"/>
  <c r="B5715"/>
  <c r="D5715" s="1"/>
  <c r="A5715"/>
  <c r="C5715" s="1"/>
  <c r="B5714"/>
  <c r="D5714" s="1"/>
  <c r="A5714"/>
  <c r="C5714" s="1"/>
  <c r="B5713"/>
  <c r="D5713" s="1"/>
  <c r="A5713"/>
  <c r="C5713" s="1"/>
  <c r="B5712"/>
  <c r="D5712" s="1"/>
  <c r="A5712"/>
  <c r="C5712" s="1"/>
  <c r="B5711"/>
  <c r="D5711" s="1"/>
  <c r="A5711"/>
  <c r="C5711" s="1"/>
  <c r="B5710"/>
  <c r="D5710" s="1"/>
  <c r="A5710"/>
  <c r="C5710" s="1"/>
  <c r="B5709"/>
  <c r="D5709" s="1"/>
  <c r="A5709"/>
  <c r="C5709" s="1"/>
  <c r="B5708"/>
  <c r="D5708" s="1"/>
  <c r="A5708"/>
  <c r="C5708" s="1"/>
  <c r="B5707"/>
  <c r="D5707" s="1"/>
  <c r="A5707"/>
  <c r="C5707" s="1"/>
  <c r="B5706"/>
  <c r="D5706" s="1"/>
  <c r="A5706"/>
  <c r="C5706" s="1"/>
  <c r="B5705"/>
  <c r="D5705" s="1"/>
  <c r="A5705"/>
  <c r="C5705" s="1"/>
  <c r="B5704"/>
  <c r="D5704" s="1"/>
  <c r="A5704"/>
  <c r="C5704" s="1"/>
  <c r="B5703"/>
  <c r="D5703" s="1"/>
  <c r="A5703"/>
  <c r="C5703" s="1"/>
  <c r="B5702"/>
  <c r="D5702" s="1"/>
  <c r="A5702"/>
  <c r="C5702" s="1"/>
  <c r="B5701"/>
  <c r="D5701" s="1"/>
  <c r="A5701"/>
  <c r="C5701" s="1"/>
  <c r="B5700"/>
  <c r="D5700" s="1"/>
  <c r="A5700"/>
  <c r="C5700" s="1"/>
  <c r="B5699"/>
  <c r="D5699" s="1"/>
  <c r="A5699"/>
  <c r="C5699" s="1"/>
  <c r="B5698"/>
  <c r="D5698" s="1"/>
  <c r="A5698"/>
  <c r="C5698" s="1"/>
  <c r="B5697"/>
  <c r="D5697" s="1"/>
  <c r="A5697"/>
  <c r="C5697" s="1"/>
  <c r="B5696"/>
  <c r="D5696" s="1"/>
  <c r="A5696"/>
  <c r="C5696" s="1"/>
  <c r="B5695"/>
  <c r="D5695" s="1"/>
  <c r="A5695"/>
  <c r="C5695" s="1"/>
  <c r="B5694"/>
  <c r="D5694" s="1"/>
  <c r="A5694"/>
  <c r="C5694" s="1"/>
  <c r="B5693"/>
  <c r="D5693" s="1"/>
  <c r="A5693"/>
  <c r="C5693" s="1"/>
  <c r="B5692"/>
  <c r="D5692" s="1"/>
  <c r="A5692"/>
  <c r="C5692" s="1"/>
  <c r="B5691"/>
  <c r="D5691" s="1"/>
  <c r="A5691"/>
  <c r="C5691" s="1"/>
  <c r="B5690"/>
  <c r="D5690" s="1"/>
  <c r="A5690"/>
  <c r="C5690" s="1"/>
  <c r="B5689"/>
  <c r="D5689" s="1"/>
  <c r="A5689"/>
  <c r="C5689" s="1"/>
  <c r="B5688"/>
  <c r="D5688" s="1"/>
  <c r="A5688"/>
  <c r="C5688" s="1"/>
  <c r="B5687"/>
  <c r="D5687" s="1"/>
  <c r="A5687"/>
  <c r="C5687" s="1"/>
  <c r="B5686"/>
  <c r="D5686" s="1"/>
  <c r="A5686"/>
  <c r="C5686" s="1"/>
  <c r="B5685"/>
  <c r="D5685" s="1"/>
  <c r="A5685"/>
  <c r="C5685" s="1"/>
  <c r="B5684"/>
  <c r="D5684" s="1"/>
  <c r="A5684"/>
  <c r="C5684" s="1"/>
  <c r="B5683"/>
  <c r="D5683" s="1"/>
  <c r="A5683"/>
  <c r="C5683" s="1"/>
  <c r="B5682"/>
  <c r="D5682" s="1"/>
  <c r="A5682"/>
  <c r="C5682" s="1"/>
  <c r="B5681"/>
  <c r="D5681" s="1"/>
  <c r="A5681"/>
  <c r="C5681" s="1"/>
  <c r="B5680"/>
  <c r="D5680" s="1"/>
  <c r="A5680"/>
  <c r="C5680" s="1"/>
  <c r="B5679"/>
  <c r="D5679" s="1"/>
  <c r="A5679"/>
  <c r="C5679" s="1"/>
  <c r="B5678"/>
  <c r="D5678" s="1"/>
  <c r="A5678"/>
  <c r="C5678" s="1"/>
  <c r="B5677"/>
  <c r="D5677" s="1"/>
  <c r="A5677"/>
  <c r="C5677" s="1"/>
  <c r="B5676"/>
  <c r="D5676" s="1"/>
  <c r="A5676"/>
  <c r="C5676" s="1"/>
  <c r="B5675"/>
  <c r="D5675" s="1"/>
  <c r="A5675"/>
  <c r="C5675" s="1"/>
  <c r="B5674"/>
  <c r="D5674" s="1"/>
  <c r="A5674"/>
  <c r="C5674" s="1"/>
  <c r="B5673"/>
  <c r="D5673" s="1"/>
  <c r="A5673"/>
  <c r="C5673" s="1"/>
  <c r="B5672"/>
  <c r="D5672" s="1"/>
  <c r="A5672"/>
  <c r="C5672" s="1"/>
  <c r="B5671"/>
  <c r="D5671" s="1"/>
  <c r="A5671"/>
  <c r="C5671" s="1"/>
  <c r="B5670"/>
  <c r="D5670" s="1"/>
  <c r="A5670"/>
  <c r="C5670" s="1"/>
  <c r="B5669"/>
  <c r="D5669" s="1"/>
  <c r="A5669"/>
  <c r="C5669" s="1"/>
  <c r="B5668"/>
  <c r="D5668" s="1"/>
  <c r="A5668"/>
  <c r="C5668" s="1"/>
  <c r="B5667"/>
  <c r="D5667" s="1"/>
  <c r="A5667"/>
  <c r="C5667" s="1"/>
  <c r="B5666"/>
  <c r="D5666" s="1"/>
  <c r="A5666"/>
  <c r="C5666" s="1"/>
  <c r="B5665"/>
  <c r="D5665" s="1"/>
  <c r="A5665"/>
  <c r="C5665" s="1"/>
  <c r="B5664"/>
  <c r="D5664" s="1"/>
  <c r="A5664"/>
  <c r="C5664" s="1"/>
  <c r="B5663"/>
  <c r="D5663" s="1"/>
  <c r="A5663"/>
  <c r="C5663" s="1"/>
  <c r="B5662"/>
  <c r="D5662" s="1"/>
  <c r="A5662"/>
  <c r="C5662" s="1"/>
  <c r="B5661"/>
  <c r="D5661" s="1"/>
  <c r="A5661"/>
  <c r="C5661" s="1"/>
  <c r="B5660"/>
  <c r="D5660" s="1"/>
  <c r="A5660"/>
  <c r="C5660" s="1"/>
  <c r="B5659"/>
  <c r="D5659" s="1"/>
  <c r="A5659"/>
  <c r="C5659" s="1"/>
  <c r="B5658"/>
  <c r="D5658" s="1"/>
  <c r="A5658"/>
  <c r="C5658" s="1"/>
  <c r="B5657"/>
  <c r="D5657" s="1"/>
  <c r="A5657"/>
  <c r="C5657" s="1"/>
  <c r="B5656"/>
  <c r="D5656" s="1"/>
  <c r="A5656"/>
  <c r="C5656" s="1"/>
  <c r="B5655"/>
  <c r="D5655" s="1"/>
  <c r="A5655"/>
  <c r="C5655" s="1"/>
  <c r="B5654"/>
  <c r="D5654" s="1"/>
  <c r="A5654"/>
  <c r="C5654" s="1"/>
  <c r="B5653"/>
  <c r="D5653" s="1"/>
  <c r="A5653"/>
  <c r="C5653" s="1"/>
  <c r="B5652"/>
  <c r="D5652" s="1"/>
  <c r="A5652"/>
  <c r="C5652" s="1"/>
  <c r="B5651"/>
  <c r="D5651" s="1"/>
  <c r="A5651"/>
  <c r="C5651" s="1"/>
  <c r="B5650"/>
  <c r="D5650" s="1"/>
  <c r="A5650"/>
  <c r="C5650" s="1"/>
  <c r="B5649"/>
  <c r="D5649" s="1"/>
  <c r="A5649"/>
  <c r="C5649" s="1"/>
  <c r="B5648"/>
  <c r="D5648" s="1"/>
  <c r="A5648"/>
  <c r="C5648" s="1"/>
  <c r="B5647"/>
  <c r="D5647" s="1"/>
  <c r="A5647"/>
  <c r="C5647" s="1"/>
  <c r="B5646"/>
  <c r="D5646" s="1"/>
  <c r="A5646"/>
  <c r="C5646" s="1"/>
  <c r="B5645"/>
  <c r="D5645" s="1"/>
  <c r="A5645"/>
  <c r="C5645" s="1"/>
  <c r="B5644"/>
  <c r="D5644" s="1"/>
  <c r="A5644"/>
  <c r="C5644" s="1"/>
  <c r="B5643"/>
  <c r="D5643" s="1"/>
  <c r="A5643"/>
  <c r="C5643" s="1"/>
  <c r="B5642"/>
  <c r="D5642" s="1"/>
  <c r="A5642"/>
  <c r="C5642" s="1"/>
  <c r="B5641"/>
  <c r="D5641" s="1"/>
  <c r="A5641"/>
  <c r="C5641" s="1"/>
  <c r="B5640"/>
  <c r="D5640" s="1"/>
  <c r="A5640"/>
  <c r="C5640" s="1"/>
  <c r="B5639"/>
  <c r="D5639" s="1"/>
  <c r="A5639"/>
  <c r="C5639" s="1"/>
  <c r="B5638"/>
  <c r="D5638" s="1"/>
  <c r="A5638"/>
  <c r="C5638" s="1"/>
  <c r="B5637"/>
  <c r="D5637" s="1"/>
  <c r="A5637"/>
  <c r="C5637" s="1"/>
  <c r="B5636"/>
  <c r="D5636" s="1"/>
  <c r="A5636"/>
  <c r="C5636" s="1"/>
  <c r="B5635"/>
  <c r="D5635" s="1"/>
  <c r="A5635"/>
  <c r="C5635" s="1"/>
  <c r="B5634"/>
  <c r="D5634" s="1"/>
  <c r="A5634"/>
  <c r="C5634" s="1"/>
  <c r="B5633"/>
  <c r="D5633" s="1"/>
  <c r="A5633"/>
  <c r="C5633" s="1"/>
  <c r="B5632"/>
  <c r="D5632" s="1"/>
  <c r="A5632"/>
  <c r="C5632" s="1"/>
  <c r="B5631"/>
  <c r="D5631" s="1"/>
  <c r="A5631"/>
  <c r="C5631" s="1"/>
  <c r="B5630"/>
  <c r="D5630" s="1"/>
  <c r="A5630"/>
  <c r="C5630" s="1"/>
  <c r="B5629"/>
  <c r="D5629" s="1"/>
  <c r="A5629"/>
  <c r="C5629" s="1"/>
  <c r="B5628"/>
  <c r="D5628" s="1"/>
  <c r="A5628"/>
  <c r="C5628" s="1"/>
  <c r="B5627"/>
  <c r="D5627" s="1"/>
  <c r="A5627"/>
  <c r="C5627" s="1"/>
  <c r="B5626"/>
  <c r="D5626" s="1"/>
  <c r="A5626"/>
  <c r="C5626" s="1"/>
  <c r="B5625"/>
  <c r="D5625" s="1"/>
  <c r="A5625"/>
  <c r="C5625" s="1"/>
  <c r="B5624"/>
  <c r="D5624" s="1"/>
  <c r="A5624"/>
  <c r="C5624" s="1"/>
  <c r="B5623"/>
  <c r="D5623" s="1"/>
  <c r="A5623"/>
  <c r="C5623" s="1"/>
  <c r="B5622"/>
  <c r="D5622" s="1"/>
  <c r="A5622"/>
  <c r="C5622" s="1"/>
  <c r="B5621"/>
  <c r="D5621" s="1"/>
  <c r="A5621"/>
  <c r="C5621" s="1"/>
  <c r="B5620"/>
  <c r="D5620" s="1"/>
  <c r="A5620"/>
  <c r="C5620" s="1"/>
  <c r="B5619"/>
  <c r="D5619" s="1"/>
  <c r="A5619"/>
  <c r="C5619" s="1"/>
  <c r="B5618"/>
  <c r="D5618" s="1"/>
  <c r="A5618"/>
  <c r="C5618" s="1"/>
  <c r="B5617"/>
  <c r="D5617" s="1"/>
  <c r="A5617"/>
  <c r="C5617" s="1"/>
  <c r="B5616"/>
  <c r="D5616" s="1"/>
  <c r="A5616"/>
  <c r="C5616" s="1"/>
  <c r="B5615"/>
  <c r="D5615" s="1"/>
  <c r="A5615"/>
  <c r="C5615" s="1"/>
  <c r="B5614"/>
  <c r="D5614" s="1"/>
  <c r="A5614"/>
  <c r="C5614" s="1"/>
  <c r="B5613"/>
  <c r="D5613" s="1"/>
  <c r="A5613"/>
  <c r="C5613" s="1"/>
  <c r="B5612"/>
  <c r="D5612" s="1"/>
  <c r="A5612"/>
  <c r="C5612" s="1"/>
  <c r="B5611"/>
  <c r="D5611" s="1"/>
  <c r="A5611"/>
  <c r="C5611" s="1"/>
  <c r="B5610"/>
  <c r="D5610" s="1"/>
  <c r="A5610"/>
  <c r="C5610" s="1"/>
  <c r="B5609"/>
  <c r="D5609" s="1"/>
  <c r="A5609"/>
  <c r="C5609" s="1"/>
  <c r="B5608"/>
  <c r="D5608" s="1"/>
  <c r="A5608"/>
  <c r="C5608" s="1"/>
  <c r="B5607"/>
  <c r="D5607" s="1"/>
  <c r="A5607"/>
  <c r="C5607" s="1"/>
  <c r="B5606"/>
  <c r="D5606" s="1"/>
  <c r="A5606"/>
  <c r="C5606" s="1"/>
  <c r="B5605"/>
  <c r="D5605" s="1"/>
  <c r="A5605"/>
  <c r="C5605" s="1"/>
  <c r="B5604"/>
  <c r="D5604" s="1"/>
  <c r="A5604"/>
  <c r="C5604" s="1"/>
  <c r="B5603"/>
  <c r="D5603" s="1"/>
  <c r="A5603"/>
  <c r="C5603" s="1"/>
  <c r="B5602"/>
  <c r="D5602" s="1"/>
  <c r="A5602"/>
  <c r="C5602" s="1"/>
  <c r="B5601"/>
  <c r="D5601" s="1"/>
  <c r="A5601"/>
  <c r="C5601" s="1"/>
  <c r="B5600"/>
  <c r="D5600" s="1"/>
  <c r="A5600"/>
  <c r="C5600" s="1"/>
  <c r="B5599"/>
  <c r="D5599" s="1"/>
  <c r="A5599"/>
  <c r="C5599" s="1"/>
  <c r="B5598"/>
  <c r="D5598" s="1"/>
  <c r="A5598"/>
  <c r="C5598" s="1"/>
  <c r="B5597"/>
  <c r="D5597" s="1"/>
  <c r="A5597"/>
  <c r="C5597" s="1"/>
  <c r="B5596"/>
  <c r="D5596" s="1"/>
  <c r="A5596"/>
  <c r="C5596" s="1"/>
  <c r="B5595"/>
  <c r="D5595" s="1"/>
  <c r="A5595"/>
  <c r="C5595" s="1"/>
  <c r="B5594"/>
  <c r="D5594" s="1"/>
  <c r="A5594"/>
  <c r="C5594" s="1"/>
  <c r="B5593"/>
  <c r="D5593" s="1"/>
  <c r="A5593"/>
  <c r="C5593" s="1"/>
  <c r="B5592"/>
  <c r="D5592" s="1"/>
  <c r="A5592"/>
  <c r="C5592" s="1"/>
  <c r="B5591"/>
  <c r="D5591" s="1"/>
  <c r="A5591"/>
  <c r="C5591" s="1"/>
  <c r="B5590"/>
  <c r="D5590" s="1"/>
  <c r="A5590"/>
  <c r="C5590" s="1"/>
  <c r="B5589"/>
  <c r="D5589" s="1"/>
  <c r="A5589"/>
  <c r="C5589" s="1"/>
  <c r="B5588"/>
  <c r="D5588" s="1"/>
  <c r="A5588"/>
  <c r="C5588" s="1"/>
  <c r="B5587"/>
  <c r="D5587" s="1"/>
  <c r="A5587"/>
  <c r="C5587" s="1"/>
  <c r="B5586"/>
  <c r="D5586" s="1"/>
  <c r="A5586"/>
  <c r="C5586" s="1"/>
  <c r="B5585"/>
  <c r="D5585" s="1"/>
  <c r="A5585"/>
  <c r="C5585" s="1"/>
  <c r="B5584"/>
  <c r="D5584" s="1"/>
  <c r="A5584"/>
  <c r="C5584" s="1"/>
  <c r="B5583"/>
  <c r="D5583" s="1"/>
  <c r="A5583"/>
  <c r="C5583" s="1"/>
  <c r="B5582"/>
  <c r="D5582" s="1"/>
  <c r="A5582"/>
  <c r="C5582" s="1"/>
  <c r="B5581"/>
  <c r="D5581" s="1"/>
  <c r="A5581"/>
  <c r="C5581" s="1"/>
  <c r="B5580"/>
  <c r="D5580" s="1"/>
  <c r="A5580"/>
  <c r="C5580" s="1"/>
  <c r="B5579"/>
  <c r="D5579" s="1"/>
  <c r="A5579"/>
  <c r="C5579" s="1"/>
  <c r="B5578"/>
  <c r="D5578" s="1"/>
  <c r="A5578"/>
  <c r="C5578" s="1"/>
  <c r="B5577"/>
  <c r="D5577" s="1"/>
  <c r="A5577"/>
  <c r="C5577" s="1"/>
  <c r="B5576"/>
  <c r="D5576" s="1"/>
  <c r="A5576"/>
  <c r="C5576" s="1"/>
  <c r="B5575"/>
  <c r="D5575" s="1"/>
  <c r="A5575"/>
  <c r="C5575" s="1"/>
  <c r="B5574"/>
  <c r="D5574" s="1"/>
  <c r="A5574"/>
  <c r="C5574" s="1"/>
  <c r="B5573"/>
  <c r="D5573" s="1"/>
  <c r="A5573"/>
  <c r="C5573" s="1"/>
  <c r="B5572"/>
  <c r="D5572" s="1"/>
  <c r="A5572"/>
  <c r="C5572" s="1"/>
  <c r="B5571"/>
  <c r="D5571" s="1"/>
  <c r="A5571"/>
  <c r="C5571" s="1"/>
  <c r="B5570"/>
  <c r="D5570" s="1"/>
  <c r="A5570"/>
  <c r="C5570" s="1"/>
  <c r="B5569"/>
  <c r="D5569" s="1"/>
  <c r="A5569"/>
  <c r="C5569" s="1"/>
  <c r="B5568"/>
  <c r="D5568" s="1"/>
  <c r="A5568"/>
  <c r="C5568" s="1"/>
  <c r="B5567"/>
  <c r="D5567" s="1"/>
  <c r="A5567"/>
  <c r="C5567" s="1"/>
  <c r="B5566"/>
  <c r="D5566" s="1"/>
  <c r="A5566"/>
  <c r="C5566" s="1"/>
  <c r="B5565"/>
  <c r="D5565" s="1"/>
  <c r="A5565"/>
  <c r="C5565" s="1"/>
  <c r="B5564"/>
  <c r="D5564" s="1"/>
  <c r="A5564"/>
  <c r="C5564" s="1"/>
  <c r="B5563"/>
  <c r="D5563" s="1"/>
  <c r="A5563"/>
  <c r="C5563" s="1"/>
  <c r="B5562"/>
  <c r="D5562" s="1"/>
  <c r="A5562"/>
  <c r="C5562" s="1"/>
  <c r="B5561"/>
  <c r="D5561" s="1"/>
  <c r="A5561"/>
  <c r="C5561" s="1"/>
  <c r="B5560"/>
  <c r="D5560" s="1"/>
  <c r="A5560"/>
  <c r="C5560" s="1"/>
  <c r="B5559"/>
  <c r="D5559" s="1"/>
  <c r="A5559"/>
  <c r="C5559" s="1"/>
  <c r="B5558"/>
  <c r="D5558" s="1"/>
  <c r="A5558"/>
  <c r="C5558" s="1"/>
  <c r="B5557"/>
  <c r="D5557" s="1"/>
  <c r="A5557"/>
  <c r="C5557" s="1"/>
  <c r="B5556"/>
  <c r="D5556" s="1"/>
  <c r="A5556"/>
  <c r="C5556" s="1"/>
  <c r="B5555"/>
  <c r="D5555" s="1"/>
  <c r="A5555"/>
  <c r="C5555" s="1"/>
  <c r="B5554"/>
  <c r="D5554" s="1"/>
  <c r="A5554"/>
  <c r="C5554" s="1"/>
  <c r="B5553"/>
  <c r="D5553" s="1"/>
  <c r="A5553"/>
  <c r="C5553" s="1"/>
  <c r="B5552"/>
  <c r="D5552" s="1"/>
  <c r="A5552"/>
  <c r="C5552" s="1"/>
  <c r="B5551"/>
  <c r="D5551" s="1"/>
  <c r="A5551"/>
  <c r="C5551" s="1"/>
  <c r="B5550"/>
  <c r="D5550" s="1"/>
  <c r="A5550"/>
  <c r="C5550" s="1"/>
  <c r="B5549"/>
  <c r="D5549" s="1"/>
  <c r="A5549"/>
  <c r="C5549" s="1"/>
  <c r="B5548"/>
  <c r="D5548" s="1"/>
  <c r="A5548"/>
  <c r="C5548" s="1"/>
  <c r="B5547"/>
  <c r="D5547" s="1"/>
  <c r="A5547"/>
  <c r="C5547" s="1"/>
  <c r="B5546"/>
  <c r="D5546" s="1"/>
  <c r="A5546"/>
  <c r="C5546" s="1"/>
  <c r="B5545"/>
  <c r="D5545" s="1"/>
  <c r="A5545"/>
  <c r="C5545" s="1"/>
  <c r="B5544"/>
  <c r="D5544" s="1"/>
  <c r="A5544"/>
  <c r="C5544" s="1"/>
  <c r="B5543"/>
  <c r="D5543" s="1"/>
  <c r="A5543"/>
  <c r="C5543" s="1"/>
  <c r="B5542"/>
  <c r="D5542" s="1"/>
  <c r="A5542"/>
  <c r="C5542" s="1"/>
  <c r="B5541"/>
  <c r="D5541" s="1"/>
  <c r="A5541"/>
  <c r="C5541" s="1"/>
  <c r="B5540"/>
  <c r="D5540" s="1"/>
  <c r="A5540"/>
  <c r="C5540" s="1"/>
  <c r="B5539"/>
  <c r="D5539" s="1"/>
  <c r="A5539"/>
  <c r="C5539" s="1"/>
  <c r="B5538"/>
  <c r="D5538" s="1"/>
  <c r="A5538"/>
  <c r="C5538" s="1"/>
  <c r="B5537"/>
  <c r="D5537" s="1"/>
  <c r="A5537"/>
  <c r="C5537" s="1"/>
  <c r="B5536"/>
  <c r="D5536" s="1"/>
  <c r="A5536"/>
  <c r="C5536" s="1"/>
  <c r="B5535"/>
  <c r="D5535" s="1"/>
  <c r="A5535"/>
  <c r="C5535" s="1"/>
  <c r="B5534"/>
  <c r="D5534" s="1"/>
  <c r="A5534"/>
  <c r="C5534" s="1"/>
  <c r="B5533"/>
  <c r="D5533" s="1"/>
  <c r="A5533"/>
  <c r="C5533" s="1"/>
  <c r="B5532"/>
  <c r="D5532" s="1"/>
  <c r="A5532"/>
  <c r="C5532" s="1"/>
  <c r="B5531"/>
  <c r="D5531" s="1"/>
  <c r="A5531"/>
  <c r="C5531" s="1"/>
  <c r="B5530"/>
  <c r="D5530" s="1"/>
  <c r="A5530"/>
  <c r="C5530" s="1"/>
  <c r="B5529"/>
  <c r="D5529" s="1"/>
  <c r="A5529"/>
  <c r="C5529" s="1"/>
  <c r="B5528"/>
  <c r="D5528" s="1"/>
  <c r="A5528"/>
  <c r="C5528" s="1"/>
  <c r="B5527"/>
  <c r="D5527" s="1"/>
  <c r="A5527"/>
  <c r="C5527" s="1"/>
  <c r="B5526"/>
  <c r="D5526" s="1"/>
  <c r="A5526"/>
  <c r="C5526" s="1"/>
  <c r="B5525"/>
  <c r="D5525" s="1"/>
  <c r="A5525"/>
  <c r="C5525" s="1"/>
  <c r="B5524"/>
  <c r="D5524" s="1"/>
  <c r="A5524"/>
  <c r="C5524" s="1"/>
  <c r="B5523"/>
  <c r="D5523" s="1"/>
  <c r="A5523"/>
  <c r="C5523" s="1"/>
  <c r="B5522"/>
  <c r="D5522" s="1"/>
  <c r="A5522"/>
  <c r="C5522" s="1"/>
  <c r="B5521"/>
  <c r="D5521" s="1"/>
  <c r="A5521"/>
  <c r="C5521" s="1"/>
  <c r="B5520"/>
  <c r="D5520" s="1"/>
  <c r="A5520"/>
  <c r="C5520" s="1"/>
  <c r="B5519"/>
  <c r="D5519" s="1"/>
  <c r="A5519"/>
  <c r="C5519" s="1"/>
  <c r="B5518"/>
  <c r="D5518" s="1"/>
  <c r="A5518"/>
  <c r="C5518" s="1"/>
  <c r="B5517"/>
  <c r="D5517" s="1"/>
  <c r="A5517"/>
  <c r="C5517" s="1"/>
  <c r="B5516"/>
  <c r="D5516" s="1"/>
  <c r="A5516"/>
  <c r="C5516" s="1"/>
  <c r="B5515"/>
  <c r="D5515" s="1"/>
  <c r="A5515"/>
  <c r="C5515" s="1"/>
  <c r="B5514"/>
  <c r="D5514" s="1"/>
  <c r="A5514"/>
  <c r="C5514" s="1"/>
  <c r="B5513"/>
  <c r="D5513" s="1"/>
  <c r="A5513"/>
  <c r="C5513" s="1"/>
  <c r="B5512"/>
  <c r="D5512" s="1"/>
  <c r="A5512"/>
  <c r="C5512" s="1"/>
  <c r="B5511"/>
  <c r="D5511" s="1"/>
  <c r="A5511"/>
  <c r="C5511" s="1"/>
  <c r="B5510"/>
  <c r="D5510" s="1"/>
  <c r="A5510"/>
  <c r="C5510" s="1"/>
  <c r="B5509"/>
  <c r="D5509" s="1"/>
  <c r="A5509"/>
  <c r="C5509" s="1"/>
  <c r="B5508"/>
  <c r="D5508" s="1"/>
  <c r="A5508"/>
  <c r="C5508" s="1"/>
  <c r="B5507"/>
  <c r="D5507" s="1"/>
  <c r="A5507"/>
  <c r="C5507" s="1"/>
  <c r="B5506"/>
  <c r="D5506" s="1"/>
  <c r="A5506"/>
  <c r="C5506" s="1"/>
  <c r="B5505"/>
  <c r="D5505" s="1"/>
  <c r="A5505"/>
  <c r="C5505" s="1"/>
  <c r="B5504"/>
  <c r="D5504" s="1"/>
  <c r="A5504"/>
  <c r="C5504" s="1"/>
  <c r="B5503"/>
  <c r="D5503" s="1"/>
  <c r="A5503"/>
  <c r="C5503" s="1"/>
  <c r="B5502"/>
  <c r="D5502" s="1"/>
  <c r="A5502"/>
  <c r="C5502" s="1"/>
  <c r="B5501"/>
  <c r="D5501" s="1"/>
  <c r="A5501"/>
  <c r="C5501" s="1"/>
  <c r="B5500"/>
  <c r="D5500" s="1"/>
  <c r="A5500"/>
  <c r="C5500" s="1"/>
  <c r="B5499"/>
  <c r="D5499" s="1"/>
  <c r="A5499"/>
  <c r="C5499" s="1"/>
  <c r="B5498"/>
  <c r="D5498" s="1"/>
  <c r="A5498"/>
  <c r="C5498" s="1"/>
  <c r="B5497"/>
  <c r="D5497" s="1"/>
  <c r="A5497"/>
  <c r="C5497" s="1"/>
  <c r="B5496"/>
  <c r="D5496" s="1"/>
  <c r="A5496"/>
  <c r="C5496" s="1"/>
  <c r="B5495"/>
  <c r="D5495" s="1"/>
  <c r="A5495"/>
  <c r="C5495" s="1"/>
  <c r="B5494"/>
  <c r="D5494" s="1"/>
  <c r="A5494"/>
  <c r="C5494" s="1"/>
  <c r="B5493"/>
  <c r="D5493" s="1"/>
  <c r="A5493"/>
  <c r="C5493" s="1"/>
  <c r="B5492"/>
  <c r="D5492" s="1"/>
  <c r="A5492"/>
  <c r="C5492" s="1"/>
  <c r="B5491"/>
  <c r="D5491" s="1"/>
  <c r="A5491"/>
  <c r="C5491" s="1"/>
  <c r="B5490"/>
  <c r="D5490" s="1"/>
  <c r="A5490"/>
  <c r="C5490" s="1"/>
  <c r="B5489"/>
  <c r="D5489" s="1"/>
  <c r="A5489"/>
  <c r="C5489" s="1"/>
  <c r="B5488"/>
  <c r="D5488" s="1"/>
  <c r="A5488"/>
  <c r="C5488" s="1"/>
  <c r="B5487"/>
  <c r="D5487" s="1"/>
  <c r="A5487"/>
  <c r="C5487" s="1"/>
  <c r="B5486"/>
  <c r="D5486" s="1"/>
  <c r="A5486"/>
  <c r="C5486" s="1"/>
  <c r="B5485"/>
  <c r="D5485" s="1"/>
  <c r="A5485"/>
  <c r="C5485" s="1"/>
  <c r="B5484"/>
  <c r="D5484" s="1"/>
  <c r="A5484"/>
  <c r="C5484" s="1"/>
  <c r="B5483"/>
  <c r="D5483" s="1"/>
  <c r="A5483"/>
  <c r="C5483" s="1"/>
  <c r="B5482"/>
  <c r="D5482" s="1"/>
  <c r="A5482"/>
  <c r="C5482" s="1"/>
  <c r="B5481"/>
  <c r="D5481" s="1"/>
  <c r="A5481"/>
  <c r="C5481" s="1"/>
  <c r="B5480"/>
  <c r="D5480" s="1"/>
  <c r="A5480"/>
  <c r="C5480" s="1"/>
  <c r="B5479"/>
  <c r="D5479" s="1"/>
  <c r="A5479"/>
  <c r="C5479" s="1"/>
  <c r="B5478"/>
  <c r="D5478" s="1"/>
  <c r="A5478"/>
  <c r="C5478" s="1"/>
  <c r="B5477"/>
  <c r="D5477" s="1"/>
  <c r="A5477"/>
  <c r="C5477" s="1"/>
  <c r="B5476"/>
  <c r="D5476" s="1"/>
  <c r="A5476"/>
  <c r="C5476" s="1"/>
  <c r="B5475"/>
  <c r="D5475" s="1"/>
  <c r="A5475"/>
  <c r="C5475" s="1"/>
  <c r="B5474"/>
  <c r="D5474" s="1"/>
  <c r="A5474"/>
  <c r="C5474" s="1"/>
  <c r="B5473"/>
  <c r="D5473" s="1"/>
  <c r="A5473"/>
  <c r="C5473" s="1"/>
  <c r="B5472"/>
  <c r="D5472" s="1"/>
  <c r="A5472"/>
  <c r="C5472" s="1"/>
  <c r="B5471"/>
  <c r="D5471" s="1"/>
  <c r="A5471"/>
  <c r="C5471" s="1"/>
  <c r="B5470"/>
  <c r="D5470" s="1"/>
  <c r="A5470"/>
  <c r="C5470" s="1"/>
  <c r="B5469"/>
  <c r="D5469" s="1"/>
  <c r="A5469"/>
  <c r="C5469" s="1"/>
  <c r="B5468"/>
  <c r="D5468" s="1"/>
  <c r="A5468"/>
  <c r="C5468" s="1"/>
  <c r="B5467"/>
  <c r="D5467" s="1"/>
  <c r="A5467"/>
  <c r="C5467" s="1"/>
  <c r="B5466"/>
  <c r="D5466" s="1"/>
  <c r="A5466"/>
  <c r="C5466" s="1"/>
  <c r="B5465"/>
  <c r="D5465" s="1"/>
  <c r="A5465"/>
  <c r="C5465" s="1"/>
  <c r="B5464"/>
  <c r="D5464" s="1"/>
  <c r="A5464"/>
  <c r="C5464" s="1"/>
  <c r="B5463"/>
  <c r="D5463" s="1"/>
  <c r="A5463"/>
  <c r="C5463" s="1"/>
  <c r="B5462"/>
  <c r="D5462" s="1"/>
  <c r="A5462"/>
  <c r="C5462" s="1"/>
  <c r="B5461"/>
  <c r="D5461" s="1"/>
  <c r="A5461"/>
  <c r="C5461" s="1"/>
  <c r="B5460"/>
  <c r="D5460" s="1"/>
  <c r="A5460"/>
  <c r="C5460" s="1"/>
  <c r="B5459"/>
  <c r="D5459" s="1"/>
  <c r="A5459"/>
  <c r="C5459" s="1"/>
  <c r="B5458"/>
  <c r="D5458" s="1"/>
  <c r="A5458"/>
  <c r="C5458" s="1"/>
  <c r="B5457"/>
  <c r="D5457" s="1"/>
  <c r="A5457"/>
  <c r="C5457" s="1"/>
  <c r="B5456"/>
  <c r="D5456" s="1"/>
  <c r="A5456"/>
  <c r="C5456" s="1"/>
  <c r="B5455"/>
  <c r="D5455" s="1"/>
  <c r="A5455"/>
  <c r="C5455" s="1"/>
  <c r="B5454"/>
  <c r="D5454" s="1"/>
  <c r="A5454"/>
  <c r="C5454" s="1"/>
  <c r="B5453"/>
  <c r="D5453" s="1"/>
  <c r="A5453"/>
  <c r="C5453" s="1"/>
  <c r="B5452"/>
  <c r="D5452" s="1"/>
  <c r="A5452"/>
  <c r="C5452" s="1"/>
  <c r="B5451"/>
  <c r="D5451" s="1"/>
  <c r="A5451"/>
  <c r="C5451" s="1"/>
  <c r="B5450"/>
  <c r="D5450" s="1"/>
  <c r="A5450"/>
  <c r="C5450" s="1"/>
  <c r="B5449"/>
  <c r="D5449" s="1"/>
  <c r="A5449"/>
  <c r="C5449" s="1"/>
  <c r="B5448"/>
  <c r="D5448" s="1"/>
  <c r="A5448"/>
  <c r="C5448" s="1"/>
  <c r="B5447"/>
  <c r="D5447" s="1"/>
  <c r="A5447"/>
  <c r="C5447" s="1"/>
  <c r="B5446"/>
  <c r="D5446" s="1"/>
  <c r="A5446"/>
  <c r="C5446" s="1"/>
  <c r="B5445"/>
  <c r="D5445" s="1"/>
  <c r="A5445"/>
  <c r="C5445" s="1"/>
  <c r="B5444"/>
  <c r="D5444" s="1"/>
  <c r="A5444"/>
  <c r="C5444" s="1"/>
  <c r="B5443"/>
  <c r="D5443" s="1"/>
  <c r="A5443"/>
  <c r="C5443" s="1"/>
  <c r="B5442"/>
  <c r="D5442" s="1"/>
  <c r="A5442"/>
  <c r="C5442" s="1"/>
  <c r="B5441"/>
  <c r="D5441" s="1"/>
  <c r="A5441"/>
  <c r="C5441" s="1"/>
  <c r="B5440"/>
  <c r="D5440" s="1"/>
  <c r="A5440"/>
  <c r="C5440" s="1"/>
  <c r="B5439"/>
  <c r="D5439" s="1"/>
  <c r="A5439"/>
  <c r="C5439" s="1"/>
  <c r="B5438"/>
  <c r="D5438" s="1"/>
  <c r="A5438"/>
  <c r="C5438" s="1"/>
  <c r="B5437"/>
  <c r="D5437" s="1"/>
  <c r="A5437"/>
  <c r="C5437" s="1"/>
  <c r="B5436"/>
  <c r="D5436" s="1"/>
  <c r="A5436"/>
  <c r="C5436" s="1"/>
  <c r="B5435"/>
  <c r="D5435" s="1"/>
  <c r="A5435"/>
  <c r="C5435" s="1"/>
  <c r="B5434"/>
  <c r="D5434" s="1"/>
  <c r="A5434"/>
  <c r="C5434" s="1"/>
  <c r="B5433"/>
  <c r="D5433" s="1"/>
  <c r="A5433"/>
  <c r="C5433" s="1"/>
  <c r="B5432"/>
  <c r="D5432" s="1"/>
  <c r="A5432"/>
  <c r="C5432" s="1"/>
  <c r="B5431"/>
  <c r="D5431" s="1"/>
  <c r="A5431"/>
  <c r="C5431" s="1"/>
  <c r="B5430"/>
  <c r="D5430" s="1"/>
  <c r="A5430"/>
  <c r="C5430" s="1"/>
  <c r="B5429"/>
  <c r="D5429" s="1"/>
  <c r="A5429"/>
  <c r="C5429" s="1"/>
  <c r="B5428"/>
  <c r="D5428" s="1"/>
  <c r="A5428"/>
  <c r="C5428" s="1"/>
  <c r="B5427"/>
  <c r="D5427" s="1"/>
  <c r="A5427"/>
  <c r="C5427" s="1"/>
  <c r="B5426"/>
  <c r="D5426" s="1"/>
  <c r="A5426"/>
  <c r="C5426" s="1"/>
  <c r="B5425"/>
  <c r="D5425" s="1"/>
  <c r="A5425"/>
  <c r="C5425" s="1"/>
  <c r="B5424"/>
  <c r="D5424" s="1"/>
  <c r="A5424"/>
  <c r="C5424" s="1"/>
  <c r="B5423"/>
  <c r="D5423" s="1"/>
  <c r="A5423"/>
  <c r="C5423" s="1"/>
  <c r="B5422"/>
  <c r="D5422" s="1"/>
  <c r="A5422"/>
  <c r="C5422" s="1"/>
  <c r="B5421"/>
  <c r="D5421" s="1"/>
  <c r="A5421"/>
  <c r="C5421" s="1"/>
  <c r="B5420"/>
  <c r="D5420" s="1"/>
  <c r="A5420"/>
  <c r="C5420" s="1"/>
  <c r="B5419"/>
  <c r="D5419" s="1"/>
  <c r="A5419"/>
  <c r="C5419" s="1"/>
  <c r="B5418"/>
  <c r="D5418" s="1"/>
  <c r="A5418"/>
  <c r="C5418" s="1"/>
  <c r="B5417"/>
  <c r="D5417" s="1"/>
  <c r="A5417"/>
  <c r="C5417" s="1"/>
  <c r="B5416"/>
  <c r="D5416" s="1"/>
  <c r="A5416"/>
  <c r="C5416" s="1"/>
  <c r="B5415"/>
  <c r="D5415" s="1"/>
  <c r="A5415"/>
  <c r="C5415" s="1"/>
  <c r="B5414"/>
  <c r="D5414" s="1"/>
  <c r="A5414"/>
  <c r="C5414" s="1"/>
  <c r="B5413"/>
  <c r="D5413" s="1"/>
  <c r="A5413"/>
  <c r="C5413" s="1"/>
  <c r="B5412"/>
  <c r="D5412" s="1"/>
  <c r="A5412"/>
  <c r="C5412" s="1"/>
  <c r="B5411"/>
  <c r="D5411" s="1"/>
  <c r="A5411"/>
  <c r="C5411" s="1"/>
  <c r="B5410"/>
  <c r="D5410" s="1"/>
  <c r="A5410"/>
  <c r="C5410" s="1"/>
  <c r="B5409"/>
  <c r="D5409" s="1"/>
  <c r="A5409"/>
  <c r="C5409" s="1"/>
  <c r="B5408"/>
  <c r="D5408" s="1"/>
  <c r="A5408"/>
  <c r="C5408" s="1"/>
  <c r="B5407"/>
  <c r="D5407" s="1"/>
  <c r="A5407"/>
  <c r="C5407" s="1"/>
  <c r="B5406"/>
  <c r="D5406" s="1"/>
  <c r="A5406"/>
  <c r="C5406" s="1"/>
  <c r="B5405"/>
  <c r="D5405" s="1"/>
  <c r="A5405"/>
  <c r="C5405" s="1"/>
  <c r="B5404"/>
  <c r="D5404" s="1"/>
  <c r="A5404"/>
  <c r="C5404" s="1"/>
  <c r="B5403"/>
  <c r="D5403" s="1"/>
  <c r="A5403"/>
  <c r="C5403" s="1"/>
  <c r="B5402"/>
  <c r="D5402" s="1"/>
  <c r="A5402"/>
  <c r="C5402" s="1"/>
  <c r="B5401"/>
  <c r="D5401" s="1"/>
  <c r="A5401"/>
  <c r="C5401" s="1"/>
  <c r="B5400"/>
  <c r="D5400" s="1"/>
  <c r="A5400"/>
  <c r="C5400" s="1"/>
  <c r="B5399"/>
  <c r="D5399" s="1"/>
  <c r="A5399"/>
  <c r="C5399" s="1"/>
  <c r="B5398"/>
  <c r="D5398" s="1"/>
  <c r="A5398"/>
  <c r="C5398" s="1"/>
  <c r="B5397"/>
  <c r="D5397" s="1"/>
  <c r="A5397"/>
  <c r="C5397" s="1"/>
  <c r="B5396"/>
  <c r="D5396" s="1"/>
  <c r="A5396"/>
  <c r="C5396" s="1"/>
  <c r="B5395"/>
  <c r="D5395" s="1"/>
  <c r="A5395"/>
  <c r="C5395" s="1"/>
  <c r="B5394"/>
  <c r="D5394" s="1"/>
  <c r="A5394"/>
  <c r="C5394" s="1"/>
  <c r="B5393"/>
  <c r="D5393" s="1"/>
  <c r="A5393"/>
  <c r="C5393" s="1"/>
  <c r="B5392"/>
  <c r="D5392" s="1"/>
  <c r="A5392"/>
  <c r="C5392" s="1"/>
  <c r="B5391"/>
  <c r="D5391" s="1"/>
  <c r="A5391"/>
  <c r="C5391" s="1"/>
  <c r="B5390"/>
  <c r="D5390" s="1"/>
  <c r="A5390"/>
  <c r="C5390" s="1"/>
  <c r="B5389"/>
  <c r="D5389" s="1"/>
  <c r="A5389"/>
  <c r="C5389" s="1"/>
  <c r="B5388"/>
  <c r="D5388" s="1"/>
  <c r="A5388"/>
  <c r="C5388" s="1"/>
  <c r="B5387"/>
  <c r="D5387" s="1"/>
  <c r="A5387"/>
  <c r="C5387" s="1"/>
  <c r="B5386"/>
  <c r="D5386" s="1"/>
  <c r="A5386"/>
  <c r="C5386" s="1"/>
  <c r="B5385"/>
  <c r="D5385" s="1"/>
  <c r="A5385"/>
  <c r="C5385" s="1"/>
  <c r="B5384"/>
  <c r="D5384" s="1"/>
  <c r="A5384"/>
  <c r="C5384" s="1"/>
  <c r="B5383"/>
  <c r="D5383" s="1"/>
  <c r="A5383"/>
  <c r="C5383" s="1"/>
  <c r="B5382"/>
  <c r="D5382" s="1"/>
  <c r="A5382"/>
  <c r="C5382" s="1"/>
  <c r="B5381"/>
  <c r="D5381" s="1"/>
  <c r="A5381"/>
  <c r="C5381" s="1"/>
  <c r="B5380"/>
  <c r="D5380" s="1"/>
  <c r="A5380"/>
  <c r="C5380" s="1"/>
  <c r="B5379"/>
  <c r="D5379" s="1"/>
  <c r="A5379"/>
  <c r="C5379" s="1"/>
  <c r="B5378"/>
  <c r="D5378" s="1"/>
  <c r="A5378"/>
  <c r="C5378" s="1"/>
  <c r="B5377"/>
  <c r="D5377" s="1"/>
  <c r="A5377"/>
  <c r="C5377" s="1"/>
  <c r="B5376"/>
  <c r="D5376" s="1"/>
  <c r="A5376"/>
  <c r="C5376" s="1"/>
  <c r="B5375"/>
  <c r="D5375" s="1"/>
  <c r="A5375"/>
  <c r="C5375" s="1"/>
  <c r="B5374"/>
  <c r="D5374" s="1"/>
  <c r="A5374"/>
  <c r="C5374" s="1"/>
  <c r="B5373"/>
  <c r="D5373" s="1"/>
  <c r="A5373"/>
  <c r="C5373" s="1"/>
  <c r="B5372"/>
  <c r="D5372" s="1"/>
  <c r="A5372"/>
  <c r="C5372" s="1"/>
  <c r="B5371"/>
  <c r="D5371" s="1"/>
  <c r="A5371"/>
  <c r="C5371" s="1"/>
  <c r="B5370"/>
  <c r="D5370" s="1"/>
  <c r="A5370"/>
  <c r="C5370" s="1"/>
  <c r="B5369"/>
  <c r="D5369" s="1"/>
  <c r="A5369"/>
  <c r="C5369" s="1"/>
  <c r="B5368"/>
  <c r="D5368" s="1"/>
  <c r="A5368"/>
  <c r="C5368" s="1"/>
  <c r="B5367"/>
  <c r="D5367" s="1"/>
  <c r="A5367"/>
  <c r="C5367" s="1"/>
  <c r="B5366"/>
  <c r="D5366" s="1"/>
  <c r="A5366"/>
  <c r="C5366" s="1"/>
  <c r="B5365"/>
  <c r="D5365" s="1"/>
  <c r="A5365"/>
  <c r="C5365" s="1"/>
  <c r="B5364"/>
  <c r="D5364" s="1"/>
  <c r="A5364"/>
  <c r="C5364" s="1"/>
  <c r="B5363"/>
  <c r="D5363" s="1"/>
  <c r="A5363"/>
  <c r="C5363" s="1"/>
  <c r="B5362"/>
  <c r="D5362" s="1"/>
  <c r="A5362"/>
  <c r="C5362" s="1"/>
  <c r="B5361"/>
  <c r="D5361" s="1"/>
  <c r="A5361"/>
  <c r="C5361" s="1"/>
  <c r="B5360"/>
  <c r="D5360" s="1"/>
  <c r="A5360"/>
  <c r="C5360" s="1"/>
  <c r="B5359"/>
  <c r="D5359" s="1"/>
  <c r="A5359"/>
  <c r="C5359" s="1"/>
  <c r="B5358"/>
  <c r="D5358" s="1"/>
  <c r="A5358"/>
  <c r="C5358" s="1"/>
  <c r="B5357"/>
  <c r="D5357" s="1"/>
  <c r="A5357"/>
  <c r="C5357" s="1"/>
  <c r="B5356"/>
  <c r="D5356" s="1"/>
  <c r="A5356"/>
  <c r="C5356" s="1"/>
  <c r="B5355"/>
  <c r="D5355" s="1"/>
  <c r="A5355"/>
  <c r="C5355" s="1"/>
  <c r="B5354"/>
  <c r="D5354" s="1"/>
  <c r="A5354"/>
  <c r="C5354" s="1"/>
  <c r="B5353"/>
  <c r="D5353" s="1"/>
  <c r="A5353"/>
  <c r="C5353" s="1"/>
  <c r="B5352"/>
  <c r="D5352" s="1"/>
  <c r="A5352"/>
  <c r="C5352" s="1"/>
  <c r="B5351"/>
  <c r="D5351" s="1"/>
  <c r="A5351"/>
  <c r="C5351" s="1"/>
  <c r="B5350"/>
  <c r="D5350" s="1"/>
  <c r="A5350"/>
  <c r="C5350" s="1"/>
  <c r="B5349"/>
  <c r="D5349" s="1"/>
  <c r="A5349"/>
  <c r="C5349" s="1"/>
  <c r="B5348"/>
  <c r="D5348" s="1"/>
  <c r="A5348"/>
  <c r="C5348" s="1"/>
  <c r="B5347"/>
  <c r="D5347" s="1"/>
  <c r="A5347"/>
  <c r="C5347" s="1"/>
  <c r="B5346"/>
  <c r="D5346" s="1"/>
  <c r="A5346"/>
  <c r="C5346" s="1"/>
  <c r="B5345"/>
  <c r="D5345" s="1"/>
  <c r="A5345"/>
  <c r="C5345" s="1"/>
  <c r="B5344"/>
  <c r="D5344" s="1"/>
  <c r="A5344"/>
  <c r="C5344" s="1"/>
  <c r="B5343"/>
  <c r="D5343" s="1"/>
  <c r="A5343"/>
  <c r="C5343" s="1"/>
  <c r="B5342"/>
  <c r="D5342" s="1"/>
  <c r="A5342"/>
  <c r="C5342" s="1"/>
  <c r="B5341"/>
  <c r="D5341" s="1"/>
  <c r="A5341"/>
  <c r="C5341" s="1"/>
  <c r="B5340"/>
  <c r="D5340" s="1"/>
  <c r="A5340"/>
  <c r="C5340" s="1"/>
  <c r="B5339"/>
  <c r="D5339" s="1"/>
  <c r="A5339"/>
  <c r="C5339" s="1"/>
  <c r="B5338"/>
  <c r="D5338" s="1"/>
  <c r="A5338"/>
  <c r="C5338" s="1"/>
  <c r="B5337"/>
  <c r="D5337" s="1"/>
  <c r="A5337"/>
  <c r="C5337" s="1"/>
  <c r="B5336"/>
  <c r="D5336" s="1"/>
  <c r="A5336"/>
  <c r="C5336" s="1"/>
  <c r="B5335"/>
  <c r="D5335" s="1"/>
  <c r="A5335"/>
  <c r="C5335" s="1"/>
  <c r="B5334"/>
  <c r="D5334" s="1"/>
  <c r="A5334"/>
  <c r="C5334" s="1"/>
  <c r="B5333"/>
  <c r="D5333" s="1"/>
  <c r="A5333"/>
  <c r="C5333" s="1"/>
  <c r="B5332"/>
  <c r="D5332" s="1"/>
  <c r="A5332"/>
  <c r="C5332" s="1"/>
  <c r="B5331"/>
  <c r="D5331" s="1"/>
  <c r="A5331"/>
  <c r="C5331" s="1"/>
  <c r="B5330"/>
  <c r="D5330" s="1"/>
  <c r="A5330"/>
  <c r="C5330" s="1"/>
  <c r="B5329"/>
  <c r="D5329" s="1"/>
  <c r="A5329"/>
  <c r="C5329" s="1"/>
  <c r="B5328"/>
  <c r="D5328" s="1"/>
  <c r="A5328"/>
  <c r="C5328" s="1"/>
  <c r="B5327"/>
  <c r="D5327" s="1"/>
  <c r="A5327"/>
  <c r="C5327" s="1"/>
  <c r="B5326"/>
  <c r="D5326" s="1"/>
  <c r="A5326"/>
  <c r="C5326" s="1"/>
  <c r="B5325"/>
  <c r="D5325" s="1"/>
  <c r="A5325"/>
  <c r="C5325" s="1"/>
  <c r="B5324"/>
  <c r="D5324" s="1"/>
  <c r="A5324"/>
  <c r="C5324" s="1"/>
  <c r="B5323"/>
  <c r="D5323" s="1"/>
  <c r="A5323"/>
  <c r="C5323" s="1"/>
  <c r="B5322"/>
  <c r="D5322" s="1"/>
  <c r="A5322"/>
  <c r="C5322" s="1"/>
  <c r="B5321"/>
  <c r="D5321" s="1"/>
  <c r="A5321"/>
  <c r="C5321" s="1"/>
  <c r="B5320"/>
  <c r="D5320" s="1"/>
  <c r="A5320"/>
  <c r="C5320" s="1"/>
  <c r="B5319"/>
  <c r="D5319" s="1"/>
  <c r="A5319"/>
  <c r="C5319" s="1"/>
  <c r="B5318"/>
  <c r="D5318" s="1"/>
  <c r="A5318"/>
  <c r="C5318" s="1"/>
  <c r="B5317"/>
  <c r="D5317" s="1"/>
  <c r="A5317"/>
  <c r="C5317" s="1"/>
  <c r="B5316"/>
  <c r="D5316" s="1"/>
  <c r="A5316"/>
  <c r="C5316" s="1"/>
  <c r="B5315"/>
  <c r="D5315" s="1"/>
  <c r="A5315"/>
  <c r="C5315" s="1"/>
  <c r="B5314"/>
  <c r="D5314" s="1"/>
  <c r="A5314"/>
  <c r="C5314" s="1"/>
  <c r="B5313"/>
  <c r="D5313" s="1"/>
  <c r="A5313"/>
  <c r="C5313" s="1"/>
  <c r="B5312"/>
  <c r="D5312" s="1"/>
  <c r="A5312"/>
  <c r="C5312" s="1"/>
  <c r="B5311"/>
  <c r="D5311" s="1"/>
  <c r="A5311"/>
  <c r="C5311" s="1"/>
  <c r="B5310"/>
  <c r="D5310" s="1"/>
  <c r="A5310"/>
  <c r="C5310" s="1"/>
  <c r="B5309"/>
  <c r="D5309" s="1"/>
  <c r="A5309"/>
  <c r="C5309" s="1"/>
  <c r="B5308"/>
  <c r="D5308" s="1"/>
  <c r="A5308"/>
  <c r="C5308" s="1"/>
  <c r="B5307"/>
  <c r="D5307" s="1"/>
  <c r="A5307"/>
  <c r="C5307" s="1"/>
  <c r="B5306"/>
  <c r="D5306" s="1"/>
  <c r="A5306"/>
  <c r="C5306" s="1"/>
  <c r="B5305"/>
  <c r="D5305" s="1"/>
  <c r="A5305"/>
  <c r="C5305" s="1"/>
  <c r="B5304"/>
  <c r="D5304" s="1"/>
  <c r="A5304"/>
  <c r="C5304" s="1"/>
  <c r="B5303"/>
  <c r="D5303" s="1"/>
  <c r="A5303"/>
  <c r="C5303" s="1"/>
  <c r="B5302"/>
  <c r="D5302" s="1"/>
  <c r="A5302"/>
  <c r="C5302" s="1"/>
  <c r="B5301"/>
  <c r="D5301" s="1"/>
  <c r="A5301"/>
  <c r="C5301" s="1"/>
  <c r="B5300"/>
  <c r="D5300" s="1"/>
  <c r="A5300"/>
  <c r="C5300" s="1"/>
  <c r="B5299"/>
  <c r="D5299" s="1"/>
  <c r="A5299"/>
  <c r="C5299" s="1"/>
  <c r="B5298"/>
  <c r="D5298" s="1"/>
  <c r="A5298"/>
  <c r="C5298" s="1"/>
  <c r="B5297"/>
  <c r="D5297" s="1"/>
  <c r="A5297"/>
  <c r="C5297" s="1"/>
  <c r="B5296"/>
  <c r="D5296" s="1"/>
  <c r="A5296"/>
  <c r="C5296" s="1"/>
  <c r="B5295"/>
  <c r="D5295" s="1"/>
  <c r="A5295"/>
  <c r="C5295" s="1"/>
  <c r="B5294"/>
  <c r="D5294" s="1"/>
  <c r="A5294"/>
  <c r="C5294" s="1"/>
  <c r="B5293"/>
  <c r="D5293" s="1"/>
  <c r="A5293"/>
  <c r="C5293" s="1"/>
  <c r="B5292"/>
  <c r="D5292" s="1"/>
  <c r="A5292"/>
  <c r="C5292" s="1"/>
  <c r="B5291"/>
  <c r="D5291" s="1"/>
  <c r="A5291"/>
  <c r="C5291" s="1"/>
  <c r="B5290"/>
  <c r="D5290" s="1"/>
  <c r="A5290"/>
  <c r="C5290" s="1"/>
  <c r="B5289"/>
  <c r="D5289" s="1"/>
  <c r="A5289"/>
  <c r="C5289" s="1"/>
  <c r="B5288"/>
  <c r="D5288" s="1"/>
  <c r="A5288"/>
  <c r="C5288" s="1"/>
  <c r="B5287"/>
  <c r="D5287" s="1"/>
  <c r="A5287"/>
  <c r="C5287" s="1"/>
  <c r="B5286"/>
  <c r="D5286" s="1"/>
  <c r="A5286"/>
  <c r="C5286" s="1"/>
  <c r="B5285"/>
  <c r="D5285" s="1"/>
  <c r="A5285"/>
  <c r="C5285" s="1"/>
  <c r="B5284"/>
  <c r="D5284" s="1"/>
  <c r="A5284"/>
  <c r="C5284" s="1"/>
  <c r="B5283"/>
  <c r="D5283" s="1"/>
  <c r="A5283"/>
  <c r="C5283" s="1"/>
  <c r="B5282"/>
  <c r="D5282" s="1"/>
  <c r="A5282"/>
  <c r="C5282" s="1"/>
  <c r="B5281"/>
  <c r="D5281" s="1"/>
  <c r="A5281"/>
  <c r="C5281" s="1"/>
  <c r="B5280"/>
  <c r="D5280" s="1"/>
  <c r="A5280"/>
  <c r="C5280" s="1"/>
  <c r="B5279"/>
  <c r="D5279" s="1"/>
  <c r="A5279"/>
  <c r="C5279" s="1"/>
  <c r="B5278"/>
  <c r="D5278" s="1"/>
  <c r="A5278"/>
  <c r="C5278" s="1"/>
  <c r="B5277"/>
  <c r="D5277" s="1"/>
  <c r="A5277"/>
  <c r="C5277" s="1"/>
  <c r="B5276"/>
  <c r="D5276" s="1"/>
  <c r="A5276"/>
  <c r="C5276" s="1"/>
  <c r="B5275"/>
  <c r="D5275" s="1"/>
  <c r="A5275"/>
  <c r="C5275" s="1"/>
  <c r="B5274"/>
  <c r="D5274" s="1"/>
  <c r="A5274"/>
  <c r="C5274" s="1"/>
  <c r="B5273"/>
  <c r="D5273" s="1"/>
  <c r="A5273"/>
  <c r="C5273" s="1"/>
  <c r="B5272"/>
  <c r="D5272" s="1"/>
  <c r="A5272"/>
  <c r="C5272" s="1"/>
  <c r="B5271"/>
  <c r="D5271" s="1"/>
  <c r="A5271"/>
  <c r="C5271" s="1"/>
  <c r="B5270"/>
  <c r="D5270" s="1"/>
  <c r="A5270"/>
  <c r="C5270" s="1"/>
  <c r="B5269"/>
  <c r="D5269" s="1"/>
  <c r="A5269"/>
  <c r="C5269" s="1"/>
  <c r="B5268"/>
  <c r="D5268" s="1"/>
  <c r="A5268"/>
  <c r="C5268" s="1"/>
  <c r="B5267"/>
  <c r="D5267" s="1"/>
  <c r="A5267"/>
  <c r="C5267" s="1"/>
  <c r="B5266"/>
  <c r="D5266" s="1"/>
  <c r="A5266"/>
  <c r="C5266" s="1"/>
  <c r="B5265"/>
  <c r="D5265" s="1"/>
  <c r="A5265"/>
  <c r="C5265" s="1"/>
  <c r="B5264"/>
  <c r="D5264" s="1"/>
  <c r="A5264"/>
  <c r="C5264" s="1"/>
  <c r="B5263"/>
  <c r="D5263" s="1"/>
  <c r="A5263"/>
  <c r="C5263" s="1"/>
  <c r="B5262"/>
  <c r="D5262" s="1"/>
  <c r="A5262"/>
  <c r="C5262" s="1"/>
  <c r="B5261"/>
  <c r="D5261" s="1"/>
  <c r="A5261"/>
  <c r="C5261" s="1"/>
  <c r="B5260"/>
  <c r="D5260" s="1"/>
  <c r="A5260"/>
  <c r="C5260" s="1"/>
  <c r="B5259"/>
  <c r="D5259" s="1"/>
  <c r="A5259"/>
  <c r="C5259" s="1"/>
  <c r="B5258"/>
  <c r="D5258" s="1"/>
  <c r="A5258"/>
  <c r="C5258" s="1"/>
  <c r="B5257"/>
  <c r="D5257" s="1"/>
  <c r="A5257"/>
  <c r="C5257" s="1"/>
  <c r="B5256"/>
  <c r="D5256" s="1"/>
  <c r="A5256"/>
  <c r="C5256" s="1"/>
  <c r="B5255"/>
  <c r="D5255" s="1"/>
  <c r="A5255"/>
  <c r="C5255" s="1"/>
  <c r="B5254"/>
  <c r="D5254" s="1"/>
  <c r="A5254"/>
  <c r="C5254" s="1"/>
  <c r="B5253"/>
  <c r="D5253" s="1"/>
  <c r="A5253"/>
  <c r="C5253" s="1"/>
  <c r="B5252"/>
  <c r="D5252" s="1"/>
  <c r="A5252"/>
  <c r="C5252" s="1"/>
  <c r="B5251"/>
  <c r="D5251" s="1"/>
  <c r="A5251"/>
  <c r="C5251" s="1"/>
  <c r="B5250"/>
  <c r="D5250" s="1"/>
  <c r="A5250"/>
  <c r="C5250" s="1"/>
  <c r="B5249"/>
  <c r="D5249" s="1"/>
  <c r="A5249"/>
  <c r="C5249" s="1"/>
  <c r="B5248"/>
  <c r="D5248" s="1"/>
  <c r="A5248"/>
  <c r="C5248" s="1"/>
  <c r="B5247"/>
  <c r="D5247" s="1"/>
  <c r="A5247"/>
  <c r="C5247" s="1"/>
  <c r="B5246"/>
  <c r="D5246" s="1"/>
  <c r="A5246"/>
  <c r="C5246" s="1"/>
  <c r="B5245"/>
  <c r="D5245" s="1"/>
  <c r="A5245"/>
  <c r="C5245" s="1"/>
  <c r="B5244"/>
  <c r="D5244" s="1"/>
  <c r="A5244"/>
  <c r="C5244" s="1"/>
  <c r="B5243"/>
  <c r="D5243" s="1"/>
  <c r="A5243"/>
  <c r="C5243" s="1"/>
  <c r="B5242"/>
  <c r="D5242" s="1"/>
  <c r="A5242"/>
  <c r="C5242" s="1"/>
  <c r="B5241"/>
  <c r="D5241" s="1"/>
  <c r="A5241"/>
  <c r="C5241" s="1"/>
  <c r="B5240"/>
  <c r="D5240" s="1"/>
  <c r="A5240"/>
  <c r="C5240" s="1"/>
  <c r="B5239"/>
  <c r="D5239" s="1"/>
  <c r="A5239"/>
  <c r="C5239" s="1"/>
  <c r="B5238"/>
  <c r="D5238" s="1"/>
  <c r="A5238"/>
  <c r="C5238" s="1"/>
  <c r="B5237"/>
  <c r="D5237" s="1"/>
  <c r="A5237"/>
  <c r="C5237" s="1"/>
  <c r="B5236"/>
  <c r="D5236" s="1"/>
  <c r="A5236"/>
  <c r="C5236" s="1"/>
  <c r="B5235"/>
  <c r="D5235" s="1"/>
  <c r="A5235"/>
  <c r="C5235" s="1"/>
  <c r="B5234"/>
  <c r="D5234" s="1"/>
  <c r="A5234"/>
  <c r="C5234" s="1"/>
  <c r="B5233"/>
  <c r="D5233" s="1"/>
  <c r="A5233"/>
  <c r="C5233" s="1"/>
  <c r="B5232"/>
  <c r="D5232" s="1"/>
  <c r="A5232"/>
  <c r="C5232" s="1"/>
  <c r="B5231"/>
  <c r="D5231" s="1"/>
  <c r="A5231"/>
  <c r="C5231" s="1"/>
  <c r="B5230"/>
  <c r="D5230" s="1"/>
  <c r="A5230"/>
  <c r="C5230" s="1"/>
  <c r="B5229"/>
  <c r="D5229" s="1"/>
  <c r="A5229"/>
  <c r="C5229" s="1"/>
  <c r="B5228"/>
  <c r="D5228" s="1"/>
  <c r="A5228"/>
  <c r="C5228" s="1"/>
  <c r="B5227"/>
  <c r="D5227" s="1"/>
  <c r="A5227"/>
  <c r="C5227" s="1"/>
  <c r="B5226"/>
  <c r="D5226" s="1"/>
  <c r="A5226"/>
  <c r="C5226" s="1"/>
  <c r="B5225"/>
  <c r="D5225" s="1"/>
  <c r="A5225"/>
  <c r="C5225" s="1"/>
  <c r="B5224"/>
  <c r="D5224" s="1"/>
  <c r="A5224"/>
  <c r="C5224" s="1"/>
  <c r="B5223"/>
  <c r="D5223" s="1"/>
  <c r="A5223"/>
  <c r="C5223" s="1"/>
  <c r="B5222"/>
  <c r="D5222" s="1"/>
  <c r="A5222"/>
  <c r="C5222" s="1"/>
  <c r="B5221"/>
  <c r="D5221" s="1"/>
  <c r="A5221"/>
  <c r="C5221" s="1"/>
  <c r="B5220"/>
  <c r="D5220" s="1"/>
  <c r="A5220"/>
  <c r="C5220" s="1"/>
  <c r="B5219"/>
  <c r="D5219" s="1"/>
  <c r="A5219"/>
  <c r="C5219" s="1"/>
  <c r="B5218"/>
  <c r="D5218" s="1"/>
  <c r="A5218"/>
  <c r="C5218" s="1"/>
  <c r="B5217"/>
  <c r="D5217" s="1"/>
  <c r="A5217"/>
  <c r="C5217" s="1"/>
  <c r="B5216"/>
  <c r="D5216" s="1"/>
  <c r="A5216"/>
  <c r="C5216" s="1"/>
  <c r="B5215"/>
  <c r="D5215" s="1"/>
  <c r="A5215"/>
  <c r="C5215" s="1"/>
  <c r="B5214"/>
  <c r="D5214" s="1"/>
  <c r="A5214"/>
  <c r="C5214" s="1"/>
  <c r="B5213"/>
  <c r="D5213" s="1"/>
  <c r="A5213"/>
  <c r="C5213" s="1"/>
  <c r="B5212"/>
  <c r="D5212" s="1"/>
  <c r="A5212"/>
  <c r="C5212" s="1"/>
  <c r="B5211"/>
  <c r="D5211" s="1"/>
  <c r="A5211"/>
  <c r="C5211" s="1"/>
  <c r="B5210"/>
  <c r="D5210" s="1"/>
  <c r="A5210"/>
  <c r="C5210" s="1"/>
  <c r="B5209"/>
  <c r="D5209" s="1"/>
  <c r="A5209"/>
  <c r="C5209" s="1"/>
  <c r="B5208"/>
  <c r="D5208" s="1"/>
  <c r="A5208"/>
  <c r="C5208" s="1"/>
  <c r="B5207"/>
  <c r="D5207" s="1"/>
  <c r="A5207"/>
  <c r="C5207" s="1"/>
  <c r="B5206"/>
  <c r="D5206" s="1"/>
  <c r="A5206"/>
  <c r="C5206" s="1"/>
  <c r="B5205"/>
  <c r="D5205" s="1"/>
  <c r="A5205"/>
  <c r="C5205" s="1"/>
  <c r="B5204"/>
  <c r="D5204" s="1"/>
  <c r="A5204"/>
  <c r="C5204" s="1"/>
  <c r="B5203"/>
  <c r="D5203" s="1"/>
  <c r="A5203"/>
  <c r="C5203" s="1"/>
  <c r="B5202"/>
  <c r="D5202" s="1"/>
  <c r="A5202"/>
  <c r="C5202" s="1"/>
  <c r="B5201"/>
  <c r="D5201" s="1"/>
  <c r="A5201"/>
  <c r="C5201" s="1"/>
  <c r="B5200"/>
  <c r="D5200" s="1"/>
  <c r="A5200"/>
  <c r="C5200" s="1"/>
  <c r="B5199"/>
  <c r="D5199" s="1"/>
  <c r="A5199"/>
  <c r="C5199" s="1"/>
  <c r="B5198"/>
  <c r="D5198" s="1"/>
  <c r="A5198"/>
  <c r="C5198" s="1"/>
  <c r="B5197"/>
  <c r="D5197" s="1"/>
  <c r="A5197"/>
  <c r="C5197" s="1"/>
  <c r="B5196"/>
  <c r="D5196" s="1"/>
  <c r="A5196"/>
  <c r="C5196" s="1"/>
  <c r="B5195"/>
  <c r="D5195" s="1"/>
  <c r="A5195"/>
  <c r="C5195" s="1"/>
  <c r="B5194"/>
  <c r="D5194" s="1"/>
  <c r="A5194"/>
  <c r="C5194" s="1"/>
  <c r="B5193"/>
  <c r="D5193" s="1"/>
  <c r="A5193"/>
  <c r="C5193" s="1"/>
  <c r="B5192"/>
  <c r="D5192" s="1"/>
  <c r="A5192"/>
  <c r="C5192" s="1"/>
  <c r="B5191"/>
  <c r="D5191" s="1"/>
  <c r="A5191"/>
  <c r="C5191" s="1"/>
  <c r="B5190"/>
  <c r="D5190" s="1"/>
  <c r="A5190"/>
  <c r="C5190" s="1"/>
  <c r="B5189"/>
  <c r="D5189" s="1"/>
  <c r="A5189"/>
  <c r="C5189" s="1"/>
  <c r="B5188"/>
  <c r="D5188" s="1"/>
  <c r="A5188"/>
  <c r="C5188" s="1"/>
  <c r="B5187"/>
  <c r="D5187" s="1"/>
  <c r="A5187"/>
  <c r="C5187" s="1"/>
  <c r="B5186"/>
  <c r="D5186" s="1"/>
  <c r="A5186"/>
  <c r="C5186" s="1"/>
  <c r="B5185"/>
  <c r="D5185" s="1"/>
  <c r="A5185"/>
  <c r="C5185" s="1"/>
  <c r="B5184"/>
  <c r="D5184" s="1"/>
  <c r="A5184"/>
  <c r="C5184" s="1"/>
  <c r="B5183"/>
  <c r="D5183" s="1"/>
  <c r="A5183"/>
  <c r="C5183" s="1"/>
  <c r="B5182"/>
  <c r="D5182" s="1"/>
  <c r="A5182"/>
  <c r="C5182" s="1"/>
  <c r="B5181"/>
  <c r="D5181" s="1"/>
  <c r="A5181"/>
  <c r="C5181" s="1"/>
  <c r="B5180"/>
  <c r="D5180" s="1"/>
  <c r="A5180"/>
  <c r="C5180" s="1"/>
  <c r="B5179"/>
  <c r="D5179" s="1"/>
  <c r="A5179"/>
  <c r="C5179" s="1"/>
  <c r="B5178"/>
  <c r="D5178" s="1"/>
  <c r="A5178"/>
  <c r="C5178" s="1"/>
  <c r="B5177"/>
  <c r="D5177" s="1"/>
  <c r="A5177"/>
  <c r="C5177" s="1"/>
  <c r="B5176"/>
  <c r="D5176" s="1"/>
  <c r="A5176"/>
  <c r="C5176" s="1"/>
  <c r="B5175"/>
  <c r="D5175" s="1"/>
  <c r="A5175"/>
  <c r="C5175" s="1"/>
  <c r="B5174"/>
  <c r="D5174" s="1"/>
  <c r="A5174"/>
  <c r="C5174" s="1"/>
  <c r="B5173"/>
  <c r="D5173" s="1"/>
  <c r="A5173"/>
  <c r="C5173" s="1"/>
  <c r="B5172"/>
  <c r="D5172" s="1"/>
  <c r="A5172"/>
  <c r="C5172" s="1"/>
  <c r="B5171"/>
  <c r="D5171" s="1"/>
  <c r="A5171"/>
  <c r="C5171" s="1"/>
  <c r="B5170"/>
  <c r="D5170" s="1"/>
  <c r="A5170"/>
  <c r="C5170" s="1"/>
  <c r="B5169"/>
  <c r="D5169" s="1"/>
  <c r="A5169"/>
  <c r="C5169" s="1"/>
  <c r="B5168"/>
  <c r="D5168" s="1"/>
  <c r="A5168"/>
  <c r="C5168" s="1"/>
  <c r="B5167"/>
  <c r="D5167" s="1"/>
  <c r="A5167"/>
  <c r="C5167" s="1"/>
  <c r="B5166"/>
  <c r="D5166" s="1"/>
  <c r="A5166"/>
  <c r="C5166" s="1"/>
  <c r="B5165"/>
  <c r="D5165" s="1"/>
  <c r="A5165"/>
  <c r="C5165" s="1"/>
  <c r="B5164"/>
  <c r="D5164" s="1"/>
  <c r="A5164"/>
  <c r="C5164" s="1"/>
  <c r="B5163"/>
  <c r="D5163" s="1"/>
  <c r="A5163"/>
  <c r="C5163" s="1"/>
  <c r="B5162"/>
  <c r="D5162" s="1"/>
  <c r="A5162"/>
  <c r="C5162" s="1"/>
  <c r="B5161"/>
  <c r="D5161" s="1"/>
  <c r="A5161"/>
  <c r="C5161" s="1"/>
  <c r="B5160"/>
  <c r="D5160" s="1"/>
  <c r="A5160"/>
  <c r="C5160" s="1"/>
  <c r="B5159"/>
  <c r="D5159" s="1"/>
  <c r="A5159"/>
  <c r="C5159" s="1"/>
  <c r="B5158"/>
  <c r="D5158" s="1"/>
  <c r="A5158"/>
  <c r="C5158" s="1"/>
  <c r="B5157"/>
  <c r="D5157" s="1"/>
  <c r="A5157"/>
  <c r="C5157" s="1"/>
  <c r="B5156"/>
  <c r="D5156" s="1"/>
  <c r="A5156"/>
  <c r="C5156" s="1"/>
  <c r="B5155"/>
  <c r="D5155" s="1"/>
  <c r="A5155"/>
  <c r="C5155" s="1"/>
  <c r="B5154"/>
  <c r="D5154" s="1"/>
  <c r="A5154"/>
  <c r="C5154" s="1"/>
  <c r="B5153"/>
  <c r="D5153" s="1"/>
  <c r="A5153"/>
  <c r="C5153" s="1"/>
  <c r="B5152"/>
  <c r="D5152" s="1"/>
  <c r="A5152"/>
  <c r="C5152" s="1"/>
  <c r="B5151"/>
  <c r="D5151" s="1"/>
  <c r="A5151"/>
  <c r="C5151" s="1"/>
  <c r="B5150"/>
  <c r="D5150" s="1"/>
  <c r="A5150"/>
  <c r="C5150" s="1"/>
  <c r="B5149"/>
  <c r="D5149" s="1"/>
  <c r="A5149"/>
  <c r="C5149" s="1"/>
  <c r="B5148"/>
  <c r="D5148" s="1"/>
  <c r="A5148"/>
  <c r="C5148" s="1"/>
  <c r="B5147"/>
  <c r="D5147" s="1"/>
  <c r="A5147"/>
  <c r="C5147" s="1"/>
  <c r="B5146"/>
  <c r="D5146" s="1"/>
  <c r="A5146"/>
  <c r="C5146" s="1"/>
  <c r="B5145"/>
  <c r="D5145" s="1"/>
  <c r="A5145"/>
  <c r="C5145" s="1"/>
  <c r="B5144"/>
  <c r="D5144" s="1"/>
  <c r="A5144"/>
  <c r="C5144" s="1"/>
  <c r="B5143"/>
  <c r="D5143" s="1"/>
  <c r="A5143"/>
  <c r="C5143" s="1"/>
  <c r="B5142"/>
  <c r="D5142" s="1"/>
  <c r="A5142"/>
  <c r="C5142" s="1"/>
  <c r="B5141"/>
  <c r="D5141" s="1"/>
  <c r="A5141"/>
  <c r="C5141" s="1"/>
  <c r="B5140"/>
  <c r="D5140" s="1"/>
  <c r="A5140"/>
  <c r="C5140" s="1"/>
  <c r="B5139"/>
  <c r="D5139" s="1"/>
  <c r="A5139"/>
  <c r="C5139" s="1"/>
  <c r="B5138"/>
  <c r="D5138" s="1"/>
  <c r="A5138"/>
  <c r="C5138" s="1"/>
  <c r="B5137"/>
  <c r="D5137" s="1"/>
  <c r="A5137"/>
  <c r="C5137" s="1"/>
  <c r="B5136"/>
  <c r="D5136" s="1"/>
  <c r="A5136"/>
  <c r="C5136" s="1"/>
  <c r="B5135"/>
  <c r="D5135" s="1"/>
  <c r="A5135"/>
  <c r="C5135" s="1"/>
  <c r="B5134"/>
  <c r="D5134" s="1"/>
  <c r="A5134"/>
  <c r="C5134" s="1"/>
  <c r="B5133"/>
  <c r="D5133" s="1"/>
  <c r="A5133"/>
  <c r="C5133" s="1"/>
  <c r="B5132"/>
  <c r="D5132" s="1"/>
  <c r="A5132"/>
  <c r="C5132" s="1"/>
  <c r="B5131"/>
  <c r="D5131" s="1"/>
  <c r="A5131"/>
  <c r="C5131" s="1"/>
  <c r="B5130"/>
  <c r="D5130" s="1"/>
  <c r="A5130"/>
  <c r="C5130" s="1"/>
  <c r="B5129"/>
  <c r="D5129" s="1"/>
  <c r="A5129"/>
  <c r="C5129" s="1"/>
  <c r="B5128"/>
  <c r="D5128" s="1"/>
  <c r="A5128"/>
  <c r="C5128" s="1"/>
  <c r="B5127"/>
  <c r="D5127" s="1"/>
  <c r="A5127"/>
  <c r="C5127" s="1"/>
  <c r="B5126"/>
  <c r="D5126" s="1"/>
  <c r="A5126"/>
  <c r="C5126" s="1"/>
  <c r="B5125"/>
  <c r="D5125" s="1"/>
  <c r="A5125"/>
  <c r="C5125" s="1"/>
  <c r="B5124"/>
  <c r="D5124" s="1"/>
  <c r="A5124"/>
  <c r="C5124" s="1"/>
  <c r="B5123"/>
  <c r="D5123" s="1"/>
  <c r="A5123"/>
  <c r="C5123" s="1"/>
  <c r="B5122"/>
  <c r="D5122" s="1"/>
  <c r="A5122"/>
  <c r="C5122" s="1"/>
  <c r="B5121"/>
  <c r="D5121" s="1"/>
  <c r="A5121"/>
  <c r="C5121" s="1"/>
  <c r="B5120"/>
  <c r="D5120" s="1"/>
  <c r="A5120"/>
  <c r="C5120" s="1"/>
  <c r="B5119"/>
  <c r="D5119" s="1"/>
  <c r="A5119"/>
  <c r="C5119" s="1"/>
  <c r="B5118"/>
  <c r="D5118" s="1"/>
  <c r="A5118"/>
  <c r="C5118" s="1"/>
  <c r="B5117"/>
  <c r="D5117" s="1"/>
  <c r="A5117"/>
  <c r="C5117" s="1"/>
  <c r="B5116"/>
  <c r="D5116" s="1"/>
  <c r="A5116"/>
  <c r="C5116" s="1"/>
  <c r="B5115"/>
  <c r="D5115" s="1"/>
  <c r="A5115"/>
  <c r="C5115" s="1"/>
  <c r="B5114"/>
  <c r="D5114" s="1"/>
  <c r="A5114"/>
  <c r="C5114" s="1"/>
  <c r="B5113"/>
  <c r="D5113" s="1"/>
  <c r="A5113"/>
  <c r="C5113" s="1"/>
  <c r="B5112"/>
  <c r="D5112" s="1"/>
  <c r="A5112"/>
  <c r="C5112" s="1"/>
  <c r="B5111"/>
  <c r="D5111" s="1"/>
  <c r="A5111"/>
  <c r="C5111" s="1"/>
  <c r="B5110"/>
  <c r="D5110" s="1"/>
  <c r="A5110"/>
  <c r="C5110" s="1"/>
  <c r="B5109"/>
  <c r="D5109" s="1"/>
  <c r="A5109"/>
  <c r="C5109" s="1"/>
  <c r="B5108"/>
  <c r="D5108" s="1"/>
  <c r="A5108"/>
  <c r="C5108" s="1"/>
  <c r="B5107"/>
  <c r="D5107" s="1"/>
  <c r="A5107"/>
  <c r="C5107" s="1"/>
  <c r="B5106"/>
  <c r="D5106" s="1"/>
  <c r="A5106"/>
  <c r="C5106" s="1"/>
  <c r="B5105"/>
  <c r="D5105" s="1"/>
  <c r="A5105"/>
  <c r="C5105" s="1"/>
  <c r="B5104"/>
  <c r="D5104" s="1"/>
  <c r="A5104"/>
  <c r="C5104" s="1"/>
  <c r="B5103"/>
  <c r="D5103" s="1"/>
  <c r="A5103"/>
  <c r="C5103" s="1"/>
  <c r="B5102"/>
  <c r="D5102" s="1"/>
  <c r="A5102"/>
  <c r="C5102" s="1"/>
  <c r="B5101"/>
  <c r="D5101" s="1"/>
  <c r="A5101"/>
  <c r="C5101" s="1"/>
  <c r="B5100"/>
  <c r="D5100" s="1"/>
  <c r="A5100"/>
  <c r="C5100" s="1"/>
  <c r="B5099"/>
  <c r="D5099" s="1"/>
  <c r="A5099"/>
  <c r="C5099" s="1"/>
  <c r="B5098"/>
  <c r="D5098" s="1"/>
  <c r="A5098"/>
  <c r="C5098" s="1"/>
  <c r="B5097"/>
  <c r="D5097" s="1"/>
  <c r="A5097"/>
  <c r="C5097" s="1"/>
  <c r="B5096"/>
  <c r="D5096" s="1"/>
  <c r="A5096"/>
  <c r="C5096" s="1"/>
  <c r="B5095"/>
  <c r="D5095" s="1"/>
  <c r="A5095"/>
  <c r="C5095" s="1"/>
  <c r="B5094"/>
  <c r="D5094" s="1"/>
  <c r="A5094"/>
  <c r="C5094" s="1"/>
  <c r="B5093"/>
  <c r="D5093" s="1"/>
  <c r="A5093"/>
  <c r="C5093" s="1"/>
  <c r="B5092"/>
  <c r="D5092" s="1"/>
  <c r="A5092"/>
  <c r="C5092" s="1"/>
  <c r="B5091"/>
  <c r="D5091" s="1"/>
  <c r="A5091"/>
  <c r="C5091" s="1"/>
  <c r="B5090"/>
  <c r="D5090" s="1"/>
  <c r="A5090"/>
  <c r="C5090" s="1"/>
  <c r="B5089"/>
  <c r="D5089" s="1"/>
  <c r="A5089"/>
  <c r="C5089" s="1"/>
  <c r="B5088"/>
  <c r="D5088" s="1"/>
  <c r="A5088"/>
  <c r="C5088" s="1"/>
  <c r="B5087"/>
  <c r="D5087" s="1"/>
  <c r="A5087"/>
  <c r="C5087" s="1"/>
  <c r="B5086"/>
  <c r="D5086" s="1"/>
  <c r="A5086"/>
  <c r="C5086" s="1"/>
  <c r="B5085"/>
  <c r="D5085" s="1"/>
  <c r="A5085"/>
  <c r="C5085" s="1"/>
  <c r="B5084"/>
  <c r="D5084" s="1"/>
  <c r="A5084"/>
  <c r="C5084" s="1"/>
  <c r="B5083"/>
  <c r="D5083" s="1"/>
  <c r="A5083"/>
  <c r="C5083" s="1"/>
  <c r="B5082"/>
  <c r="D5082" s="1"/>
  <c r="A5082"/>
  <c r="C5082" s="1"/>
  <c r="B5081"/>
  <c r="D5081" s="1"/>
  <c r="A5081"/>
  <c r="C5081" s="1"/>
  <c r="B5080"/>
  <c r="D5080" s="1"/>
  <c r="A5080"/>
  <c r="C5080" s="1"/>
  <c r="B5079"/>
  <c r="D5079" s="1"/>
  <c r="A5079"/>
  <c r="C5079" s="1"/>
  <c r="B5078"/>
  <c r="D5078" s="1"/>
  <c r="A5078"/>
  <c r="C5078" s="1"/>
  <c r="B5077"/>
  <c r="D5077" s="1"/>
  <c r="A5077"/>
  <c r="C5077" s="1"/>
  <c r="B5076"/>
  <c r="D5076" s="1"/>
  <c r="A5076"/>
  <c r="C5076" s="1"/>
  <c r="B5075"/>
  <c r="D5075" s="1"/>
  <c r="A5075"/>
  <c r="C5075" s="1"/>
  <c r="B5074"/>
  <c r="D5074" s="1"/>
  <c r="A5074"/>
  <c r="C5074" s="1"/>
  <c r="B5073"/>
  <c r="D5073" s="1"/>
  <c r="A5073"/>
  <c r="C5073" s="1"/>
  <c r="B5072"/>
  <c r="D5072" s="1"/>
  <c r="A5072"/>
  <c r="C5072" s="1"/>
  <c r="B5071"/>
  <c r="D5071" s="1"/>
  <c r="A5071"/>
  <c r="C5071" s="1"/>
  <c r="B5070"/>
  <c r="D5070" s="1"/>
  <c r="A5070"/>
  <c r="C5070" s="1"/>
  <c r="B5069"/>
  <c r="D5069" s="1"/>
  <c r="A5069"/>
  <c r="C5069" s="1"/>
  <c r="B5068"/>
  <c r="D5068" s="1"/>
  <c r="A5068"/>
  <c r="C5068" s="1"/>
  <c r="B5067"/>
  <c r="D5067" s="1"/>
  <c r="A5067"/>
  <c r="C5067" s="1"/>
  <c r="B5066"/>
  <c r="D5066" s="1"/>
  <c r="A5066"/>
  <c r="C5066" s="1"/>
  <c r="B5065"/>
  <c r="D5065" s="1"/>
  <c r="A5065"/>
  <c r="C5065" s="1"/>
  <c r="B5064"/>
  <c r="D5064" s="1"/>
  <c r="A5064"/>
  <c r="C5064" s="1"/>
  <c r="B5063"/>
  <c r="D5063" s="1"/>
  <c r="A5063"/>
  <c r="C5063" s="1"/>
  <c r="B5062"/>
  <c r="D5062" s="1"/>
  <c r="A5062"/>
  <c r="C5062" s="1"/>
  <c r="B5061"/>
  <c r="D5061" s="1"/>
  <c r="A5061"/>
  <c r="C5061" s="1"/>
  <c r="B5060"/>
  <c r="D5060" s="1"/>
  <c r="A5060"/>
  <c r="C5060" s="1"/>
  <c r="B5059"/>
  <c r="D5059" s="1"/>
  <c r="A5059"/>
  <c r="C5059" s="1"/>
  <c r="B5058"/>
  <c r="D5058" s="1"/>
  <c r="A5058"/>
  <c r="C5058" s="1"/>
  <c r="B5057"/>
  <c r="D5057" s="1"/>
  <c r="A5057"/>
  <c r="C5057" s="1"/>
  <c r="B5056"/>
  <c r="D5056" s="1"/>
  <c r="A5056"/>
  <c r="C5056" s="1"/>
  <c r="B5055"/>
  <c r="D5055" s="1"/>
  <c r="A5055"/>
  <c r="C5055" s="1"/>
  <c r="B5054"/>
  <c r="D5054" s="1"/>
  <c r="A5054"/>
  <c r="C5054" s="1"/>
  <c r="B5053"/>
  <c r="D5053" s="1"/>
  <c r="A5053"/>
  <c r="C5053" s="1"/>
  <c r="B5052"/>
  <c r="D5052" s="1"/>
  <c r="A5052"/>
  <c r="C5052" s="1"/>
  <c r="B5051"/>
  <c r="D5051" s="1"/>
  <c r="A5051"/>
  <c r="C5051" s="1"/>
  <c r="B5050"/>
  <c r="D5050" s="1"/>
  <c r="A5050"/>
  <c r="C5050" s="1"/>
  <c r="B5049"/>
  <c r="D5049" s="1"/>
  <c r="A5049"/>
  <c r="C5049" s="1"/>
  <c r="B5048"/>
  <c r="D5048" s="1"/>
  <c r="A5048"/>
  <c r="C5048" s="1"/>
  <c r="B5047"/>
  <c r="D5047" s="1"/>
  <c r="A5047"/>
  <c r="C5047" s="1"/>
  <c r="B5046"/>
  <c r="D5046" s="1"/>
  <c r="A5046"/>
  <c r="C5046" s="1"/>
  <c r="B5045"/>
  <c r="D5045" s="1"/>
  <c r="A5045"/>
  <c r="C5045" s="1"/>
  <c r="B5044"/>
  <c r="D5044" s="1"/>
  <c r="A5044"/>
  <c r="C5044" s="1"/>
  <c r="B5043"/>
  <c r="D5043" s="1"/>
  <c r="A5043"/>
  <c r="C5043" s="1"/>
  <c r="B5042"/>
  <c r="D5042" s="1"/>
  <c r="A5042"/>
  <c r="C5042" s="1"/>
  <c r="B5041"/>
  <c r="D5041" s="1"/>
  <c r="A5041"/>
  <c r="C5041" s="1"/>
  <c r="B5040"/>
  <c r="D5040" s="1"/>
  <c r="A5040"/>
  <c r="C5040" s="1"/>
  <c r="B5039"/>
  <c r="D5039" s="1"/>
  <c r="A5039"/>
  <c r="C5039" s="1"/>
  <c r="B5038"/>
  <c r="D5038" s="1"/>
  <c r="A5038"/>
  <c r="C5038" s="1"/>
  <c r="B5037"/>
  <c r="D5037" s="1"/>
  <c r="A5037"/>
  <c r="C5037" s="1"/>
  <c r="B5036"/>
  <c r="D5036" s="1"/>
  <c r="A5036"/>
  <c r="C5036" s="1"/>
  <c r="B5035"/>
  <c r="D5035" s="1"/>
  <c r="A5035"/>
  <c r="C5035" s="1"/>
  <c r="B5034"/>
  <c r="D5034" s="1"/>
  <c r="A5034"/>
  <c r="C5034" s="1"/>
  <c r="B5033"/>
  <c r="D5033" s="1"/>
  <c r="A5033"/>
  <c r="C5033" s="1"/>
  <c r="B5032"/>
  <c r="D5032" s="1"/>
  <c r="A5032"/>
  <c r="C5032" s="1"/>
  <c r="B5031"/>
  <c r="D5031" s="1"/>
  <c r="A5031"/>
  <c r="C5031" s="1"/>
  <c r="B5030"/>
  <c r="D5030" s="1"/>
  <c r="A5030"/>
  <c r="C5030" s="1"/>
  <c r="B5029"/>
  <c r="D5029" s="1"/>
  <c r="A5029"/>
  <c r="C5029" s="1"/>
  <c r="B5028"/>
  <c r="D5028" s="1"/>
  <c r="A5028"/>
  <c r="C5028" s="1"/>
  <c r="B5027"/>
  <c r="D5027" s="1"/>
  <c r="A5027"/>
  <c r="C5027" s="1"/>
  <c r="B5026"/>
  <c r="D5026" s="1"/>
  <c r="A5026"/>
  <c r="C5026" s="1"/>
  <c r="B5025"/>
  <c r="D5025" s="1"/>
  <c r="A5025"/>
  <c r="C5025" s="1"/>
  <c r="B5024"/>
  <c r="D5024" s="1"/>
  <c r="A5024"/>
  <c r="C5024" s="1"/>
  <c r="B5023"/>
  <c r="D5023" s="1"/>
  <c r="A5023"/>
  <c r="C5023" s="1"/>
  <c r="B5022"/>
  <c r="D5022" s="1"/>
  <c r="A5022"/>
  <c r="C5022" s="1"/>
  <c r="B5021"/>
  <c r="D5021" s="1"/>
  <c r="A5021"/>
  <c r="C5021" s="1"/>
  <c r="B5020"/>
  <c r="D5020" s="1"/>
  <c r="A5020"/>
  <c r="C5020" s="1"/>
  <c r="B5019"/>
  <c r="D5019" s="1"/>
  <c r="A5019"/>
  <c r="C5019" s="1"/>
  <c r="B5018"/>
  <c r="D5018" s="1"/>
  <c r="A5018"/>
  <c r="C5018" s="1"/>
  <c r="B5017"/>
  <c r="D5017" s="1"/>
  <c r="A5017"/>
  <c r="C5017" s="1"/>
  <c r="B5016"/>
  <c r="D5016" s="1"/>
  <c r="A5016"/>
  <c r="C5016" s="1"/>
  <c r="B5015"/>
  <c r="D5015" s="1"/>
  <c r="A5015"/>
  <c r="C5015" s="1"/>
  <c r="B5014"/>
  <c r="D5014" s="1"/>
  <c r="A5014"/>
  <c r="C5014" s="1"/>
  <c r="B5013"/>
  <c r="D5013" s="1"/>
  <c r="A5013"/>
  <c r="C5013" s="1"/>
  <c r="B5012"/>
  <c r="D5012" s="1"/>
  <c r="A5012"/>
  <c r="C5012" s="1"/>
  <c r="B5011"/>
  <c r="D5011" s="1"/>
  <c r="A5011"/>
  <c r="C5011" s="1"/>
  <c r="B5010"/>
  <c r="D5010" s="1"/>
  <c r="A5010"/>
  <c r="C5010" s="1"/>
  <c r="B5009"/>
  <c r="D5009" s="1"/>
  <c r="A5009"/>
  <c r="C5009" s="1"/>
  <c r="B5008"/>
  <c r="D5008" s="1"/>
  <c r="A5008"/>
  <c r="C5008" s="1"/>
  <c r="B5007"/>
  <c r="D5007" s="1"/>
  <c r="A5007"/>
  <c r="C5007" s="1"/>
  <c r="B5006"/>
  <c r="D5006" s="1"/>
  <c r="A5006"/>
  <c r="C5006" s="1"/>
  <c r="B5005"/>
  <c r="D5005" s="1"/>
  <c r="A5005"/>
  <c r="C5005" s="1"/>
  <c r="B5004"/>
  <c r="D5004" s="1"/>
  <c r="A5004"/>
  <c r="C5004" s="1"/>
  <c r="B5003"/>
  <c r="D5003" s="1"/>
  <c r="A5003"/>
  <c r="C5003" s="1"/>
  <c r="B5002"/>
  <c r="D5002" s="1"/>
  <c r="A5002"/>
  <c r="C5002" s="1"/>
  <c r="B5001"/>
  <c r="D5001" s="1"/>
  <c r="A5001"/>
  <c r="C5001" s="1"/>
  <c r="B5000"/>
  <c r="D5000" s="1"/>
  <c r="A5000"/>
  <c r="C5000" s="1"/>
  <c r="B4999"/>
  <c r="D4999" s="1"/>
  <c r="A4999"/>
  <c r="C4999" s="1"/>
  <c r="B4998"/>
  <c r="D4998" s="1"/>
  <c r="A4998"/>
  <c r="C4998" s="1"/>
  <c r="B4997"/>
  <c r="D4997" s="1"/>
  <c r="A4997"/>
  <c r="C4997" s="1"/>
  <c r="B4996"/>
  <c r="D4996" s="1"/>
  <c r="A4996"/>
  <c r="C4996" s="1"/>
  <c r="B4995"/>
  <c r="D4995" s="1"/>
  <c r="A4995"/>
  <c r="C4995" s="1"/>
  <c r="B4994"/>
  <c r="D4994" s="1"/>
  <c r="A4994"/>
  <c r="C4994" s="1"/>
  <c r="B4993"/>
  <c r="D4993" s="1"/>
  <c r="A4993"/>
  <c r="C4993" s="1"/>
  <c r="B4992"/>
  <c r="D4992" s="1"/>
  <c r="A4992"/>
  <c r="C4992" s="1"/>
  <c r="B4991"/>
  <c r="D4991" s="1"/>
  <c r="A4991"/>
  <c r="C4991" s="1"/>
  <c r="B4990"/>
  <c r="D4990" s="1"/>
  <c r="A4990"/>
  <c r="C4990" s="1"/>
  <c r="B4989"/>
  <c r="D4989" s="1"/>
  <c r="A4989"/>
  <c r="C4989" s="1"/>
  <c r="B4988"/>
  <c r="D4988" s="1"/>
  <c r="A4988"/>
  <c r="C4988" s="1"/>
  <c r="B4987"/>
  <c r="D4987" s="1"/>
  <c r="A4987"/>
  <c r="C4987" s="1"/>
  <c r="B4986"/>
  <c r="D4986" s="1"/>
  <c r="A4986"/>
  <c r="C4986" s="1"/>
  <c r="B4985"/>
  <c r="D4985" s="1"/>
  <c r="A4985"/>
  <c r="C4985" s="1"/>
  <c r="B4984"/>
  <c r="D4984" s="1"/>
  <c r="A4984"/>
  <c r="C4984" s="1"/>
  <c r="B4983"/>
  <c r="D4983" s="1"/>
  <c r="A4983"/>
  <c r="C4983" s="1"/>
  <c r="B4982"/>
  <c r="D4982" s="1"/>
  <c r="A4982"/>
  <c r="C4982" s="1"/>
  <c r="B4981"/>
  <c r="D4981" s="1"/>
  <c r="A4981"/>
  <c r="C4981" s="1"/>
  <c r="B4980"/>
  <c r="D4980" s="1"/>
  <c r="A4980"/>
  <c r="C4980" s="1"/>
  <c r="B4979"/>
  <c r="D4979" s="1"/>
  <c r="A4979"/>
  <c r="C4979" s="1"/>
  <c r="B4978"/>
  <c r="D4978" s="1"/>
  <c r="A4978"/>
  <c r="C4978" s="1"/>
  <c r="B4977"/>
  <c r="D4977" s="1"/>
  <c r="A4977"/>
  <c r="C4977" s="1"/>
  <c r="B4976"/>
  <c r="D4976" s="1"/>
  <c r="A4976"/>
  <c r="C4976" s="1"/>
  <c r="B4975"/>
  <c r="D4975" s="1"/>
  <c r="A4975"/>
  <c r="C4975" s="1"/>
  <c r="B4974"/>
  <c r="D4974" s="1"/>
  <c r="A4974"/>
  <c r="C4974" s="1"/>
  <c r="B4973"/>
  <c r="D4973" s="1"/>
  <c r="A4973"/>
  <c r="C4973" s="1"/>
  <c r="B4972"/>
  <c r="D4972" s="1"/>
  <c r="A4972"/>
  <c r="C4972" s="1"/>
  <c r="B4971"/>
  <c r="D4971" s="1"/>
  <c r="A4971"/>
  <c r="C4971" s="1"/>
  <c r="B4970"/>
  <c r="D4970" s="1"/>
  <c r="A4970"/>
  <c r="C4970" s="1"/>
  <c r="B4969"/>
  <c r="D4969" s="1"/>
  <c r="A4969"/>
  <c r="C4969" s="1"/>
  <c r="B4968"/>
  <c r="D4968" s="1"/>
  <c r="A4968"/>
  <c r="C4968" s="1"/>
  <c r="B4967"/>
  <c r="D4967" s="1"/>
  <c r="A4967"/>
  <c r="C4967" s="1"/>
  <c r="B4966"/>
  <c r="D4966" s="1"/>
  <c r="A4966"/>
  <c r="C4966" s="1"/>
  <c r="B4965"/>
  <c r="D4965" s="1"/>
  <c r="A4965"/>
  <c r="C4965" s="1"/>
  <c r="B4964"/>
  <c r="D4964" s="1"/>
  <c r="A4964"/>
  <c r="C4964" s="1"/>
  <c r="B4963"/>
  <c r="D4963" s="1"/>
  <c r="A4963"/>
  <c r="C4963" s="1"/>
  <c r="B4962"/>
  <c r="D4962" s="1"/>
  <c r="A4962"/>
  <c r="C4962" s="1"/>
  <c r="B4961"/>
  <c r="D4961" s="1"/>
  <c r="A4961"/>
  <c r="C4961" s="1"/>
  <c r="B4960"/>
  <c r="D4960" s="1"/>
  <c r="A4960"/>
  <c r="C4960" s="1"/>
  <c r="B4959"/>
  <c r="D4959" s="1"/>
  <c r="A4959"/>
  <c r="C4959" s="1"/>
  <c r="B4958"/>
  <c r="D4958" s="1"/>
  <c r="A4958"/>
  <c r="C4958" s="1"/>
  <c r="B4957"/>
  <c r="D4957" s="1"/>
  <c r="A4957"/>
  <c r="C4957" s="1"/>
  <c r="B4956"/>
  <c r="D4956" s="1"/>
  <c r="A4956"/>
  <c r="C4956" s="1"/>
  <c r="B4955"/>
  <c r="D4955" s="1"/>
  <c r="A4955"/>
  <c r="C4955" s="1"/>
  <c r="B4954"/>
  <c r="D4954" s="1"/>
  <c r="A4954"/>
  <c r="C4954" s="1"/>
  <c r="B4953"/>
  <c r="D4953" s="1"/>
  <c r="A4953"/>
  <c r="C4953" s="1"/>
  <c r="B4952"/>
  <c r="D4952" s="1"/>
  <c r="A4952"/>
  <c r="C4952" s="1"/>
  <c r="B4951"/>
  <c r="D4951" s="1"/>
  <c r="A4951"/>
  <c r="C4951" s="1"/>
  <c r="B4950"/>
  <c r="D4950" s="1"/>
  <c r="A4950"/>
  <c r="C4950" s="1"/>
  <c r="B4949"/>
  <c r="D4949" s="1"/>
  <c r="A4949"/>
  <c r="C4949" s="1"/>
  <c r="B4948"/>
  <c r="D4948" s="1"/>
  <c r="A4948"/>
  <c r="C4948" s="1"/>
  <c r="B4947"/>
  <c r="D4947" s="1"/>
  <c r="A4947"/>
  <c r="C4947" s="1"/>
  <c r="B4946"/>
  <c r="D4946" s="1"/>
  <c r="A4946"/>
  <c r="C4946" s="1"/>
  <c r="B4945"/>
  <c r="D4945" s="1"/>
  <c r="A4945"/>
  <c r="C4945" s="1"/>
  <c r="B4944"/>
  <c r="D4944" s="1"/>
  <c r="A4944"/>
  <c r="C4944" s="1"/>
  <c r="B4943"/>
  <c r="D4943" s="1"/>
  <c r="A4943"/>
  <c r="C4943" s="1"/>
  <c r="B4942"/>
  <c r="D4942" s="1"/>
  <c r="A4942"/>
  <c r="C4942" s="1"/>
  <c r="B4941"/>
  <c r="D4941" s="1"/>
  <c r="A4941"/>
  <c r="C4941" s="1"/>
  <c r="B4940"/>
  <c r="D4940" s="1"/>
  <c r="A4940"/>
  <c r="C4940" s="1"/>
  <c r="B4939"/>
  <c r="D4939" s="1"/>
  <c r="A4939"/>
  <c r="C4939" s="1"/>
  <c r="B4938"/>
  <c r="D4938" s="1"/>
  <c r="A4938"/>
  <c r="C4938" s="1"/>
  <c r="B4937"/>
  <c r="D4937" s="1"/>
  <c r="A4937"/>
  <c r="C4937" s="1"/>
  <c r="B4936"/>
  <c r="D4936" s="1"/>
  <c r="A4936"/>
  <c r="C4936" s="1"/>
  <c r="B4935"/>
  <c r="D4935" s="1"/>
  <c r="A4935"/>
  <c r="C4935" s="1"/>
  <c r="B4934"/>
  <c r="D4934" s="1"/>
  <c r="A4934"/>
  <c r="C4934" s="1"/>
  <c r="B4933"/>
  <c r="D4933" s="1"/>
  <c r="A4933"/>
  <c r="C4933" s="1"/>
  <c r="B4932"/>
  <c r="D4932" s="1"/>
  <c r="A4932"/>
  <c r="C4932" s="1"/>
  <c r="B4931"/>
  <c r="D4931" s="1"/>
  <c r="A4931"/>
  <c r="C4931" s="1"/>
  <c r="B4930"/>
  <c r="D4930" s="1"/>
  <c r="A4930"/>
  <c r="C4930" s="1"/>
  <c r="B4929"/>
  <c r="D4929" s="1"/>
  <c r="A4929"/>
  <c r="C4929" s="1"/>
  <c r="B4928"/>
  <c r="D4928" s="1"/>
  <c r="A4928"/>
  <c r="C4928" s="1"/>
  <c r="B4927"/>
  <c r="D4927" s="1"/>
  <c r="A4927"/>
  <c r="C4927" s="1"/>
  <c r="B4926"/>
  <c r="D4926" s="1"/>
  <c r="A4926"/>
  <c r="C4926" s="1"/>
  <c r="B4925"/>
  <c r="D4925" s="1"/>
  <c r="A4925"/>
  <c r="C4925" s="1"/>
  <c r="B4924"/>
  <c r="D4924" s="1"/>
  <c r="A4924"/>
  <c r="C4924" s="1"/>
  <c r="B4923"/>
  <c r="D4923" s="1"/>
  <c r="A4923"/>
  <c r="C4923" s="1"/>
  <c r="B4922"/>
  <c r="D4922" s="1"/>
  <c r="A4922"/>
  <c r="C4922" s="1"/>
  <c r="B4921"/>
  <c r="D4921" s="1"/>
  <c r="A4921"/>
  <c r="C4921" s="1"/>
  <c r="B4920"/>
  <c r="D4920" s="1"/>
  <c r="A4920"/>
  <c r="C4920" s="1"/>
  <c r="B4919"/>
  <c r="D4919" s="1"/>
  <c r="A4919"/>
  <c r="C4919" s="1"/>
  <c r="B4918"/>
  <c r="D4918" s="1"/>
  <c r="A4918"/>
  <c r="C4918" s="1"/>
  <c r="B4917"/>
  <c r="D4917" s="1"/>
  <c r="A4917"/>
  <c r="C4917" s="1"/>
  <c r="B4916"/>
  <c r="D4916" s="1"/>
  <c r="A4916"/>
  <c r="C4916" s="1"/>
  <c r="B4915"/>
  <c r="D4915" s="1"/>
  <c r="A4915"/>
  <c r="C4915" s="1"/>
  <c r="B4914"/>
  <c r="D4914" s="1"/>
  <c r="A4914"/>
  <c r="C4914" s="1"/>
  <c r="B4913"/>
  <c r="D4913" s="1"/>
  <c r="A4913"/>
  <c r="C4913" s="1"/>
  <c r="B4912"/>
  <c r="D4912" s="1"/>
  <c r="A4912"/>
  <c r="C4912" s="1"/>
  <c r="B4911"/>
  <c r="D4911" s="1"/>
  <c r="A4911"/>
  <c r="C4911" s="1"/>
  <c r="B4910"/>
  <c r="D4910" s="1"/>
  <c r="A4910"/>
  <c r="C4910" s="1"/>
  <c r="B4909"/>
  <c r="D4909" s="1"/>
  <c r="A4909"/>
  <c r="C4909" s="1"/>
  <c r="B4908"/>
  <c r="D4908" s="1"/>
  <c r="A4908"/>
  <c r="C4908" s="1"/>
  <c r="B4907"/>
  <c r="D4907" s="1"/>
  <c r="A4907"/>
  <c r="C4907" s="1"/>
  <c r="B4906"/>
  <c r="D4906" s="1"/>
  <c r="A4906"/>
  <c r="C4906" s="1"/>
  <c r="B4905"/>
  <c r="D4905" s="1"/>
  <c r="A4905"/>
  <c r="C4905" s="1"/>
  <c r="B4904"/>
  <c r="D4904" s="1"/>
  <c r="A4904"/>
  <c r="C4904" s="1"/>
  <c r="B4903"/>
  <c r="D4903" s="1"/>
  <c r="A4903"/>
  <c r="C4903" s="1"/>
  <c r="B4902"/>
  <c r="D4902" s="1"/>
  <c r="A4902"/>
  <c r="C4902" s="1"/>
  <c r="B4901"/>
  <c r="D4901" s="1"/>
  <c r="A4901"/>
  <c r="C4901" s="1"/>
  <c r="B4900"/>
  <c r="D4900" s="1"/>
  <c r="A4900"/>
  <c r="C4900" s="1"/>
  <c r="B4899"/>
  <c r="D4899" s="1"/>
  <c r="A4899"/>
  <c r="C4899" s="1"/>
  <c r="B4898"/>
  <c r="D4898" s="1"/>
  <c r="A4898"/>
  <c r="C4898" s="1"/>
  <c r="B4897"/>
  <c r="D4897" s="1"/>
  <c r="A4897"/>
  <c r="C4897" s="1"/>
  <c r="B4896"/>
  <c r="D4896" s="1"/>
  <c r="A4896"/>
  <c r="C4896" s="1"/>
  <c r="B4895"/>
  <c r="D4895" s="1"/>
  <c r="A4895"/>
  <c r="C4895" s="1"/>
  <c r="B4894"/>
  <c r="D4894" s="1"/>
  <c r="A4894"/>
  <c r="C4894" s="1"/>
  <c r="B4893"/>
  <c r="D4893" s="1"/>
  <c r="A4893"/>
  <c r="C4893" s="1"/>
  <c r="B4892"/>
  <c r="D4892" s="1"/>
  <c r="A4892"/>
  <c r="C4892" s="1"/>
  <c r="B4891"/>
  <c r="D4891" s="1"/>
  <c r="A4891"/>
  <c r="C4891" s="1"/>
  <c r="B4890"/>
  <c r="D4890" s="1"/>
  <c r="A4890"/>
  <c r="C4890" s="1"/>
  <c r="B4889"/>
  <c r="D4889" s="1"/>
  <c r="A4889"/>
  <c r="C4889" s="1"/>
  <c r="B4888"/>
  <c r="D4888" s="1"/>
  <c r="A4888"/>
  <c r="C4888" s="1"/>
  <c r="B4887"/>
  <c r="D4887" s="1"/>
  <c r="A4887"/>
  <c r="C4887" s="1"/>
  <c r="B4886"/>
  <c r="D4886" s="1"/>
  <c r="A4886"/>
  <c r="C4886" s="1"/>
  <c r="B4885"/>
  <c r="D4885" s="1"/>
  <c r="A4885"/>
  <c r="C4885" s="1"/>
  <c r="B4884"/>
  <c r="D4884" s="1"/>
  <c r="A4884"/>
  <c r="C4884" s="1"/>
  <c r="B4883"/>
  <c r="D4883" s="1"/>
  <c r="A4883"/>
  <c r="C4883" s="1"/>
  <c r="B4882"/>
  <c r="D4882" s="1"/>
  <c r="A4882"/>
  <c r="C4882" s="1"/>
  <c r="B4881"/>
  <c r="D4881" s="1"/>
  <c r="A4881"/>
  <c r="C4881" s="1"/>
  <c r="B4880"/>
  <c r="D4880" s="1"/>
  <c r="A4880"/>
  <c r="C4880" s="1"/>
  <c r="B4879"/>
  <c r="D4879" s="1"/>
  <c r="A4879"/>
  <c r="C4879" s="1"/>
  <c r="B4878"/>
  <c r="D4878" s="1"/>
  <c r="A4878"/>
  <c r="C4878" s="1"/>
  <c r="B4877"/>
  <c r="D4877" s="1"/>
  <c r="A4877"/>
  <c r="C4877" s="1"/>
  <c r="B4876"/>
  <c r="D4876" s="1"/>
  <c r="A4876"/>
  <c r="C4876" s="1"/>
  <c r="B4875"/>
  <c r="D4875" s="1"/>
  <c r="A4875"/>
  <c r="C4875" s="1"/>
  <c r="B4874"/>
  <c r="D4874" s="1"/>
  <c r="A4874"/>
  <c r="C4874" s="1"/>
  <c r="B4873"/>
  <c r="D4873" s="1"/>
  <c r="A4873"/>
  <c r="C4873" s="1"/>
  <c r="B4872"/>
  <c r="D4872" s="1"/>
  <c r="A4872"/>
  <c r="C4872" s="1"/>
  <c r="B4871"/>
  <c r="D4871" s="1"/>
  <c r="A4871"/>
  <c r="C4871" s="1"/>
  <c r="B4870"/>
  <c r="D4870" s="1"/>
  <c r="A4870"/>
  <c r="C4870" s="1"/>
  <c r="B4869"/>
  <c r="D4869" s="1"/>
  <c r="A4869"/>
  <c r="C4869" s="1"/>
  <c r="B4868"/>
  <c r="D4868" s="1"/>
  <c r="A4868"/>
  <c r="C4868" s="1"/>
  <c r="B4867"/>
  <c r="D4867" s="1"/>
  <c r="A4867"/>
  <c r="C4867" s="1"/>
  <c r="B4866"/>
  <c r="D4866" s="1"/>
  <c r="A4866"/>
  <c r="C4866" s="1"/>
  <c r="B4865"/>
  <c r="D4865" s="1"/>
  <c r="A4865"/>
  <c r="C4865" s="1"/>
  <c r="B4864"/>
  <c r="D4864" s="1"/>
  <c r="A4864"/>
  <c r="C4864" s="1"/>
  <c r="B4863"/>
  <c r="D4863" s="1"/>
  <c r="A4863"/>
  <c r="C4863" s="1"/>
  <c r="B4862"/>
  <c r="D4862" s="1"/>
  <c r="A4862"/>
  <c r="C4862" s="1"/>
  <c r="B4861"/>
  <c r="D4861" s="1"/>
  <c r="A4861"/>
  <c r="C4861" s="1"/>
  <c r="B4860"/>
  <c r="D4860" s="1"/>
  <c r="A4860"/>
  <c r="C4860" s="1"/>
  <c r="B4859"/>
  <c r="D4859" s="1"/>
  <c r="A4859"/>
  <c r="C4859" s="1"/>
  <c r="B4858"/>
  <c r="D4858" s="1"/>
  <c r="A4858"/>
  <c r="C4858" s="1"/>
  <c r="B4857"/>
  <c r="D4857" s="1"/>
  <c r="A4857"/>
  <c r="C4857" s="1"/>
  <c r="B4856"/>
  <c r="D4856" s="1"/>
  <c r="A4856"/>
  <c r="C4856" s="1"/>
  <c r="B4855"/>
  <c r="D4855" s="1"/>
  <c r="A4855"/>
  <c r="C4855" s="1"/>
  <c r="B4854"/>
  <c r="D4854" s="1"/>
  <c r="A4854"/>
  <c r="C4854" s="1"/>
  <c r="B4853"/>
  <c r="D4853" s="1"/>
  <c r="A4853"/>
  <c r="C4853" s="1"/>
  <c r="B4852"/>
  <c r="D4852" s="1"/>
  <c r="A4852"/>
  <c r="C4852" s="1"/>
  <c r="B4851"/>
  <c r="D4851" s="1"/>
  <c r="A4851"/>
  <c r="C4851" s="1"/>
  <c r="B4850"/>
  <c r="D4850" s="1"/>
  <c r="A4850"/>
  <c r="C4850" s="1"/>
  <c r="B4849"/>
  <c r="D4849" s="1"/>
  <c r="A4849"/>
  <c r="C4849" s="1"/>
  <c r="B4848"/>
  <c r="D4848" s="1"/>
  <c r="A4848"/>
  <c r="C4848" s="1"/>
  <c r="B4847"/>
  <c r="D4847" s="1"/>
  <c r="A4847"/>
  <c r="C4847" s="1"/>
  <c r="B4846"/>
  <c r="D4846" s="1"/>
  <c r="A4846"/>
  <c r="C4846" s="1"/>
  <c r="B4845"/>
  <c r="D4845" s="1"/>
  <c r="A4845"/>
  <c r="C4845" s="1"/>
  <c r="B4844"/>
  <c r="D4844" s="1"/>
  <c r="A4844"/>
  <c r="C4844" s="1"/>
  <c r="B4843"/>
  <c r="D4843" s="1"/>
  <c r="A4843"/>
  <c r="C4843" s="1"/>
  <c r="B4842"/>
  <c r="D4842" s="1"/>
  <c r="A4842"/>
  <c r="C4842" s="1"/>
  <c r="B4841"/>
  <c r="D4841" s="1"/>
  <c r="A4841"/>
  <c r="C4841" s="1"/>
  <c r="B4840"/>
  <c r="D4840" s="1"/>
  <c r="A4840"/>
  <c r="C4840" s="1"/>
  <c r="B4839"/>
  <c r="D4839" s="1"/>
  <c r="A4839"/>
  <c r="C4839" s="1"/>
  <c r="B4838"/>
  <c r="D4838" s="1"/>
  <c r="A4838"/>
  <c r="C4838" s="1"/>
  <c r="B4837"/>
  <c r="D4837" s="1"/>
  <c r="A4837"/>
  <c r="C4837" s="1"/>
  <c r="B4836"/>
  <c r="D4836" s="1"/>
  <c r="A4836"/>
  <c r="C4836" s="1"/>
  <c r="B4835"/>
  <c r="D4835" s="1"/>
  <c r="A4835"/>
  <c r="C4835" s="1"/>
  <c r="B4834"/>
  <c r="D4834" s="1"/>
  <c r="A4834"/>
  <c r="C4834" s="1"/>
  <c r="B4833"/>
  <c r="D4833" s="1"/>
  <c r="A4833"/>
  <c r="C4833" s="1"/>
  <c r="B4832"/>
  <c r="D4832" s="1"/>
  <c r="A4832"/>
  <c r="C4832" s="1"/>
  <c r="B4831"/>
  <c r="D4831" s="1"/>
  <c r="A4831"/>
  <c r="C4831" s="1"/>
  <c r="B4830"/>
  <c r="D4830" s="1"/>
  <c r="A4830"/>
  <c r="C4830" s="1"/>
  <c r="B4829"/>
  <c r="D4829" s="1"/>
  <c r="A4829"/>
  <c r="C4829" s="1"/>
  <c r="B4828"/>
  <c r="D4828" s="1"/>
  <c r="A4828"/>
  <c r="C4828" s="1"/>
  <c r="B4827"/>
  <c r="D4827" s="1"/>
  <c r="A4827"/>
  <c r="C4827" s="1"/>
  <c r="B4826"/>
  <c r="D4826" s="1"/>
  <c r="A4826"/>
  <c r="C4826" s="1"/>
  <c r="B4825"/>
  <c r="D4825" s="1"/>
  <c r="A4825"/>
  <c r="C4825" s="1"/>
  <c r="B4824"/>
  <c r="D4824" s="1"/>
  <c r="A4824"/>
  <c r="C4824" s="1"/>
  <c r="B4823"/>
  <c r="D4823" s="1"/>
  <c r="A4823"/>
  <c r="C4823" s="1"/>
  <c r="B4822"/>
  <c r="D4822" s="1"/>
  <c r="A4822"/>
  <c r="C4822" s="1"/>
  <c r="B4821"/>
  <c r="D4821" s="1"/>
  <c r="A4821"/>
  <c r="C4821" s="1"/>
  <c r="B4820"/>
  <c r="D4820" s="1"/>
  <c r="A4820"/>
  <c r="C4820" s="1"/>
  <c r="B4819"/>
  <c r="D4819" s="1"/>
  <c r="A4819"/>
  <c r="C4819" s="1"/>
  <c r="B4818"/>
  <c r="D4818" s="1"/>
  <c r="A4818"/>
  <c r="C4818" s="1"/>
  <c r="B4817"/>
  <c r="D4817" s="1"/>
  <c r="A4817"/>
  <c r="C4817" s="1"/>
  <c r="B4816"/>
  <c r="D4816" s="1"/>
  <c r="A4816"/>
  <c r="C4816" s="1"/>
  <c r="B4815"/>
  <c r="D4815" s="1"/>
  <c r="A4815"/>
  <c r="C4815" s="1"/>
  <c r="B4814"/>
  <c r="D4814" s="1"/>
  <c r="A4814"/>
  <c r="C4814" s="1"/>
  <c r="B4813"/>
  <c r="D4813" s="1"/>
  <c r="A4813"/>
  <c r="C4813" s="1"/>
  <c r="B4812"/>
  <c r="D4812" s="1"/>
  <c r="A4812"/>
  <c r="C4812" s="1"/>
  <c r="B4811"/>
  <c r="D4811" s="1"/>
  <c r="A4811"/>
  <c r="C4811" s="1"/>
  <c r="B4810"/>
  <c r="D4810" s="1"/>
  <c r="A4810"/>
  <c r="C4810" s="1"/>
  <c r="B4809"/>
  <c r="D4809" s="1"/>
  <c r="A4809"/>
  <c r="C4809" s="1"/>
  <c r="B4808"/>
  <c r="D4808" s="1"/>
  <c r="A4808"/>
  <c r="C4808" s="1"/>
  <c r="B4807"/>
  <c r="D4807" s="1"/>
  <c r="A4807"/>
  <c r="C4807" s="1"/>
  <c r="B4806"/>
  <c r="D4806" s="1"/>
  <c r="A4806"/>
  <c r="C4806" s="1"/>
  <c r="B4805"/>
  <c r="D4805" s="1"/>
  <c r="A4805"/>
  <c r="C4805" s="1"/>
  <c r="B4804"/>
  <c r="D4804" s="1"/>
  <c r="A4804"/>
  <c r="C4804" s="1"/>
  <c r="B4803"/>
  <c r="D4803" s="1"/>
  <c r="A4803"/>
  <c r="C4803" s="1"/>
  <c r="B4802"/>
  <c r="D4802" s="1"/>
  <c r="A4802"/>
  <c r="C4802" s="1"/>
  <c r="B4801"/>
  <c r="D4801" s="1"/>
  <c r="A4801"/>
  <c r="C4801" s="1"/>
  <c r="B4800"/>
  <c r="D4800" s="1"/>
  <c r="A4800"/>
  <c r="C4800" s="1"/>
  <c r="B4799"/>
  <c r="D4799" s="1"/>
  <c r="A4799"/>
  <c r="C4799" s="1"/>
  <c r="B4798"/>
  <c r="D4798" s="1"/>
  <c r="A4798"/>
  <c r="C4798" s="1"/>
  <c r="B4797"/>
  <c r="D4797" s="1"/>
  <c r="A4797"/>
  <c r="C4797" s="1"/>
  <c r="B4796"/>
  <c r="D4796" s="1"/>
  <c r="A4796"/>
  <c r="C4796" s="1"/>
  <c r="B4795"/>
  <c r="D4795" s="1"/>
  <c r="A4795"/>
  <c r="C4795" s="1"/>
  <c r="B4794"/>
  <c r="D4794" s="1"/>
  <c r="A4794"/>
  <c r="C4794" s="1"/>
  <c r="B4793"/>
  <c r="D4793" s="1"/>
  <c r="A4793"/>
  <c r="C4793" s="1"/>
  <c r="B4792"/>
  <c r="D4792" s="1"/>
  <c r="A4792"/>
  <c r="C4792" s="1"/>
  <c r="B4791"/>
  <c r="D4791" s="1"/>
  <c r="A4791"/>
  <c r="C4791" s="1"/>
  <c r="B4790"/>
  <c r="D4790" s="1"/>
  <c r="A4790"/>
  <c r="C4790" s="1"/>
  <c r="B4789"/>
  <c r="D4789" s="1"/>
  <c r="A4789"/>
  <c r="C4789" s="1"/>
  <c r="B4788"/>
  <c r="D4788" s="1"/>
  <c r="A4788"/>
  <c r="C4788" s="1"/>
  <c r="B4787"/>
  <c r="D4787" s="1"/>
  <c r="A4787"/>
  <c r="C4787" s="1"/>
  <c r="B4786"/>
  <c r="D4786" s="1"/>
  <c r="A4786"/>
  <c r="C4786" s="1"/>
  <c r="B4785"/>
  <c r="D4785" s="1"/>
  <c r="A4785"/>
  <c r="C4785" s="1"/>
  <c r="B4784"/>
  <c r="D4784" s="1"/>
  <c r="A4784"/>
  <c r="C4784" s="1"/>
  <c r="B4783"/>
  <c r="D4783" s="1"/>
  <c r="A4783"/>
  <c r="C4783" s="1"/>
  <c r="B4782"/>
  <c r="D4782" s="1"/>
  <c r="A4782"/>
  <c r="C4782" s="1"/>
  <c r="B4781"/>
  <c r="D4781" s="1"/>
  <c r="A4781"/>
  <c r="C4781" s="1"/>
  <c r="B4780"/>
  <c r="D4780" s="1"/>
  <c r="A4780"/>
  <c r="C4780" s="1"/>
  <c r="B4779"/>
  <c r="D4779" s="1"/>
  <c r="A4779"/>
  <c r="C4779" s="1"/>
  <c r="B4778"/>
  <c r="D4778" s="1"/>
  <c r="A4778"/>
  <c r="C4778" s="1"/>
  <c r="B4777"/>
  <c r="D4777" s="1"/>
  <c r="A4777"/>
  <c r="C4777" s="1"/>
  <c r="B4776"/>
  <c r="D4776" s="1"/>
  <c r="A4776"/>
  <c r="C4776" s="1"/>
  <c r="B4775"/>
  <c r="D4775" s="1"/>
  <c r="A4775"/>
  <c r="C4775" s="1"/>
  <c r="B4774"/>
  <c r="D4774" s="1"/>
  <c r="A4774"/>
  <c r="C4774" s="1"/>
  <c r="B4773"/>
  <c r="D4773" s="1"/>
  <c r="A4773"/>
  <c r="C4773" s="1"/>
  <c r="B4772"/>
  <c r="D4772" s="1"/>
  <c r="A4772"/>
  <c r="C4772" s="1"/>
  <c r="B4771"/>
  <c r="D4771" s="1"/>
  <c r="A4771"/>
  <c r="C4771" s="1"/>
  <c r="B4770"/>
  <c r="D4770" s="1"/>
  <c r="A4770"/>
  <c r="C4770" s="1"/>
  <c r="B4769"/>
  <c r="D4769" s="1"/>
  <c r="A4769"/>
  <c r="C4769" s="1"/>
  <c r="B4768"/>
  <c r="D4768" s="1"/>
  <c r="A4768"/>
  <c r="C4768" s="1"/>
  <c r="B4767"/>
  <c r="D4767" s="1"/>
  <c r="A4767"/>
  <c r="C4767" s="1"/>
  <c r="B4766"/>
  <c r="D4766" s="1"/>
  <c r="A4766"/>
  <c r="C4766" s="1"/>
  <c r="B4765"/>
  <c r="D4765" s="1"/>
  <c r="A4765"/>
  <c r="C4765" s="1"/>
  <c r="B4764"/>
  <c r="D4764" s="1"/>
  <c r="A4764"/>
  <c r="C4764" s="1"/>
  <c r="B4763"/>
  <c r="D4763" s="1"/>
  <c r="A4763"/>
  <c r="C4763" s="1"/>
  <c r="B4762"/>
  <c r="D4762" s="1"/>
  <c r="A4762"/>
  <c r="C4762" s="1"/>
  <c r="B4761"/>
  <c r="D4761" s="1"/>
  <c r="A4761"/>
  <c r="C4761" s="1"/>
  <c r="B4760"/>
  <c r="D4760" s="1"/>
  <c r="A4760"/>
  <c r="C4760" s="1"/>
  <c r="B4759"/>
  <c r="D4759" s="1"/>
  <c r="A4759"/>
  <c r="C4759" s="1"/>
  <c r="B4758"/>
  <c r="D4758" s="1"/>
  <c r="A4758"/>
  <c r="C4758" s="1"/>
  <c r="B4757"/>
  <c r="D4757" s="1"/>
  <c r="A4757"/>
  <c r="C4757" s="1"/>
  <c r="B4756"/>
  <c r="D4756" s="1"/>
  <c r="A4756"/>
  <c r="C4756" s="1"/>
  <c r="B4755"/>
  <c r="D4755" s="1"/>
  <c r="A4755"/>
  <c r="C4755" s="1"/>
  <c r="B4754"/>
  <c r="D4754" s="1"/>
  <c r="A4754"/>
  <c r="C4754" s="1"/>
  <c r="B4753"/>
  <c r="D4753" s="1"/>
  <c r="A4753"/>
  <c r="C4753" s="1"/>
  <c r="B4752"/>
  <c r="D4752" s="1"/>
  <c r="A4752"/>
  <c r="C4752" s="1"/>
  <c r="B4751"/>
  <c r="D4751" s="1"/>
  <c r="A4751"/>
  <c r="C4751" s="1"/>
  <c r="B4750"/>
  <c r="D4750" s="1"/>
  <c r="A4750"/>
  <c r="C4750" s="1"/>
  <c r="B4749"/>
  <c r="D4749" s="1"/>
  <c r="A4749"/>
  <c r="C4749" s="1"/>
  <c r="B4748"/>
  <c r="D4748" s="1"/>
  <c r="A4748"/>
  <c r="C4748" s="1"/>
  <c r="B4747"/>
  <c r="D4747" s="1"/>
  <c r="A4747"/>
  <c r="C4747" s="1"/>
  <c r="B4746"/>
  <c r="D4746" s="1"/>
  <c r="A4746"/>
  <c r="C4746" s="1"/>
  <c r="B4745"/>
  <c r="D4745" s="1"/>
  <c r="A4745"/>
  <c r="C4745" s="1"/>
  <c r="B4744"/>
  <c r="D4744" s="1"/>
  <c r="A4744"/>
  <c r="C4744" s="1"/>
  <c r="B4743"/>
  <c r="D4743" s="1"/>
  <c r="A4743"/>
  <c r="C4743" s="1"/>
  <c r="B4742"/>
  <c r="D4742" s="1"/>
  <c r="A4742"/>
  <c r="C4742" s="1"/>
  <c r="B4741"/>
  <c r="D4741" s="1"/>
  <c r="A4741"/>
  <c r="C4741" s="1"/>
  <c r="B4740"/>
  <c r="D4740" s="1"/>
  <c r="A4740"/>
  <c r="C4740" s="1"/>
  <c r="B4739"/>
  <c r="D4739" s="1"/>
  <c r="A4739"/>
  <c r="C4739" s="1"/>
  <c r="B4738"/>
  <c r="D4738" s="1"/>
  <c r="A4738"/>
  <c r="C4738" s="1"/>
  <c r="B4737"/>
  <c r="D4737" s="1"/>
  <c r="A4737"/>
  <c r="C4737" s="1"/>
  <c r="B4736"/>
  <c r="D4736" s="1"/>
  <c r="A4736"/>
  <c r="C4736" s="1"/>
  <c r="B4735"/>
  <c r="D4735" s="1"/>
  <c r="A4735"/>
  <c r="C4735" s="1"/>
  <c r="B4734"/>
  <c r="D4734" s="1"/>
  <c r="A4734"/>
  <c r="C4734" s="1"/>
  <c r="B4733"/>
  <c r="D4733" s="1"/>
  <c r="A4733"/>
  <c r="C4733" s="1"/>
  <c r="B4732"/>
  <c r="D4732" s="1"/>
  <c r="A4732"/>
  <c r="C4732" s="1"/>
  <c r="B4731"/>
  <c r="D4731" s="1"/>
  <c r="A4731"/>
  <c r="C4731" s="1"/>
  <c r="B4730"/>
  <c r="D4730" s="1"/>
  <c r="A4730"/>
  <c r="C4730" s="1"/>
  <c r="B4729"/>
  <c r="D4729" s="1"/>
  <c r="A4729"/>
  <c r="C4729" s="1"/>
  <c r="B4728"/>
  <c r="D4728" s="1"/>
  <c r="A4728"/>
  <c r="C4728" s="1"/>
  <c r="B4727"/>
  <c r="D4727" s="1"/>
  <c r="A4727"/>
  <c r="C4727" s="1"/>
  <c r="B4726"/>
  <c r="D4726" s="1"/>
  <c r="A4726"/>
  <c r="C4726" s="1"/>
  <c r="B4725"/>
  <c r="D4725" s="1"/>
  <c r="A4725"/>
  <c r="C4725" s="1"/>
  <c r="B4724"/>
  <c r="D4724" s="1"/>
  <c r="A4724"/>
  <c r="C4724" s="1"/>
  <c r="B4723"/>
  <c r="D4723" s="1"/>
  <c r="A4723"/>
  <c r="C4723" s="1"/>
  <c r="B4722"/>
  <c r="D4722" s="1"/>
  <c r="A4722"/>
  <c r="C4722" s="1"/>
  <c r="B4721"/>
  <c r="D4721" s="1"/>
  <c r="A4721"/>
  <c r="C4721" s="1"/>
  <c r="B4720"/>
  <c r="D4720" s="1"/>
  <c r="A4720"/>
  <c r="C4720" s="1"/>
  <c r="B4719"/>
  <c r="D4719" s="1"/>
  <c r="A4719"/>
  <c r="C4719" s="1"/>
  <c r="B4718"/>
  <c r="D4718" s="1"/>
  <c r="A4718"/>
  <c r="C4718" s="1"/>
  <c r="B4717"/>
  <c r="D4717" s="1"/>
  <c r="A4717"/>
  <c r="C4717" s="1"/>
  <c r="B4716"/>
  <c r="D4716" s="1"/>
  <c r="A4716"/>
  <c r="C4716" s="1"/>
  <c r="B4715"/>
  <c r="D4715" s="1"/>
  <c r="A4715"/>
  <c r="C4715" s="1"/>
  <c r="B4714"/>
  <c r="D4714" s="1"/>
  <c r="A4714"/>
  <c r="C4714" s="1"/>
  <c r="B4713"/>
  <c r="D4713" s="1"/>
  <c r="A4713"/>
  <c r="C4713" s="1"/>
  <c r="B4712"/>
  <c r="D4712" s="1"/>
  <c r="A4712"/>
  <c r="C4712" s="1"/>
  <c r="B4711"/>
  <c r="D4711" s="1"/>
  <c r="A4711"/>
  <c r="C4711" s="1"/>
  <c r="B4710"/>
  <c r="D4710" s="1"/>
  <c r="A4710"/>
  <c r="C4710" s="1"/>
  <c r="B4709"/>
  <c r="D4709" s="1"/>
  <c r="A4709"/>
  <c r="C4709" s="1"/>
  <c r="B4708"/>
  <c r="D4708" s="1"/>
  <c r="A4708"/>
  <c r="C4708" s="1"/>
  <c r="B4707"/>
  <c r="D4707" s="1"/>
  <c r="A4707"/>
  <c r="C4707" s="1"/>
  <c r="B4706"/>
  <c r="D4706" s="1"/>
  <c r="A4706"/>
  <c r="C4706" s="1"/>
  <c r="B4705"/>
  <c r="D4705" s="1"/>
  <c r="A4705"/>
  <c r="C4705" s="1"/>
  <c r="B4704"/>
  <c r="D4704" s="1"/>
  <c r="A4704"/>
  <c r="C4704" s="1"/>
  <c r="B4703"/>
  <c r="D4703" s="1"/>
  <c r="A4703"/>
  <c r="C4703" s="1"/>
  <c r="B4702"/>
  <c r="D4702" s="1"/>
  <c r="A4702"/>
  <c r="C4702" s="1"/>
  <c r="B4701"/>
  <c r="D4701" s="1"/>
  <c r="A4701"/>
  <c r="C4701" s="1"/>
  <c r="B4700"/>
  <c r="D4700" s="1"/>
  <c r="A4700"/>
  <c r="C4700" s="1"/>
  <c r="B4699"/>
  <c r="D4699" s="1"/>
  <c r="A4699"/>
  <c r="C4699" s="1"/>
  <c r="B4698"/>
  <c r="D4698" s="1"/>
  <c r="A4698"/>
  <c r="C4698" s="1"/>
  <c r="B4697"/>
  <c r="D4697" s="1"/>
  <c r="A4697"/>
  <c r="C4697" s="1"/>
  <c r="B4696"/>
  <c r="D4696" s="1"/>
  <c r="A4696"/>
  <c r="C4696" s="1"/>
  <c r="B4695"/>
  <c r="D4695" s="1"/>
  <c r="A4695"/>
  <c r="C4695" s="1"/>
  <c r="B4694"/>
  <c r="D4694" s="1"/>
  <c r="A4694"/>
  <c r="C4694" s="1"/>
  <c r="B4693"/>
  <c r="D4693" s="1"/>
  <c r="A4693"/>
  <c r="C4693" s="1"/>
  <c r="B4692"/>
  <c r="D4692" s="1"/>
  <c r="A4692"/>
  <c r="C4692" s="1"/>
  <c r="B4691"/>
  <c r="D4691" s="1"/>
  <c r="A4691"/>
  <c r="C4691" s="1"/>
  <c r="B4690"/>
  <c r="D4690" s="1"/>
  <c r="A4690"/>
  <c r="C4690" s="1"/>
  <c r="B4689"/>
  <c r="D4689" s="1"/>
  <c r="A4689"/>
  <c r="C4689" s="1"/>
  <c r="B4688"/>
  <c r="D4688" s="1"/>
  <c r="A4688"/>
  <c r="C4688" s="1"/>
  <c r="B4687"/>
  <c r="D4687" s="1"/>
  <c r="A4687"/>
  <c r="C4687" s="1"/>
  <c r="B4686"/>
  <c r="D4686" s="1"/>
  <c r="A4686"/>
  <c r="C4686" s="1"/>
  <c r="B4685"/>
  <c r="D4685" s="1"/>
  <c r="A4685"/>
  <c r="C4685" s="1"/>
  <c r="B4684"/>
  <c r="D4684" s="1"/>
  <c r="A4684"/>
  <c r="C4684" s="1"/>
  <c r="B4683"/>
  <c r="D4683" s="1"/>
  <c r="A4683"/>
  <c r="C4683" s="1"/>
  <c r="B4682"/>
  <c r="D4682" s="1"/>
  <c r="A4682"/>
  <c r="C4682" s="1"/>
  <c r="B4681"/>
  <c r="D4681" s="1"/>
  <c r="A4681"/>
  <c r="C4681" s="1"/>
  <c r="B4680"/>
  <c r="D4680" s="1"/>
  <c r="A4680"/>
  <c r="C4680" s="1"/>
  <c r="B4679"/>
  <c r="D4679" s="1"/>
  <c r="A4679"/>
  <c r="C4679" s="1"/>
  <c r="B4678"/>
  <c r="D4678" s="1"/>
  <c r="A4678"/>
  <c r="C4678" s="1"/>
  <c r="B4677"/>
  <c r="D4677" s="1"/>
  <c r="A4677"/>
  <c r="C4677" s="1"/>
  <c r="B4676"/>
  <c r="D4676" s="1"/>
  <c r="A4676"/>
  <c r="C4676" s="1"/>
  <c r="B4675"/>
  <c r="D4675" s="1"/>
  <c r="A4675"/>
  <c r="C4675" s="1"/>
  <c r="B4674"/>
  <c r="D4674" s="1"/>
  <c r="A4674"/>
  <c r="C4674" s="1"/>
  <c r="B4673"/>
  <c r="D4673" s="1"/>
  <c r="A4673"/>
  <c r="C4673" s="1"/>
  <c r="B4672"/>
  <c r="D4672" s="1"/>
  <c r="A4672"/>
  <c r="C4672" s="1"/>
  <c r="B4671"/>
  <c r="D4671" s="1"/>
  <c r="A4671"/>
  <c r="C4671" s="1"/>
  <c r="B4670"/>
  <c r="D4670" s="1"/>
  <c r="A4670"/>
  <c r="C4670" s="1"/>
  <c r="B4669"/>
  <c r="D4669" s="1"/>
  <c r="A4669"/>
  <c r="C4669" s="1"/>
  <c r="B4668"/>
  <c r="D4668" s="1"/>
  <c r="A4668"/>
  <c r="C4668" s="1"/>
  <c r="B4667"/>
  <c r="D4667" s="1"/>
  <c r="A4667"/>
  <c r="C4667" s="1"/>
  <c r="B4666"/>
  <c r="D4666" s="1"/>
  <c r="A4666"/>
  <c r="C4666" s="1"/>
  <c r="B4665"/>
  <c r="D4665" s="1"/>
  <c r="A4665"/>
  <c r="C4665" s="1"/>
  <c r="B4664"/>
  <c r="D4664" s="1"/>
  <c r="A4664"/>
  <c r="C4664" s="1"/>
  <c r="B4663"/>
  <c r="D4663" s="1"/>
  <c r="A4663"/>
  <c r="C4663" s="1"/>
  <c r="B4662"/>
  <c r="D4662" s="1"/>
  <c r="A4662"/>
  <c r="C4662" s="1"/>
  <c r="B4661"/>
  <c r="D4661" s="1"/>
  <c r="A4661"/>
  <c r="C4661" s="1"/>
  <c r="B4660"/>
  <c r="D4660" s="1"/>
  <c r="A4660"/>
  <c r="C4660" s="1"/>
  <c r="B4659"/>
  <c r="D4659" s="1"/>
  <c r="A4659"/>
  <c r="C4659" s="1"/>
  <c r="B4658"/>
  <c r="D4658" s="1"/>
  <c r="A4658"/>
  <c r="C4658" s="1"/>
  <c r="B4657"/>
  <c r="D4657" s="1"/>
  <c r="A4657"/>
  <c r="C4657" s="1"/>
  <c r="B4656"/>
  <c r="D4656" s="1"/>
  <c r="A4656"/>
  <c r="C4656" s="1"/>
  <c r="B4655"/>
  <c r="D4655" s="1"/>
  <c r="A4655"/>
  <c r="C4655" s="1"/>
  <c r="B4654"/>
  <c r="D4654" s="1"/>
  <c r="A4654"/>
  <c r="C4654" s="1"/>
  <c r="B4653"/>
  <c r="D4653" s="1"/>
  <c r="A4653"/>
  <c r="C4653" s="1"/>
  <c r="B4652"/>
  <c r="D4652" s="1"/>
  <c r="A4652"/>
  <c r="C4652" s="1"/>
  <c r="B4651"/>
  <c r="D4651" s="1"/>
  <c r="A4651"/>
  <c r="C4651" s="1"/>
  <c r="B4650"/>
  <c r="D4650" s="1"/>
  <c r="A4650"/>
  <c r="C4650" s="1"/>
  <c r="B4649"/>
  <c r="D4649" s="1"/>
  <c r="A4649"/>
  <c r="C4649" s="1"/>
  <c r="B4648"/>
  <c r="D4648" s="1"/>
  <c r="A4648"/>
  <c r="C4648" s="1"/>
  <c r="B4647"/>
  <c r="D4647" s="1"/>
  <c r="A4647"/>
  <c r="C4647" s="1"/>
  <c r="B4646"/>
  <c r="D4646" s="1"/>
  <c r="A4646"/>
  <c r="C4646" s="1"/>
  <c r="B4645"/>
  <c r="D4645" s="1"/>
  <c r="A4645"/>
  <c r="C4645" s="1"/>
  <c r="B4644"/>
  <c r="D4644" s="1"/>
  <c r="A4644"/>
  <c r="C4644" s="1"/>
  <c r="B4643"/>
  <c r="D4643" s="1"/>
  <c r="A4643"/>
  <c r="C4643" s="1"/>
  <c r="B4642"/>
  <c r="D4642" s="1"/>
  <c r="A4642"/>
  <c r="C4642" s="1"/>
  <c r="B4641"/>
  <c r="D4641" s="1"/>
  <c r="A4641"/>
  <c r="C4641" s="1"/>
  <c r="B4640"/>
  <c r="D4640" s="1"/>
  <c r="A4640"/>
  <c r="C4640" s="1"/>
  <c r="B4639"/>
  <c r="D4639" s="1"/>
  <c r="A4639"/>
  <c r="C4639" s="1"/>
  <c r="B4638"/>
  <c r="D4638" s="1"/>
  <c r="A4638"/>
  <c r="C4638" s="1"/>
  <c r="B4637"/>
  <c r="D4637" s="1"/>
  <c r="A4637"/>
  <c r="C4637" s="1"/>
  <c r="B4636"/>
  <c r="D4636" s="1"/>
  <c r="A4636"/>
  <c r="C4636" s="1"/>
  <c r="B4635"/>
  <c r="D4635" s="1"/>
  <c r="A4635"/>
  <c r="C4635" s="1"/>
  <c r="B4634"/>
  <c r="D4634" s="1"/>
  <c r="A4634"/>
  <c r="C4634" s="1"/>
  <c r="B4633"/>
  <c r="D4633" s="1"/>
  <c r="A4633"/>
  <c r="C4633" s="1"/>
  <c r="B4632"/>
  <c r="D4632" s="1"/>
  <c r="A4632"/>
  <c r="C4632" s="1"/>
  <c r="B4631"/>
  <c r="D4631" s="1"/>
  <c r="A4631"/>
  <c r="C4631" s="1"/>
  <c r="B4630"/>
  <c r="D4630" s="1"/>
  <c r="A4630"/>
  <c r="C4630" s="1"/>
  <c r="B4629"/>
  <c r="D4629" s="1"/>
  <c r="A4629"/>
  <c r="C4629" s="1"/>
  <c r="B4628"/>
  <c r="D4628" s="1"/>
  <c r="A4628"/>
  <c r="C4628" s="1"/>
  <c r="B4627"/>
  <c r="D4627" s="1"/>
  <c r="A4627"/>
  <c r="C4627" s="1"/>
  <c r="B4626"/>
  <c r="D4626" s="1"/>
  <c r="A4626"/>
  <c r="C4626" s="1"/>
  <c r="B4625"/>
  <c r="D4625" s="1"/>
  <c r="A4625"/>
  <c r="C4625" s="1"/>
  <c r="B4624"/>
  <c r="D4624" s="1"/>
  <c r="A4624"/>
  <c r="C4624" s="1"/>
  <c r="B4623"/>
  <c r="D4623" s="1"/>
  <c r="A4623"/>
  <c r="C4623" s="1"/>
  <c r="B4622"/>
  <c r="D4622" s="1"/>
  <c r="A4622"/>
  <c r="C4622" s="1"/>
  <c r="B4621"/>
  <c r="D4621" s="1"/>
  <c r="A4621"/>
  <c r="C4621" s="1"/>
  <c r="B4620"/>
  <c r="D4620" s="1"/>
  <c r="A4620"/>
  <c r="C4620" s="1"/>
  <c r="B4619"/>
  <c r="D4619" s="1"/>
  <c r="A4619"/>
  <c r="C4619" s="1"/>
  <c r="B4618"/>
  <c r="D4618" s="1"/>
  <c r="A4618"/>
  <c r="C4618" s="1"/>
  <c r="B4617"/>
  <c r="D4617" s="1"/>
  <c r="A4617"/>
  <c r="C4617" s="1"/>
  <c r="B4616"/>
  <c r="D4616" s="1"/>
  <c r="A4616"/>
  <c r="C4616" s="1"/>
  <c r="B4615"/>
  <c r="D4615" s="1"/>
  <c r="A4615"/>
  <c r="C4615" s="1"/>
  <c r="B4614"/>
  <c r="D4614" s="1"/>
  <c r="A4614"/>
  <c r="C4614" s="1"/>
  <c r="B4613"/>
  <c r="D4613" s="1"/>
  <c r="A4613"/>
  <c r="C4613" s="1"/>
  <c r="B4612"/>
  <c r="D4612" s="1"/>
  <c r="A4612"/>
  <c r="C4612" s="1"/>
  <c r="B4611"/>
  <c r="D4611" s="1"/>
  <c r="A4611"/>
  <c r="C4611" s="1"/>
  <c r="B4610"/>
  <c r="D4610" s="1"/>
  <c r="A4610"/>
  <c r="C4610" s="1"/>
  <c r="B4609"/>
  <c r="D4609" s="1"/>
  <c r="A4609"/>
  <c r="C4609" s="1"/>
  <c r="B4608"/>
  <c r="D4608" s="1"/>
  <c r="A4608"/>
  <c r="C4608" s="1"/>
  <c r="B4607"/>
  <c r="D4607" s="1"/>
  <c r="A4607"/>
  <c r="C4607" s="1"/>
  <c r="B4606"/>
  <c r="D4606" s="1"/>
  <c r="A4606"/>
  <c r="C4606" s="1"/>
  <c r="B4605"/>
  <c r="D4605" s="1"/>
  <c r="A4605"/>
  <c r="C4605" s="1"/>
  <c r="B4604"/>
  <c r="D4604" s="1"/>
  <c r="A4604"/>
  <c r="C4604" s="1"/>
  <c r="B4603"/>
  <c r="D4603" s="1"/>
  <c r="A4603"/>
  <c r="C4603" s="1"/>
  <c r="B4602"/>
  <c r="D4602" s="1"/>
  <c r="A4602"/>
  <c r="C4602" s="1"/>
  <c r="B4601"/>
  <c r="D4601" s="1"/>
  <c r="A4601"/>
  <c r="C4601" s="1"/>
  <c r="B4600"/>
  <c r="D4600" s="1"/>
  <c r="A4600"/>
  <c r="C4600" s="1"/>
  <c r="B4599"/>
  <c r="D4599" s="1"/>
  <c r="A4599"/>
  <c r="C4599" s="1"/>
  <c r="B4598"/>
  <c r="D4598" s="1"/>
  <c r="A4598"/>
  <c r="C4598" s="1"/>
  <c r="B4597"/>
  <c r="D4597" s="1"/>
  <c r="A4597"/>
  <c r="C4597" s="1"/>
  <c r="B4596"/>
  <c r="D4596" s="1"/>
  <c r="A4596"/>
  <c r="C4596" s="1"/>
  <c r="B4595"/>
  <c r="D4595" s="1"/>
  <c r="A4595"/>
  <c r="C4595" s="1"/>
  <c r="B4594"/>
  <c r="D4594" s="1"/>
  <c r="A4594"/>
  <c r="C4594" s="1"/>
  <c r="B4593"/>
  <c r="D4593" s="1"/>
  <c r="A4593"/>
  <c r="C4593" s="1"/>
  <c r="B4592"/>
  <c r="D4592" s="1"/>
  <c r="A4592"/>
  <c r="C4592" s="1"/>
  <c r="B4591"/>
  <c r="D4591" s="1"/>
  <c r="A4591"/>
  <c r="C4591" s="1"/>
  <c r="B4590"/>
  <c r="D4590" s="1"/>
  <c r="A4590"/>
  <c r="C4590" s="1"/>
  <c r="B4589"/>
  <c r="D4589" s="1"/>
  <c r="A4589"/>
  <c r="C4589" s="1"/>
  <c r="B4588"/>
  <c r="D4588" s="1"/>
  <c r="A4588"/>
  <c r="C4588" s="1"/>
  <c r="B4587"/>
  <c r="D4587" s="1"/>
  <c r="A4587"/>
  <c r="C4587" s="1"/>
  <c r="B4586"/>
  <c r="D4586" s="1"/>
  <c r="A4586"/>
  <c r="C4586" s="1"/>
  <c r="B4585"/>
  <c r="D4585" s="1"/>
  <c r="A4585"/>
  <c r="C4585" s="1"/>
  <c r="B4584"/>
  <c r="D4584" s="1"/>
  <c r="A4584"/>
  <c r="C4584" s="1"/>
  <c r="B4583"/>
  <c r="D4583" s="1"/>
  <c r="A4583"/>
  <c r="C4583" s="1"/>
  <c r="B4582"/>
  <c r="D4582" s="1"/>
  <c r="A4582"/>
  <c r="C4582" s="1"/>
  <c r="B4581"/>
  <c r="D4581" s="1"/>
  <c r="A4581"/>
  <c r="C4581" s="1"/>
  <c r="B4580"/>
  <c r="D4580" s="1"/>
  <c r="A4580"/>
  <c r="C4580" s="1"/>
  <c r="B4579"/>
  <c r="D4579" s="1"/>
  <c r="A4579"/>
  <c r="C4579" s="1"/>
  <c r="B4578"/>
  <c r="D4578" s="1"/>
  <c r="A4578"/>
  <c r="C4578" s="1"/>
  <c r="B4577"/>
  <c r="D4577" s="1"/>
  <c r="A4577"/>
  <c r="C4577" s="1"/>
  <c r="B4576"/>
  <c r="D4576" s="1"/>
  <c r="A4576"/>
  <c r="C4576" s="1"/>
  <c r="B4575"/>
  <c r="D4575" s="1"/>
  <c r="A4575"/>
  <c r="C4575" s="1"/>
  <c r="B4574"/>
  <c r="D4574" s="1"/>
  <c r="A4574"/>
  <c r="C4574" s="1"/>
  <c r="B4573"/>
  <c r="D4573" s="1"/>
  <c r="A4573"/>
  <c r="C4573" s="1"/>
  <c r="B4572"/>
  <c r="D4572" s="1"/>
  <c r="A4572"/>
  <c r="C4572" s="1"/>
  <c r="B4571"/>
  <c r="D4571" s="1"/>
  <c r="A4571"/>
  <c r="C4571" s="1"/>
  <c r="B4570"/>
  <c r="D4570" s="1"/>
  <c r="A4570"/>
  <c r="C4570" s="1"/>
  <c r="B4569"/>
  <c r="D4569" s="1"/>
  <c r="A4569"/>
  <c r="C4569" s="1"/>
  <c r="B4568"/>
  <c r="D4568" s="1"/>
  <c r="A4568"/>
  <c r="C4568" s="1"/>
  <c r="B4567"/>
  <c r="D4567" s="1"/>
  <c r="A4567"/>
  <c r="C4567" s="1"/>
  <c r="B4566"/>
  <c r="D4566" s="1"/>
  <c r="A4566"/>
  <c r="C4566" s="1"/>
  <c r="B4565"/>
  <c r="D4565" s="1"/>
  <c r="A4565"/>
  <c r="C4565" s="1"/>
  <c r="B4564"/>
  <c r="D4564" s="1"/>
  <c r="A4564"/>
  <c r="C4564" s="1"/>
  <c r="B4563"/>
  <c r="D4563" s="1"/>
  <c r="A4563"/>
  <c r="C4563" s="1"/>
  <c r="B4562"/>
  <c r="D4562" s="1"/>
  <c r="A4562"/>
  <c r="C4562" s="1"/>
  <c r="B4561"/>
  <c r="D4561" s="1"/>
  <c r="A4561"/>
  <c r="C4561" s="1"/>
  <c r="B4560"/>
  <c r="D4560" s="1"/>
  <c r="A4560"/>
  <c r="C4560" s="1"/>
  <c r="B4559"/>
  <c r="D4559" s="1"/>
  <c r="A4559"/>
  <c r="C4559" s="1"/>
  <c r="B4558"/>
  <c r="D4558" s="1"/>
  <c r="A4558"/>
  <c r="C4558" s="1"/>
  <c r="B4557"/>
  <c r="D4557" s="1"/>
  <c r="A4557"/>
  <c r="C4557" s="1"/>
  <c r="B4556"/>
  <c r="D4556" s="1"/>
  <c r="A4556"/>
  <c r="C4556" s="1"/>
  <c r="B4555"/>
  <c r="D4555" s="1"/>
  <c r="A4555"/>
  <c r="C4555" s="1"/>
  <c r="B4554"/>
  <c r="D4554" s="1"/>
  <c r="A4554"/>
  <c r="C4554" s="1"/>
  <c r="B4553"/>
  <c r="D4553" s="1"/>
  <c r="A4553"/>
  <c r="C4553" s="1"/>
  <c r="B4552"/>
  <c r="D4552" s="1"/>
  <c r="A4552"/>
  <c r="C4552" s="1"/>
  <c r="B4551"/>
  <c r="D4551" s="1"/>
  <c r="A4551"/>
  <c r="C4551" s="1"/>
  <c r="B4550"/>
  <c r="D4550" s="1"/>
  <c r="A4550"/>
  <c r="C4550" s="1"/>
  <c r="B4549"/>
  <c r="D4549" s="1"/>
  <c r="A4549"/>
  <c r="C4549" s="1"/>
  <c r="B4548"/>
  <c r="D4548" s="1"/>
  <c r="A4548"/>
  <c r="C4548" s="1"/>
  <c r="B4547"/>
  <c r="D4547" s="1"/>
  <c r="A4547"/>
  <c r="C4547" s="1"/>
  <c r="B4546"/>
  <c r="D4546" s="1"/>
  <c r="A4546"/>
  <c r="C4546" s="1"/>
  <c r="B4545"/>
  <c r="D4545" s="1"/>
  <c r="A4545"/>
  <c r="C4545" s="1"/>
  <c r="B4544"/>
  <c r="D4544" s="1"/>
  <c r="A4544"/>
  <c r="C4544" s="1"/>
  <c r="B4543"/>
  <c r="D4543" s="1"/>
  <c r="A4543"/>
  <c r="C4543" s="1"/>
  <c r="B4542"/>
  <c r="D4542" s="1"/>
  <c r="A4542"/>
  <c r="C4542" s="1"/>
  <c r="B4541"/>
  <c r="D4541" s="1"/>
  <c r="A4541"/>
  <c r="C4541" s="1"/>
  <c r="B4540"/>
  <c r="D4540" s="1"/>
  <c r="A4540"/>
  <c r="C4540" s="1"/>
  <c r="B4539"/>
  <c r="D4539" s="1"/>
  <c r="A4539"/>
  <c r="C4539" s="1"/>
  <c r="B4538"/>
  <c r="D4538" s="1"/>
  <c r="A4538"/>
  <c r="C4538" s="1"/>
  <c r="B4537"/>
  <c r="D4537" s="1"/>
  <c r="A4537"/>
  <c r="C4537" s="1"/>
  <c r="B4536"/>
  <c r="D4536" s="1"/>
  <c r="A4536"/>
  <c r="C4536" s="1"/>
  <c r="B4535"/>
  <c r="D4535" s="1"/>
  <c r="A4535"/>
  <c r="C4535" s="1"/>
  <c r="B4534"/>
  <c r="D4534" s="1"/>
  <c r="A4534"/>
  <c r="C4534" s="1"/>
  <c r="B4533"/>
  <c r="D4533" s="1"/>
  <c r="A4533"/>
  <c r="C4533" s="1"/>
  <c r="B4532"/>
  <c r="D4532" s="1"/>
  <c r="A4532"/>
  <c r="C4532" s="1"/>
  <c r="B4531"/>
  <c r="D4531" s="1"/>
  <c r="A4531"/>
  <c r="C4531" s="1"/>
  <c r="B4530"/>
  <c r="D4530" s="1"/>
  <c r="A4530"/>
  <c r="C4530" s="1"/>
  <c r="B4529"/>
  <c r="D4529" s="1"/>
  <c r="A4529"/>
  <c r="C4529" s="1"/>
  <c r="B4528"/>
  <c r="D4528" s="1"/>
  <c r="A4528"/>
  <c r="C4528" s="1"/>
  <c r="B4527"/>
  <c r="D4527" s="1"/>
  <c r="A4527"/>
  <c r="C4527" s="1"/>
  <c r="B4526"/>
  <c r="D4526" s="1"/>
  <c r="A4526"/>
  <c r="C4526" s="1"/>
  <c r="B4525"/>
  <c r="D4525" s="1"/>
  <c r="A4525"/>
  <c r="C4525" s="1"/>
  <c r="B4524"/>
  <c r="D4524" s="1"/>
  <c r="A4524"/>
  <c r="C4524" s="1"/>
  <c r="B4523"/>
  <c r="D4523" s="1"/>
  <c r="A4523"/>
  <c r="C4523" s="1"/>
  <c r="B4522"/>
  <c r="D4522" s="1"/>
  <c r="A4522"/>
  <c r="C4522" s="1"/>
  <c r="B4521"/>
  <c r="D4521" s="1"/>
  <c r="A4521"/>
  <c r="C4521" s="1"/>
  <c r="B4520"/>
  <c r="D4520" s="1"/>
  <c r="A4520"/>
  <c r="C4520" s="1"/>
  <c r="B4519"/>
  <c r="D4519" s="1"/>
  <c r="A4519"/>
  <c r="C4519" s="1"/>
  <c r="B4518"/>
  <c r="D4518" s="1"/>
  <c r="A4518"/>
  <c r="C4518" s="1"/>
  <c r="B4517"/>
  <c r="D4517" s="1"/>
  <c r="A4517"/>
  <c r="C4517" s="1"/>
  <c r="B4516"/>
  <c r="D4516" s="1"/>
  <c r="A4516"/>
  <c r="C4516" s="1"/>
  <c r="B4515"/>
  <c r="D4515" s="1"/>
  <c r="A4515"/>
  <c r="C4515" s="1"/>
  <c r="B4514"/>
  <c r="D4514" s="1"/>
  <c r="A4514"/>
  <c r="C4514" s="1"/>
  <c r="B4513"/>
  <c r="D4513" s="1"/>
  <c r="A4513"/>
  <c r="C4513" s="1"/>
  <c r="B4512"/>
  <c r="D4512" s="1"/>
  <c r="A4512"/>
  <c r="C4512" s="1"/>
  <c r="B4511"/>
  <c r="D4511" s="1"/>
  <c r="A4511"/>
  <c r="C4511" s="1"/>
  <c r="B4510"/>
  <c r="D4510" s="1"/>
  <c r="A4510"/>
  <c r="C4510" s="1"/>
  <c r="B4509"/>
  <c r="D4509" s="1"/>
  <c r="A4509"/>
  <c r="C4509" s="1"/>
  <c r="B4508"/>
  <c r="D4508" s="1"/>
  <c r="A4508"/>
  <c r="C4508" s="1"/>
  <c r="B4507"/>
  <c r="D4507" s="1"/>
  <c r="A4507"/>
  <c r="C4507" s="1"/>
  <c r="B4506"/>
  <c r="D4506" s="1"/>
  <c r="A4506"/>
  <c r="C4506" s="1"/>
  <c r="B4505"/>
  <c r="D4505" s="1"/>
  <c r="A4505"/>
  <c r="C4505" s="1"/>
  <c r="B4504"/>
  <c r="D4504" s="1"/>
  <c r="A4504"/>
  <c r="C4504" s="1"/>
  <c r="B4503"/>
  <c r="D4503" s="1"/>
  <c r="A4503"/>
  <c r="C4503" s="1"/>
  <c r="B4502"/>
  <c r="D4502" s="1"/>
  <c r="A4502"/>
  <c r="C4502" s="1"/>
  <c r="B4501"/>
  <c r="D4501" s="1"/>
  <c r="A4501"/>
  <c r="C4501" s="1"/>
  <c r="B4500"/>
  <c r="D4500" s="1"/>
  <c r="A4500"/>
  <c r="C4500" s="1"/>
  <c r="B4499"/>
  <c r="D4499" s="1"/>
  <c r="A4499"/>
  <c r="C4499" s="1"/>
  <c r="B4498"/>
  <c r="D4498" s="1"/>
  <c r="A4498"/>
  <c r="C4498" s="1"/>
  <c r="B4497"/>
  <c r="D4497" s="1"/>
  <c r="A4497"/>
  <c r="C4497" s="1"/>
  <c r="B4496"/>
  <c r="D4496" s="1"/>
  <c r="A4496"/>
  <c r="C4496" s="1"/>
  <c r="B4495"/>
  <c r="D4495" s="1"/>
  <c r="A4495"/>
  <c r="C4495" s="1"/>
  <c r="B4494"/>
  <c r="D4494" s="1"/>
  <c r="A4494"/>
  <c r="C4494" s="1"/>
  <c r="B4493"/>
  <c r="D4493" s="1"/>
  <c r="A4493"/>
  <c r="C4493" s="1"/>
  <c r="B4492"/>
  <c r="D4492" s="1"/>
  <c r="A4492"/>
  <c r="C4492" s="1"/>
  <c r="B4491"/>
  <c r="D4491" s="1"/>
  <c r="A4491"/>
  <c r="C4491" s="1"/>
  <c r="B4490"/>
  <c r="D4490" s="1"/>
  <c r="A4490"/>
  <c r="C4490" s="1"/>
  <c r="B4489"/>
  <c r="D4489" s="1"/>
  <c r="A4489"/>
  <c r="C4489" s="1"/>
  <c r="B4488"/>
  <c r="D4488" s="1"/>
  <c r="A4488"/>
  <c r="C4488" s="1"/>
  <c r="B4487"/>
  <c r="D4487" s="1"/>
  <c r="A4487"/>
  <c r="C4487" s="1"/>
  <c r="B4486"/>
  <c r="D4486" s="1"/>
  <c r="A4486"/>
  <c r="C4486" s="1"/>
  <c r="B4485"/>
  <c r="D4485" s="1"/>
  <c r="A4485"/>
  <c r="C4485" s="1"/>
  <c r="B4484"/>
  <c r="D4484" s="1"/>
  <c r="A4484"/>
  <c r="C4484" s="1"/>
  <c r="B4483"/>
  <c r="D4483" s="1"/>
  <c r="A4483"/>
  <c r="C4483" s="1"/>
  <c r="B4482"/>
  <c r="D4482" s="1"/>
  <c r="A4482"/>
  <c r="C4482" s="1"/>
  <c r="B4481"/>
  <c r="D4481" s="1"/>
  <c r="A4481"/>
  <c r="C4481" s="1"/>
  <c r="B4480"/>
  <c r="D4480" s="1"/>
  <c r="A4480"/>
  <c r="C4480" s="1"/>
  <c r="B4479"/>
  <c r="D4479" s="1"/>
  <c r="A4479"/>
  <c r="C4479" s="1"/>
  <c r="B4478"/>
  <c r="D4478" s="1"/>
  <c r="A4478"/>
  <c r="C4478" s="1"/>
  <c r="B4477"/>
  <c r="D4477" s="1"/>
  <c r="A4477"/>
  <c r="C4477" s="1"/>
  <c r="B4476"/>
  <c r="D4476" s="1"/>
  <c r="A4476"/>
  <c r="C4476" s="1"/>
  <c r="B4475"/>
  <c r="D4475" s="1"/>
  <c r="A4475"/>
  <c r="C4475" s="1"/>
  <c r="B4474"/>
  <c r="D4474" s="1"/>
  <c r="A4474"/>
  <c r="C4474" s="1"/>
  <c r="B4473"/>
  <c r="D4473" s="1"/>
  <c r="A4473"/>
  <c r="C4473" s="1"/>
  <c r="B4472"/>
  <c r="D4472" s="1"/>
  <c r="A4472"/>
  <c r="C4472" s="1"/>
  <c r="B4471"/>
  <c r="D4471" s="1"/>
  <c r="A4471"/>
  <c r="C4471" s="1"/>
  <c r="B4470"/>
  <c r="D4470" s="1"/>
  <c r="A4470"/>
  <c r="C4470" s="1"/>
  <c r="B4469"/>
  <c r="D4469" s="1"/>
  <c r="A4469"/>
  <c r="C4469" s="1"/>
  <c r="B4468"/>
  <c r="D4468" s="1"/>
  <c r="A4468"/>
  <c r="C4468" s="1"/>
  <c r="B4467"/>
  <c r="D4467" s="1"/>
  <c r="A4467"/>
  <c r="C4467" s="1"/>
  <c r="B4466"/>
  <c r="D4466" s="1"/>
  <c r="A4466"/>
  <c r="C4466" s="1"/>
  <c r="B4465"/>
  <c r="D4465" s="1"/>
  <c r="A4465"/>
  <c r="C4465" s="1"/>
  <c r="B4464"/>
  <c r="D4464" s="1"/>
  <c r="A4464"/>
  <c r="C4464" s="1"/>
  <c r="B4463"/>
  <c r="D4463" s="1"/>
  <c r="A4463"/>
  <c r="C4463" s="1"/>
  <c r="B4462"/>
  <c r="D4462" s="1"/>
  <c r="A4462"/>
  <c r="C4462" s="1"/>
  <c r="B4461"/>
  <c r="D4461" s="1"/>
  <c r="A4461"/>
  <c r="C4461" s="1"/>
  <c r="B4460"/>
  <c r="D4460" s="1"/>
  <c r="A4460"/>
  <c r="C4460" s="1"/>
  <c r="B4459"/>
  <c r="D4459" s="1"/>
  <c r="A4459"/>
  <c r="C4459" s="1"/>
  <c r="B4458"/>
  <c r="D4458" s="1"/>
  <c r="A4458"/>
  <c r="C4458" s="1"/>
  <c r="B4457"/>
  <c r="D4457" s="1"/>
  <c r="A4457"/>
  <c r="C4457" s="1"/>
  <c r="B4456"/>
  <c r="D4456" s="1"/>
  <c r="A4456"/>
  <c r="C4456" s="1"/>
  <c r="B4455"/>
  <c r="D4455" s="1"/>
  <c r="A4455"/>
  <c r="C4455" s="1"/>
  <c r="B4454"/>
  <c r="D4454" s="1"/>
  <c r="A4454"/>
  <c r="C4454" s="1"/>
  <c r="B4453"/>
  <c r="D4453" s="1"/>
  <c r="A4453"/>
  <c r="C4453" s="1"/>
  <c r="B4452"/>
  <c r="D4452" s="1"/>
  <c r="A4452"/>
  <c r="C4452" s="1"/>
  <c r="B4451"/>
  <c r="D4451" s="1"/>
  <c r="A4451"/>
  <c r="C4451" s="1"/>
  <c r="B4450"/>
  <c r="D4450" s="1"/>
  <c r="A4450"/>
  <c r="C4450" s="1"/>
  <c r="B4449"/>
  <c r="D4449" s="1"/>
  <c r="A4449"/>
  <c r="C4449" s="1"/>
  <c r="B4448"/>
  <c r="D4448" s="1"/>
  <c r="A4448"/>
  <c r="C4448" s="1"/>
  <c r="B4447"/>
  <c r="D4447" s="1"/>
  <c r="A4447"/>
  <c r="C4447" s="1"/>
  <c r="B4446"/>
  <c r="D4446" s="1"/>
  <c r="A4446"/>
  <c r="C4446" s="1"/>
  <c r="B4445"/>
  <c r="D4445" s="1"/>
  <c r="A4445"/>
  <c r="C4445" s="1"/>
  <c r="B4444"/>
  <c r="D4444" s="1"/>
  <c r="A4444"/>
  <c r="C4444" s="1"/>
  <c r="B4443"/>
  <c r="D4443" s="1"/>
  <c r="A4443"/>
  <c r="C4443" s="1"/>
  <c r="B4442"/>
  <c r="D4442" s="1"/>
  <c r="A4442"/>
  <c r="C4442" s="1"/>
  <c r="B4441"/>
  <c r="D4441" s="1"/>
  <c r="A4441"/>
  <c r="C4441" s="1"/>
  <c r="B4440"/>
  <c r="D4440" s="1"/>
  <c r="A4440"/>
  <c r="C4440" s="1"/>
  <c r="B4439"/>
  <c r="D4439" s="1"/>
  <c r="A4439"/>
  <c r="C4439" s="1"/>
  <c r="B4438"/>
  <c r="D4438" s="1"/>
  <c r="A4438"/>
  <c r="C4438" s="1"/>
  <c r="B4437"/>
  <c r="D4437" s="1"/>
  <c r="A4437"/>
  <c r="C4437" s="1"/>
  <c r="B4436"/>
  <c r="D4436" s="1"/>
  <c r="A4436"/>
  <c r="C4436" s="1"/>
  <c r="B4435"/>
  <c r="D4435" s="1"/>
  <c r="A4435"/>
  <c r="C4435" s="1"/>
  <c r="B4434"/>
  <c r="D4434" s="1"/>
  <c r="A4434"/>
  <c r="C4434" s="1"/>
  <c r="B4433"/>
  <c r="D4433" s="1"/>
  <c r="A4433"/>
  <c r="C4433" s="1"/>
  <c r="B4432"/>
  <c r="D4432" s="1"/>
  <c r="A4432"/>
  <c r="C4432" s="1"/>
  <c r="B4431"/>
  <c r="D4431" s="1"/>
  <c r="A4431"/>
  <c r="C4431" s="1"/>
  <c r="B4430"/>
  <c r="D4430" s="1"/>
  <c r="A4430"/>
  <c r="C4430" s="1"/>
  <c r="B4429"/>
  <c r="D4429" s="1"/>
  <c r="A4429"/>
  <c r="C4429" s="1"/>
  <c r="B4428"/>
  <c r="D4428" s="1"/>
  <c r="A4428"/>
  <c r="C4428" s="1"/>
  <c r="B4427"/>
  <c r="D4427" s="1"/>
  <c r="A4427"/>
  <c r="C4427" s="1"/>
  <c r="B4426"/>
  <c r="D4426" s="1"/>
  <c r="A4426"/>
  <c r="C4426" s="1"/>
  <c r="B4425"/>
  <c r="D4425" s="1"/>
  <c r="A4425"/>
  <c r="C4425" s="1"/>
  <c r="B4424"/>
  <c r="D4424" s="1"/>
  <c r="A4424"/>
  <c r="C4424" s="1"/>
  <c r="B4423"/>
  <c r="D4423" s="1"/>
  <c r="A4423"/>
  <c r="C4423" s="1"/>
  <c r="B4422"/>
  <c r="D4422" s="1"/>
  <c r="A4422"/>
  <c r="C4422" s="1"/>
  <c r="B4421"/>
  <c r="D4421" s="1"/>
  <c r="A4421"/>
  <c r="C4421" s="1"/>
  <c r="B4420"/>
  <c r="D4420" s="1"/>
  <c r="A4420"/>
  <c r="C4420" s="1"/>
  <c r="B4419"/>
  <c r="D4419" s="1"/>
  <c r="A4419"/>
  <c r="C4419" s="1"/>
  <c r="B4418"/>
  <c r="D4418" s="1"/>
  <c r="A4418"/>
  <c r="C4418" s="1"/>
  <c r="B4417"/>
  <c r="D4417" s="1"/>
  <c r="A4417"/>
  <c r="C4417" s="1"/>
  <c r="B4416"/>
  <c r="D4416" s="1"/>
  <c r="A4416"/>
  <c r="C4416" s="1"/>
  <c r="B4415"/>
  <c r="D4415" s="1"/>
  <c r="A4415"/>
  <c r="C4415" s="1"/>
  <c r="B4414"/>
  <c r="D4414" s="1"/>
  <c r="A4414"/>
  <c r="C4414" s="1"/>
  <c r="B4413"/>
  <c r="D4413" s="1"/>
  <c r="A4413"/>
  <c r="C4413" s="1"/>
  <c r="B4412"/>
  <c r="D4412" s="1"/>
  <c r="A4412"/>
  <c r="C4412" s="1"/>
  <c r="B4411"/>
  <c r="D4411" s="1"/>
  <c r="A4411"/>
  <c r="C4411" s="1"/>
  <c r="B4410"/>
  <c r="D4410" s="1"/>
  <c r="A4410"/>
  <c r="C4410" s="1"/>
  <c r="B4409"/>
  <c r="D4409" s="1"/>
  <c r="A4409"/>
  <c r="C4409" s="1"/>
  <c r="B4408"/>
  <c r="D4408" s="1"/>
  <c r="A4408"/>
  <c r="C4408" s="1"/>
  <c r="B4407"/>
  <c r="D4407" s="1"/>
  <c r="A4407"/>
  <c r="C4407" s="1"/>
  <c r="B4406"/>
  <c r="D4406" s="1"/>
  <c r="A4406"/>
  <c r="C4406" s="1"/>
  <c r="B4405"/>
  <c r="D4405" s="1"/>
  <c r="A4405"/>
  <c r="C4405" s="1"/>
  <c r="B4404"/>
  <c r="D4404" s="1"/>
  <c r="A4404"/>
  <c r="C4404" s="1"/>
  <c r="B4403"/>
  <c r="D4403" s="1"/>
  <c r="A4403"/>
  <c r="C4403" s="1"/>
  <c r="B4402"/>
  <c r="D4402" s="1"/>
  <c r="A4402"/>
  <c r="C4402" s="1"/>
  <c r="B4401"/>
  <c r="D4401" s="1"/>
  <c r="A4401"/>
  <c r="C4401" s="1"/>
  <c r="B4400"/>
  <c r="D4400" s="1"/>
  <c r="A4400"/>
  <c r="C4400" s="1"/>
  <c r="B4399"/>
  <c r="D4399" s="1"/>
  <c r="A4399"/>
  <c r="C4399" s="1"/>
  <c r="B4398"/>
  <c r="D4398" s="1"/>
  <c r="A4398"/>
  <c r="C4398" s="1"/>
  <c r="B4397"/>
  <c r="D4397" s="1"/>
  <c r="A4397"/>
  <c r="C4397" s="1"/>
  <c r="B4396"/>
  <c r="D4396" s="1"/>
  <c r="A4396"/>
  <c r="C4396" s="1"/>
  <c r="B4395"/>
  <c r="D4395" s="1"/>
  <c r="A4395"/>
  <c r="C4395" s="1"/>
  <c r="B4394"/>
  <c r="D4394" s="1"/>
  <c r="A4394"/>
  <c r="C4394" s="1"/>
  <c r="B4393"/>
  <c r="D4393" s="1"/>
  <c r="A4393"/>
  <c r="C4393" s="1"/>
  <c r="B4392"/>
  <c r="D4392" s="1"/>
  <c r="A4392"/>
  <c r="C4392" s="1"/>
  <c r="B4391"/>
  <c r="D4391" s="1"/>
  <c r="A4391"/>
  <c r="C4391" s="1"/>
  <c r="B4390"/>
  <c r="D4390" s="1"/>
  <c r="A4390"/>
  <c r="C4390" s="1"/>
  <c r="B4389"/>
  <c r="D4389" s="1"/>
  <c r="A4389"/>
  <c r="C4389" s="1"/>
  <c r="B4388"/>
  <c r="D4388" s="1"/>
  <c r="A4388"/>
  <c r="C4388" s="1"/>
  <c r="B4387"/>
  <c r="D4387" s="1"/>
  <c r="A4387"/>
  <c r="C4387" s="1"/>
  <c r="B4386"/>
  <c r="D4386" s="1"/>
  <c r="A4386"/>
  <c r="C4386" s="1"/>
  <c r="B4385"/>
  <c r="D4385" s="1"/>
  <c r="A4385"/>
  <c r="C4385" s="1"/>
  <c r="B4384"/>
  <c r="D4384" s="1"/>
  <c r="A4384"/>
  <c r="C4384" s="1"/>
  <c r="B4383"/>
  <c r="D4383" s="1"/>
  <c r="A4383"/>
  <c r="C4383" s="1"/>
  <c r="B4382"/>
  <c r="D4382" s="1"/>
  <c r="A4382"/>
  <c r="C4382" s="1"/>
  <c r="B4381"/>
  <c r="D4381" s="1"/>
  <c r="A4381"/>
  <c r="C4381" s="1"/>
  <c r="B4380"/>
  <c r="D4380" s="1"/>
  <c r="A4380"/>
  <c r="C4380" s="1"/>
  <c r="B4379"/>
  <c r="D4379" s="1"/>
  <c r="A4379"/>
  <c r="C4379" s="1"/>
  <c r="B4378"/>
  <c r="D4378" s="1"/>
  <c r="A4378"/>
  <c r="C4378" s="1"/>
  <c r="B4377"/>
  <c r="D4377" s="1"/>
  <c r="A4377"/>
  <c r="C4377" s="1"/>
  <c r="B4376"/>
  <c r="D4376" s="1"/>
  <c r="A4376"/>
  <c r="C4376" s="1"/>
  <c r="B4375"/>
  <c r="D4375" s="1"/>
  <c r="A4375"/>
  <c r="C4375" s="1"/>
  <c r="B4374"/>
  <c r="D4374" s="1"/>
  <c r="A4374"/>
  <c r="C4374" s="1"/>
  <c r="B4373"/>
  <c r="D4373" s="1"/>
  <c r="A4373"/>
  <c r="C4373" s="1"/>
  <c r="B4372"/>
  <c r="D4372" s="1"/>
  <c r="A4372"/>
  <c r="C4372" s="1"/>
  <c r="B4371"/>
  <c r="D4371" s="1"/>
  <c r="A4371"/>
  <c r="C4371" s="1"/>
  <c r="B4370"/>
  <c r="D4370" s="1"/>
  <c r="A4370"/>
  <c r="C4370" s="1"/>
  <c r="B4369"/>
  <c r="D4369" s="1"/>
  <c r="A4369"/>
  <c r="C4369" s="1"/>
  <c r="B4368"/>
  <c r="D4368" s="1"/>
  <c r="A4368"/>
  <c r="C4368" s="1"/>
  <c r="B4367"/>
  <c r="D4367" s="1"/>
  <c r="A4367"/>
  <c r="C4367" s="1"/>
  <c r="B4366"/>
  <c r="D4366" s="1"/>
  <c r="A4366"/>
  <c r="C4366" s="1"/>
  <c r="B4365"/>
  <c r="D4365" s="1"/>
  <c r="A4365"/>
  <c r="C4365" s="1"/>
  <c r="B4364"/>
  <c r="D4364" s="1"/>
  <c r="A4364"/>
  <c r="C4364" s="1"/>
  <c r="B4363"/>
  <c r="D4363" s="1"/>
  <c r="A4363"/>
  <c r="C4363" s="1"/>
  <c r="B4362"/>
  <c r="D4362" s="1"/>
  <c r="A4362"/>
  <c r="C4362" s="1"/>
  <c r="B4361"/>
  <c r="D4361" s="1"/>
  <c r="A4361"/>
  <c r="C4361" s="1"/>
  <c r="B4360"/>
  <c r="D4360" s="1"/>
  <c r="A4360"/>
  <c r="C4360" s="1"/>
  <c r="B4359"/>
  <c r="D4359" s="1"/>
  <c r="A4359"/>
  <c r="C4359" s="1"/>
  <c r="B4358"/>
  <c r="D4358" s="1"/>
  <c r="A4358"/>
  <c r="C4358" s="1"/>
  <c r="B4357"/>
  <c r="D4357" s="1"/>
  <c r="A4357"/>
  <c r="C4357" s="1"/>
  <c r="B4356"/>
  <c r="D4356" s="1"/>
  <c r="A4356"/>
  <c r="C4356" s="1"/>
  <c r="B4355"/>
  <c r="D4355" s="1"/>
  <c r="A4355"/>
  <c r="C4355" s="1"/>
  <c r="B4354"/>
  <c r="D4354" s="1"/>
  <c r="A4354"/>
  <c r="C4354" s="1"/>
  <c r="B4353"/>
  <c r="D4353" s="1"/>
  <c r="A4353"/>
  <c r="C4353" s="1"/>
  <c r="B4352"/>
  <c r="D4352" s="1"/>
  <c r="A4352"/>
  <c r="C4352" s="1"/>
  <c r="B4351"/>
  <c r="D4351" s="1"/>
  <c r="A4351"/>
  <c r="C4351" s="1"/>
  <c r="B4350"/>
  <c r="D4350" s="1"/>
  <c r="A4350"/>
  <c r="C4350" s="1"/>
  <c r="B4349"/>
  <c r="D4349" s="1"/>
  <c r="A4349"/>
  <c r="C4349" s="1"/>
  <c r="B4348"/>
  <c r="D4348" s="1"/>
  <c r="A4348"/>
  <c r="C4348" s="1"/>
  <c r="B4347"/>
  <c r="D4347" s="1"/>
  <c r="A4347"/>
  <c r="C4347" s="1"/>
  <c r="B4346"/>
  <c r="D4346" s="1"/>
  <c r="A4346"/>
  <c r="C4346" s="1"/>
  <c r="B4345"/>
  <c r="D4345" s="1"/>
  <c r="A4345"/>
  <c r="C4345" s="1"/>
  <c r="B4344"/>
  <c r="D4344" s="1"/>
  <c r="A4344"/>
  <c r="C4344" s="1"/>
  <c r="B4343"/>
  <c r="D4343" s="1"/>
  <c r="A4343"/>
  <c r="C4343" s="1"/>
  <c r="B4342"/>
  <c r="D4342" s="1"/>
  <c r="A4342"/>
  <c r="C4342" s="1"/>
  <c r="B4341"/>
  <c r="D4341" s="1"/>
  <c r="A4341"/>
  <c r="C4341" s="1"/>
  <c r="B4340"/>
  <c r="D4340" s="1"/>
  <c r="A4340"/>
  <c r="C4340" s="1"/>
  <c r="B4339"/>
  <c r="D4339" s="1"/>
  <c r="A4339"/>
  <c r="C4339" s="1"/>
  <c r="B4338"/>
  <c r="D4338" s="1"/>
  <c r="A4338"/>
  <c r="C4338" s="1"/>
  <c r="B4337"/>
  <c r="D4337" s="1"/>
  <c r="A4337"/>
  <c r="C4337" s="1"/>
  <c r="B4336"/>
  <c r="D4336" s="1"/>
  <c r="A4336"/>
  <c r="C4336" s="1"/>
  <c r="B4335"/>
  <c r="D4335" s="1"/>
  <c r="A4335"/>
  <c r="C4335" s="1"/>
  <c r="B4334"/>
  <c r="D4334" s="1"/>
  <c r="A4334"/>
  <c r="C4334" s="1"/>
  <c r="B4333"/>
  <c r="D4333" s="1"/>
  <c r="A4333"/>
  <c r="C4333" s="1"/>
  <c r="B4332"/>
  <c r="D4332" s="1"/>
  <c r="A4332"/>
  <c r="C4332" s="1"/>
  <c r="B4331"/>
  <c r="D4331" s="1"/>
  <c r="A4331"/>
  <c r="C4331" s="1"/>
  <c r="B4330"/>
  <c r="D4330" s="1"/>
  <c r="A4330"/>
  <c r="C4330" s="1"/>
  <c r="B4329"/>
  <c r="D4329" s="1"/>
  <c r="A4329"/>
  <c r="C4329" s="1"/>
  <c r="B4328"/>
  <c r="D4328" s="1"/>
  <c r="A4328"/>
  <c r="C4328" s="1"/>
  <c r="B4327"/>
  <c r="D4327" s="1"/>
  <c r="A4327"/>
  <c r="C4327" s="1"/>
  <c r="B4326"/>
  <c r="D4326" s="1"/>
  <c r="A4326"/>
  <c r="C4326" s="1"/>
  <c r="B4325"/>
  <c r="D4325" s="1"/>
  <c r="A4325"/>
  <c r="C4325" s="1"/>
  <c r="B4324"/>
  <c r="D4324" s="1"/>
  <c r="A4324"/>
  <c r="C4324" s="1"/>
  <c r="B4323"/>
  <c r="D4323" s="1"/>
  <c r="A4323"/>
  <c r="C4323" s="1"/>
  <c r="B4322"/>
  <c r="D4322" s="1"/>
  <c r="A4322"/>
  <c r="C4322" s="1"/>
  <c r="B4321"/>
  <c r="D4321" s="1"/>
  <c r="A4321"/>
  <c r="C4321" s="1"/>
  <c r="B4320"/>
  <c r="D4320" s="1"/>
  <c r="A4320"/>
  <c r="C4320" s="1"/>
  <c r="B4319"/>
  <c r="D4319" s="1"/>
  <c r="A4319"/>
  <c r="C4319" s="1"/>
  <c r="B4318"/>
  <c r="D4318" s="1"/>
  <c r="A4318"/>
  <c r="C4318" s="1"/>
  <c r="B4317"/>
  <c r="D4317" s="1"/>
  <c r="A4317"/>
  <c r="C4317" s="1"/>
  <c r="B4316"/>
  <c r="D4316" s="1"/>
  <c r="A4316"/>
  <c r="C4316" s="1"/>
  <c r="B4315"/>
  <c r="D4315" s="1"/>
  <c r="A4315"/>
  <c r="C4315" s="1"/>
  <c r="B4314"/>
  <c r="D4314" s="1"/>
  <c r="A4314"/>
  <c r="C4314" s="1"/>
  <c r="B4313"/>
  <c r="D4313" s="1"/>
  <c r="A4313"/>
  <c r="C4313" s="1"/>
  <c r="B4312"/>
  <c r="D4312" s="1"/>
  <c r="A4312"/>
  <c r="C4312" s="1"/>
  <c r="B4311"/>
  <c r="D4311" s="1"/>
  <c r="A4311"/>
  <c r="C4311" s="1"/>
  <c r="B4310"/>
  <c r="D4310" s="1"/>
  <c r="A4310"/>
  <c r="C4310" s="1"/>
  <c r="B4309"/>
  <c r="D4309" s="1"/>
  <c r="A4309"/>
  <c r="C4309" s="1"/>
  <c r="B4308"/>
  <c r="D4308" s="1"/>
  <c r="A4308"/>
  <c r="C4308" s="1"/>
  <c r="B4307"/>
  <c r="D4307" s="1"/>
  <c r="A4307"/>
  <c r="C4307" s="1"/>
  <c r="B4306"/>
  <c r="D4306" s="1"/>
  <c r="A4306"/>
  <c r="C4306" s="1"/>
  <c r="B4305"/>
  <c r="D4305" s="1"/>
  <c r="A4305"/>
  <c r="C4305" s="1"/>
  <c r="B4304"/>
  <c r="D4304" s="1"/>
  <c r="A4304"/>
  <c r="C4304" s="1"/>
  <c r="B4303"/>
  <c r="D4303" s="1"/>
  <c r="A4303"/>
  <c r="C4303" s="1"/>
  <c r="B4302"/>
  <c r="D4302" s="1"/>
  <c r="A4302"/>
  <c r="C4302" s="1"/>
  <c r="B4301"/>
  <c r="D4301" s="1"/>
  <c r="A4301"/>
  <c r="C4301" s="1"/>
  <c r="B4300"/>
  <c r="D4300" s="1"/>
  <c r="A4300"/>
  <c r="C4300" s="1"/>
  <c r="B4299"/>
  <c r="D4299" s="1"/>
  <c r="A4299"/>
  <c r="C4299" s="1"/>
  <c r="B4298"/>
  <c r="D4298" s="1"/>
  <c r="A4298"/>
  <c r="C4298" s="1"/>
  <c r="B4297"/>
  <c r="D4297" s="1"/>
  <c r="A4297"/>
  <c r="C4297" s="1"/>
  <c r="B4296"/>
  <c r="D4296" s="1"/>
  <c r="A4296"/>
  <c r="C4296" s="1"/>
  <c r="B4295"/>
  <c r="D4295" s="1"/>
  <c r="A4295"/>
  <c r="C4295" s="1"/>
  <c r="B4294"/>
  <c r="D4294" s="1"/>
  <c r="A4294"/>
  <c r="C4294" s="1"/>
  <c r="B4293"/>
  <c r="D4293" s="1"/>
  <c r="A4293"/>
  <c r="C4293" s="1"/>
  <c r="B4292"/>
  <c r="D4292" s="1"/>
  <c r="A4292"/>
  <c r="C4292" s="1"/>
  <c r="B4291"/>
  <c r="D4291" s="1"/>
  <c r="A4291"/>
  <c r="C4291" s="1"/>
  <c r="B4290"/>
  <c r="D4290" s="1"/>
  <c r="A4290"/>
  <c r="C4290" s="1"/>
  <c r="B4289"/>
  <c r="D4289" s="1"/>
  <c r="A4289"/>
  <c r="C4289" s="1"/>
  <c r="B4288"/>
  <c r="D4288" s="1"/>
  <c r="A4288"/>
  <c r="C4288" s="1"/>
  <c r="B4287"/>
  <c r="D4287" s="1"/>
  <c r="A4287"/>
  <c r="C4287" s="1"/>
  <c r="B4286"/>
  <c r="D4286" s="1"/>
  <c r="A4286"/>
  <c r="C4286" s="1"/>
  <c r="B4285"/>
  <c r="D4285" s="1"/>
  <c r="A4285"/>
  <c r="C4285" s="1"/>
  <c r="B4284"/>
  <c r="D4284" s="1"/>
  <c r="A4284"/>
  <c r="C4284" s="1"/>
  <c r="B4283"/>
  <c r="D4283" s="1"/>
  <c r="A4283"/>
  <c r="C4283" s="1"/>
  <c r="B4282"/>
  <c r="D4282" s="1"/>
  <c r="A4282"/>
  <c r="C4282" s="1"/>
  <c r="B4281"/>
  <c r="D4281" s="1"/>
  <c r="A4281"/>
  <c r="C4281" s="1"/>
  <c r="B4280"/>
  <c r="D4280" s="1"/>
  <c r="A4280"/>
  <c r="C4280" s="1"/>
  <c r="B4279"/>
  <c r="D4279" s="1"/>
  <c r="A4279"/>
  <c r="C4279" s="1"/>
  <c r="B4278"/>
  <c r="D4278" s="1"/>
  <c r="A4278"/>
  <c r="C4278" s="1"/>
  <c r="B4277"/>
  <c r="D4277" s="1"/>
  <c r="A4277"/>
  <c r="C4277" s="1"/>
  <c r="B4276"/>
  <c r="D4276" s="1"/>
  <c r="A4276"/>
  <c r="C4276" s="1"/>
  <c r="B4275"/>
  <c r="D4275" s="1"/>
  <c r="A4275"/>
  <c r="C4275" s="1"/>
  <c r="B4274"/>
  <c r="D4274" s="1"/>
  <c r="A4274"/>
  <c r="C4274" s="1"/>
  <c r="B4273"/>
  <c r="D4273" s="1"/>
  <c r="A4273"/>
  <c r="C4273" s="1"/>
  <c r="B4272"/>
  <c r="D4272" s="1"/>
  <c r="A4272"/>
  <c r="C4272" s="1"/>
  <c r="B4271"/>
  <c r="D4271" s="1"/>
  <c r="A4271"/>
  <c r="C4271" s="1"/>
  <c r="B4270"/>
  <c r="D4270" s="1"/>
  <c r="A4270"/>
  <c r="C4270" s="1"/>
  <c r="B4269"/>
  <c r="D4269" s="1"/>
  <c r="A4269"/>
  <c r="C4269" s="1"/>
  <c r="B4268"/>
  <c r="D4268" s="1"/>
  <c r="A4268"/>
  <c r="C4268" s="1"/>
  <c r="B4267"/>
  <c r="D4267" s="1"/>
  <c r="A4267"/>
  <c r="C4267" s="1"/>
  <c r="B4266"/>
  <c r="D4266" s="1"/>
  <c r="A4266"/>
  <c r="C4266" s="1"/>
  <c r="B4265"/>
  <c r="D4265" s="1"/>
  <c r="A4265"/>
  <c r="C4265" s="1"/>
  <c r="B4264"/>
  <c r="D4264" s="1"/>
  <c r="A4264"/>
  <c r="C4264" s="1"/>
  <c r="B4263"/>
  <c r="D4263" s="1"/>
  <c r="A4263"/>
  <c r="C4263" s="1"/>
  <c r="B4262"/>
  <c r="D4262" s="1"/>
  <c r="A4262"/>
  <c r="C4262" s="1"/>
  <c r="B4261"/>
  <c r="D4261" s="1"/>
  <c r="A4261"/>
  <c r="C4261" s="1"/>
  <c r="B4260"/>
  <c r="D4260" s="1"/>
  <c r="A4260"/>
  <c r="C4260" s="1"/>
  <c r="B4259"/>
  <c r="D4259" s="1"/>
  <c r="A4259"/>
  <c r="C4259" s="1"/>
  <c r="B4258"/>
  <c r="D4258" s="1"/>
  <c r="A4258"/>
  <c r="C4258" s="1"/>
  <c r="B4257"/>
  <c r="D4257" s="1"/>
  <c r="A4257"/>
  <c r="C4257" s="1"/>
  <c r="B4256"/>
  <c r="D4256" s="1"/>
  <c r="A4256"/>
  <c r="C4256" s="1"/>
  <c r="B4255"/>
  <c r="D4255" s="1"/>
  <c r="A4255"/>
  <c r="C4255" s="1"/>
  <c r="B4254"/>
  <c r="D4254" s="1"/>
  <c r="A4254"/>
  <c r="C4254" s="1"/>
  <c r="B4253"/>
  <c r="D4253" s="1"/>
  <c r="A4253"/>
  <c r="C4253" s="1"/>
  <c r="B4252"/>
  <c r="D4252" s="1"/>
  <c r="A4252"/>
  <c r="C4252" s="1"/>
  <c r="B4251"/>
  <c r="D4251" s="1"/>
  <c r="A4251"/>
  <c r="C4251" s="1"/>
  <c r="B4250"/>
  <c r="D4250" s="1"/>
  <c r="A4250"/>
  <c r="C4250" s="1"/>
  <c r="B4249"/>
  <c r="D4249" s="1"/>
  <c r="A4249"/>
  <c r="C4249" s="1"/>
  <c r="B4248"/>
  <c r="D4248" s="1"/>
  <c r="A4248"/>
  <c r="C4248" s="1"/>
  <c r="B4247"/>
  <c r="D4247" s="1"/>
  <c r="A4247"/>
  <c r="C4247" s="1"/>
  <c r="B4246"/>
  <c r="D4246" s="1"/>
  <c r="A4246"/>
  <c r="C4246" s="1"/>
  <c r="B4245"/>
  <c r="D4245" s="1"/>
  <c r="A4245"/>
  <c r="C4245" s="1"/>
  <c r="B4244"/>
  <c r="D4244" s="1"/>
  <c r="A4244"/>
  <c r="C4244" s="1"/>
  <c r="B4243"/>
  <c r="D4243" s="1"/>
  <c r="A4243"/>
  <c r="C4243" s="1"/>
  <c r="B4242"/>
  <c r="D4242" s="1"/>
  <c r="A4242"/>
  <c r="C4242" s="1"/>
  <c r="B4241"/>
  <c r="D4241" s="1"/>
  <c r="A4241"/>
  <c r="C4241" s="1"/>
  <c r="B4240"/>
  <c r="D4240" s="1"/>
  <c r="A4240"/>
  <c r="C4240" s="1"/>
  <c r="B4239"/>
  <c r="D4239" s="1"/>
  <c r="A4239"/>
  <c r="C4239" s="1"/>
  <c r="B4238"/>
  <c r="D4238" s="1"/>
  <c r="A4238"/>
  <c r="C4238" s="1"/>
  <c r="B4237"/>
  <c r="D4237" s="1"/>
  <c r="A4237"/>
  <c r="C4237" s="1"/>
  <c r="B4236"/>
  <c r="D4236" s="1"/>
  <c r="A4236"/>
  <c r="C4236" s="1"/>
  <c r="B4235"/>
  <c r="D4235" s="1"/>
  <c r="A4235"/>
  <c r="C4235" s="1"/>
  <c r="B4234"/>
  <c r="D4234" s="1"/>
  <c r="A4234"/>
  <c r="C4234" s="1"/>
  <c r="B4233"/>
  <c r="D4233" s="1"/>
  <c r="A4233"/>
  <c r="C4233" s="1"/>
  <c r="B4232"/>
  <c r="D4232" s="1"/>
  <c r="A4232"/>
  <c r="C4232" s="1"/>
  <c r="B4231"/>
  <c r="D4231" s="1"/>
  <c r="A4231"/>
  <c r="C4231" s="1"/>
  <c r="B4230"/>
  <c r="D4230" s="1"/>
  <c r="A4230"/>
  <c r="C4230" s="1"/>
  <c r="B4229"/>
  <c r="D4229" s="1"/>
  <c r="A4229"/>
  <c r="C4229" s="1"/>
  <c r="B4228"/>
  <c r="D4228" s="1"/>
  <c r="A4228"/>
  <c r="C4228" s="1"/>
  <c r="B4227"/>
  <c r="D4227" s="1"/>
  <c r="A4227"/>
  <c r="C4227" s="1"/>
  <c r="B4226"/>
  <c r="D4226" s="1"/>
  <c r="A4226"/>
  <c r="C4226" s="1"/>
  <c r="B4225"/>
  <c r="D4225" s="1"/>
  <c r="A4225"/>
  <c r="C4225" s="1"/>
  <c r="B4224"/>
  <c r="D4224" s="1"/>
  <c r="A4224"/>
  <c r="C4224" s="1"/>
  <c r="B4223"/>
  <c r="D4223" s="1"/>
  <c r="A4223"/>
  <c r="C4223" s="1"/>
  <c r="B4222"/>
  <c r="D4222" s="1"/>
  <c r="A4222"/>
  <c r="C4222" s="1"/>
  <c r="B4221"/>
  <c r="D4221" s="1"/>
  <c r="A4221"/>
  <c r="C4221" s="1"/>
  <c r="B4220"/>
  <c r="D4220" s="1"/>
  <c r="A4220"/>
  <c r="C4220" s="1"/>
  <c r="B4219"/>
  <c r="D4219" s="1"/>
  <c r="A4219"/>
  <c r="C4219" s="1"/>
  <c r="B4218"/>
  <c r="D4218" s="1"/>
  <c r="A4218"/>
  <c r="C4218" s="1"/>
  <c r="B4217"/>
  <c r="D4217" s="1"/>
  <c r="A4217"/>
  <c r="C4217" s="1"/>
  <c r="B4216"/>
  <c r="D4216" s="1"/>
  <c r="A4216"/>
  <c r="C4216" s="1"/>
  <c r="B4215"/>
  <c r="D4215" s="1"/>
  <c r="A4215"/>
  <c r="C4215" s="1"/>
  <c r="B4214"/>
  <c r="D4214" s="1"/>
  <c r="A4214"/>
  <c r="C4214" s="1"/>
  <c r="B4213"/>
  <c r="D4213" s="1"/>
  <c r="A4213"/>
  <c r="C4213" s="1"/>
  <c r="B4212"/>
  <c r="D4212" s="1"/>
  <c r="A4212"/>
  <c r="C4212" s="1"/>
  <c r="B4211"/>
  <c r="D4211" s="1"/>
  <c r="A4211"/>
  <c r="C4211" s="1"/>
  <c r="B4210"/>
  <c r="D4210" s="1"/>
  <c r="A4210"/>
  <c r="C4210" s="1"/>
  <c r="B4209"/>
  <c r="D4209" s="1"/>
  <c r="A4209"/>
  <c r="C4209" s="1"/>
  <c r="B4208"/>
  <c r="D4208" s="1"/>
  <c r="A4208"/>
  <c r="C4208" s="1"/>
  <c r="B4207"/>
  <c r="D4207" s="1"/>
  <c r="A4207"/>
  <c r="C4207" s="1"/>
  <c r="B4206"/>
  <c r="D4206" s="1"/>
  <c r="A4206"/>
  <c r="C4206" s="1"/>
  <c r="B4205"/>
  <c r="D4205" s="1"/>
  <c r="A4205"/>
  <c r="C4205" s="1"/>
  <c r="B4204"/>
  <c r="D4204" s="1"/>
  <c r="A4204"/>
  <c r="C4204" s="1"/>
  <c r="B4203"/>
  <c r="D4203" s="1"/>
  <c r="A4203"/>
  <c r="C4203" s="1"/>
  <c r="B4202"/>
  <c r="D4202" s="1"/>
  <c r="A4202"/>
  <c r="C4202" s="1"/>
  <c r="B4201"/>
  <c r="D4201" s="1"/>
  <c r="A4201"/>
  <c r="C4201" s="1"/>
  <c r="B4200"/>
  <c r="D4200" s="1"/>
  <c r="A4200"/>
  <c r="C4200" s="1"/>
  <c r="B4199"/>
  <c r="D4199" s="1"/>
  <c r="A4199"/>
  <c r="C4199" s="1"/>
  <c r="B4198"/>
  <c r="D4198" s="1"/>
  <c r="A4198"/>
  <c r="C4198" s="1"/>
  <c r="B4197"/>
  <c r="D4197" s="1"/>
  <c r="A4197"/>
  <c r="C4197" s="1"/>
  <c r="B4196"/>
  <c r="D4196" s="1"/>
  <c r="A4196"/>
  <c r="C4196" s="1"/>
  <c r="B4195"/>
  <c r="D4195" s="1"/>
  <c r="A4195"/>
  <c r="C4195" s="1"/>
  <c r="B4194"/>
  <c r="D4194" s="1"/>
  <c r="A4194"/>
  <c r="C4194" s="1"/>
  <c r="B4193"/>
  <c r="D4193" s="1"/>
  <c r="A4193"/>
  <c r="C4193" s="1"/>
  <c r="B4192"/>
  <c r="D4192" s="1"/>
  <c r="A4192"/>
  <c r="C4192" s="1"/>
  <c r="B4191"/>
  <c r="D4191" s="1"/>
  <c r="A4191"/>
  <c r="C4191" s="1"/>
  <c r="B4190"/>
  <c r="D4190" s="1"/>
  <c r="A4190"/>
  <c r="C4190" s="1"/>
  <c r="B4189"/>
  <c r="D4189" s="1"/>
  <c r="A4189"/>
  <c r="C4189" s="1"/>
  <c r="B4188"/>
  <c r="D4188" s="1"/>
  <c r="A4188"/>
  <c r="C4188" s="1"/>
  <c r="B4187"/>
  <c r="D4187" s="1"/>
  <c r="A4187"/>
  <c r="C4187" s="1"/>
  <c r="B4186"/>
  <c r="D4186" s="1"/>
  <c r="A4186"/>
  <c r="C4186" s="1"/>
  <c r="B4185"/>
  <c r="D4185" s="1"/>
  <c r="A4185"/>
  <c r="C4185" s="1"/>
  <c r="B4184"/>
  <c r="D4184" s="1"/>
  <c r="A4184"/>
  <c r="C4184" s="1"/>
  <c r="B4183"/>
  <c r="D4183" s="1"/>
  <c r="A4183"/>
  <c r="C4183" s="1"/>
  <c r="B4182"/>
  <c r="D4182" s="1"/>
  <c r="A4182"/>
  <c r="C4182" s="1"/>
  <c r="B4181"/>
  <c r="D4181" s="1"/>
  <c r="A4181"/>
  <c r="C4181" s="1"/>
  <c r="B4180"/>
  <c r="D4180" s="1"/>
  <c r="A4180"/>
  <c r="C4180" s="1"/>
  <c r="B4179"/>
  <c r="D4179" s="1"/>
  <c r="A4179"/>
  <c r="C4179" s="1"/>
  <c r="B4178"/>
  <c r="D4178" s="1"/>
  <c r="A4178"/>
  <c r="C4178" s="1"/>
  <c r="B4177"/>
  <c r="D4177" s="1"/>
  <c r="A4177"/>
  <c r="C4177" s="1"/>
  <c r="B4176"/>
  <c r="D4176" s="1"/>
  <c r="A4176"/>
  <c r="C4176" s="1"/>
  <c r="B4175"/>
  <c r="D4175" s="1"/>
  <c r="A4175"/>
  <c r="C4175" s="1"/>
  <c r="B4174"/>
  <c r="D4174" s="1"/>
  <c r="A4174"/>
  <c r="C4174" s="1"/>
  <c r="B4173"/>
  <c r="D4173" s="1"/>
  <c r="A4173"/>
  <c r="C4173" s="1"/>
  <c r="B4172"/>
  <c r="D4172" s="1"/>
  <c r="A4172"/>
  <c r="C4172" s="1"/>
  <c r="B4171"/>
  <c r="D4171" s="1"/>
  <c r="A4171"/>
  <c r="C4171" s="1"/>
  <c r="B4170"/>
  <c r="D4170" s="1"/>
  <c r="A4170"/>
  <c r="C4170" s="1"/>
  <c r="B4169"/>
  <c r="D4169" s="1"/>
  <c r="A4169"/>
  <c r="C4169" s="1"/>
  <c r="B4168"/>
  <c r="D4168" s="1"/>
  <c r="A4168"/>
  <c r="C4168" s="1"/>
  <c r="B4167"/>
  <c r="D4167" s="1"/>
  <c r="A4167"/>
  <c r="C4167" s="1"/>
  <c r="B4166"/>
  <c r="D4166" s="1"/>
  <c r="A4166"/>
  <c r="C4166" s="1"/>
  <c r="B4165"/>
  <c r="D4165" s="1"/>
  <c r="A4165"/>
  <c r="C4165" s="1"/>
  <c r="B4164"/>
  <c r="D4164" s="1"/>
  <c r="A4164"/>
  <c r="C4164" s="1"/>
  <c r="B4163"/>
  <c r="D4163" s="1"/>
  <c r="A4163"/>
  <c r="C4163" s="1"/>
  <c r="B4162"/>
  <c r="D4162" s="1"/>
  <c r="A4162"/>
  <c r="C4162" s="1"/>
  <c r="B4161"/>
  <c r="D4161" s="1"/>
  <c r="A4161"/>
  <c r="C4161" s="1"/>
  <c r="B4160"/>
  <c r="D4160" s="1"/>
  <c r="A4160"/>
  <c r="C4160" s="1"/>
  <c r="B4159"/>
  <c r="D4159" s="1"/>
  <c r="A4159"/>
  <c r="C4159" s="1"/>
  <c r="B4158"/>
  <c r="D4158" s="1"/>
  <c r="A4158"/>
  <c r="C4158" s="1"/>
  <c r="B4157"/>
  <c r="D4157" s="1"/>
  <c r="A4157"/>
  <c r="C4157" s="1"/>
  <c r="B4156"/>
  <c r="D4156" s="1"/>
  <c r="A4156"/>
  <c r="C4156" s="1"/>
  <c r="B4155"/>
  <c r="D4155" s="1"/>
  <c r="A4155"/>
  <c r="C4155" s="1"/>
  <c r="B4154"/>
  <c r="D4154" s="1"/>
  <c r="A4154"/>
  <c r="C4154" s="1"/>
  <c r="B4153"/>
  <c r="D4153" s="1"/>
  <c r="A4153"/>
  <c r="C4153" s="1"/>
  <c r="B4152"/>
  <c r="D4152" s="1"/>
  <c r="A4152"/>
  <c r="C4152" s="1"/>
  <c r="B4151"/>
  <c r="D4151" s="1"/>
  <c r="A4151"/>
  <c r="C4151" s="1"/>
  <c r="B4150"/>
  <c r="D4150" s="1"/>
  <c r="A4150"/>
  <c r="C4150" s="1"/>
  <c r="B4149"/>
  <c r="D4149" s="1"/>
  <c r="A4149"/>
  <c r="C4149" s="1"/>
  <c r="B4148"/>
  <c r="D4148" s="1"/>
  <c r="A4148"/>
  <c r="C4148" s="1"/>
  <c r="B4147"/>
  <c r="D4147" s="1"/>
  <c r="A4147"/>
  <c r="C4147" s="1"/>
  <c r="B4146"/>
  <c r="D4146" s="1"/>
  <c r="A4146"/>
  <c r="C4146" s="1"/>
  <c r="B4145"/>
  <c r="D4145" s="1"/>
  <c r="A4145"/>
  <c r="C4145" s="1"/>
  <c r="B4144"/>
  <c r="D4144" s="1"/>
  <c r="A4144"/>
  <c r="C4144" s="1"/>
  <c r="B4143"/>
  <c r="D4143" s="1"/>
  <c r="A4143"/>
  <c r="C4143" s="1"/>
  <c r="B4142"/>
  <c r="D4142" s="1"/>
  <c r="A4142"/>
  <c r="C4142" s="1"/>
  <c r="B4141"/>
  <c r="D4141" s="1"/>
  <c r="A4141"/>
  <c r="C4141" s="1"/>
  <c r="B4140"/>
  <c r="D4140" s="1"/>
  <c r="A4140"/>
  <c r="C4140" s="1"/>
  <c r="B4139"/>
  <c r="D4139" s="1"/>
  <c r="A4139"/>
  <c r="C4139" s="1"/>
  <c r="B4138"/>
  <c r="D4138" s="1"/>
  <c r="A4138"/>
  <c r="C4138" s="1"/>
  <c r="B4137"/>
  <c r="D4137" s="1"/>
  <c r="A4137"/>
  <c r="C4137" s="1"/>
  <c r="B4136"/>
  <c r="D4136" s="1"/>
  <c r="A4136"/>
  <c r="C4136" s="1"/>
  <c r="B4135"/>
  <c r="D4135" s="1"/>
  <c r="A4135"/>
  <c r="C4135" s="1"/>
  <c r="B4134"/>
  <c r="D4134" s="1"/>
  <c r="A4134"/>
  <c r="C4134" s="1"/>
  <c r="B4133"/>
  <c r="D4133" s="1"/>
  <c r="A4133"/>
  <c r="C4133" s="1"/>
  <c r="B4132"/>
  <c r="D4132" s="1"/>
  <c r="A4132"/>
  <c r="C4132" s="1"/>
  <c r="B4131"/>
  <c r="D4131" s="1"/>
  <c r="A4131"/>
  <c r="C4131" s="1"/>
  <c r="B4130"/>
  <c r="D4130" s="1"/>
  <c r="A4130"/>
  <c r="C4130" s="1"/>
  <c r="B4129"/>
  <c r="D4129" s="1"/>
  <c r="A4129"/>
  <c r="C4129" s="1"/>
  <c r="B4128"/>
  <c r="D4128" s="1"/>
  <c r="A4128"/>
  <c r="C4128" s="1"/>
  <c r="B4127"/>
  <c r="D4127" s="1"/>
  <c r="A4127"/>
  <c r="C4127" s="1"/>
  <c r="B4126"/>
  <c r="D4126" s="1"/>
  <c r="A4126"/>
  <c r="C4126" s="1"/>
  <c r="B4125"/>
  <c r="D4125" s="1"/>
  <c r="A4125"/>
  <c r="C4125" s="1"/>
  <c r="B4124"/>
  <c r="D4124" s="1"/>
  <c r="A4124"/>
  <c r="C4124" s="1"/>
  <c r="B4123"/>
  <c r="D4123" s="1"/>
  <c r="A4123"/>
  <c r="C4123" s="1"/>
  <c r="B4122"/>
  <c r="D4122" s="1"/>
  <c r="A4122"/>
  <c r="C4122" s="1"/>
  <c r="B4121"/>
  <c r="D4121" s="1"/>
  <c r="A4121"/>
  <c r="C4121" s="1"/>
  <c r="B4120"/>
  <c r="D4120" s="1"/>
  <c r="A4120"/>
  <c r="C4120" s="1"/>
  <c r="B4119"/>
  <c r="D4119" s="1"/>
  <c r="A4119"/>
  <c r="C4119" s="1"/>
  <c r="B4118"/>
  <c r="D4118" s="1"/>
  <c r="A4118"/>
  <c r="C4118" s="1"/>
  <c r="B4117"/>
  <c r="D4117" s="1"/>
  <c r="A4117"/>
  <c r="C4117" s="1"/>
  <c r="B4116"/>
  <c r="D4116" s="1"/>
  <c r="A4116"/>
  <c r="C4116" s="1"/>
  <c r="B4115"/>
  <c r="D4115" s="1"/>
  <c r="A4115"/>
  <c r="C4115" s="1"/>
  <c r="B4114"/>
  <c r="D4114" s="1"/>
  <c r="A4114"/>
  <c r="C4114" s="1"/>
  <c r="B4113"/>
  <c r="D4113" s="1"/>
  <c r="A4113"/>
  <c r="C4113" s="1"/>
  <c r="B4112"/>
  <c r="D4112" s="1"/>
  <c r="A4112"/>
  <c r="C4112" s="1"/>
  <c r="B4111"/>
  <c r="D4111" s="1"/>
  <c r="A4111"/>
  <c r="C4111" s="1"/>
  <c r="B4110"/>
  <c r="D4110" s="1"/>
  <c r="A4110"/>
  <c r="C4110" s="1"/>
  <c r="B4109"/>
  <c r="D4109" s="1"/>
  <c r="A4109"/>
  <c r="C4109" s="1"/>
  <c r="B4108"/>
  <c r="D4108" s="1"/>
  <c r="A4108"/>
  <c r="C4108" s="1"/>
  <c r="B4107"/>
  <c r="D4107" s="1"/>
  <c r="A4107"/>
  <c r="C4107" s="1"/>
  <c r="B4106"/>
  <c r="D4106" s="1"/>
  <c r="A4106"/>
  <c r="C4106" s="1"/>
  <c r="B4105"/>
  <c r="D4105" s="1"/>
  <c r="A4105"/>
  <c r="C4105" s="1"/>
  <c r="B4104"/>
  <c r="D4104" s="1"/>
  <c r="A4104"/>
  <c r="C4104" s="1"/>
  <c r="B4103"/>
  <c r="D4103" s="1"/>
  <c r="A4103"/>
  <c r="C4103" s="1"/>
  <c r="B4102"/>
  <c r="D4102" s="1"/>
  <c r="A4102"/>
  <c r="C4102" s="1"/>
  <c r="B4101"/>
  <c r="D4101" s="1"/>
  <c r="A4101"/>
  <c r="C4101" s="1"/>
  <c r="B4100"/>
  <c r="D4100" s="1"/>
  <c r="A4100"/>
  <c r="C4100" s="1"/>
  <c r="B4099"/>
  <c r="D4099" s="1"/>
  <c r="A4099"/>
  <c r="C4099" s="1"/>
  <c r="B4098"/>
  <c r="D4098" s="1"/>
  <c r="A4098"/>
  <c r="C4098" s="1"/>
  <c r="B4097"/>
  <c r="D4097" s="1"/>
  <c r="A4097"/>
  <c r="C4097" s="1"/>
  <c r="B4096"/>
  <c r="D4096" s="1"/>
  <c r="A4096"/>
  <c r="C4096" s="1"/>
  <c r="B4095"/>
  <c r="D4095" s="1"/>
  <c r="A4095"/>
  <c r="C4095" s="1"/>
  <c r="B4094"/>
  <c r="D4094" s="1"/>
  <c r="A4094"/>
  <c r="C4094" s="1"/>
  <c r="B4093"/>
  <c r="D4093" s="1"/>
  <c r="A4093"/>
  <c r="C4093" s="1"/>
  <c r="B4092"/>
  <c r="D4092" s="1"/>
  <c r="A4092"/>
  <c r="C4092" s="1"/>
  <c r="B4091"/>
  <c r="D4091" s="1"/>
  <c r="A4091"/>
  <c r="C4091" s="1"/>
  <c r="B4090"/>
  <c r="D4090" s="1"/>
  <c r="A4090"/>
  <c r="C4090" s="1"/>
  <c r="B4089"/>
  <c r="D4089" s="1"/>
  <c r="A4089"/>
  <c r="C4089" s="1"/>
  <c r="B4088"/>
  <c r="D4088" s="1"/>
  <c r="A4088"/>
  <c r="C4088" s="1"/>
  <c r="B4087"/>
  <c r="D4087" s="1"/>
  <c r="A4087"/>
  <c r="C4087" s="1"/>
  <c r="B4086"/>
  <c r="D4086" s="1"/>
  <c r="A4086"/>
  <c r="C4086" s="1"/>
  <c r="B4085"/>
  <c r="D4085" s="1"/>
  <c r="A4085"/>
  <c r="C4085" s="1"/>
  <c r="B4084"/>
  <c r="D4084" s="1"/>
  <c r="A4084"/>
  <c r="C4084" s="1"/>
  <c r="B4083"/>
  <c r="D4083" s="1"/>
  <c r="A4083"/>
  <c r="C4083" s="1"/>
  <c r="B4082"/>
  <c r="D4082" s="1"/>
  <c r="A4082"/>
  <c r="C4082" s="1"/>
  <c r="B4081"/>
  <c r="D4081" s="1"/>
  <c r="A4081"/>
  <c r="C4081" s="1"/>
  <c r="B4080"/>
  <c r="D4080" s="1"/>
  <c r="A4080"/>
  <c r="C4080" s="1"/>
  <c r="B4079"/>
  <c r="D4079" s="1"/>
  <c r="A4079"/>
  <c r="C4079" s="1"/>
  <c r="B4078"/>
  <c r="D4078" s="1"/>
  <c r="A4078"/>
  <c r="C4078" s="1"/>
  <c r="B4077"/>
  <c r="D4077" s="1"/>
  <c r="A4077"/>
  <c r="C4077" s="1"/>
  <c r="B4076"/>
  <c r="D4076" s="1"/>
  <c r="A4076"/>
  <c r="C4076" s="1"/>
  <c r="B4075"/>
  <c r="D4075" s="1"/>
  <c r="A4075"/>
  <c r="C4075" s="1"/>
  <c r="B4074"/>
  <c r="D4074" s="1"/>
  <c r="A4074"/>
  <c r="C4074" s="1"/>
  <c r="B4073"/>
  <c r="D4073" s="1"/>
  <c r="A4073"/>
  <c r="C4073" s="1"/>
  <c r="B4072"/>
  <c r="D4072" s="1"/>
  <c r="A4072"/>
  <c r="C4072" s="1"/>
  <c r="B4071"/>
  <c r="D4071" s="1"/>
  <c r="A4071"/>
  <c r="C4071" s="1"/>
  <c r="B4070"/>
  <c r="D4070" s="1"/>
  <c r="A4070"/>
  <c r="C4070" s="1"/>
  <c r="B4069"/>
  <c r="D4069" s="1"/>
  <c r="A4069"/>
  <c r="C4069" s="1"/>
  <c r="B4068"/>
  <c r="D4068" s="1"/>
  <c r="A4068"/>
  <c r="C4068" s="1"/>
  <c r="B4067"/>
  <c r="D4067" s="1"/>
  <c r="A4067"/>
  <c r="C4067" s="1"/>
  <c r="B4066"/>
  <c r="D4066" s="1"/>
  <c r="A4066"/>
  <c r="C4066" s="1"/>
  <c r="B4065"/>
  <c r="D4065" s="1"/>
  <c r="A4065"/>
  <c r="C4065" s="1"/>
  <c r="B4064"/>
  <c r="D4064" s="1"/>
  <c r="A4064"/>
  <c r="C4064" s="1"/>
  <c r="B4063"/>
  <c r="D4063" s="1"/>
  <c r="A4063"/>
  <c r="C4063" s="1"/>
  <c r="B4062"/>
  <c r="D4062" s="1"/>
  <c r="A4062"/>
  <c r="C4062" s="1"/>
  <c r="B4061"/>
  <c r="D4061" s="1"/>
  <c r="A4061"/>
  <c r="C4061" s="1"/>
  <c r="B4060"/>
  <c r="D4060" s="1"/>
  <c r="A4060"/>
  <c r="C4060" s="1"/>
  <c r="B4059"/>
  <c r="D4059" s="1"/>
  <c r="A4059"/>
  <c r="C4059" s="1"/>
  <c r="B4058"/>
  <c r="D4058" s="1"/>
  <c r="A4058"/>
  <c r="C4058" s="1"/>
  <c r="B4057"/>
  <c r="D4057" s="1"/>
  <c r="A4057"/>
  <c r="C4057" s="1"/>
  <c r="B4056"/>
  <c r="D4056" s="1"/>
  <c r="A4056"/>
  <c r="C4056" s="1"/>
  <c r="B4055"/>
  <c r="D4055" s="1"/>
  <c r="A4055"/>
  <c r="C4055" s="1"/>
  <c r="B4054"/>
  <c r="D4054" s="1"/>
  <c r="A4054"/>
  <c r="C4054" s="1"/>
  <c r="B4053"/>
  <c r="D4053" s="1"/>
  <c r="A4053"/>
  <c r="C4053" s="1"/>
  <c r="B4052"/>
  <c r="D4052" s="1"/>
  <c r="A4052"/>
  <c r="C4052" s="1"/>
  <c r="B4051"/>
  <c r="D4051" s="1"/>
  <c r="A4051"/>
  <c r="C4051" s="1"/>
  <c r="B4050"/>
  <c r="D4050" s="1"/>
  <c r="A4050"/>
  <c r="C4050" s="1"/>
  <c r="B4049"/>
  <c r="D4049" s="1"/>
  <c r="A4049"/>
  <c r="C4049" s="1"/>
  <c r="B4048"/>
  <c r="D4048" s="1"/>
  <c r="A4048"/>
  <c r="C4048" s="1"/>
  <c r="B4047"/>
  <c r="D4047" s="1"/>
  <c r="A4047"/>
  <c r="C4047" s="1"/>
  <c r="B4046"/>
  <c r="D4046" s="1"/>
  <c r="A4046"/>
  <c r="C4046" s="1"/>
  <c r="B4045"/>
  <c r="D4045" s="1"/>
  <c r="A4045"/>
  <c r="C4045" s="1"/>
  <c r="B4044"/>
  <c r="D4044" s="1"/>
  <c r="A4044"/>
  <c r="C4044" s="1"/>
  <c r="B4043"/>
  <c r="D4043" s="1"/>
  <c r="A4043"/>
  <c r="C4043" s="1"/>
  <c r="B4042"/>
  <c r="D4042" s="1"/>
  <c r="A4042"/>
  <c r="C4042" s="1"/>
  <c r="B4041"/>
  <c r="D4041" s="1"/>
  <c r="A4041"/>
  <c r="C4041" s="1"/>
  <c r="B4040"/>
  <c r="D4040" s="1"/>
  <c r="A4040"/>
  <c r="C4040" s="1"/>
  <c r="B4039"/>
  <c r="D4039" s="1"/>
  <c r="A4039"/>
  <c r="C4039" s="1"/>
  <c r="B4038"/>
  <c r="D4038" s="1"/>
  <c r="A4038"/>
  <c r="C4038" s="1"/>
  <c r="B4037"/>
  <c r="D4037" s="1"/>
  <c r="A4037"/>
  <c r="C4037" s="1"/>
  <c r="B4036"/>
  <c r="D4036" s="1"/>
  <c r="A4036"/>
  <c r="C4036" s="1"/>
  <c r="B4035"/>
  <c r="D4035" s="1"/>
  <c r="A4035"/>
  <c r="C4035" s="1"/>
  <c r="B4034"/>
  <c r="D4034" s="1"/>
  <c r="A4034"/>
  <c r="C4034" s="1"/>
  <c r="B4033"/>
  <c r="D4033" s="1"/>
  <c r="A4033"/>
  <c r="C4033" s="1"/>
  <c r="B4032"/>
  <c r="D4032" s="1"/>
  <c r="A4032"/>
  <c r="C4032" s="1"/>
  <c r="B4031"/>
  <c r="D4031" s="1"/>
  <c r="A4031"/>
  <c r="C4031" s="1"/>
  <c r="B4030"/>
  <c r="D4030" s="1"/>
  <c r="A4030"/>
  <c r="C4030" s="1"/>
  <c r="B4029"/>
  <c r="D4029" s="1"/>
  <c r="A4029"/>
  <c r="C4029" s="1"/>
  <c r="B4028"/>
  <c r="D4028" s="1"/>
  <c r="A4028"/>
  <c r="C4028" s="1"/>
  <c r="B4027"/>
  <c r="D4027" s="1"/>
  <c r="A4027"/>
  <c r="C4027" s="1"/>
  <c r="B4026"/>
  <c r="D4026" s="1"/>
  <c r="A4026"/>
  <c r="C4026" s="1"/>
  <c r="B4025"/>
  <c r="D4025" s="1"/>
  <c r="A4025"/>
  <c r="C4025" s="1"/>
  <c r="B4024"/>
  <c r="D4024" s="1"/>
  <c r="A4024"/>
  <c r="C4024" s="1"/>
  <c r="B4023"/>
  <c r="D4023" s="1"/>
  <c r="A4023"/>
  <c r="C4023" s="1"/>
  <c r="B4022"/>
  <c r="D4022" s="1"/>
  <c r="A4022"/>
  <c r="C4022" s="1"/>
  <c r="B4021"/>
  <c r="D4021" s="1"/>
  <c r="A4021"/>
  <c r="C4021" s="1"/>
  <c r="B4020"/>
  <c r="D4020" s="1"/>
  <c r="A4020"/>
  <c r="C4020" s="1"/>
  <c r="B4019"/>
  <c r="D4019" s="1"/>
  <c r="A4019"/>
  <c r="C4019" s="1"/>
  <c r="B4018"/>
  <c r="D4018" s="1"/>
  <c r="A4018"/>
  <c r="C4018" s="1"/>
  <c r="B4017"/>
  <c r="D4017" s="1"/>
  <c r="A4017"/>
  <c r="C4017" s="1"/>
  <c r="B4016"/>
  <c r="D4016" s="1"/>
  <c r="A4016"/>
  <c r="C4016" s="1"/>
  <c r="B4015"/>
  <c r="D4015" s="1"/>
  <c r="A4015"/>
  <c r="C4015" s="1"/>
  <c r="B4014"/>
  <c r="D4014" s="1"/>
  <c r="A4014"/>
  <c r="C4014" s="1"/>
  <c r="B4013"/>
  <c r="D4013" s="1"/>
  <c r="A4013"/>
  <c r="C4013" s="1"/>
  <c r="B4012"/>
  <c r="D4012" s="1"/>
  <c r="A4012"/>
  <c r="C4012" s="1"/>
  <c r="B4011"/>
  <c r="D4011" s="1"/>
  <c r="A4011"/>
  <c r="C4011" s="1"/>
  <c r="B4010"/>
  <c r="D4010" s="1"/>
  <c r="A4010"/>
  <c r="C4010" s="1"/>
  <c r="B4009"/>
  <c r="D4009" s="1"/>
  <c r="A4009"/>
  <c r="C4009" s="1"/>
  <c r="B4008"/>
  <c r="D4008" s="1"/>
  <c r="A4008"/>
  <c r="C4008" s="1"/>
  <c r="B4007"/>
  <c r="D4007" s="1"/>
  <c r="A4007"/>
  <c r="C4007" s="1"/>
  <c r="B4006"/>
  <c r="D4006" s="1"/>
  <c r="A4006"/>
  <c r="C4006" s="1"/>
  <c r="B4005"/>
  <c r="D4005" s="1"/>
  <c r="A4005"/>
  <c r="C4005" s="1"/>
  <c r="B4004"/>
  <c r="D4004" s="1"/>
  <c r="A4004"/>
  <c r="C4004" s="1"/>
  <c r="B4003"/>
  <c r="D4003" s="1"/>
  <c r="A4003"/>
  <c r="C4003" s="1"/>
  <c r="B4002"/>
  <c r="D4002" s="1"/>
  <c r="A4002"/>
  <c r="C4002" s="1"/>
  <c r="B4001"/>
  <c r="D4001" s="1"/>
  <c r="A4001"/>
  <c r="C4001" s="1"/>
  <c r="B4000"/>
  <c r="D4000" s="1"/>
  <c r="A4000"/>
  <c r="C4000" s="1"/>
  <c r="B3999"/>
  <c r="D3999" s="1"/>
  <c r="A3999"/>
  <c r="C3999" s="1"/>
  <c r="B3998"/>
  <c r="D3998" s="1"/>
  <c r="A3998"/>
  <c r="C3998" s="1"/>
  <c r="B3997"/>
  <c r="D3997" s="1"/>
  <c r="A3997"/>
  <c r="C3997" s="1"/>
  <c r="B3996"/>
  <c r="D3996" s="1"/>
  <c r="A3996"/>
  <c r="C3996" s="1"/>
  <c r="B3995"/>
  <c r="D3995" s="1"/>
  <c r="A3995"/>
  <c r="C3995" s="1"/>
  <c r="B3994"/>
  <c r="D3994" s="1"/>
  <c r="A3994"/>
  <c r="C3994" s="1"/>
  <c r="B3993"/>
  <c r="D3993" s="1"/>
  <c r="A3993"/>
  <c r="C3993" s="1"/>
  <c r="B3992"/>
  <c r="D3992" s="1"/>
  <c r="A3992"/>
  <c r="C3992" s="1"/>
  <c r="B3991"/>
  <c r="D3991" s="1"/>
  <c r="A3991"/>
  <c r="C3991" s="1"/>
  <c r="B3990"/>
  <c r="D3990" s="1"/>
  <c r="A3990"/>
  <c r="C3990" s="1"/>
  <c r="B3989"/>
  <c r="D3989" s="1"/>
  <c r="A3989"/>
  <c r="C3989" s="1"/>
  <c r="B3988"/>
  <c r="D3988" s="1"/>
  <c r="A3988"/>
  <c r="C3988" s="1"/>
  <c r="B3987"/>
  <c r="D3987" s="1"/>
  <c r="A3987"/>
  <c r="C3987" s="1"/>
  <c r="B3986"/>
  <c r="D3986" s="1"/>
  <c r="A3986"/>
  <c r="C3986" s="1"/>
  <c r="B3985"/>
  <c r="D3985" s="1"/>
  <c r="A3985"/>
  <c r="C3985" s="1"/>
  <c r="B3984"/>
  <c r="D3984" s="1"/>
  <c r="A3984"/>
  <c r="C3984" s="1"/>
  <c r="B3983"/>
  <c r="D3983" s="1"/>
  <c r="A3983"/>
  <c r="C3983" s="1"/>
  <c r="B3982"/>
  <c r="D3982" s="1"/>
  <c r="A3982"/>
  <c r="C3982" s="1"/>
  <c r="B3981"/>
  <c r="D3981" s="1"/>
  <c r="A3981"/>
  <c r="C3981" s="1"/>
  <c r="B3980"/>
  <c r="D3980" s="1"/>
  <c r="A3980"/>
  <c r="C3980" s="1"/>
  <c r="B3979"/>
  <c r="D3979" s="1"/>
  <c r="A3979"/>
  <c r="C3979" s="1"/>
  <c r="B3978"/>
  <c r="D3978" s="1"/>
  <c r="A3978"/>
  <c r="C3978" s="1"/>
  <c r="B3977"/>
  <c r="D3977" s="1"/>
  <c r="A3977"/>
  <c r="C3977" s="1"/>
  <c r="B3976"/>
  <c r="D3976" s="1"/>
  <c r="A3976"/>
  <c r="C3976" s="1"/>
  <c r="B3975"/>
  <c r="D3975" s="1"/>
  <c r="A3975"/>
  <c r="C3975" s="1"/>
  <c r="B3974"/>
  <c r="D3974" s="1"/>
  <c r="A3974"/>
  <c r="C3974" s="1"/>
  <c r="B3973"/>
  <c r="D3973" s="1"/>
  <c r="A3973"/>
  <c r="C3973" s="1"/>
  <c r="B3972"/>
  <c r="D3972" s="1"/>
  <c r="A3972"/>
  <c r="C3972" s="1"/>
  <c r="B3971"/>
  <c r="D3971" s="1"/>
  <c r="A3971"/>
  <c r="C3971" s="1"/>
  <c r="B3970"/>
  <c r="D3970" s="1"/>
  <c r="A3970"/>
  <c r="C3970" s="1"/>
  <c r="B3969"/>
  <c r="D3969" s="1"/>
  <c r="A3969"/>
  <c r="C3969" s="1"/>
  <c r="B3968"/>
  <c r="D3968" s="1"/>
  <c r="A3968"/>
  <c r="C3968" s="1"/>
  <c r="B3967"/>
  <c r="D3967" s="1"/>
  <c r="A3967"/>
  <c r="C3967" s="1"/>
  <c r="B3966"/>
  <c r="D3966" s="1"/>
  <c r="A3966"/>
  <c r="C3966" s="1"/>
  <c r="B3965"/>
  <c r="D3965" s="1"/>
  <c r="A3965"/>
  <c r="C3965" s="1"/>
  <c r="B3964"/>
  <c r="D3964" s="1"/>
  <c r="A3964"/>
  <c r="C3964" s="1"/>
  <c r="B3963"/>
  <c r="D3963" s="1"/>
  <c r="A3963"/>
  <c r="C3963" s="1"/>
  <c r="B3962"/>
  <c r="D3962" s="1"/>
  <c r="A3962"/>
  <c r="C3962" s="1"/>
  <c r="B3961"/>
  <c r="D3961" s="1"/>
  <c r="A3961"/>
  <c r="C3961" s="1"/>
  <c r="B3960"/>
  <c r="D3960" s="1"/>
  <c r="A3960"/>
  <c r="C3960" s="1"/>
  <c r="B3959"/>
  <c r="D3959" s="1"/>
  <c r="A3959"/>
  <c r="C3959" s="1"/>
  <c r="B3958"/>
  <c r="D3958" s="1"/>
  <c r="A3958"/>
  <c r="C3958" s="1"/>
  <c r="B3957"/>
  <c r="D3957" s="1"/>
  <c r="A3957"/>
  <c r="C3957" s="1"/>
  <c r="B3956"/>
  <c r="D3956" s="1"/>
  <c r="A3956"/>
  <c r="C3956" s="1"/>
  <c r="B3955"/>
  <c r="D3955" s="1"/>
  <c r="A3955"/>
  <c r="C3955" s="1"/>
  <c r="B3954"/>
  <c r="D3954" s="1"/>
  <c r="A3954"/>
  <c r="C3954" s="1"/>
  <c r="B3953"/>
  <c r="D3953" s="1"/>
  <c r="A3953"/>
  <c r="C3953" s="1"/>
  <c r="B3952"/>
  <c r="D3952" s="1"/>
  <c r="A3952"/>
  <c r="C3952" s="1"/>
  <c r="B3951"/>
  <c r="D3951" s="1"/>
  <c r="A3951"/>
  <c r="C3951" s="1"/>
  <c r="B3950"/>
  <c r="D3950" s="1"/>
  <c r="A3950"/>
  <c r="C3950" s="1"/>
  <c r="B3949"/>
  <c r="D3949" s="1"/>
  <c r="A3949"/>
  <c r="C3949" s="1"/>
  <c r="B3948"/>
  <c r="D3948" s="1"/>
  <c r="A3948"/>
  <c r="C3948" s="1"/>
  <c r="B3947"/>
  <c r="D3947" s="1"/>
  <c r="A3947"/>
  <c r="C3947" s="1"/>
  <c r="B3946"/>
  <c r="D3946" s="1"/>
  <c r="A3946"/>
  <c r="C3946" s="1"/>
  <c r="B3945"/>
  <c r="D3945" s="1"/>
  <c r="A3945"/>
  <c r="C3945" s="1"/>
  <c r="B3944"/>
  <c r="D3944" s="1"/>
  <c r="A3944"/>
  <c r="C3944" s="1"/>
  <c r="B3943"/>
  <c r="D3943" s="1"/>
  <c r="A3943"/>
  <c r="C3943" s="1"/>
  <c r="B3942"/>
  <c r="D3942" s="1"/>
  <c r="A3942"/>
  <c r="C3942" s="1"/>
  <c r="B3941"/>
  <c r="D3941" s="1"/>
  <c r="A3941"/>
  <c r="C3941" s="1"/>
  <c r="B3940"/>
  <c r="D3940" s="1"/>
  <c r="A3940"/>
  <c r="C3940" s="1"/>
  <c r="B3939"/>
  <c r="D3939" s="1"/>
  <c r="A3939"/>
  <c r="C3939" s="1"/>
  <c r="B3938"/>
  <c r="D3938" s="1"/>
  <c r="A3938"/>
  <c r="C3938" s="1"/>
  <c r="B3937"/>
  <c r="D3937" s="1"/>
  <c r="A3937"/>
  <c r="C3937" s="1"/>
  <c r="B3936"/>
  <c r="D3936" s="1"/>
  <c r="A3936"/>
  <c r="C3936" s="1"/>
  <c r="B3935"/>
  <c r="D3935" s="1"/>
  <c r="A3935"/>
  <c r="C3935" s="1"/>
  <c r="B3934"/>
  <c r="D3934" s="1"/>
  <c r="A3934"/>
  <c r="C3934" s="1"/>
  <c r="B3933"/>
  <c r="D3933" s="1"/>
  <c r="A3933"/>
  <c r="C3933" s="1"/>
  <c r="B3932"/>
  <c r="D3932" s="1"/>
  <c r="A3932"/>
  <c r="C3932" s="1"/>
  <c r="B3931"/>
  <c r="D3931" s="1"/>
  <c r="A3931"/>
  <c r="C3931" s="1"/>
  <c r="B3930"/>
  <c r="D3930" s="1"/>
  <c r="A3930"/>
  <c r="C3930" s="1"/>
  <c r="B3929"/>
  <c r="D3929" s="1"/>
  <c r="A3929"/>
  <c r="C3929" s="1"/>
  <c r="B3928"/>
  <c r="D3928" s="1"/>
  <c r="A3928"/>
  <c r="C3928" s="1"/>
  <c r="B3927"/>
  <c r="D3927" s="1"/>
  <c r="A3927"/>
  <c r="C3927" s="1"/>
  <c r="B3926"/>
  <c r="D3926" s="1"/>
  <c r="A3926"/>
  <c r="C3926" s="1"/>
  <c r="B3925"/>
  <c r="D3925" s="1"/>
  <c r="A3925"/>
  <c r="C3925" s="1"/>
  <c r="B3924"/>
  <c r="D3924" s="1"/>
  <c r="A3924"/>
  <c r="C3924" s="1"/>
  <c r="B3923"/>
  <c r="D3923" s="1"/>
  <c r="A3923"/>
  <c r="C3923" s="1"/>
  <c r="B3922"/>
  <c r="D3922" s="1"/>
  <c r="A3922"/>
  <c r="C3922" s="1"/>
  <c r="B3921"/>
  <c r="D3921" s="1"/>
  <c r="A3921"/>
  <c r="C3921" s="1"/>
  <c r="B3920"/>
  <c r="D3920" s="1"/>
  <c r="A3920"/>
  <c r="C3920" s="1"/>
  <c r="B3919"/>
  <c r="D3919" s="1"/>
  <c r="A3919"/>
  <c r="C3919" s="1"/>
  <c r="B3918"/>
  <c r="D3918" s="1"/>
  <c r="A3918"/>
  <c r="C3918" s="1"/>
  <c r="B3917"/>
  <c r="D3917" s="1"/>
  <c r="A3917"/>
  <c r="C3917" s="1"/>
  <c r="B3916"/>
  <c r="D3916" s="1"/>
  <c r="A3916"/>
  <c r="C3916" s="1"/>
  <c r="B3915"/>
  <c r="D3915" s="1"/>
  <c r="A3915"/>
  <c r="C3915" s="1"/>
  <c r="B3914"/>
  <c r="D3914" s="1"/>
  <c r="A3914"/>
  <c r="C3914" s="1"/>
  <c r="B3913"/>
  <c r="D3913" s="1"/>
  <c r="A3913"/>
  <c r="C3913" s="1"/>
  <c r="B3912"/>
  <c r="D3912" s="1"/>
  <c r="A3912"/>
  <c r="C3912" s="1"/>
  <c r="B3911"/>
  <c r="D3911" s="1"/>
  <c r="A3911"/>
  <c r="C3911" s="1"/>
  <c r="B3910"/>
  <c r="D3910" s="1"/>
  <c r="A3910"/>
  <c r="C3910" s="1"/>
  <c r="B3909"/>
  <c r="D3909" s="1"/>
  <c r="A3909"/>
  <c r="C3909" s="1"/>
  <c r="B3908"/>
  <c r="D3908" s="1"/>
  <c r="A3908"/>
  <c r="C3908" s="1"/>
  <c r="B3907"/>
  <c r="D3907" s="1"/>
  <c r="A3907"/>
  <c r="C3907" s="1"/>
  <c r="B3906"/>
  <c r="D3906" s="1"/>
  <c r="A3906"/>
  <c r="C3906" s="1"/>
  <c r="B3905"/>
  <c r="D3905" s="1"/>
  <c r="A3905"/>
  <c r="C3905" s="1"/>
  <c r="B3904"/>
  <c r="D3904" s="1"/>
  <c r="A3904"/>
  <c r="C3904" s="1"/>
  <c r="B3903"/>
  <c r="D3903" s="1"/>
  <c r="A3903"/>
  <c r="C3903" s="1"/>
  <c r="B3902"/>
  <c r="D3902" s="1"/>
  <c r="A3902"/>
  <c r="C3902" s="1"/>
  <c r="B3901"/>
  <c r="D3901" s="1"/>
  <c r="A3901"/>
  <c r="C3901" s="1"/>
  <c r="B3900"/>
  <c r="D3900" s="1"/>
  <c r="A3900"/>
  <c r="C3900" s="1"/>
  <c r="B3899"/>
  <c r="D3899" s="1"/>
  <c r="A3899"/>
  <c r="C3899" s="1"/>
  <c r="B3898"/>
  <c r="D3898" s="1"/>
  <c r="A3898"/>
  <c r="C3898" s="1"/>
  <c r="B3897"/>
  <c r="D3897" s="1"/>
  <c r="A3897"/>
  <c r="C3897" s="1"/>
  <c r="B3896"/>
  <c r="D3896" s="1"/>
  <c r="A3896"/>
  <c r="C3896" s="1"/>
  <c r="B3895"/>
  <c r="D3895" s="1"/>
  <c r="A3895"/>
  <c r="C3895" s="1"/>
  <c r="B3894"/>
  <c r="D3894" s="1"/>
  <c r="A3894"/>
  <c r="C3894" s="1"/>
  <c r="B3893"/>
  <c r="D3893" s="1"/>
  <c r="A3893"/>
  <c r="C3893" s="1"/>
  <c r="B3892"/>
  <c r="D3892" s="1"/>
  <c r="A3892"/>
  <c r="C3892" s="1"/>
  <c r="B3891"/>
  <c r="D3891" s="1"/>
  <c r="A3891"/>
  <c r="C3891" s="1"/>
  <c r="B3890"/>
  <c r="D3890" s="1"/>
  <c r="A3890"/>
  <c r="C3890" s="1"/>
  <c r="B3889"/>
  <c r="D3889" s="1"/>
  <c r="A3889"/>
  <c r="C3889" s="1"/>
  <c r="B3888"/>
  <c r="D3888" s="1"/>
  <c r="A3888"/>
  <c r="C3888" s="1"/>
  <c r="B3887"/>
  <c r="D3887" s="1"/>
  <c r="A3887"/>
  <c r="C3887" s="1"/>
  <c r="B3886"/>
  <c r="D3886" s="1"/>
  <c r="A3886"/>
  <c r="C3886" s="1"/>
  <c r="B3885"/>
  <c r="D3885" s="1"/>
  <c r="A3885"/>
  <c r="C3885" s="1"/>
  <c r="B3884"/>
  <c r="D3884" s="1"/>
  <c r="A3884"/>
  <c r="C3884" s="1"/>
  <c r="B3883"/>
  <c r="D3883" s="1"/>
  <c r="A3883"/>
  <c r="C3883" s="1"/>
  <c r="B3882"/>
  <c r="D3882" s="1"/>
  <c r="A3882"/>
  <c r="C3882" s="1"/>
  <c r="B3881"/>
  <c r="D3881" s="1"/>
  <c r="A3881"/>
  <c r="C3881" s="1"/>
  <c r="B3880"/>
  <c r="D3880" s="1"/>
  <c r="A3880"/>
  <c r="C3880" s="1"/>
  <c r="B3879"/>
  <c r="D3879" s="1"/>
  <c r="A3879"/>
  <c r="C3879" s="1"/>
  <c r="B3878"/>
  <c r="D3878" s="1"/>
  <c r="A3878"/>
  <c r="C3878" s="1"/>
  <c r="B3877"/>
  <c r="D3877" s="1"/>
  <c r="A3877"/>
  <c r="C3877" s="1"/>
  <c r="B3876"/>
  <c r="D3876" s="1"/>
  <c r="A3876"/>
  <c r="C3876" s="1"/>
  <c r="B3875"/>
  <c r="D3875" s="1"/>
  <c r="A3875"/>
  <c r="C3875" s="1"/>
  <c r="B3874"/>
  <c r="D3874" s="1"/>
  <c r="A3874"/>
  <c r="C3874" s="1"/>
  <c r="B3873"/>
  <c r="D3873" s="1"/>
  <c r="A3873"/>
  <c r="C3873" s="1"/>
  <c r="B3872"/>
  <c r="D3872" s="1"/>
  <c r="A3872"/>
  <c r="C3872" s="1"/>
  <c r="B3871"/>
  <c r="D3871" s="1"/>
  <c r="A3871"/>
  <c r="C3871" s="1"/>
  <c r="B3870"/>
  <c r="D3870" s="1"/>
  <c r="A3870"/>
  <c r="C3870" s="1"/>
  <c r="B3869"/>
  <c r="D3869" s="1"/>
  <c r="A3869"/>
  <c r="C3869" s="1"/>
  <c r="B3868"/>
  <c r="D3868" s="1"/>
  <c r="A3868"/>
  <c r="C3868" s="1"/>
  <c r="B3867"/>
  <c r="D3867" s="1"/>
  <c r="A3867"/>
  <c r="C3867" s="1"/>
  <c r="B3866"/>
  <c r="D3866" s="1"/>
  <c r="A3866"/>
  <c r="C3866" s="1"/>
  <c r="B3865"/>
  <c r="D3865" s="1"/>
  <c r="A3865"/>
  <c r="C3865" s="1"/>
  <c r="B3864"/>
  <c r="D3864" s="1"/>
  <c r="A3864"/>
  <c r="C3864" s="1"/>
  <c r="B3863"/>
  <c r="D3863" s="1"/>
  <c r="A3863"/>
  <c r="C3863" s="1"/>
  <c r="B3862"/>
  <c r="D3862" s="1"/>
  <c r="A3862"/>
  <c r="C3862" s="1"/>
  <c r="B3861"/>
  <c r="D3861" s="1"/>
  <c r="A3861"/>
  <c r="C3861" s="1"/>
  <c r="B3860"/>
  <c r="D3860" s="1"/>
  <c r="A3860"/>
  <c r="C3860" s="1"/>
  <c r="B3859"/>
  <c r="D3859" s="1"/>
  <c r="A3859"/>
  <c r="C3859" s="1"/>
  <c r="B3858"/>
  <c r="D3858" s="1"/>
  <c r="A3858"/>
  <c r="C3858" s="1"/>
  <c r="B3857"/>
  <c r="D3857" s="1"/>
  <c r="A3857"/>
  <c r="C3857" s="1"/>
  <c r="B3856"/>
  <c r="D3856" s="1"/>
  <c r="A3856"/>
  <c r="C3856" s="1"/>
  <c r="B3855"/>
  <c r="D3855" s="1"/>
  <c r="A3855"/>
  <c r="C3855" s="1"/>
  <c r="B3854"/>
  <c r="D3854" s="1"/>
  <c r="A3854"/>
  <c r="C3854" s="1"/>
  <c r="B3853"/>
  <c r="D3853" s="1"/>
  <c r="A3853"/>
  <c r="C3853" s="1"/>
  <c r="B3852"/>
  <c r="D3852" s="1"/>
  <c r="A3852"/>
  <c r="C3852" s="1"/>
  <c r="B3851"/>
  <c r="D3851" s="1"/>
  <c r="A3851"/>
  <c r="C3851" s="1"/>
  <c r="B3850"/>
  <c r="D3850" s="1"/>
  <c r="A3850"/>
  <c r="C3850" s="1"/>
  <c r="B3849"/>
  <c r="D3849" s="1"/>
  <c r="A3849"/>
  <c r="C3849" s="1"/>
  <c r="B3848"/>
  <c r="D3848" s="1"/>
  <c r="A3848"/>
  <c r="C3848" s="1"/>
  <c r="B3847"/>
  <c r="D3847" s="1"/>
  <c r="A3847"/>
  <c r="C3847" s="1"/>
  <c r="B3846"/>
  <c r="D3846" s="1"/>
  <c r="A3846"/>
  <c r="C3846" s="1"/>
  <c r="B3845"/>
  <c r="D3845" s="1"/>
  <c r="A3845"/>
  <c r="C3845" s="1"/>
  <c r="B3844"/>
  <c r="D3844" s="1"/>
  <c r="A3844"/>
  <c r="C3844" s="1"/>
  <c r="B3843"/>
  <c r="D3843" s="1"/>
  <c r="A3843"/>
  <c r="C3843" s="1"/>
  <c r="B3842"/>
  <c r="D3842" s="1"/>
  <c r="A3842"/>
  <c r="C3842" s="1"/>
  <c r="B3841"/>
  <c r="D3841" s="1"/>
  <c r="A3841"/>
  <c r="C3841" s="1"/>
  <c r="B3840"/>
  <c r="D3840" s="1"/>
  <c r="A3840"/>
  <c r="C3840" s="1"/>
  <c r="B3839"/>
  <c r="D3839" s="1"/>
  <c r="A3839"/>
  <c r="C3839" s="1"/>
  <c r="B3838"/>
  <c r="D3838" s="1"/>
  <c r="A3838"/>
  <c r="C3838" s="1"/>
  <c r="B3837"/>
  <c r="D3837" s="1"/>
  <c r="A3837"/>
  <c r="C3837" s="1"/>
  <c r="B3836"/>
  <c r="D3836" s="1"/>
  <c r="A3836"/>
  <c r="C3836" s="1"/>
  <c r="B3835"/>
  <c r="D3835" s="1"/>
  <c r="A3835"/>
  <c r="C3835" s="1"/>
  <c r="B3834"/>
  <c r="D3834" s="1"/>
  <c r="A3834"/>
  <c r="C3834" s="1"/>
  <c r="B3833"/>
  <c r="D3833" s="1"/>
  <c r="A3833"/>
  <c r="C3833" s="1"/>
  <c r="B3832"/>
  <c r="D3832" s="1"/>
  <c r="A3832"/>
  <c r="C3832" s="1"/>
  <c r="B3831"/>
  <c r="D3831" s="1"/>
  <c r="A3831"/>
  <c r="C3831" s="1"/>
  <c r="B3830"/>
  <c r="D3830" s="1"/>
  <c r="A3830"/>
  <c r="C3830" s="1"/>
  <c r="B3829"/>
  <c r="D3829" s="1"/>
  <c r="A3829"/>
  <c r="C3829" s="1"/>
  <c r="B3828"/>
  <c r="D3828" s="1"/>
  <c r="A3828"/>
  <c r="C3828" s="1"/>
  <c r="B3827"/>
  <c r="D3827" s="1"/>
  <c r="A3827"/>
  <c r="C3827" s="1"/>
  <c r="B3826"/>
  <c r="D3826" s="1"/>
  <c r="A3826"/>
  <c r="C3826" s="1"/>
  <c r="B3825"/>
  <c r="D3825" s="1"/>
  <c r="A3825"/>
  <c r="C3825" s="1"/>
  <c r="B3824"/>
  <c r="D3824" s="1"/>
  <c r="A3824"/>
  <c r="C3824" s="1"/>
  <c r="B3823"/>
  <c r="D3823" s="1"/>
  <c r="A3823"/>
  <c r="C3823" s="1"/>
  <c r="B3822"/>
  <c r="D3822" s="1"/>
  <c r="A3822"/>
  <c r="C3822" s="1"/>
  <c r="B3821"/>
  <c r="D3821" s="1"/>
  <c r="A3821"/>
  <c r="C3821" s="1"/>
  <c r="B3820"/>
  <c r="D3820" s="1"/>
  <c r="A3820"/>
  <c r="C3820" s="1"/>
  <c r="B3819"/>
  <c r="D3819" s="1"/>
  <c r="A3819"/>
  <c r="C3819" s="1"/>
  <c r="B3818"/>
  <c r="D3818" s="1"/>
  <c r="A3818"/>
  <c r="C3818" s="1"/>
  <c r="B3817"/>
  <c r="D3817" s="1"/>
  <c r="A3817"/>
  <c r="C3817" s="1"/>
  <c r="B3816"/>
  <c r="D3816" s="1"/>
  <c r="A3816"/>
  <c r="C3816" s="1"/>
  <c r="B3815"/>
  <c r="D3815" s="1"/>
  <c r="A3815"/>
  <c r="C3815" s="1"/>
  <c r="B3814"/>
  <c r="D3814" s="1"/>
  <c r="A3814"/>
  <c r="C3814" s="1"/>
  <c r="B3813"/>
  <c r="D3813" s="1"/>
  <c r="A3813"/>
  <c r="C3813" s="1"/>
  <c r="B3812"/>
  <c r="D3812" s="1"/>
  <c r="A3812"/>
  <c r="C3812" s="1"/>
  <c r="B3811"/>
  <c r="D3811" s="1"/>
  <c r="A3811"/>
  <c r="C3811" s="1"/>
  <c r="B3810"/>
  <c r="D3810" s="1"/>
  <c r="A3810"/>
  <c r="C3810" s="1"/>
  <c r="B3809"/>
  <c r="D3809" s="1"/>
  <c r="A3809"/>
  <c r="C3809" s="1"/>
  <c r="B3808"/>
  <c r="D3808" s="1"/>
  <c r="A3808"/>
  <c r="C3808" s="1"/>
  <c r="B3807"/>
  <c r="D3807" s="1"/>
  <c r="A3807"/>
  <c r="C3807" s="1"/>
  <c r="B3806"/>
  <c r="D3806" s="1"/>
  <c r="A3806"/>
  <c r="C3806" s="1"/>
  <c r="B3805"/>
  <c r="D3805" s="1"/>
  <c r="A3805"/>
  <c r="C3805" s="1"/>
  <c r="B3804"/>
  <c r="D3804" s="1"/>
  <c r="A3804"/>
  <c r="C3804" s="1"/>
  <c r="B3803"/>
  <c r="D3803" s="1"/>
  <c r="A3803"/>
  <c r="C3803" s="1"/>
  <c r="B3802"/>
  <c r="D3802" s="1"/>
  <c r="A3802"/>
  <c r="C3802" s="1"/>
  <c r="B3801"/>
  <c r="D3801" s="1"/>
  <c r="A3801"/>
  <c r="C3801" s="1"/>
  <c r="B3800"/>
  <c r="D3800" s="1"/>
  <c r="A3800"/>
  <c r="C3800" s="1"/>
  <c r="B3799"/>
  <c r="D3799" s="1"/>
  <c r="A3799"/>
  <c r="C3799" s="1"/>
  <c r="B3798"/>
  <c r="D3798" s="1"/>
  <c r="A3798"/>
  <c r="C3798" s="1"/>
  <c r="B3797"/>
  <c r="D3797" s="1"/>
  <c r="A3797"/>
  <c r="C3797" s="1"/>
  <c r="B3796"/>
  <c r="D3796" s="1"/>
  <c r="A3796"/>
  <c r="C3796" s="1"/>
  <c r="B3795"/>
  <c r="D3795" s="1"/>
  <c r="A3795"/>
  <c r="C3795" s="1"/>
  <c r="B3794"/>
  <c r="D3794" s="1"/>
  <c r="A3794"/>
  <c r="C3794" s="1"/>
  <c r="B3793"/>
  <c r="D3793" s="1"/>
  <c r="A3793"/>
  <c r="C3793" s="1"/>
  <c r="B3792"/>
  <c r="D3792" s="1"/>
  <c r="A3792"/>
  <c r="C3792" s="1"/>
  <c r="B3791"/>
  <c r="D3791" s="1"/>
  <c r="A3791"/>
  <c r="C3791" s="1"/>
  <c r="B3790"/>
  <c r="D3790" s="1"/>
  <c r="A3790"/>
  <c r="C3790" s="1"/>
  <c r="B3789"/>
  <c r="D3789" s="1"/>
  <c r="A3789"/>
  <c r="C3789" s="1"/>
  <c r="B3788"/>
  <c r="D3788" s="1"/>
  <c r="A3788"/>
  <c r="C3788" s="1"/>
  <c r="B3787"/>
  <c r="D3787" s="1"/>
  <c r="A3787"/>
  <c r="C3787" s="1"/>
  <c r="B3786"/>
  <c r="D3786" s="1"/>
  <c r="A3786"/>
  <c r="C3786" s="1"/>
  <c r="B3785"/>
  <c r="D3785" s="1"/>
  <c r="A3785"/>
  <c r="C3785" s="1"/>
  <c r="B3784"/>
  <c r="D3784" s="1"/>
  <c r="A3784"/>
  <c r="C3784" s="1"/>
  <c r="B3783"/>
  <c r="D3783" s="1"/>
  <c r="A3783"/>
  <c r="C3783" s="1"/>
  <c r="B3782"/>
  <c r="D3782" s="1"/>
  <c r="A3782"/>
  <c r="C3782" s="1"/>
  <c r="B3781"/>
  <c r="D3781" s="1"/>
  <c r="A3781"/>
  <c r="C3781" s="1"/>
  <c r="B3780"/>
  <c r="D3780" s="1"/>
  <c r="A3780"/>
  <c r="C3780" s="1"/>
  <c r="B3779"/>
  <c r="D3779" s="1"/>
  <c r="A3779"/>
  <c r="C3779" s="1"/>
  <c r="B3778"/>
  <c r="D3778" s="1"/>
  <c r="A3778"/>
  <c r="C3778" s="1"/>
  <c r="B3777"/>
  <c r="D3777" s="1"/>
  <c r="A3777"/>
  <c r="C3777" s="1"/>
  <c r="B3776"/>
  <c r="D3776" s="1"/>
  <c r="A3776"/>
  <c r="C3776" s="1"/>
  <c r="B3775"/>
  <c r="D3775" s="1"/>
  <c r="A3775"/>
  <c r="C3775" s="1"/>
  <c r="B3774"/>
  <c r="D3774" s="1"/>
  <c r="A3774"/>
  <c r="C3774" s="1"/>
  <c r="B3773"/>
  <c r="D3773" s="1"/>
  <c r="A3773"/>
  <c r="C3773" s="1"/>
  <c r="B3772"/>
  <c r="D3772" s="1"/>
  <c r="A3772"/>
  <c r="C3772" s="1"/>
  <c r="B3771"/>
  <c r="D3771" s="1"/>
  <c r="A3771"/>
  <c r="C3771" s="1"/>
  <c r="B3770"/>
  <c r="D3770" s="1"/>
  <c r="A3770"/>
  <c r="C3770" s="1"/>
  <c r="B3769"/>
  <c r="D3769" s="1"/>
  <c r="A3769"/>
  <c r="C3769" s="1"/>
  <c r="B3768"/>
  <c r="D3768" s="1"/>
  <c r="A3768"/>
  <c r="C3768" s="1"/>
  <c r="B3767"/>
  <c r="D3767" s="1"/>
  <c r="A3767"/>
  <c r="C3767" s="1"/>
  <c r="B3766"/>
  <c r="D3766" s="1"/>
  <c r="A3766"/>
  <c r="C3766" s="1"/>
  <c r="B3765"/>
  <c r="D3765" s="1"/>
  <c r="A3765"/>
  <c r="C3765" s="1"/>
  <c r="B3764"/>
  <c r="D3764" s="1"/>
  <c r="A3764"/>
  <c r="C3764" s="1"/>
  <c r="B3763"/>
  <c r="D3763" s="1"/>
  <c r="A3763"/>
  <c r="C3763" s="1"/>
  <c r="B3762"/>
  <c r="D3762" s="1"/>
  <c r="A3762"/>
  <c r="C3762" s="1"/>
  <c r="B3761"/>
  <c r="D3761" s="1"/>
  <c r="A3761"/>
  <c r="C3761" s="1"/>
  <c r="B3760"/>
  <c r="D3760" s="1"/>
  <c r="A3760"/>
  <c r="C3760" s="1"/>
  <c r="B3759"/>
  <c r="D3759" s="1"/>
  <c r="A3759"/>
  <c r="C3759" s="1"/>
  <c r="B3758"/>
  <c r="D3758" s="1"/>
  <c r="A3758"/>
  <c r="C3758" s="1"/>
  <c r="B3757"/>
  <c r="D3757" s="1"/>
  <c r="A3757"/>
  <c r="C3757" s="1"/>
  <c r="B3756"/>
  <c r="D3756" s="1"/>
  <c r="A3756"/>
  <c r="C3756" s="1"/>
  <c r="B3755"/>
  <c r="D3755" s="1"/>
  <c r="A3755"/>
  <c r="C3755" s="1"/>
  <c r="B3754"/>
  <c r="D3754" s="1"/>
  <c r="A3754"/>
  <c r="C3754" s="1"/>
  <c r="B3753"/>
  <c r="D3753" s="1"/>
  <c r="A3753"/>
  <c r="C3753" s="1"/>
  <c r="B3752"/>
  <c r="D3752" s="1"/>
  <c r="A3752"/>
  <c r="C3752" s="1"/>
  <c r="B3751"/>
  <c r="D3751" s="1"/>
  <c r="A3751"/>
  <c r="C3751" s="1"/>
  <c r="B3750"/>
  <c r="D3750" s="1"/>
  <c r="A3750"/>
  <c r="C3750" s="1"/>
  <c r="B3749"/>
  <c r="D3749" s="1"/>
  <c r="A3749"/>
  <c r="C3749" s="1"/>
  <c r="B3748"/>
  <c r="D3748" s="1"/>
  <c r="A3748"/>
  <c r="C3748" s="1"/>
  <c r="B3747"/>
  <c r="D3747" s="1"/>
  <c r="A3747"/>
  <c r="C3747" s="1"/>
  <c r="B3746"/>
  <c r="D3746" s="1"/>
  <c r="A3746"/>
  <c r="C3746" s="1"/>
  <c r="B3745"/>
  <c r="D3745" s="1"/>
  <c r="A3745"/>
  <c r="C3745" s="1"/>
  <c r="B3744"/>
  <c r="D3744" s="1"/>
  <c r="A3744"/>
  <c r="C3744" s="1"/>
  <c r="B3743"/>
  <c r="D3743" s="1"/>
  <c r="A3743"/>
  <c r="C3743" s="1"/>
  <c r="B3742"/>
  <c r="D3742" s="1"/>
  <c r="A3742"/>
  <c r="C3742" s="1"/>
  <c r="B3741"/>
  <c r="D3741" s="1"/>
  <c r="A3741"/>
  <c r="C3741" s="1"/>
  <c r="B3740"/>
  <c r="D3740" s="1"/>
  <c r="A3740"/>
  <c r="C3740" s="1"/>
  <c r="B3739"/>
  <c r="D3739" s="1"/>
  <c r="A3739"/>
  <c r="C3739" s="1"/>
  <c r="B3738"/>
  <c r="D3738" s="1"/>
  <c r="A3738"/>
  <c r="C3738" s="1"/>
  <c r="B3737"/>
  <c r="D3737" s="1"/>
  <c r="A3737"/>
  <c r="C3737" s="1"/>
  <c r="B3736"/>
  <c r="D3736" s="1"/>
  <c r="A3736"/>
  <c r="C3736" s="1"/>
  <c r="B3735"/>
  <c r="D3735" s="1"/>
  <c r="A3735"/>
  <c r="C3735" s="1"/>
  <c r="B3734"/>
  <c r="D3734" s="1"/>
  <c r="A3734"/>
  <c r="C3734" s="1"/>
  <c r="B3733"/>
  <c r="D3733" s="1"/>
  <c r="A3733"/>
  <c r="C3733" s="1"/>
  <c r="B3732"/>
  <c r="D3732" s="1"/>
  <c r="A3732"/>
  <c r="C3732" s="1"/>
  <c r="B3731"/>
  <c r="D3731" s="1"/>
  <c r="A3731"/>
  <c r="C3731" s="1"/>
  <c r="B3730"/>
  <c r="D3730" s="1"/>
  <c r="A3730"/>
  <c r="C3730" s="1"/>
  <c r="B3729"/>
  <c r="D3729" s="1"/>
  <c r="A3729"/>
  <c r="C3729" s="1"/>
  <c r="B3728"/>
  <c r="D3728" s="1"/>
  <c r="A3728"/>
  <c r="C3728" s="1"/>
  <c r="B3727"/>
  <c r="D3727" s="1"/>
  <c r="A3727"/>
  <c r="C3727" s="1"/>
  <c r="B3726"/>
  <c r="D3726" s="1"/>
  <c r="A3726"/>
  <c r="C3726" s="1"/>
  <c r="B3725"/>
  <c r="D3725" s="1"/>
  <c r="A3725"/>
  <c r="C3725" s="1"/>
  <c r="B3724"/>
  <c r="D3724" s="1"/>
  <c r="A3724"/>
  <c r="C3724" s="1"/>
  <c r="B3723"/>
  <c r="D3723" s="1"/>
  <c r="A3723"/>
  <c r="C3723" s="1"/>
  <c r="B3722"/>
  <c r="D3722" s="1"/>
  <c r="A3722"/>
  <c r="C3722" s="1"/>
  <c r="B3721"/>
  <c r="D3721" s="1"/>
  <c r="A3721"/>
  <c r="C3721" s="1"/>
  <c r="B3720"/>
  <c r="D3720" s="1"/>
  <c r="A3720"/>
  <c r="C3720" s="1"/>
  <c r="B3719"/>
  <c r="D3719" s="1"/>
  <c r="A3719"/>
  <c r="C3719" s="1"/>
  <c r="B3718"/>
  <c r="D3718" s="1"/>
  <c r="A3718"/>
  <c r="C3718" s="1"/>
  <c r="B3717"/>
  <c r="D3717" s="1"/>
  <c r="A3717"/>
  <c r="C3717" s="1"/>
  <c r="B3716"/>
  <c r="D3716" s="1"/>
  <c r="A3716"/>
  <c r="C3716" s="1"/>
  <c r="B3715"/>
  <c r="D3715" s="1"/>
  <c r="A3715"/>
  <c r="C3715" s="1"/>
  <c r="B3714"/>
  <c r="D3714" s="1"/>
  <c r="A3714"/>
  <c r="C3714" s="1"/>
  <c r="B3713"/>
  <c r="D3713" s="1"/>
  <c r="A3713"/>
  <c r="C3713" s="1"/>
  <c r="B3712"/>
  <c r="D3712" s="1"/>
  <c r="A3712"/>
  <c r="C3712" s="1"/>
  <c r="B3711"/>
  <c r="D3711" s="1"/>
  <c r="A3711"/>
  <c r="C3711" s="1"/>
  <c r="B3710"/>
  <c r="D3710" s="1"/>
  <c r="A3710"/>
  <c r="C3710" s="1"/>
  <c r="B3709"/>
  <c r="D3709" s="1"/>
  <c r="A3709"/>
  <c r="C3709" s="1"/>
  <c r="B3708"/>
  <c r="D3708" s="1"/>
  <c r="A3708"/>
  <c r="C3708" s="1"/>
  <c r="B3707"/>
  <c r="D3707" s="1"/>
  <c r="A3707"/>
  <c r="C3707" s="1"/>
  <c r="B3706"/>
  <c r="D3706" s="1"/>
  <c r="A3706"/>
  <c r="C3706" s="1"/>
  <c r="B3705"/>
  <c r="D3705" s="1"/>
  <c r="A3705"/>
  <c r="C3705" s="1"/>
  <c r="B3704"/>
  <c r="D3704" s="1"/>
  <c r="A3704"/>
  <c r="C3704" s="1"/>
  <c r="B3703"/>
  <c r="D3703" s="1"/>
  <c r="A3703"/>
  <c r="C3703" s="1"/>
  <c r="B3702"/>
  <c r="D3702" s="1"/>
  <c r="A3702"/>
  <c r="C3702" s="1"/>
  <c r="B3701"/>
  <c r="D3701" s="1"/>
  <c r="A3701"/>
  <c r="C3701" s="1"/>
  <c r="B3700"/>
  <c r="D3700" s="1"/>
  <c r="A3700"/>
  <c r="C3700" s="1"/>
  <c r="B3699"/>
  <c r="D3699" s="1"/>
  <c r="A3699"/>
  <c r="C3699" s="1"/>
  <c r="B3698"/>
  <c r="D3698" s="1"/>
  <c r="A3698"/>
  <c r="C3698" s="1"/>
  <c r="B3697"/>
  <c r="D3697" s="1"/>
  <c r="A3697"/>
  <c r="C3697" s="1"/>
  <c r="B3696"/>
  <c r="D3696" s="1"/>
  <c r="A3696"/>
  <c r="C3696" s="1"/>
  <c r="B3695"/>
  <c r="D3695" s="1"/>
  <c r="A3695"/>
  <c r="C3695" s="1"/>
  <c r="B3694"/>
  <c r="D3694" s="1"/>
  <c r="A3694"/>
  <c r="C3694" s="1"/>
  <c r="B3693"/>
  <c r="D3693" s="1"/>
  <c r="A3693"/>
  <c r="C3693" s="1"/>
  <c r="B3692"/>
  <c r="D3692" s="1"/>
  <c r="A3692"/>
  <c r="C3692" s="1"/>
  <c r="B3691"/>
  <c r="D3691" s="1"/>
  <c r="A3691"/>
  <c r="C3691" s="1"/>
  <c r="B3690"/>
  <c r="D3690" s="1"/>
  <c r="A3690"/>
  <c r="C3690" s="1"/>
  <c r="B3689"/>
  <c r="D3689" s="1"/>
  <c r="A3689"/>
  <c r="C3689" s="1"/>
  <c r="B3688"/>
  <c r="D3688" s="1"/>
  <c r="A3688"/>
  <c r="C3688" s="1"/>
  <c r="B3687"/>
  <c r="D3687" s="1"/>
  <c r="A3687"/>
  <c r="C3687" s="1"/>
  <c r="B3686"/>
  <c r="D3686" s="1"/>
  <c r="A3686"/>
  <c r="C3686" s="1"/>
  <c r="B3685"/>
  <c r="D3685" s="1"/>
  <c r="A3685"/>
  <c r="C3685" s="1"/>
  <c r="B3684"/>
  <c r="D3684" s="1"/>
  <c r="A3684"/>
  <c r="C3684" s="1"/>
  <c r="B3683"/>
  <c r="D3683" s="1"/>
  <c r="A3683"/>
  <c r="C3683" s="1"/>
  <c r="B3682"/>
  <c r="D3682" s="1"/>
  <c r="A3682"/>
  <c r="C3682" s="1"/>
  <c r="B3681"/>
  <c r="D3681" s="1"/>
  <c r="A3681"/>
  <c r="C3681" s="1"/>
  <c r="B3680"/>
  <c r="D3680" s="1"/>
  <c r="A3680"/>
  <c r="C3680" s="1"/>
  <c r="B3679"/>
  <c r="D3679" s="1"/>
  <c r="A3679"/>
  <c r="C3679" s="1"/>
  <c r="B3678"/>
  <c r="D3678" s="1"/>
  <c r="A3678"/>
  <c r="C3678" s="1"/>
  <c r="B3677"/>
  <c r="D3677" s="1"/>
  <c r="A3677"/>
  <c r="C3677" s="1"/>
  <c r="B3676"/>
  <c r="D3676" s="1"/>
  <c r="A3676"/>
  <c r="C3676" s="1"/>
  <c r="B3675"/>
  <c r="D3675" s="1"/>
  <c r="A3675"/>
  <c r="C3675" s="1"/>
  <c r="B3674"/>
  <c r="D3674" s="1"/>
  <c r="A3674"/>
  <c r="C3674" s="1"/>
  <c r="B3673"/>
  <c r="D3673" s="1"/>
  <c r="A3673"/>
  <c r="C3673" s="1"/>
  <c r="B3672"/>
  <c r="D3672" s="1"/>
  <c r="A3672"/>
  <c r="C3672" s="1"/>
  <c r="B3671"/>
  <c r="D3671" s="1"/>
  <c r="A3671"/>
  <c r="C3671" s="1"/>
  <c r="B3670"/>
  <c r="D3670" s="1"/>
  <c r="A3670"/>
  <c r="C3670" s="1"/>
  <c r="B3669"/>
  <c r="D3669" s="1"/>
  <c r="A3669"/>
  <c r="C3669" s="1"/>
  <c r="B3668"/>
  <c r="D3668" s="1"/>
  <c r="A3668"/>
  <c r="C3668" s="1"/>
  <c r="B3667"/>
  <c r="D3667" s="1"/>
  <c r="A3667"/>
  <c r="C3667" s="1"/>
  <c r="B3666"/>
  <c r="D3666" s="1"/>
  <c r="A3666"/>
  <c r="C3666" s="1"/>
  <c r="B3665"/>
  <c r="D3665" s="1"/>
  <c r="A3665"/>
  <c r="C3665" s="1"/>
  <c r="B3664"/>
  <c r="D3664" s="1"/>
  <c r="A3664"/>
  <c r="C3664" s="1"/>
  <c r="B3663"/>
  <c r="D3663" s="1"/>
  <c r="A3663"/>
  <c r="C3663" s="1"/>
  <c r="B3662"/>
  <c r="D3662" s="1"/>
  <c r="A3662"/>
  <c r="C3662" s="1"/>
  <c r="B3661"/>
  <c r="D3661" s="1"/>
  <c r="A3661"/>
  <c r="C3661" s="1"/>
  <c r="B3660"/>
  <c r="D3660" s="1"/>
  <c r="A3660"/>
  <c r="C3660" s="1"/>
  <c r="B3659"/>
  <c r="D3659" s="1"/>
  <c r="A3659"/>
  <c r="C3659" s="1"/>
  <c r="B3658"/>
  <c r="D3658" s="1"/>
  <c r="A3658"/>
  <c r="C3658" s="1"/>
  <c r="B3657"/>
  <c r="D3657" s="1"/>
  <c r="A3657"/>
  <c r="C3657" s="1"/>
  <c r="B3656"/>
  <c r="D3656" s="1"/>
  <c r="A3656"/>
  <c r="C3656" s="1"/>
  <c r="B3655"/>
  <c r="D3655" s="1"/>
  <c r="A3655"/>
  <c r="C3655" s="1"/>
  <c r="B3654"/>
  <c r="D3654" s="1"/>
  <c r="A3654"/>
  <c r="C3654" s="1"/>
  <c r="B3653"/>
  <c r="D3653" s="1"/>
  <c r="A3653"/>
  <c r="C3653" s="1"/>
  <c r="B3652"/>
  <c r="D3652" s="1"/>
  <c r="A3652"/>
  <c r="C3652" s="1"/>
  <c r="B3651"/>
  <c r="D3651" s="1"/>
  <c r="A3651"/>
  <c r="C3651" s="1"/>
  <c r="B3650"/>
  <c r="D3650" s="1"/>
  <c r="A3650"/>
  <c r="C3650" s="1"/>
  <c r="B3649"/>
  <c r="D3649" s="1"/>
  <c r="A3649"/>
  <c r="C3649" s="1"/>
  <c r="B3648"/>
  <c r="D3648" s="1"/>
  <c r="A3648"/>
  <c r="C3648" s="1"/>
  <c r="B3647"/>
  <c r="D3647" s="1"/>
  <c r="A3647"/>
  <c r="C3647" s="1"/>
  <c r="B3646"/>
  <c r="D3646" s="1"/>
  <c r="A3646"/>
  <c r="C3646" s="1"/>
  <c r="B3645"/>
  <c r="D3645" s="1"/>
  <c r="A3645"/>
  <c r="C3645" s="1"/>
  <c r="B3644"/>
  <c r="D3644" s="1"/>
  <c r="A3644"/>
  <c r="C3644" s="1"/>
  <c r="B3643"/>
  <c r="D3643" s="1"/>
  <c r="A3643"/>
  <c r="C3643" s="1"/>
  <c r="B3642"/>
  <c r="D3642" s="1"/>
  <c r="A3642"/>
  <c r="C3642" s="1"/>
  <c r="B3641"/>
  <c r="D3641" s="1"/>
  <c r="A3641"/>
  <c r="C3641" s="1"/>
  <c r="B3640"/>
  <c r="D3640" s="1"/>
  <c r="A3640"/>
  <c r="C3640" s="1"/>
  <c r="B3639"/>
  <c r="D3639" s="1"/>
  <c r="A3639"/>
  <c r="C3639" s="1"/>
  <c r="B3638"/>
  <c r="D3638" s="1"/>
  <c r="A3638"/>
  <c r="C3638" s="1"/>
  <c r="B3637"/>
  <c r="D3637" s="1"/>
  <c r="A3637"/>
  <c r="C3637" s="1"/>
  <c r="B3636"/>
  <c r="D3636" s="1"/>
  <c r="A3636"/>
  <c r="C3636" s="1"/>
  <c r="B3635"/>
  <c r="D3635" s="1"/>
  <c r="A3635"/>
  <c r="C3635" s="1"/>
  <c r="B3634"/>
  <c r="D3634" s="1"/>
  <c r="A3634"/>
  <c r="C3634" s="1"/>
  <c r="B3633"/>
  <c r="D3633" s="1"/>
  <c r="A3633"/>
  <c r="C3633" s="1"/>
  <c r="B3632"/>
  <c r="D3632" s="1"/>
  <c r="A3632"/>
  <c r="C3632" s="1"/>
  <c r="B3631"/>
  <c r="D3631" s="1"/>
  <c r="A3631"/>
  <c r="C3631" s="1"/>
  <c r="B3630"/>
  <c r="D3630" s="1"/>
  <c r="A3630"/>
  <c r="C3630" s="1"/>
  <c r="B3629"/>
  <c r="D3629" s="1"/>
  <c r="A3629"/>
  <c r="C3629" s="1"/>
  <c r="B3628"/>
  <c r="D3628" s="1"/>
  <c r="A3628"/>
  <c r="C3628" s="1"/>
  <c r="B3627"/>
  <c r="D3627" s="1"/>
  <c r="A3627"/>
  <c r="C3627" s="1"/>
  <c r="B3626"/>
  <c r="D3626" s="1"/>
  <c r="A3626"/>
  <c r="C3626" s="1"/>
  <c r="B3625"/>
  <c r="D3625" s="1"/>
  <c r="A3625"/>
  <c r="C3625" s="1"/>
  <c r="B3624"/>
  <c r="D3624" s="1"/>
  <c r="A3624"/>
  <c r="C3624" s="1"/>
  <c r="B3623"/>
  <c r="D3623" s="1"/>
  <c r="A3623"/>
  <c r="C3623" s="1"/>
  <c r="B3622"/>
  <c r="D3622" s="1"/>
  <c r="A3622"/>
  <c r="C3622" s="1"/>
  <c r="B3621"/>
  <c r="D3621" s="1"/>
  <c r="A3621"/>
  <c r="C3621" s="1"/>
  <c r="B3620"/>
  <c r="D3620" s="1"/>
  <c r="A3620"/>
  <c r="C3620" s="1"/>
  <c r="B3619"/>
  <c r="D3619" s="1"/>
  <c r="A3619"/>
  <c r="C3619" s="1"/>
  <c r="B3618"/>
  <c r="D3618" s="1"/>
  <c r="A3618"/>
  <c r="C3618" s="1"/>
  <c r="B3617"/>
  <c r="D3617" s="1"/>
  <c r="A3617"/>
  <c r="C3617" s="1"/>
  <c r="B3616"/>
  <c r="D3616" s="1"/>
  <c r="A3616"/>
  <c r="C3616" s="1"/>
  <c r="B3615"/>
  <c r="D3615" s="1"/>
  <c r="A3615"/>
  <c r="C3615" s="1"/>
  <c r="B3614"/>
  <c r="D3614" s="1"/>
  <c r="A3614"/>
  <c r="C3614" s="1"/>
  <c r="B3613"/>
  <c r="D3613" s="1"/>
  <c r="A3613"/>
  <c r="C3613" s="1"/>
  <c r="B3612"/>
  <c r="D3612" s="1"/>
  <c r="A3612"/>
  <c r="C3612" s="1"/>
  <c r="B3611"/>
  <c r="D3611" s="1"/>
  <c r="A3611"/>
  <c r="C3611" s="1"/>
  <c r="B3610"/>
  <c r="D3610" s="1"/>
  <c r="A3610"/>
  <c r="C3610" s="1"/>
  <c r="B3609"/>
  <c r="D3609" s="1"/>
  <c r="A3609"/>
  <c r="C3609" s="1"/>
  <c r="B3608"/>
  <c r="D3608" s="1"/>
  <c r="A3608"/>
  <c r="C3608" s="1"/>
  <c r="B3607"/>
  <c r="D3607" s="1"/>
  <c r="A3607"/>
  <c r="C3607" s="1"/>
  <c r="B3606"/>
  <c r="D3606" s="1"/>
  <c r="A3606"/>
  <c r="C3606" s="1"/>
  <c r="B3605"/>
  <c r="D3605" s="1"/>
  <c r="A3605"/>
  <c r="C3605" s="1"/>
  <c r="B3604"/>
  <c r="D3604" s="1"/>
  <c r="A3604"/>
  <c r="C3604" s="1"/>
  <c r="B3603"/>
  <c r="D3603" s="1"/>
  <c r="A3603"/>
  <c r="C3603" s="1"/>
  <c r="B3602"/>
  <c r="D3602" s="1"/>
  <c r="A3602"/>
  <c r="C3602" s="1"/>
  <c r="B3601"/>
  <c r="D3601" s="1"/>
  <c r="A3601"/>
  <c r="C3601" s="1"/>
  <c r="B3600"/>
  <c r="D3600" s="1"/>
  <c r="A3600"/>
  <c r="C3600" s="1"/>
  <c r="B3599"/>
  <c r="D3599" s="1"/>
  <c r="A3599"/>
  <c r="C3599" s="1"/>
  <c r="B3598"/>
  <c r="D3598" s="1"/>
  <c r="A3598"/>
  <c r="C3598" s="1"/>
  <c r="B3597"/>
  <c r="D3597" s="1"/>
  <c r="A3597"/>
  <c r="C3597" s="1"/>
  <c r="B3596"/>
  <c r="D3596" s="1"/>
  <c r="A3596"/>
  <c r="C3596" s="1"/>
  <c r="B3595"/>
  <c r="D3595" s="1"/>
  <c r="A3595"/>
  <c r="C3595" s="1"/>
  <c r="B3594"/>
  <c r="D3594" s="1"/>
  <c r="A3594"/>
  <c r="C3594" s="1"/>
  <c r="B3593"/>
  <c r="D3593" s="1"/>
  <c r="A3593"/>
  <c r="C3593" s="1"/>
  <c r="B3592"/>
  <c r="D3592" s="1"/>
  <c r="A3592"/>
  <c r="C3592" s="1"/>
  <c r="B3591"/>
  <c r="D3591" s="1"/>
  <c r="A3591"/>
  <c r="C3591" s="1"/>
  <c r="B3590"/>
  <c r="D3590" s="1"/>
  <c r="A3590"/>
  <c r="C3590" s="1"/>
  <c r="B3589"/>
  <c r="D3589" s="1"/>
  <c r="A3589"/>
  <c r="C3589" s="1"/>
  <c r="B3588"/>
  <c r="D3588" s="1"/>
  <c r="A3588"/>
  <c r="C3588" s="1"/>
  <c r="B3587"/>
  <c r="D3587" s="1"/>
  <c r="A3587"/>
  <c r="C3587" s="1"/>
  <c r="B3586"/>
  <c r="D3586" s="1"/>
  <c r="A3586"/>
  <c r="C3586" s="1"/>
  <c r="B3585"/>
  <c r="D3585" s="1"/>
  <c r="A3585"/>
  <c r="C3585" s="1"/>
  <c r="B3584"/>
  <c r="D3584" s="1"/>
  <c r="A3584"/>
  <c r="C3584" s="1"/>
  <c r="B3583"/>
  <c r="D3583" s="1"/>
  <c r="A3583"/>
  <c r="C3583" s="1"/>
  <c r="B3582"/>
  <c r="D3582" s="1"/>
  <c r="A3582"/>
  <c r="C3582" s="1"/>
  <c r="B3581"/>
  <c r="D3581" s="1"/>
  <c r="A3581"/>
  <c r="C3581" s="1"/>
  <c r="B3580"/>
  <c r="D3580" s="1"/>
  <c r="A3580"/>
  <c r="C3580" s="1"/>
  <c r="B3579"/>
  <c r="D3579" s="1"/>
  <c r="A3579"/>
  <c r="C3579" s="1"/>
  <c r="B3578"/>
  <c r="D3578" s="1"/>
  <c r="A3578"/>
  <c r="C3578" s="1"/>
  <c r="B3577"/>
  <c r="D3577" s="1"/>
  <c r="A3577"/>
  <c r="C3577" s="1"/>
  <c r="B3576"/>
  <c r="D3576" s="1"/>
  <c r="A3576"/>
  <c r="C3576" s="1"/>
  <c r="B3575"/>
  <c r="D3575" s="1"/>
  <c r="A3575"/>
  <c r="C3575" s="1"/>
  <c r="B3574"/>
  <c r="D3574" s="1"/>
  <c r="A3574"/>
  <c r="C3574" s="1"/>
  <c r="B3573"/>
  <c r="D3573" s="1"/>
  <c r="A3573"/>
  <c r="C3573" s="1"/>
  <c r="B3572"/>
  <c r="D3572" s="1"/>
  <c r="A3572"/>
  <c r="C3572" s="1"/>
  <c r="B3571"/>
  <c r="D3571" s="1"/>
  <c r="A3571"/>
  <c r="C3571" s="1"/>
  <c r="B3570"/>
  <c r="D3570" s="1"/>
  <c r="A3570"/>
  <c r="C3570" s="1"/>
  <c r="B3569"/>
  <c r="D3569" s="1"/>
  <c r="A3569"/>
  <c r="C3569" s="1"/>
  <c r="B3568"/>
  <c r="D3568" s="1"/>
  <c r="A3568"/>
  <c r="C3568" s="1"/>
  <c r="B3567"/>
  <c r="D3567" s="1"/>
  <c r="A3567"/>
  <c r="C3567" s="1"/>
  <c r="B3566"/>
  <c r="D3566" s="1"/>
  <c r="A3566"/>
  <c r="C3566" s="1"/>
  <c r="B3565"/>
  <c r="D3565" s="1"/>
  <c r="A3565"/>
  <c r="C3565" s="1"/>
  <c r="B3564"/>
  <c r="D3564" s="1"/>
  <c r="A3564"/>
  <c r="C3564" s="1"/>
  <c r="B3563"/>
  <c r="D3563" s="1"/>
  <c r="A3563"/>
  <c r="C3563" s="1"/>
  <c r="B3562"/>
  <c r="D3562" s="1"/>
  <c r="A3562"/>
  <c r="C3562" s="1"/>
  <c r="B3561"/>
  <c r="D3561" s="1"/>
  <c r="A3561"/>
  <c r="C3561" s="1"/>
  <c r="B3560"/>
  <c r="D3560" s="1"/>
  <c r="A3560"/>
  <c r="C3560" s="1"/>
  <c r="B3559"/>
  <c r="D3559" s="1"/>
  <c r="A3559"/>
  <c r="C3559" s="1"/>
  <c r="B3558"/>
  <c r="D3558" s="1"/>
  <c r="A3558"/>
  <c r="C3558" s="1"/>
  <c r="B3557"/>
  <c r="D3557" s="1"/>
  <c r="A3557"/>
  <c r="C3557" s="1"/>
  <c r="B3556"/>
  <c r="D3556" s="1"/>
  <c r="A3556"/>
  <c r="C3556" s="1"/>
  <c r="B3555"/>
  <c r="D3555" s="1"/>
  <c r="A3555"/>
  <c r="C3555" s="1"/>
  <c r="B3554"/>
  <c r="D3554" s="1"/>
  <c r="A3554"/>
  <c r="C3554" s="1"/>
  <c r="B3553"/>
  <c r="D3553" s="1"/>
  <c r="A3553"/>
  <c r="C3553" s="1"/>
  <c r="B3552"/>
  <c r="D3552" s="1"/>
  <c r="A3552"/>
  <c r="C3552" s="1"/>
  <c r="B3551"/>
  <c r="D3551" s="1"/>
  <c r="A3551"/>
  <c r="C3551" s="1"/>
  <c r="B3550"/>
  <c r="D3550" s="1"/>
  <c r="A3550"/>
  <c r="C3550" s="1"/>
  <c r="B3549"/>
  <c r="D3549" s="1"/>
  <c r="A3549"/>
  <c r="C3549" s="1"/>
  <c r="B3548"/>
  <c r="D3548" s="1"/>
  <c r="A3548"/>
  <c r="C3548" s="1"/>
  <c r="B3547"/>
  <c r="D3547" s="1"/>
  <c r="A3547"/>
  <c r="C3547" s="1"/>
  <c r="B3546"/>
  <c r="D3546" s="1"/>
  <c r="A3546"/>
  <c r="C3546" s="1"/>
  <c r="B3545"/>
  <c r="D3545" s="1"/>
  <c r="A3545"/>
  <c r="C3545" s="1"/>
  <c r="B3544"/>
  <c r="D3544" s="1"/>
  <c r="A3544"/>
  <c r="C3544" s="1"/>
  <c r="B3543"/>
  <c r="D3543" s="1"/>
  <c r="A3543"/>
  <c r="C3543" s="1"/>
  <c r="B3542"/>
  <c r="D3542" s="1"/>
  <c r="A3542"/>
  <c r="C3542" s="1"/>
  <c r="B3541"/>
  <c r="D3541" s="1"/>
  <c r="A3541"/>
  <c r="C3541" s="1"/>
  <c r="B3540"/>
  <c r="D3540" s="1"/>
  <c r="A3540"/>
  <c r="C3540" s="1"/>
  <c r="B3539"/>
  <c r="D3539" s="1"/>
  <c r="A3539"/>
  <c r="C3539" s="1"/>
  <c r="B3538"/>
  <c r="D3538" s="1"/>
  <c r="A3538"/>
  <c r="C3538" s="1"/>
  <c r="B3537"/>
  <c r="D3537" s="1"/>
  <c r="A3537"/>
  <c r="C3537" s="1"/>
  <c r="B3536"/>
  <c r="D3536" s="1"/>
  <c r="A3536"/>
  <c r="C3536" s="1"/>
  <c r="B3535"/>
  <c r="D3535" s="1"/>
  <c r="A3535"/>
  <c r="C3535" s="1"/>
  <c r="B3534"/>
  <c r="D3534" s="1"/>
  <c r="A3534"/>
  <c r="C3534" s="1"/>
  <c r="B3533"/>
  <c r="D3533" s="1"/>
  <c r="A3533"/>
  <c r="C3533" s="1"/>
  <c r="B3532"/>
  <c r="D3532" s="1"/>
  <c r="A3532"/>
  <c r="C3532" s="1"/>
  <c r="B3531"/>
  <c r="D3531" s="1"/>
  <c r="A3531"/>
  <c r="C3531" s="1"/>
  <c r="B3530"/>
  <c r="D3530" s="1"/>
  <c r="A3530"/>
  <c r="C3530" s="1"/>
  <c r="B3529"/>
  <c r="D3529" s="1"/>
  <c r="A3529"/>
  <c r="C3529" s="1"/>
  <c r="B3528"/>
  <c r="D3528" s="1"/>
  <c r="A3528"/>
  <c r="C3528" s="1"/>
  <c r="B3527"/>
  <c r="D3527" s="1"/>
  <c r="A3527"/>
  <c r="C3527" s="1"/>
  <c r="B3526"/>
  <c r="D3526" s="1"/>
  <c r="A3526"/>
  <c r="C3526" s="1"/>
  <c r="B3525"/>
  <c r="D3525" s="1"/>
  <c r="A3525"/>
  <c r="C3525" s="1"/>
  <c r="B3524"/>
  <c r="D3524" s="1"/>
  <c r="A3524"/>
  <c r="C3524" s="1"/>
  <c r="B3523"/>
  <c r="D3523" s="1"/>
  <c r="A3523"/>
  <c r="C3523" s="1"/>
  <c r="B3522"/>
  <c r="D3522" s="1"/>
  <c r="A3522"/>
  <c r="C3522" s="1"/>
  <c r="B3521"/>
  <c r="D3521" s="1"/>
  <c r="A3521"/>
  <c r="C3521" s="1"/>
  <c r="B3520"/>
  <c r="D3520" s="1"/>
  <c r="A3520"/>
  <c r="C3520" s="1"/>
  <c r="B3519"/>
  <c r="D3519" s="1"/>
  <c r="A3519"/>
  <c r="C3519" s="1"/>
  <c r="B3518"/>
  <c r="D3518" s="1"/>
  <c r="A3518"/>
  <c r="C3518" s="1"/>
  <c r="B3517"/>
  <c r="D3517" s="1"/>
  <c r="A3517"/>
  <c r="C3517" s="1"/>
  <c r="B3516"/>
  <c r="D3516" s="1"/>
  <c r="A3516"/>
  <c r="C3516" s="1"/>
  <c r="B3515"/>
  <c r="D3515" s="1"/>
  <c r="A3515"/>
  <c r="C3515" s="1"/>
  <c r="B3514"/>
  <c r="D3514" s="1"/>
  <c r="A3514"/>
  <c r="C3514" s="1"/>
  <c r="B3513"/>
  <c r="D3513" s="1"/>
  <c r="A3513"/>
  <c r="C3513" s="1"/>
  <c r="B3512"/>
  <c r="D3512" s="1"/>
  <c r="A3512"/>
  <c r="C3512" s="1"/>
  <c r="B3511"/>
  <c r="D3511" s="1"/>
  <c r="A3511"/>
  <c r="C3511" s="1"/>
  <c r="B3510"/>
  <c r="D3510" s="1"/>
  <c r="A3510"/>
  <c r="C3510" s="1"/>
  <c r="B3509"/>
  <c r="D3509" s="1"/>
  <c r="A3509"/>
  <c r="C3509" s="1"/>
  <c r="B3508"/>
  <c r="D3508" s="1"/>
  <c r="A3508"/>
  <c r="C3508" s="1"/>
  <c r="B3507"/>
  <c r="D3507" s="1"/>
  <c r="A3507"/>
  <c r="C3507" s="1"/>
  <c r="B3506"/>
  <c r="D3506" s="1"/>
  <c r="A3506"/>
  <c r="C3506" s="1"/>
  <c r="B3505"/>
  <c r="D3505" s="1"/>
  <c r="A3505"/>
  <c r="C3505" s="1"/>
  <c r="B3504"/>
  <c r="D3504" s="1"/>
  <c r="A3504"/>
  <c r="C3504" s="1"/>
  <c r="B3503"/>
  <c r="D3503" s="1"/>
  <c r="A3503"/>
  <c r="C3503" s="1"/>
  <c r="B3502"/>
  <c r="D3502" s="1"/>
  <c r="A3502"/>
  <c r="C3502" s="1"/>
  <c r="B3501"/>
  <c r="D3501" s="1"/>
  <c r="A3501"/>
  <c r="C3501" s="1"/>
  <c r="B3500"/>
  <c r="D3500" s="1"/>
  <c r="A3500"/>
  <c r="C3500" s="1"/>
  <c r="B3499"/>
  <c r="D3499" s="1"/>
  <c r="A3499"/>
  <c r="C3499" s="1"/>
  <c r="B3498"/>
  <c r="D3498" s="1"/>
  <c r="A3498"/>
  <c r="C3498" s="1"/>
  <c r="B3497"/>
  <c r="D3497" s="1"/>
  <c r="A3497"/>
  <c r="C3497" s="1"/>
  <c r="B3496"/>
  <c r="D3496" s="1"/>
  <c r="A3496"/>
  <c r="C3496" s="1"/>
  <c r="B3495"/>
  <c r="D3495" s="1"/>
  <c r="A3495"/>
  <c r="C3495" s="1"/>
  <c r="B3494"/>
  <c r="D3494" s="1"/>
  <c r="A3494"/>
  <c r="C3494" s="1"/>
  <c r="B3493"/>
  <c r="D3493" s="1"/>
  <c r="A3493"/>
  <c r="C3493" s="1"/>
  <c r="B3492"/>
  <c r="D3492" s="1"/>
  <c r="A3492"/>
  <c r="C3492" s="1"/>
  <c r="B3491"/>
  <c r="D3491" s="1"/>
  <c r="A3491"/>
  <c r="C3491" s="1"/>
  <c r="B3490"/>
  <c r="D3490" s="1"/>
  <c r="A3490"/>
  <c r="C3490" s="1"/>
  <c r="B3489"/>
  <c r="D3489" s="1"/>
  <c r="A3489"/>
  <c r="C3489" s="1"/>
  <c r="B3488"/>
  <c r="D3488" s="1"/>
  <c r="A3488"/>
  <c r="C3488" s="1"/>
  <c r="B3487"/>
  <c r="D3487" s="1"/>
  <c r="A3487"/>
  <c r="C3487" s="1"/>
  <c r="B3486"/>
  <c r="D3486" s="1"/>
  <c r="A3486"/>
  <c r="C3486" s="1"/>
  <c r="B3485"/>
  <c r="D3485" s="1"/>
  <c r="A3485"/>
  <c r="C3485" s="1"/>
  <c r="B3484"/>
  <c r="D3484" s="1"/>
  <c r="A3484"/>
  <c r="C3484" s="1"/>
  <c r="B3483"/>
  <c r="D3483" s="1"/>
  <c r="A3483"/>
  <c r="C3483" s="1"/>
  <c r="B3482"/>
  <c r="D3482" s="1"/>
  <c r="A3482"/>
  <c r="C3482" s="1"/>
  <c r="B3481"/>
  <c r="D3481" s="1"/>
  <c r="A3481"/>
  <c r="C3481" s="1"/>
  <c r="B3480"/>
  <c r="D3480" s="1"/>
  <c r="A3480"/>
  <c r="C3480" s="1"/>
  <c r="B3479"/>
  <c r="D3479" s="1"/>
  <c r="A3479"/>
  <c r="C3479" s="1"/>
  <c r="B3478"/>
  <c r="D3478" s="1"/>
  <c r="A3478"/>
  <c r="C3478" s="1"/>
  <c r="B3477"/>
  <c r="D3477" s="1"/>
  <c r="A3477"/>
  <c r="C3477" s="1"/>
  <c r="B3476"/>
  <c r="D3476" s="1"/>
  <c r="A3476"/>
  <c r="C3476" s="1"/>
  <c r="B3475"/>
  <c r="D3475" s="1"/>
  <c r="A3475"/>
  <c r="C3475" s="1"/>
  <c r="B3474"/>
  <c r="D3474" s="1"/>
  <c r="A3474"/>
  <c r="C3474" s="1"/>
  <c r="B3473"/>
  <c r="D3473" s="1"/>
  <c r="A3473"/>
  <c r="C3473" s="1"/>
  <c r="B3472"/>
  <c r="D3472" s="1"/>
  <c r="A3472"/>
  <c r="C3472" s="1"/>
  <c r="B3471"/>
  <c r="D3471" s="1"/>
  <c r="A3471"/>
  <c r="C3471" s="1"/>
  <c r="B3470"/>
  <c r="D3470" s="1"/>
  <c r="A3470"/>
  <c r="C3470" s="1"/>
  <c r="B3469"/>
  <c r="D3469" s="1"/>
  <c r="A3469"/>
  <c r="C3469" s="1"/>
  <c r="B3468"/>
  <c r="D3468" s="1"/>
  <c r="A3468"/>
  <c r="C3468" s="1"/>
  <c r="B3467"/>
  <c r="D3467" s="1"/>
  <c r="A3467"/>
  <c r="C3467" s="1"/>
  <c r="B3466"/>
  <c r="D3466" s="1"/>
  <c r="A3466"/>
  <c r="C3466" s="1"/>
  <c r="B3465"/>
  <c r="D3465" s="1"/>
  <c r="A3465"/>
  <c r="C3465" s="1"/>
  <c r="B3464"/>
  <c r="D3464" s="1"/>
  <c r="A3464"/>
  <c r="C3464" s="1"/>
  <c r="B3463"/>
  <c r="D3463" s="1"/>
  <c r="A3463"/>
  <c r="C3463" s="1"/>
  <c r="B3462"/>
  <c r="D3462" s="1"/>
  <c r="A3462"/>
  <c r="C3462" s="1"/>
  <c r="B3461"/>
  <c r="D3461" s="1"/>
  <c r="A3461"/>
  <c r="C3461" s="1"/>
  <c r="B3460"/>
  <c r="D3460" s="1"/>
  <c r="A3460"/>
  <c r="C3460" s="1"/>
  <c r="B3459"/>
  <c r="D3459" s="1"/>
  <c r="A3459"/>
  <c r="C3459" s="1"/>
  <c r="B3458"/>
  <c r="D3458" s="1"/>
  <c r="A3458"/>
  <c r="C3458" s="1"/>
  <c r="B3457"/>
  <c r="D3457" s="1"/>
  <c r="A3457"/>
  <c r="C3457" s="1"/>
  <c r="B3456"/>
  <c r="D3456" s="1"/>
  <c r="A3456"/>
  <c r="C3456" s="1"/>
  <c r="B3455"/>
  <c r="D3455" s="1"/>
  <c r="A3455"/>
  <c r="C3455" s="1"/>
  <c r="B3454"/>
  <c r="D3454" s="1"/>
  <c r="A3454"/>
  <c r="C3454" s="1"/>
  <c r="B3453"/>
  <c r="D3453" s="1"/>
  <c r="A3453"/>
  <c r="C3453" s="1"/>
  <c r="B3452"/>
  <c r="D3452" s="1"/>
  <c r="A3452"/>
  <c r="C3452" s="1"/>
  <c r="B3451"/>
  <c r="D3451" s="1"/>
  <c r="A3451"/>
  <c r="C3451" s="1"/>
  <c r="B3450"/>
  <c r="D3450" s="1"/>
  <c r="A3450"/>
  <c r="C3450" s="1"/>
  <c r="B3449"/>
  <c r="D3449" s="1"/>
  <c r="A3449"/>
  <c r="C3449" s="1"/>
  <c r="B3448"/>
  <c r="D3448" s="1"/>
  <c r="A3448"/>
  <c r="C3448" s="1"/>
  <c r="B3447"/>
  <c r="D3447" s="1"/>
  <c r="A3447"/>
  <c r="C3447" s="1"/>
  <c r="B3446"/>
  <c r="D3446" s="1"/>
  <c r="A3446"/>
  <c r="C3446" s="1"/>
  <c r="B3445"/>
  <c r="D3445" s="1"/>
  <c r="A3445"/>
  <c r="C3445" s="1"/>
  <c r="B3444"/>
  <c r="D3444" s="1"/>
  <c r="A3444"/>
  <c r="C3444" s="1"/>
  <c r="B3443"/>
  <c r="D3443" s="1"/>
  <c r="A3443"/>
  <c r="C3443" s="1"/>
  <c r="B3442"/>
  <c r="D3442" s="1"/>
  <c r="A3442"/>
  <c r="C3442" s="1"/>
  <c r="B3441"/>
  <c r="D3441" s="1"/>
  <c r="A3441"/>
  <c r="C3441" s="1"/>
  <c r="B3440"/>
  <c r="D3440" s="1"/>
  <c r="A3440"/>
  <c r="C3440" s="1"/>
  <c r="B3439"/>
  <c r="D3439" s="1"/>
  <c r="A3439"/>
  <c r="C3439" s="1"/>
  <c r="B3438"/>
  <c r="D3438" s="1"/>
  <c r="A3438"/>
  <c r="C3438" s="1"/>
  <c r="B3437"/>
  <c r="D3437" s="1"/>
  <c r="A3437"/>
  <c r="C3437" s="1"/>
  <c r="B3436"/>
  <c r="D3436" s="1"/>
  <c r="A3436"/>
  <c r="C3436" s="1"/>
  <c r="B3435"/>
  <c r="D3435" s="1"/>
  <c r="A3435"/>
  <c r="C3435" s="1"/>
  <c r="B3434"/>
  <c r="D3434" s="1"/>
  <c r="A3434"/>
  <c r="C3434" s="1"/>
  <c r="B3433"/>
  <c r="D3433" s="1"/>
  <c r="A3433"/>
  <c r="C3433" s="1"/>
  <c r="B3432"/>
  <c r="D3432" s="1"/>
  <c r="A3432"/>
  <c r="C3432" s="1"/>
  <c r="B3431"/>
  <c r="D3431" s="1"/>
  <c r="A3431"/>
  <c r="C3431" s="1"/>
  <c r="B3430"/>
  <c r="D3430" s="1"/>
  <c r="A3430"/>
  <c r="C3430" s="1"/>
  <c r="B3429"/>
  <c r="D3429" s="1"/>
  <c r="A3429"/>
  <c r="C3429" s="1"/>
  <c r="B3428"/>
  <c r="D3428" s="1"/>
  <c r="A3428"/>
  <c r="C3428" s="1"/>
  <c r="B3427"/>
  <c r="D3427" s="1"/>
  <c r="A3427"/>
  <c r="C3427" s="1"/>
  <c r="B3426"/>
  <c r="D3426" s="1"/>
  <c r="A3426"/>
  <c r="C3426" s="1"/>
  <c r="B3425"/>
  <c r="D3425" s="1"/>
  <c r="A3425"/>
  <c r="C3425" s="1"/>
  <c r="B3424"/>
  <c r="D3424" s="1"/>
  <c r="A3424"/>
  <c r="C3424" s="1"/>
  <c r="B3423"/>
  <c r="D3423" s="1"/>
  <c r="A3423"/>
  <c r="C3423" s="1"/>
  <c r="B3422"/>
  <c r="D3422" s="1"/>
  <c r="A3422"/>
  <c r="C3422" s="1"/>
  <c r="B3421"/>
  <c r="D3421" s="1"/>
  <c r="A3421"/>
  <c r="C3421" s="1"/>
  <c r="B3420"/>
  <c r="D3420" s="1"/>
  <c r="A3420"/>
  <c r="C3420" s="1"/>
  <c r="B3419"/>
  <c r="D3419" s="1"/>
  <c r="A3419"/>
  <c r="C3419" s="1"/>
  <c r="B3418"/>
  <c r="D3418" s="1"/>
  <c r="A3418"/>
  <c r="C3418" s="1"/>
  <c r="B3417"/>
  <c r="D3417" s="1"/>
  <c r="A3417"/>
  <c r="C3417" s="1"/>
  <c r="B3416"/>
  <c r="D3416" s="1"/>
  <c r="A3416"/>
  <c r="C3416" s="1"/>
  <c r="B3415"/>
  <c r="D3415" s="1"/>
  <c r="A3415"/>
  <c r="C3415" s="1"/>
  <c r="B3414"/>
  <c r="D3414" s="1"/>
  <c r="A3414"/>
  <c r="C3414" s="1"/>
  <c r="B3413"/>
  <c r="D3413" s="1"/>
  <c r="A3413"/>
  <c r="C3413" s="1"/>
  <c r="B3412"/>
  <c r="D3412" s="1"/>
  <c r="A3412"/>
  <c r="C3412" s="1"/>
  <c r="B3411"/>
  <c r="D3411" s="1"/>
  <c r="A3411"/>
  <c r="C3411" s="1"/>
  <c r="B3410"/>
  <c r="D3410" s="1"/>
  <c r="A3410"/>
  <c r="C3410" s="1"/>
  <c r="B3409"/>
  <c r="D3409" s="1"/>
  <c r="A3409"/>
  <c r="C3409" s="1"/>
  <c r="B3408"/>
  <c r="D3408" s="1"/>
  <c r="A3408"/>
  <c r="C3408" s="1"/>
  <c r="B3407"/>
  <c r="D3407" s="1"/>
  <c r="A3407"/>
  <c r="C3407" s="1"/>
  <c r="B3406"/>
  <c r="D3406" s="1"/>
  <c r="A3406"/>
  <c r="C3406" s="1"/>
  <c r="B3405"/>
  <c r="D3405" s="1"/>
  <c r="A3405"/>
  <c r="C3405" s="1"/>
  <c r="B3404"/>
  <c r="D3404" s="1"/>
  <c r="A3404"/>
  <c r="C3404" s="1"/>
  <c r="B3403"/>
  <c r="D3403" s="1"/>
  <c r="A3403"/>
  <c r="C3403" s="1"/>
  <c r="B3402"/>
  <c r="D3402" s="1"/>
  <c r="A3402"/>
  <c r="C3402" s="1"/>
  <c r="B3401"/>
  <c r="D3401" s="1"/>
  <c r="A3401"/>
  <c r="C3401" s="1"/>
  <c r="B3400"/>
  <c r="D3400" s="1"/>
  <c r="A3400"/>
  <c r="C3400" s="1"/>
  <c r="B3399"/>
  <c r="D3399" s="1"/>
  <c r="A3399"/>
  <c r="C3399" s="1"/>
  <c r="B3398"/>
  <c r="D3398" s="1"/>
  <c r="A3398"/>
  <c r="C3398" s="1"/>
  <c r="B3397"/>
  <c r="D3397" s="1"/>
  <c r="A3397"/>
  <c r="C3397" s="1"/>
  <c r="B3396"/>
  <c r="D3396" s="1"/>
  <c r="A3396"/>
  <c r="C3396" s="1"/>
  <c r="B3395"/>
  <c r="D3395" s="1"/>
  <c r="A3395"/>
  <c r="C3395" s="1"/>
  <c r="B3394"/>
  <c r="D3394" s="1"/>
  <c r="A3394"/>
  <c r="C3394" s="1"/>
  <c r="B3393"/>
  <c r="D3393" s="1"/>
  <c r="A3393"/>
  <c r="C3393" s="1"/>
  <c r="B3392"/>
  <c r="D3392" s="1"/>
  <c r="A3392"/>
  <c r="C3392" s="1"/>
  <c r="B3391"/>
  <c r="D3391" s="1"/>
  <c r="A3391"/>
  <c r="C3391" s="1"/>
  <c r="B3390"/>
  <c r="D3390" s="1"/>
  <c r="A3390"/>
  <c r="C3390" s="1"/>
  <c r="B3389"/>
  <c r="D3389" s="1"/>
  <c r="A3389"/>
  <c r="C3389" s="1"/>
  <c r="B3388"/>
  <c r="D3388" s="1"/>
  <c r="A3388"/>
  <c r="C3388" s="1"/>
  <c r="B3387"/>
  <c r="D3387" s="1"/>
  <c r="A3387"/>
  <c r="C3387" s="1"/>
  <c r="B3386"/>
  <c r="D3386" s="1"/>
  <c r="A3386"/>
  <c r="C3386" s="1"/>
  <c r="B3385"/>
  <c r="D3385" s="1"/>
  <c r="A3385"/>
  <c r="C3385" s="1"/>
  <c r="B3384"/>
  <c r="D3384" s="1"/>
  <c r="A3384"/>
  <c r="C3384" s="1"/>
  <c r="B3383"/>
  <c r="D3383" s="1"/>
  <c r="A3383"/>
  <c r="C3383" s="1"/>
  <c r="B3382"/>
  <c r="D3382" s="1"/>
  <c r="A3382"/>
  <c r="C3382" s="1"/>
  <c r="B3381"/>
  <c r="D3381" s="1"/>
  <c r="A3381"/>
  <c r="C3381" s="1"/>
  <c r="B3380"/>
  <c r="D3380" s="1"/>
  <c r="A3380"/>
  <c r="C3380" s="1"/>
  <c r="B3379"/>
  <c r="D3379" s="1"/>
  <c r="A3379"/>
  <c r="C3379" s="1"/>
  <c r="B3378"/>
  <c r="D3378" s="1"/>
  <c r="A3378"/>
  <c r="C3378" s="1"/>
  <c r="B3377"/>
  <c r="D3377" s="1"/>
  <c r="A3377"/>
  <c r="C3377" s="1"/>
  <c r="B3376"/>
  <c r="D3376" s="1"/>
  <c r="A3376"/>
  <c r="C3376" s="1"/>
  <c r="B3375"/>
  <c r="D3375" s="1"/>
  <c r="A3375"/>
  <c r="C3375" s="1"/>
  <c r="B3374"/>
  <c r="D3374" s="1"/>
  <c r="A3374"/>
  <c r="C3374" s="1"/>
  <c r="B3373"/>
  <c r="D3373" s="1"/>
  <c r="A3373"/>
  <c r="C3373" s="1"/>
  <c r="B3372"/>
  <c r="D3372" s="1"/>
  <c r="A3372"/>
  <c r="C3372" s="1"/>
  <c r="B3371"/>
  <c r="D3371" s="1"/>
  <c r="A3371"/>
  <c r="C3371" s="1"/>
  <c r="B3370"/>
  <c r="D3370" s="1"/>
  <c r="A3370"/>
  <c r="C3370" s="1"/>
  <c r="B3369"/>
  <c r="D3369" s="1"/>
  <c r="A3369"/>
  <c r="C3369" s="1"/>
  <c r="B3368"/>
  <c r="D3368" s="1"/>
  <c r="A3368"/>
  <c r="C3368" s="1"/>
  <c r="B3367"/>
  <c r="D3367" s="1"/>
  <c r="A3367"/>
  <c r="C3367" s="1"/>
  <c r="B3366"/>
  <c r="D3366" s="1"/>
  <c r="A3366"/>
  <c r="C3366" s="1"/>
  <c r="B3365"/>
  <c r="D3365" s="1"/>
  <c r="A3365"/>
  <c r="C3365" s="1"/>
  <c r="B3364"/>
  <c r="D3364" s="1"/>
  <c r="A3364"/>
  <c r="C3364" s="1"/>
  <c r="B3363"/>
  <c r="D3363" s="1"/>
  <c r="A3363"/>
  <c r="C3363" s="1"/>
  <c r="B3362"/>
  <c r="D3362" s="1"/>
  <c r="A3362"/>
  <c r="C3362" s="1"/>
  <c r="B3361"/>
  <c r="D3361" s="1"/>
  <c r="A3361"/>
  <c r="C3361" s="1"/>
  <c r="B3360"/>
  <c r="D3360" s="1"/>
  <c r="A3360"/>
  <c r="C3360" s="1"/>
  <c r="B3359"/>
  <c r="D3359" s="1"/>
  <c r="A3359"/>
  <c r="C3359" s="1"/>
  <c r="B3358"/>
  <c r="D3358" s="1"/>
  <c r="A3358"/>
  <c r="C3358" s="1"/>
  <c r="B3357"/>
  <c r="D3357" s="1"/>
  <c r="A3357"/>
  <c r="C3357" s="1"/>
  <c r="B3356"/>
  <c r="D3356" s="1"/>
  <c r="A3356"/>
  <c r="C3356" s="1"/>
  <c r="B3355"/>
  <c r="D3355" s="1"/>
  <c r="A3355"/>
  <c r="C3355" s="1"/>
  <c r="B3354"/>
  <c r="D3354" s="1"/>
  <c r="A3354"/>
  <c r="C3354" s="1"/>
  <c r="B3353"/>
  <c r="D3353" s="1"/>
  <c r="A3353"/>
  <c r="C3353" s="1"/>
  <c r="B3352"/>
  <c r="D3352" s="1"/>
  <c r="A3352"/>
  <c r="C3352" s="1"/>
  <c r="B3351"/>
  <c r="D3351" s="1"/>
  <c r="A3351"/>
  <c r="C3351" s="1"/>
  <c r="B3350"/>
  <c r="D3350" s="1"/>
  <c r="A3350"/>
  <c r="C3350" s="1"/>
  <c r="B3349"/>
  <c r="D3349" s="1"/>
  <c r="A3349"/>
  <c r="C3349" s="1"/>
  <c r="B3348"/>
  <c r="D3348" s="1"/>
  <c r="A3348"/>
  <c r="C3348" s="1"/>
  <c r="B3347"/>
  <c r="D3347" s="1"/>
  <c r="A3347"/>
  <c r="C3347" s="1"/>
  <c r="B3346"/>
  <c r="D3346" s="1"/>
  <c r="A3346"/>
  <c r="C3346" s="1"/>
  <c r="B3345"/>
  <c r="D3345" s="1"/>
  <c r="A3345"/>
  <c r="C3345" s="1"/>
  <c r="B3344"/>
  <c r="D3344" s="1"/>
  <c r="A3344"/>
  <c r="C3344" s="1"/>
  <c r="B3343"/>
  <c r="D3343" s="1"/>
  <c r="A3343"/>
  <c r="C3343" s="1"/>
  <c r="B3342"/>
  <c r="D3342" s="1"/>
  <c r="A3342"/>
  <c r="C3342" s="1"/>
  <c r="B3341"/>
  <c r="D3341" s="1"/>
  <c r="A3341"/>
  <c r="C3341" s="1"/>
  <c r="B3340"/>
  <c r="D3340" s="1"/>
  <c r="A3340"/>
  <c r="C3340" s="1"/>
  <c r="B3339"/>
  <c r="D3339" s="1"/>
  <c r="A3339"/>
  <c r="C3339" s="1"/>
  <c r="B3338"/>
  <c r="D3338" s="1"/>
  <c r="A3338"/>
  <c r="C3338" s="1"/>
  <c r="B3337"/>
  <c r="D3337" s="1"/>
  <c r="A3337"/>
  <c r="C3337" s="1"/>
  <c r="B3336"/>
  <c r="D3336" s="1"/>
  <c r="A3336"/>
  <c r="C3336" s="1"/>
  <c r="B3335"/>
  <c r="D3335" s="1"/>
  <c r="A3335"/>
  <c r="C3335" s="1"/>
  <c r="B3334"/>
  <c r="D3334" s="1"/>
  <c r="A3334"/>
  <c r="C3334" s="1"/>
  <c r="B3333"/>
  <c r="D3333" s="1"/>
  <c r="A3333"/>
  <c r="C3333" s="1"/>
  <c r="B3332"/>
  <c r="D3332" s="1"/>
  <c r="A3332"/>
  <c r="C3332" s="1"/>
  <c r="B3331"/>
  <c r="D3331" s="1"/>
  <c r="A3331"/>
  <c r="C3331" s="1"/>
  <c r="B3330"/>
  <c r="D3330" s="1"/>
  <c r="A3330"/>
  <c r="C3330" s="1"/>
  <c r="B3329"/>
  <c r="D3329" s="1"/>
  <c r="A3329"/>
  <c r="C3329" s="1"/>
  <c r="B3328"/>
  <c r="D3328" s="1"/>
  <c r="A3328"/>
  <c r="C3328" s="1"/>
  <c r="B3327"/>
  <c r="D3327" s="1"/>
  <c r="A3327"/>
  <c r="C3327" s="1"/>
  <c r="B3326"/>
  <c r="D3326" s="1"/>
  <c r="A3326"/>
  <c r="C3326" s="1"/>
  <c r="B3325"/>
  <c r="D3325" s="1"/>
  <c r="A3325"/>
  <c r="C3325" s="1"/>
  <c r="B3324"/>
  <c r="D3324" s="1"/>
  <c r="A3324"/>
  <c r="C3324" s="1"/>
  <c r="B3323"/>
  <c r="D3323" s="1"/>
  <c r="A3323"/>
  <c r="C3323" s="1"/>
  <c r="B3322"/>
  <c r="D3322" s="1"/>
  <c r="A3322"/>
  <c r="C3322" s="1"/>
  <c r="B3321"/>
  <c r="D3321" s="1"/>
  <c r="A3321"/>
  <c r="C3321" s="1"/>
  <c r="B3320"/>
  <c r="D3320" s="1"/>
  <c r="A3320"/>
  <c r="C3320" s="1"/>
  <c r="B3319"/>
  <c r="D3319" s="1"/>
  <c r="A3319"/>
  <c r="C3319" s="1"/>
  <c r="B3318"/>
  <c r="D3318" s="1"/>
  <c r="A3318"/>
  <c r="C3318" s="1"/>
  <c r="B3317"/>
  <c r="D3317" s="1"/>
  <c r="A3317"/>
  <c r="C3317" s="1"/>
  <c r="B3316"/>
  <c r="D3316" s="1"/>
  <c r="A3316"/>
  <c r="C3316" s="1"/>
  <c r="B3315"/>
  <c r="D3315" s="1"/>
  <c r="A3315"/>
  <c r="C3315" s="1"/>
  <c r="B3314"/>
  <c r="D3314" s="1"/>
  <c r="A3314"/>
  <c r="C3314" s="1"/>
  <c r="B3313"/>
  <c r="D3313" s="1"/>
  <c r="A3313"/>
  <c r="C3313" s="1"/>
  <c r="B3312"/>
  <c r="D3312" s="1"/>
  <c r="A3312"/>
  <c r="C3312" s="1"/>
  <c r="B3311"/>
  <c r="D3311" s="1"/>
  <c r="A3311"/>
  <c r="C3311" s="1"/>
  <c r="B3310"/>
  <c r="D3310" s="1"/>
  <c r="A3310"/>
  <c r="C3310" s="1"/>
  <c r="B3309"/>
  <c r="D3309" s="1"/>
  <c r="A3309"/>
  <c r="C3309" s="1"/>
  <c r="B3308"/>
  <c r="D3308" s="1"/>
  <c r="A3308"/>
  <c r="C3308" s="1"/>
  <c r="B3307"/>
  <c r="D3307" s="1"/>
  <c r="A3307"/>
  <c r="C3307" s="1"/>
  <c r="B3306"/>
  <c r="D3306" s="1"/>
  <c r="A3306"/>
  <c r="C3306" s="1"/>
  <c r="B3305"/>
  <c r="D3305" s="1"/>
  <c r="A3305"/>
  <c r="C3305" s="1"/>
  <c r="B3304"/>
  <c r="D3304" s="1"/>
  <c r="A3304"/>
  <c r="C3304" s="1"/>
  <c r="B3303"/>
  <c r="D3303" s="1"/>
  <c r="A3303"/>
  <c r="C3303" s="1"/>
  <c r="B3302"/>
  <c r="D3302" s="1"/>
  <c r="A3302"/>
  <c r="C3302" s="1"/>
  <c r="B3301"/>
  <c r="D3301" s="1"/>
  <c r="A3301"/>
  <c r="C3301" s="1"/>
  <c r="B3300"/>
  <c r="D3300" s="1"/>
  <c r="A3300"/>
  <c r="C3300" s="1"/>
  <c r="B3299"/>
  <c r="D3299" s="1"/>
  <c r="A3299"/>
  <c r="C3299" s="1"/>
  <c r="B3298"/>
  <c r="D3298" s="1"/>
  <c r="A3298"/>
  <c r="C3298" s="1"/>
  <c r="B3297"/>
  <c r="D3297" s="1"/>
  <c r="A3297"/>
  <c r="C3297" s="1"/>
  <c r="B3296"/>
  <c r="D3296" s="1"/>
  <c r="A3296"/>
  <c r="C3296" s="1"/>
  <c r="B3295"/>
  <c r="D3295" s="1"/>
  <c r="A3295"/>
  <c r="C3295" s="1"/>
  <c r="B3294"/>
  <c r="D3294" s="1"/>
  <c r="A3294"/>
  <c r="C3294" s="1"/>
  <c r="B3293"/>
  <c r="D3293" s="1"/>
  <c r="A3293"/>
  <c r="C3293" s="1"/>
  <c r="B3292"/>
  <c r="D3292" s="1"/>
  <c r="A3292"/>
  <c r="C3292" s="1"/>
  <c r="B3291"/>
  <c r="D3291" s="1"/>
  <c r="A3291"/>
  <c r="C3291" s="1"/>
  <c r="B3290"/>
  <c r="D3290" s="1"/>
  <c r="A3290"/>
  <c r="C3290" s="1"/>
  <c r="B3289"/>
  <c r="D3289" s="1"/>
  <c r="A3289"/>
  <c r="C3289" s="1"/>
  <c r="B3288"/>
  <c r="D3288" s="1"/>
  <c r="A3288"/>
  <c r="C3288" s="1"/>
  <c r="B3287"/>
  <c r="D3287" s="1"/>
  <c r="A3287"/>
  <c r="C3287" s="1"/>
  <c r="B3286"/>
  <c r="D3286" s="1"/>
  <c r="A3286"/>
  <c r="C3286" s="1"/>
  <c r="B3285"/>
  <c r="D3285" s="1"/>
  <c r="A3285"/>
  <c r="C3285" s="1"/>
  <c r="B3284"/>
  <c r="D3284" s="1"/>
  <c r="A3284"/>
  <c r="C3284" s="1"/>
  <c r="B3283"/>
  <c r="D3283" s="1"/>
  <c r="A3283"/>
  <c r="C3283" s="1"/>
  <c r="B3282"/>
  <c r="D3282" s="1"/>
  <c r="A3282"/>
  <c r="C3282" s="1"/>
  <c r="B3281"/>
  <c r="D3281" s="1"/>
  <c r="A3281"/>
  <c r="C3281" s="1"/>
  <c r="B3280"/>
  <c r="D3280" s="1"/>
  <c r="A3280"/>
  <c r="C3280" s="1"/>
  <c r="B3279"/>
  <c r="D3279" s="1"/>
  <c r="A3279"/>
  <c r="C3279" s="1"/>
  <c r="B3278"/>
  <c r="D3278" s="1"/>
  <c r="A3278"/>
  <c r="C3278" s="1"/>
  <c r="B3277"/>
  <c r="D3277" s="1"/>
  <c r="A3277"/>
  <c r="C3277" s="1"/>
  <c r="B3276"/>
  <c r="D3276" s="1"/>
  <c r="A3276"/>
  <c r="C3276" s="1"/>
  <c r="B3275"/>
  <c r="D3275" s="1"/>
  <c r="A3275"/>
  <c r="C3275" s="1"/>
  <c r="B3274"/>
  <c r="D3274" s="1"/>
  <c r="A3274"/>
  <c r="C3274" s="1"/>
  <c r="B3273"/>
  <c r="D3273" s="1"/>
  <c r="A3273"/>
  <c r="C3273" s="1"/>
  <c r="B3272"/>
  <c r="D3272" s="1"/>
  <c r="A3272"/>
  <c r="C3272" s="1"/>
  <c r="B3271"/>
  <c r="D3271" s="1"/>
  <c r="A3271"/>
  <c r="C3271" s="1"/>
  <c r="B3270"/>
  <c r="D3270" s="1"/>
  <c r="A3270"/>
  <c r="C3270" s="1"/>
  <c r="B3269"/>
  <c r="D3269" s="1"/>
  <c r="A3269"/>
  <c r="C3269" s="1"/>
  <c r="B3268"/>
  <c r="D3268" s="1"/>
  <c r="A3268"/>
  <c r="C3268" s="1"/>
  <c r="B3267"/>
  <c r="D3267" s="1"/>
  <c r="A3267"/>
  <c r="C3267" s="1"/>
  <c r="B3266"/>
  <c r="D3266" s="1"/>
  <c r="A3266"/>
  <c r="C3266" s="1"/>
  <c r="B3265"/>
  <c r="D3265" s="1"/>
  <c r="A3265"/>
  <c r="C3265" s="1"/>
  <c r="B3264"/>
  <c r="D3264" s="1"/>
  <c r="A3264"/>
  <c r="C3264" s="1"/>
  <c r="B3263"/>
  <c r="D3263" s="1"/>
  <c r="A3263"/>
  <c r="C3263" s="1"/>
  <c r="B3262"/>
  <c r="D3262" s="1"/>
  <c r="A3262"/>
  <c r="C3262" s="1"/>
  <c r="B3261"/>
  <c r="D3261" s="1"/>
  <c r="A3261"/>
  <c r="C3261" s="1"/>
  <c r="B3260"/>
  <c r="D3260" s="1"/>
  <c r="A3260"/>
  <c r="C3260" s="1"/>
  <c r="B3259"/>
  <c r="D3259" s="1"/>
  <c r="A3259"/>
  <c r="C3259" s="1"/>
  <c r="B3258"/>
  <c r="D3258" s="1"/>
  <c r="A3258"/>
  <c r="C3258" s="1"/>
  <c r="B3257"/>
  <c r="D3257" s="1"/>
  <c r="A3257"/>
  <c r="C3257" s="1"/>
  <c r="B3256"/>
  <c r="D3256" s="1"/>
  <c r="A3256"/>
  <c r="C3256" s="1"/>
  <c r="B3255"/>
  <c r="D3255" s="1"/>
  <c r="A3255"/>
  <c r="C3255" s="1"/>
  <c r="B3254"/>
  <c r="D3254" s="1"/>
  <c r="A3254"/>
  <c r="C3254" s="1"/>
  <c r="B3253"/>
  <c r="D3253" s="1"/>
  <c r="A3253"/>
  <c r="C3253" s="1"/>
  <c r="B3252"/>
  <c r="D3252" s="1"/>
  <c r="A3252"/>
  <c r="C3252" s="1"/>
  <c r="B3251"/>
  <c r="D3251" s="1"/>
  <c r="A3251"/>
  <c r="C3251" s="1"/>
  <c r="B3250"/>
  <c r="D3250" s="1"/>
  <c r="A3250"/>
  <c r="C3250" s="1"/>
  <c r="B3249"/>
  <c r="D3249" s="1"/>
  <c r="A3249"/>
  <c r="C3249" s="1"/>
  <c r="B3248"/>
  <c r="D3248" s="1"/>
  <c r="A3248"/>
  <c r="C3248" s="1"/>
  <c r="B3247"/>
  <c r="D3247" s="1"/>
  <c r="A3247"/>
  <c r="C3247" s="1"/>
  <c r="B3246"/>
  <c r="D3246" s="1"/>
  <c r="A3246"/>
  <c r="C3246" s="1"/>
  <c r="B3245"/>
  <c r="D3245" s="1"/>
  <c r="A3245"/>
  <c r="C3245" s="1"/>
  <c r="B3244"/>
  <c r="D3244" s="1"/>
  <c r="A3244"/>
  <c r="C3244" s="1"/>
  <c r="B3243"/>
  <c r="D3243" s="1"/>
  <c r="A3243"/>
  <c r="C3243" s="1"/>
  <c r="B3242"/>
  <c r="D3242" s="1"/>
  <c r="A3242"/>
  <c r="C3242" s="1"/>
  <c r="B3241"/>
  <c r="D3241" s="1"/>
  <c r="A3241"/>
  <c r="C3241" s="1"/>
  <c r="B3240"/>
  <c r="D3240" s="1"/>
  <c r="A3240"/>
  <c r="C3240" s="1"/>
  <c r="B3239"/>
  <c r="D3239" s="1"/>
  <c r="A3239"/>
  <c r="C3239" s="1"/>
  <c r="B3238"/>
  <c r="D3238" s="1"/>
  <c r="A3238"/>
  <c r="C3238" s="1"/>
  <c r="B3237"/>
  <c r="D3237" s="1"/>
  <c r="A3237"/>
  <c r="C3237" s="1"/>
  <c r="B3236"/>
  <c r="D3236" s="1"/>
  <c r="A3236"/>
  <c r="C3236" s="1"/>
  <c r="B3235"/>
  <c r="D3235" s="1"/>
  <c r="A3235"/>
  <c r="C3235" s="1"/>
  <c r="B3234"/>
  <c r="D3234" s="1"/>
  <c r="A3234"/>
  <c r="C3234" s="1"/>
  <c r="B3233"/>
  <c r="D3233" s="1"/>
  <c r="A3233"/>
  <c r="C3233" s="1"/>
  <c r="B3232"/>
  <c r="D3232" s="1"/>
  <c r="A3232"/>
  <c r="C3232" s="1"/>
  <c r="B3231"/>
  <c r="D3231" s="1"/>
  <c r="A3231"/>
  <c r="C3231" s="1"/>
  <c r="B3230"/>
  <c r="D3230" s="1"/>
  <c r="A3230"/>
  <c r="C3230" s="1"/>
  <c r="B3229"/>
  <c r="D3229" s="1"/>
  <c r="A3229"/>
  <c r="C3229" s="1"/>
  <c r="B3228"/>
  <c r="D3228" s="1"/>
  <c r="A3228"/>
  <c r="C3228" s="1"/>
  <c r="B3227"/>
  <c r="D3227" s="1"/>
  <c r="A3227"/>
  <c r="C3227" s="1"/>
  <c r="B3226"/>
  <c r="D3226" s="1"/>
  <c r="A3226"/>
  <c r="C3226" s="1"/>
  <c r="B3225"/>
  <c r="D3225" s="1"/>
  <c r="A3225"/>
  <c r="C3225" s="1"/>
  <c r="B3224"/>
  <c r="D3224" s="1"/>
  <c r="A3224"/>
  <c r="C3224" s="1"/>
  <c r="B3223"/>
  <c r="D3223" s="1"/>
  <c r="A3223"/>
  <c r="C3223" s="1"/>
  <c r="B3222"/>
  <c r="D3222" s="1"/>
  <c r="A3222"/>
  <c r="C3222" s="1"/>
  <c r="B3221"/>
  <c r="D3221" s="1"/>
  <c r="A3221"/>
  <c r="C3221" s="1"/>
  <c r="B3220"/>
  <c r="D3220" s="1"/>
  <c r="A3220"/>
  <c r="C3220" s="1"/>
  <c r="B3219"/>
  <c r="D3219" s="1"/>
  <c r="A3219"/>
  <c r="C3219" s="1"/>
  <c r="B3218"/>
  <c r="D3218" s="1"/>
  <c r="A3218"/>
  <c r="C3218" s="1"/>
  <c r="B3217"/>
  <c r="D3217" s="1"/>
  <c r="A3217"/>
  <c r="C3217" s="1"/>
  <c r="B3216"/>
  <c r="D3216" s="1"/>
  <c r="A3216"/>
  <c r="C3216" s="1"/>
  <c r="B3215"/>
  <c r="D3215" s="1"/>
  <c r="A3215"/>
  <c r="C3215" s="1"/>
  <c r="B3214"/>
  <c r="D3214" s="1"/>
  <c r="A3214"/>
  <c r="C3214" s="1"/>
  <c r="B3213"/>
  <c r="D3213" s="1"/>
  <c r="A3213"/>
  <c r="C3213" s="1"/>
  <c r="B3212"/>
  <c r="D3212" s="1"/>
  <c r="A3212"/>
  <c r="C3212" s="1"/>
  <c r="B3211"/>
  <c r="D3211" s="1"/>
  <c r="A3211"/>
  <c r="C3211" s="1"/>
  <c r="B3210"/>
  <c r="D3210" s="1"/>
  <c r="A3210"/>
  <c r="C3210" s="1"/>
  <c r="B3209"/>
  <c r="D3209" s="1"/>
  <c r="A3209"/>
  <c r="C3209" s="1"/>
  <c r="B3208"/>
  <c r="D3208" s="1"/>
  <c r="A3208"/>
  <c r="C3208" s="1"/>
  <c r="B3207"/>
  <c r="D3207" s="1"/>
  <c r="A3207"/>
  <c r="C3207" s="1"/>
  <c r="B3206"/>
  <c r="D3206" s="1"/>
  <c r="A3206"/>
  <c r="C3206" s="1"/>
  <c r="B3205"/>
  <c r="D3205" s="1"/>
  <c r="A3205"/>
  <c r="C3205" s="1"/>
  <c r="B3204"/>
  <c r="D3204" s="1"/>
  <c r="A3204"/>
  <c r="C3204" s="1"/>
  <c r="B3203"/>
  <c r="D3203" s="1"/>
  <c r="A3203"/>
  <c r="C3203" s="1"/>
  <c r="B3202"/>
  <c r="D3202" s="1"/>
  <c r="A3202"/>
  <c r="C3202" s="1"/>
  <c r="B3201"/>
  <c r="D3201" s="1"/>
  <c r="A3201"/>
  <c r="C3201" s="1"/>
  <c r="B3200"/>
  <c r="D3200" s="1"/>
  <c r="A3200"/>
  <c r="C3200" s="1"/>
  <c r="B3199"/>
  <c r="D3199" s="1"/>
  <c r="A3199"/>
  <c r="C3199" s="1"/>
  <c r="B3198"/>
  <c r="D3198" s="1"/>
  <c r="A3198"/>
  <c r="C3198" s="1"/>
  <c r="B3197"/>
  <c r="D3197" s="1"/>
  <c r="A3197"/>
  <c r="C3197" s="1"/>
  <c r="B3196"/>
  <c r="D3196" s="1"/>
  <c r="A3196"/>
  <c r="C3196" s="1"/>
  <c r="B3195"/>
  <c r="D3195" s="1"/>
  <c r="A3195"/>
  <c r="C3195" s="1"/>
  <c r="B3194"/>
  <c r="D3194" s="1"/>
  <c r="A3194"/>
  <c r="C3194" s="1"/>
  <c r="B3193"/>
  <c r="D3193" s="1"/>
  <c r="A3193"/>
  <c r="C3193" s="1"/>
  <c r="B3192"/>
  <c r="D3192" s="1"/>
  <c r="A3192"/>
  <c r="C3192" s="1"/>
  <c r="B3191"/>
  <c r="D3191" s="1"/>
  <c r="A3191"/>
  <c r="C3191" s="1"/>
  <c r="B3190"/>
  <c r="D3190" s="1"/>
  <c r="A3190"/>
  <c r="C3190" s="1"/>
  <c r="B3189"/>
  <c r="D3189" s="1"/>
  <c r="A3189"/>
  <c r="C3189" s="1"/>
  <c r="B3188"/>
  <c r="D3188" s="1"/>
  <c r="A3188"/>
  <c r="C3188" s="1"/>
  <c r="B3187"/>
  <c r="D3187" s="1"/>
  <c r="A3187"/>
  <c r="C3187" s="1"/>
  <c r="B3186"/>
  <c r="D3186" s="1"/>
  <c r="A3186"/>
  <c r="C3186" s="1"/>
  <c r="B3185"/>
  <c r="D3185" s="1"/>
  <c r="A3185"/>
  <c r="C3185" s="1"/>
  <c r="B3184"/>
  <c r="D3184" s="1"/>
  <c r="A3184"/>
  <c r="C3184" s="1"/>
  <c r="B3183"/>
  <c r="D3183" s="1"/>
  <c r="A3183"/>
  <c r="C3183" s="1"/>
  <c r="B3182"/>
  <c r="D3182" s="1"/>
  <c r="A3182"/>
  <c r="C3182" s="1"/>
  <c r="B3181"/>
  <c r="D3181" s="1"/>
  <c r="A3181"/>
  <c r="C3181" s="1"/>
  <c r="B3180"/>
  <c r="D3180" s="1"/>
  <c r="A3180"/>
  <c r="C3180" s="1"/>
  <c r="B3179"/>
  <c r="D3179" s="1"/>
  <c r="A3179"/>
  <c r="C3179" s="1"/>
  <c r="B3178"/>
  <c r="D3178" s="1"/>
  <c r="A3178"/>
  <c r="C3178" s="1"/>
  <c r="B3177"/>
  <c r="D3177" s="1"/>
  <c r="A3177"/>
  <c r="C3177" s="1"/>
  <c r="B3176"/>
  <c r="D3176" s="1"/>
  <c r="A3176"/>
  <c r="C3176" s="1"/>
  <c r="B3175"/>
  <c r="D3175" s="1"/>
  <c r="A3175"/>
  <c r="C3175" s="1"/>
  <c r="B3174"/>
  <c r="D3174" s="1"/>
  <c r="A3174"/>
  <c r="C3174" s="1"/>
  <c r="B3173"/>
  <c r="D3173" s="1"/>
  <c r="A3173"/>
  <c r="C3173" s="1"/>
  <c r="B3172"/>
  <c r="D3172" s="1"/>
  <c r="A3172"/>
  <c r="C3172" s="1"/>
  <c r="B3171"/>
  <c r="D3171" s="1"/>
  <c r="A3171"/>
  <c r="C3171" s="1"/>
  <c r="B3170"/>
  <c r="D3170" s="1"/>
  <c r="A3170"/>
  <c r="C3170" s="1"/>
  <c r="B3169"/>
  <c r="D3169" s="1"/>
  <c r="A3169"/>
  <c r="C3169" s="1"/>
  <c r="B3168"/>
  <c r="D3168" s="1"/>
  <c r="A3168"/>
  <c r="C3168" s="1"/>
  <c r="B3167"/>
  <c r="D3167" s="1"/>
  <c r="A3167"/>
  <c r="C3167" s="1"/>
  <c r="B3166"/>
  <c r="D3166" s="1"/>
  <c r="A3166"/>
  <c r="C3166" s="1"/>
  <c r="B3165"/>
  <c r="D3165" s="1"/>
  <c r="A3165"/>
  <c r="C3165" s="1"/>
  <c r="B3164"/>
  <c r="D3164" s="1"/>
  <c r="A3164"/>
  <c r="C3164" s="1"/>
  <c r="B3163"/>
  <c r="D3163" s="1"/>
  <c r="A3163"/>
  <c r="C3163" s="1"/>
  <c r="B3162"/>
  <c r="D3162" s="1"/>
  <c r="A3162"/>
  <c r="C3162" s="1"/>
  <c r="B3161"/>
  <c r="D3161" s="1"/>
  <c r="A3161"/>
  <c r="C3161" s="1"/>
  <c r="B3160"/>
  <c r="D3160" s="1"/>
  <c r="A3160"/>
  <c r="C3160" s="1"/>
  <c r="B3159"/>
  <c r="D3159" s="1"/>
  <c r="A3159"/>
  <c r="C3159" s="1"/>
  <c r="B3158"/>
  <c r="D3158" s="1"/>
  <c r="A3158"/>
  <c r="C3158" s="1"/>
  <c r="B3157"/>
  <c r="D3157" s="1"/>
  <c r="A3157"/>
  <c r="C3157" s="1"/>
  <c r="B3156"/>
  <c r="D3156" s="1"/>
  <c r="A3156"/>
  <c r="C3156" s="1"/>
  <c r="B3155"/>
  <c r="D3155" s="1"/>
  <c r="A3155"/>
  <c r="C3155" s="1"/>
  <c r="B3154"/>
  <c r="D3154" s="1"/>
  <c r="A3154"/>
  <c r="C3154" s="1"/>
  <c r="B3153"/>
  <c r="D3153" s="1"/>
  <c r="A3153"/>
  <c r="C3153" s="1"/>
  <c r="B3152"/>
  <c r="D3152" s="1"/>
  <c r="A3152"/>
  <c r="C3152" s="1"/>
  <c r="B3151"/>
  <c r="D3151" s="1"/>
  <c r="A3151"/>
  <c r="C3151" s="1"/>
  <c r="B3150"/>
  <c r="D3150" s="1"/>
  <c r="A3150"/>
  <c r="C3150" s="1"/>
  <c r="B3149"/>
  <c r="D3149" s="1"/>
  <c r="A3149"/>
  <c r="C3149" s="1"/>
  <c r="B3148"/>
  <c r="D3148" s="1"/>
  <c r="A3148"/>
  <c r="C3148" s="1"/>
  <c r="B3147"/>
  <c r="D3147" s="1"/>
  <c r="A3147"/>
  <c r="C3147" s="1"/>
  <c r="B3146"/>
  <c r="D3146" s="1"/>
  <c r="A3146"/>
  <c r="C3146" s="1"/>
  <c r="B3145"/>
  <c r="D3145" s="1"/>
  <c r="A3145"/>
  <c r="C3145" s="1"/>
  <c r="B3144"/>
  <c r="D3144" s="1"/>
  <c r="A3144"/>
  <c r="C3144" s="1"/>
  <c r="B3143"/>
  <c r="D3143" s="1"/>
  <c r="A3143"/>
  <c r="C3143" s="1"/>
  <c r="B3142"/>
  <c r="D3142" s="1"/>
  <c r="A3142"/>
  <c r="C3142" s="1"/>
  <c r="B3141"/>
  <c r="D3141" s="1"/>
  <c r="A3141"/>
  <c r="C3141" s="1"/>
  <c r="B3140"/>
  <c r="D3140" s="1"/>
  <c r="A3140"/>
  <c r="C3140" s="1"/>
  <c r="B3139"/>
  <c r="D3139" s="1"/>
  <c r="A3139"/>
  <c r="C3139" s="1"/>
  <c r="B3138"/>
  <c r="D3138" s="1"/>
  <c r="A3138"/>
  <c r="C3138" s="1"/>
  <c r="B3137"/>
  <c r="D3137" s="1"/>
  <c r="A3137"/>
  <c r="C3137" s="1"/>
  <c r="B3136"/>
  <c r="D3136" s="1"/>
  <c r="A3136"/>
  <c r="C3136" s="1"/>
  <c r="B3135"/>
  <c r="D3135" s="1"/>
  <c r="A3135"/>
  <c r="C3135" s="1"/>
  <c r="B3134"/>
  <c r="D3134" s="1"/>
  <c r="A3134"/>
  <c r="C3134" s="1"/>
  <c r="B3133"/>
  <c r="D3133" s="1"/>
  <c r="A3133"/>
  <c r="C3133" s="1"/>
  <c r="B3132"/>
  <c r="D3132" s="1"/>
  <c r="A3132"/>
  <c r="C3132" s="1"/>
  <c r="B3131"/>
  <c r="D3131" s="1"/>
  <c r="A3131"/>
  <c r="C3131" s="1"/>
  <c r="B3130"/>
  <c r="D3130" s="1"/>
  <c r="A3130"/>
  <c r="C3130" s="1"/>
  <c r="B3129"/>
  <c r="D3129" s="1"/>
  <c r="A3129"/>
  <c r="C3129" s="1"/>
  <c r="B3128"/>
  <c r="D3128" s="1"/>
  <c r="A3128"/>
  <c r="C3128" s="1"/>
  <c r="B3127"/>
  <c r="D3127" s="1"/>
  <c r="A3127"/>
  <c r="C3127" s="1"/>
  <c r="B3126"/>
  <c r="D3126" s="1"/>
  <c r="A3126"/>
  <c r="C3126" s="1"/>
  <c r="B3125"/>
  <c r="D3125" s="1"/>
  <c r="A3125"/>
  <c r="C3125" s="1"/>
  <c r="B3124"/>
  <c r="D3124" s="1"/>
  <c r="A3124"/>
  <c r="C3124" s="1"/>
  <c r="B3123"/>
  <c r="D3123" s="1"/>
  <c r="A3123"/>
  <c r="C3123" s="1"/>
  <c r="B3122"/>
  <c r="D3122" s="1"/>
  <c r="A3122"/>
  <c r="C3122" s="1"/>
  <c r="B3121"/>
  <c r="D3121" s="1"/>
  <c r="A3121"/>
  <c r="C3121" s="1"/>
  <c r="B3120"/>
  <c r="D3120" s="1"/>
  <c r="A3120"/>
  <c r="C3120" s="1"/>
  <c r="B3119"/>
  <c r="D3119" s="1"/>
  <c r="A3119"/>
  <c r="C3119" s="1"/>
  <c r="B3118"/>
  <c r="D3118" s="1"/>
  <c r="A3118"/>
  <c r="C3118" s="1"/>
  <c r="B3117"/>
  <c r="D3117" s="1"/>
  <c r="A3117"/>
  <c r="C3117" s="1"/>
  <c r="B3116"/>
  <c r="D3116" s="1"/>
  <c r="A3116"/>
  <c r="C3116" s="1"/>
  <c r="B3115"/>
  <c r="D3115" s="1"/>
  <c r="A3115"/>
  <c r="C3115" s="1"/>
  <c r="B3114"/>
  <c r="D3114" s="1"/>
  <c r="A3114"/>
  <c r="C3114" s="1"/>
  <c r="B3113"/>
  <c r="D3113" s="1"/>
  <c r="A3113"/>
  <c r="C3113" s="1"/>
  <c r="B3112"/>
  <c r="D3112" s="1"/>
  <c r="A3112"/>
  <c r="C3112" s="1"/>
  <c r="B3111"/>
  <c r="D3111" s="1"/>
  <c r="A3111"/>
  <c r="C3111" s="1"/>
  <c r="B3110"/>
  <c r="D3110" s="1"/>
  <c r="A3110"/>
  <c r="C3110" s="1"/>
  <c r="B3109"/>
  <c r="D3109" s="1"/>
  <c r="A3109"/>
  <c r="C3109" s="1"/>
  <c r="B3108"/>
  <c r="D3108" s="1"/>
  <c r="A3108"/>
  <c r="C3108" s="1"/>
  <c r="B3107"/>
  <c r="D3107" s="1"/>
  <c r="A3107"/>
  <c r="C3107" s="1"/>
  <c r="B3106"/>
  <c r="D3106" s="1"/>
  <c r="A3106"/>
  <c r="C3106" s="1"/>
  <c r="B3105"/>
  <c r="D3105" s="1"/>
  <c r="A3105"/>
  <c r="C3105" s="1"/>
  <c r="B3104"/>
  <c r="D3104" s="1"/>
  <c r="A3104"/>
  <c r="C3104" s="1"/>
  <c r="B3103"/>
  <c r="D3103" s="1"/>
  <c r="A3103"/>
  <c r="C3103" s="1"/>
  <c r="B3102"/>
  <c r="D3102" s="1"/>
  <c r="A3102"/>
  <c r="C3102" s="1"/>
  <c r="B3101"/>
  <c r="D3101" s="1"/>
  <c r="A3101"/>
  <c r="C3101" s="1"/>
  <c r="B3100"/>
  <c r="D3100" s="1"/>
  <c r="A3100"/>
  <c r="C3100" s="1"/>
  <c r="B3099"/>
  <c r="D3099" s="1"/>
  <c r="A3099"/>
  <c r="C3099" s="1"/>
  <c r="B3098"/>
  <c r="D3098" s="1"/>
  <c r="A3098"/>
  <c r="C3098" s="1"/>
  <c r="B3097"/>
  <c r="D3097" s="1"/>
  <c r="A3097"/>
  <c r="C3097" s="1"/>
  <c r="B3096"/>
  <c r="D3096" s="1"/>
  <c r="A3096"/>
  <c r="C3096" s="1"/>
  <c r="B3095"/>
  <c r="D3095" s="1"/>
  <c r="A3095"/>
  <c r="C3095" s="1"/>
  <c r="B3094"/>
  <c r="D3094" s="1"/>
  <c r="A3094"/>
  <c r="C3094" s="1"/>
  <c r="B3093"/>
  <c r="D3093" s="1"/>
  <c r="A3093"/>
  <c r="C3093" s="1"/>
  <c r="B3092"/>
  <c r="D3092" s="1"/>
  <c r="A3092"/>
  <c r="C3092" s="1"/>
  <c r="B3091"/>
  <c r="D3091" s="1"/>
  <c r="A3091"/>
  <c r="C3091" s="1"/>
  <c r="B3090"/>
  <c r="D3090" s="1"/>
  <c r="A3090"/>
  <c r="C3090" s="1"/>
  <c r="B3089"/>
  <c r="D3089" s="1"/>
  <c r="A3089"/>
  <c r="C3089" s="1"/>
  <c r="B3088"/>
  <c r="D3088" s="1"/>
  <c r="A3088"/>
  <c r="C3088" s="1"/>
  <c r="B3087"/>
  <c r="D3087" s="1"/>
  <c r="A3087"/>
  <c r="C3087" s="1"/>
  <c r="B3086"/>
  <c r="D3086" s="1"/>
  <c r="A3086"/>
  <c r="C3086" s="1"/>
  <c r="B3085"/>
  <c r="D3085" s="1"/>
  <c r="A3085"/>
  <c r="C3085" s="1"/>
  <c r="B3084"/>
  <c r="D3084" s="1"/>
  <c r="A3084"/>
  <c r="C3084" s="1"/>
  <c r="B3083"/>
  <c r="D3083" s="1"/>
  <c r="A3083"/>
  <c r="C3083" s="1"/>
  <c r="B3082"/>
  <c r="D3082" s="1"/>
  <c r="A3082"/>
  <c r="C3082" s="1"/>
  <c r="B3081"/>
  <c r="D3081" s="1"/>
  <c r="A3081"/>
  <c r="C3081" s="1"/>
  <c r="B3080"/>
  <c r="D3080" s="1"/>
  <c r="A3080"/>
  <c r="C3080" s="1"/>
  <c r="B3079"/>
  <c r="D3079" s="1"/>
  <c r="A3079"/>
  <c r="C3079" s="1"/>
  <c r="B3078"/>
  <c r="D3078" s="1"/>
  <c r="A3078"/>
  <c r="C3078" s="1"/>
  <c r="B3077"/>
  <c r="D3077" s="1"/>
  <c r="A3077"/>
  <c r="C3077" s="1"/>
  <c r="B3076"/>
  <c r="D3076" s="1"/>
  <c r="A3076"/>
  <c r="C3076" s="1"/>
  <c r="B3075"/>
  <c r="D3075" s="1"/>
  <c r="A3075"/>
  <c r="C3075" s="1"/>
  <c r="B3074"/>
  <c r="D3074" s="1"/>
  <c r="A3074"/>
  <c r="C3074" s="1"/>
  <c r="B3073"/>
  <c r="D3073" s="1"/>
  <c r="A3073"/>
  <c r="C3073" s="1"/>
  <c r="B3072"/>
  <c r="D3072" s="1"/>
  <c r="A3072"/>
  <c r="C3072" s="1"/>
  <c r="B3071"/>
  <c r="D3071" s="1"/>
  <c r="A3071"/>
  <c r="C3071" s="1"/>
  <c r="B3070"/>
  <c r="D3070" s="1"/>
  <c r="A3070"/>
  <c r="C3070" s="1"/>
  <c r="B3069"/>
  <c r="D3069" s="1"/>
  <c r="A3069"/>
  <c r="C3069" s="1"/>
  <c r="B3068"/>
  <c r="D3068" s="1"/>
  <c r="A3068"/>
  <c r="C3068" s="1"/>
  <c r="B3067"/>
  <c r="D3067" s="1"/>
  <c r="A3067"/>
  <c r="C3067" s="1"/>
  <c r="B3066"/>
  <c r="D3066" s="1"/>
  <c r="A3066"/>
  <c r="C3066" s="1"/>
  <c r="B3065"/>
  <c r="D3065" s="1"/>
  <c r="A3065"/>
  <c r="C3065" s="1"/>
  <c r="B3064"/>
  <c r="D3064" s="1"/>
  <c r="A3064"/>
  <c r="C3064" s="1"/>
  <c r="B3063"/>
  <c r="D3063" s="1"/>
  <c r="A3063"/>
  <c r="C3063" s="1"/>
  <c r="B3062"/>
  <c r="D3062" s="1"/>
  <c r="A3062"/>
  <c r="C3062" s="1"/>
  <c r="B3061"/>
  <c r="D3061" s="1"/>
  <c r="A3061"/>
  <c r="C3061" s="1"/>
  <c r="B3060"/>
  <c r="D3060" s="1"/>
  <c r="A3060"/>
  <c r="C3060" s="1"/>
  <c r="B3059"/>
  <c r="D3059" s="1"/>
  <c r="A3059"/>
  <c r="C3059" s="1"/>
  <c r="B3058"/>
  <c r="D3058" s="1"/>
  <c r="A3058"/>
  <c r="C3058" s="1"/>
  <c r="B3057"/>
  <c r="D3057" s="1"/>
  <c r="A3057"/>
  <c r="C3057" s="1"/>
  <c r="B3056"/>
  <c r="D3056" s="1"/>
  <c r="A3056"/>
  <c r="C3056" s="1"/>
  <c r="B3055"/>
  <c r="D3055" s="1"/>
  <c r="A3055"/>
  <c r="C3055" s="1"/>
  <c r="B3054"/>
  <c r="D3054" s="1"/>
  <c r="A3054"/>
  <c r="C3054" s="1"/>
  <c r="B3053"/>
  <c r="D3053" s="1"/>
  <c r="A3053"/>
  <c r="C3053" s="1"/>
  <c r="B3052"/>
  <c r="D3052" s="1"/>
  <c r="A3052"/>
  <c r="C3052" s="1"/>
  <c r="B3051"/>
  <c r="D3051" s="1"/>
  <c r="A3051"/>
  <c r="C3051" s="1"/>
  <c r="B3050"/>
  <c r="D3050" s="1"/>
  <c r="A3050"/>
  <c r="C3050" s="1"/>
  <c r="B3049"/>
  <c r="D3049" s="1"/>
  <c r="A3049"/>
  <c r="C3049" s="1"/>
  <c r="B3048"/>
  <c r="D3048" s="1"/>
  <c r="A3048"/>
  <c r="C3048" s="1"/>
  <c r="B3047"/>
  <c r="D3047" s="1"/>
  <c r="A3047"/>
  <c r="C3047" s="1"/>
  <c r="B3046"/>
  <c r="D3046" s="1"/>
  <c r="A3046"/>
  <c r="C3046" s="1"/>
  <c r="B3045"/>
  <c r="D3045" s="1"/>
  <c r="A3045"/>
  <c r="C3045" s="1"/>
  <c r="B3044"/>
  <c r="D3044" s="1"/>
  <c r="A3044"/>
  <c r="C3044" s="1"/>
  <c r="B3043"/>
  <c r="D3043" s="1"/>
  <c r="A3043"/>
  <c r="C3043" s="1"/>
  <c r="B3042"/>
  <c r="D3042" s="1"/>
  <c r="A3042"/>
  <c r="C3042" s="1"/>
  <c r="B3041"/>
  <c r="D3041" s="1"/>
  <c r="A3041"/>
  <c r="C3041" s="1"/>
  <c r="B3040"/>
  <c r="D3040" s="1"/>
  <c r="A3040"/>
  <c r="C3040" s="1"/>
  <c r="B3039"/>
  <c r="D3039" s="1"/>
  <c r="A3039"/>
  <c r="C3039" s="1"/>
  <c r="B3038"/>
  <c r="D3038" s="1"/>
  <c r="A3038"/>
  <c r="C3038" s="1"/>
  <c r="B3037"/>
  <c r="D3037" s="1"/>
  <c r="A3037"/>
  <c r="C3037" s="1"/>
  <c r="B3036"/>
  <c r="D3036" s="1"/>
  <c r="A3036"/>
  <c r="C3036" s="1"/>
  <c r="B3035"/>
  <c r="D3035" s="1"/>
  <c r="A3035"/>
  <c r="C3035" s="1"/>
  <c r="B3034"/>
  <c r="D3034" s="1"/>
  <c r="A3034"/>
  <c r="C3034" s="1"/>
  <c r="B3033"/>
  <c r="D3033" s="1"/>
  <c r="A3033"/>
  <c r="C3033" s="1"/>
  <c r="B3032"/>
  <c r="D3032" s="1"/>
  <c r="A3032"/>
  <c r="C3032" s="1"/>
  <c r="B3031"/>
  <c r="D3031" s="1"/>
  <c r="A3031"/>
  <c r="C3031" s="1"/>
  <c r="B3030"/>
  <c r="D3030" s="1"/>
  <c r="A3030"/>
  <c r="C3030" s="1"/>
  <c r="B3029"/>
  <c r="D3029" s="1"/>
  <c r="A3029"/>
  <c r="C3029" s="1"/>
  <c r="B3028"/>
  <c r="D3028" s="1"/>
  <c r="A3028"/>
  <c r="C3028" s="1"/>
  <c r="B3027"/>
  <c r="D3027" s="1"/>
  <c r="A3027"/>
  <c r="C3027" s="1"/>
  <c r="B3026"/>
  <c r="D3026" s="1"/>
  <c r="A3026"/>
  <c r="C3026" s="1"/>
  <c r="B3025"/>
  <c r="D3025" s="1"/>
  <c r="A3025"/>
  <c r="C3025" s="1"/>
  <c r="B3024"/>
  <c r="D3024" s="1"/>
  <c r="A3024"/>
  <c r="C3024" s="1"/>
  <c r="B3023"/>
  <c r="D3023" s="1"/>
  <c r="A3023"/>
  <c r="C3023" s="1"/>
  <c r="B3022"/>
  <c r="D3022" s="1"/>
  <c r="A3022"/>
  <c r="C3022" s="1"/>
  <c r="B3021"/>
  <c r="D3021" s="1"/>
  <c r="A3021"/>
  <c r="C3021" s="1"/>
  <c r="B3020"/>
  <c r="D3020" s="1"/>
  <c r="A3020"/>
  <c r="C3020" s="1"/>
  <c r="B3019"/>
  <c r="D3019" s="1"/>
  <c r="A3019"/>
  <c r="C3019" s="1"/>
  <c r="B3018"/>
  <c r="D3018" s="1"/>
  <c r="A3018"/>
  <c r="C3018" s="1"/>
  <c r="B3017"/>
  <c r="D3017" s="1"/>
  <c r="A3017"/>
  <c r="C3017" s="1"/>
  <c r="B3016"/>
  <c r="D3016" s="1"/>
  <c r="A3016"/>
  <c r="C3016" s="1"/>
  <c r="B3015"/>
  <c r="D3015" s="1"/>
  <c r="A3015"/>
  <c r="C3015" s="1"/>
  <c r="B3014"/>
  <c r="D3014" s="1"/>
  <c r="A3014"/>
  <c r="C3014" s="1"/>
  <c r="B3013"/>
  <c r="D3013" s="1"/>
  <c r="A3013"/>
  <c r="C3013" s="1"/>
  <c r="B3012"/>
  <c r="D3012" s="1"/>
  <c r="A3012"/>
  <c r="C3012" s="1"/>
  <c r="B3011"/>
  <c r="D3011" s="1"/>
  <c r="A3011"/>
  <c r="C3011" s="1"/>
  <c r="B3010"/>
  <c r="D3010" s="1"/>
  <c r="A3010"/>
  <c r="C3010" s="1"/>
  <c r="B3009"/>
  <c r="D3009" s="1"/>
  <c r="A3009"/>
  <c r="C3009" s="1"/>
  <c r="B3008"/>
  <c r="D3008" s="1"/>
  <c r="A3008"/>
  <c r="C3008" s="1"/>
  <c r="B3007"/>
  <c r="D3007" s="1"/>
  <c r="A3007"/>
  <c r="C3007" s="1"/>
  <c r="B3006"/>
  <c r="D3006" s="1"/>
  <c r="A3006"/>
  <c r="C3006" s="1"/>
  <c r="B3005"/>
  <c r="D3005" s="1"/>
  <c r="A3005"/>
  <c r="C3005" s="1"/>
  <c r="B3004"/>
  <c r="D3004" s="1"/>
  <c r="A3004"/>
  <c r="C3004" s="1"/>
  <c r="B3003"/>
  <c r="D3003" s="1"/>
  <c r="A3003"/>
  <c r="C3003" s="1"/>
  <c r="B3002"/>
  <c r="D3002" s="1"/>
  <c r="A3002"/>
  <c r="C3002" s="1"/>
  <c r="B3001"/>
  <c r="D3001" s="1"/>
  <c r="A3001"/>
  <c r="C3001" s="1"/>
  <c r="B3000"/>
  <c r="D3000" s="1"/>
  <c r="A3000"/>
  <c r="C3000" s="1"/>
  <c r="B2999"/>
  <c r="D2999" s="1"/>
  <c r="A2999"/>
  <c r="C2999" s="1"/>
  <c r="B2998"/>
  <c r="D2998" s="1"/>
  <c r="A2998"/>
  <c r="C2998" s="1"/>
  <c r="B2997"/>
  <c r="D2997" s="1"/>
  <c r="A2997"/>
  <c r="C2997" s="1"/>
  <c r="B2996"/>
  <c r="D2996" s="1"/>
  <c r="A2996"/>
  <c r="C2996" s="1"/>
  <c r="B2995"/>
  <c r="D2995" s="1"/>
  <c r="A2995"/>
  <c r="C2995" s="1"/>
  <c r="B2994"/>
  <c r="D2994" s="1"/>
  <c r="A2994"/>
  <c r="C2994" s="1"/>
  <c r="B2993"/>
  <c r="D2993" s="1"/>
  <c r="A2993"/>
  <c r="C2993" s="1"/>
  <c r="B2992"/>
  <c r="D2992" s="1"/>
  <c r="A2992"/>
  <c r="C2992" s="1"/>
  <c r="B2991"/>
  <c r="D2991" s="1"/>
  <c r="A2991"/>
  <c r="C2991" s="1"/>
  <c r="B2990"/>
  <c r="D2990" s="1"/>
  <c r="A2990"/>
  <c r="C2990" s="1"/>
  <c r="B2989"/>
  <c r="D2989" s="1"/>
  <c r="A2989"/>
  <c r="C2989" s="1"/>
  <c r="B2988"/>
  <c r="D2988" s="1"/>
  <c r="A2988"/>
  <c r="C2988" s="1"/>
  <c r="B2987"/>
  <c r="D2987" s="1"/>
  <c r="A2987"/>
  <c r="C2987" s="1"/>
  <c r="B2986"/>
  <c r="D2986" s="1"/>
  <c r="A2986"/>
  <c r="C2986" s="1"/>
  <c r="B2985"/>
  <c r="D2985" s="1"/>
  <c r="A2985"/>
  <c r="C2985" s="1"/>
  <c r="B2984"/>
  <c r="D2984" s="1"/>
  <c r="A2984"/>
  <c r="C2984" s="1"/>
  <c r="B2983"/>
  <c r="D2983" s="1"/>
  <c r="A2983"/>
  <c r="C2983" s="1"/>
  <c r="B2982"/>
  <c r="D2982" s="1"/>
  <c r="A2982"/>
  <c r="C2982" s="1"/>
  <c r="B2981"/>
  <c r="D2981" s="1"/>
  <c r="A2981"/>
  <c r="C2981" s="1"/>
  <c r="B2980"/>
  <c r="D2980" s="1"/>
  <c r="A2980"/>
  <c r="C2980" s="1"/>
  <c r="B2979"/>
  <c r="D2979" s="1"/>
  <c r="A2979"/>
  <c r="C2979" s="1"/>
  <c r="B2978"/>
  <c r="D2978" s="1"/>
  <c r="A2978"/>
  <c r="C2978" s="1"/>
  <c r="B2977"/>
  <c r="D2977" s="1"/>
  <c r="A2977"/>
  <c r="C2977" s="1"/>
  <c r="B2976"/>
  <c r="D2976" s="1"/>
  <c r="A2976"/>
  <c r="C2976" s="1"/>
  <c r="B2975"/>
  <c r="D2975" s="1"/>
  <c r="A2975"/>
  <c r="C2975" s="1"/>
  <c r="B2974"/>
  <c r="D2974" s="1"/>
  <c r="A2974"/>
  <c r="C2974" s="1"/>
  <c r="B2973"/>
  <c r="D2973" s="1"/>
  <c r="A2973"/>
  <c r="C2973" s="1"/>
  <c r="B2972"/>
  <c r="D2972" s="1"/>
  <c r="A2972"/>
  <c r="C2972" s="1"/>
  <c r="B2971"/>
  <c r="D2971" s="1"/>
  <c r="A2971"/>
  <c r="C2971" s="1"/>
  <c r="B2970"/>
  <c r="D2970" s="1"/>
  <c r="A2970"/>
  <c r="C2970" s="1"/>
  <c r="B2969"/>
  <c r="D2969" s="1"/>
  <c r="A2969"/>
  <c r="C2969" s="1"/>
  <c r="B2968"/>
  <c r="D2968" s="1"/>
  <c r="A2968"/>
  <c r="C2968" s="1"/>
  <c r="B2967"/>
  <c r="D2967" s="1"/>
  <c r="A2967"/>
  <c r="C2967" s="1"/>
  <c r="B2966"/>
  <c r="D2966" s="1"/>
  <c r="A2966"/>
  <c r="C2966" s="1"/>
  <c r="B2965"/>
  <c r="D2965" s="1"/>
  <c r="A2965"/>
  <c r="C2965" s="1"/>
  <c r="B2964"/>
  <c r="D2964" s="1"/>
  <c r="A2964"/>
  <c r="C2964" s="1"/>
  <c r="B2963"/>
  <c r="D2963" s="1"/>
  <c r="A2963"/>
  <c r="C2963" s="1"/>
  <c r="B2962"/>
  <c r="D2962" s="1"/>
  <c r="A2962"/>
  <c r="C2962" s="1"/>
  <c r="B2961"/>
  <c r="D2961" s="1"/>
  <c r="A2961"/>
  <c r="C2961" s="1"/>
  <c r="B2960"/>
  <c r="D2960" s="1"/>
  <c r="A2960"/>
  <c r="C2960" s="1"/>
  <c r="B2959"/>
  <c r="D2959" s="1"/>
  <c r="A2959"/>
  <c r="C2959" s="1"/>
  <c r="B2958"/>
  <c r="D2958" s="1"/>
  <c r="A2958"/>
  <c r="C2958" s="1"/>
  <c r="B2957"/>
  <c r="D2957" s="1"/>
  <c r="A2957"/>
  <c r="C2957" s="1"/>
  <c r="B2956"/>
  <c r="D2956" s="1"/>
  <c r="A2956"/>
  <c r="C2956" s="1"/>
  <c r="B2955"/>
  <c r="D2955" s="1"/>
  <c r="A2955"/>
  <c r="C2955" s="1"/>
  <c r="B2954"/>
  <c r="D2954" s="1"/>
  <c r="A2954"/>
  <c r="C2954" s="1"/>
  <c r="B2953"/>
  <c r="D2953" s="1"/>
  <c r="A2953"/>
  <c r="C2953" s="1"/>
  <c r="B2952"/>
  <c r="D2952" s="1"/>
  <c r="A2952"/>
  <c r="C2952" s="1"/>
  <c r="B2951"/>
  <c r="D2951" s="1"/>
  <c r="A2951"/>
  <c r="C2951" s="1"/>
  <c r="B2950"/>
  <c r="D2950" s="1"/>
  <c r="A2950"/>
  <c r="C2950" s="1"/>
  <c r="B2949"/>
  <c r="D2949" s="1"/>
  <c r="A2949"/>
  <c r="C2949" s="1"/>
  <c r="B2948"/>
  <c r="D2948" s="1"/>
  <c r="A2948"/>
  <c r="C2948" s="1"/>
  <c r="B2947"/>
  <c r="D2947" s="1"/>
  <c r="A2947"/>
  <c r="C2947" s="1"/>
  <c r="B2946"/>
  <c r="D2946" s="1"/>
  <c r="A2946"/>
  <c r="C2946" s="1"/>
  <c r="B2945"/>
  <c r="D2945" s="1"/>
  <c r="A2945"/>
  <c r="C2945" s="1"/>
  <c r="B2944"/>
  <c r="D2944" s="1"/>
  <c r="A2944"/>
  <c r="C2944" s="1"/>
  <c r="B2943"/>
  <c r="D2943" s="1"/>
  <c r="A2943"/>
  <c r="C2943" s="1"/>
  <c r="B2942"/>
  <c r="D2942" s="1"/>
  <c r="A2942"/>
  <c r="C2942" s="1"/>
  <c r="B2941"/>
  <c r="D2941" s="1"/>
  <c r="A2941"/>
  <c r="C2941" s="1"/>
  <c r="B2940"/>
  <c r="D2940" s="1"/>
  <c r="A2940"/>
  <c r="C2940" s="1"/>
  <c r="B2939"/>
  <c r="D2939" s="1"/>
  <c r="A2939"/>
  <c r="C2939" s="1"/>
  <c r="B2938"/>
  <c r="D2938" s="1"/>
  <c r="A2938"/>
  <c r="C2938" s="1"/>
  <c r="B2937"/>
  <c r="D2937" s="1"/>
  <c r="A2937"/>
  <c r="C2937" s="1"/>
  <c r="B2936"/>
  <c r="D2936" s="1"/>
  <c r="A2936"/>
  <c r="C2936" s="1"/>
  <c r="B2935"/>
  <c r="D2935" s="1"/>
  <c r="A2935"/>
  <c r="C2935" s="1"/>
  <c r="B2934"/>
  <c r="D2934" s="1"/>
  <c r="A2934"/>
  <c r="C2934" s="1"/>
  <c r="B2933"/>
  <c r="D2933" s="1"/>
  <c r="A2933"/>
  <c r="C2933" s="1"/>
  <c r="B2932"/>
  <c r="D2932" s="1"/>
  <c r="A2932"/>
  <c r="C2932" s="1"/>
  <c r="B2931"/>
  <c r="D2931" s="1"/>
  <c r="A2931"/>
  <c r="C2931" s="1"/>
  <c r="B2930"/>
  <c r="D2930" s="1"/>
  <c r="A2930"/>
  <c r="C2930" s="1"/>
  <c r="B2929"/>
  <c r="D2929" s="1"/>
  <c r="A2929"/>
  <c r="C2929" s="1"/>
  <c r="B2928"/>
  <c r="D2928" s="1"/>
  <c r="A2928"/>
  <c r="C2928" s="1"/>
  <c r="B2927"/>
  <c r="D2927" s="1"/>
  <c r="A2927"/>
  <c r="C2927" s="1"/>
  <c r="B2926"/>
  <c r="D2926" s="1"/>
  <c r="A2926"/>
  <c r="C2926" s="1"/>
  <c r="B2925"/>
  <c r="D2925" s="1"/>
  <c r="A2925"/>
  <c r="C2925" s="1"/>
  <c r="B2924"/>
  <c r="D2924" s="1"/>
  <c r="A2924"/>
  <c r="C2924" s="1"/>
  <c r="B2923"/>
  <c r="D2923" s="1"/>
  <c r="A2923"/>
  <c r="C2923" s="1"/>
  <c r="B2922"/>
  <c r="D2922" s="1"/>
  <c r="A2922"/>
  <c r="C2922" s="1"/>
  <c r="B2921"/>
  <c r="D2921" s="1"/>
  <c r="A2921"/>
  <c r="C2921" s="1"/>
  <c r="B2920"/>
  <c r="D2920" s="1"/>
  <c r="A2920"/>
  <c r="C2920" s="1"/>
  <c r="B2919"/>
  <c r="D2919" s="1"/>
  <c r="A2919"/>
  <c r="C2919" s="1"/>
  <c r="B2918"/>
  <c r="D2918" s="1"/>
  <c r="A2918"/>
  <c r="C2918" s="1"/>
  <c r="B2917"/>
  <c r="D2917" s="1"/>
  <c r="A2917"/>
  <c r="C2917" s="1"/>
  <c r="B2916"/>
  <c r="D2916" s="1"/>
  <c r="A2916"/>
  <c r="C2916" s="1"/>
  <c r="B2915"/>
  <c r="D2915" s="1"/>
  <c r="A2915"/>
  <c r="C2915" s="1"/>
  <c r="B2914"/>
  <c r="D2914" s="1"/>
  <c r="A2914"/>
  <c r="C2914" s="1"/>
  <c r="B2913"/>
  <c r="D2913" s="1"/>
  <c r="A2913"/>
  <c r="C2913" s="1"/>
  <c r="B2912"/>
  <c r="D2912" s="1"/>
  <c r="A2912"/>
  <c r="C2912" s="1"/>
  <c r="B2911"/>
  <c r="D2911" s="1"/>
  <c r="A2911"/>
  <c r="C2911" s="1"/>
  <c r="B2910"/>
  <c r="D2910" s="1"/>
  <c r="A2910"/>
  <c r="C2910" s="1"/>
  <c r="B2909"/>
  <c r="D2909" s="1"/>
  <c r="A2909"/>
  <c r="C2909" s="1"/>
  <c r="B2908"/>
  <c r="D2908" s="1"/>
  <c r="A2908"/>
  <c r="C2908" s="1"/>
  <c r="B2907"/>
  <c r="D2907" s="1"/>
  <c r="A2907"/>
  <c r="C2907" s="1"/>
  <c r="B2906"/>
  <c r="D2906" s="1"/>
  <c r="A2906"/>
  <c r="C2906" s="1"/>
  <c r="B2905"/>
  <c r="D2905" s="1"/>
  <c r="A2905"/>
  <c r="C2905" s="1"/>
  <c r="B2904"/>
  <c r="D2904" s="1"/>
  <c r="A2904"/>
  <c r="C2904" s="1"/>
  <c r="B2903"/>
  <c r="D2903" s="1"/>
  <c r="A2903"/>
  <c r="C2903" s="1"/>
  <c r="B2902"/>
  <c r="D2902" s="1"/>
  <c r="A2902"/>
  <c r="C2902" s="1"/>
  <c r="B2901"/>
  <c r="D2901" s="1"/>
  <c r="A2901"/>
  <c r="C2901" s="1"/>
  <c r="B2900"/>
  <c r="D2900" s="1"/>
  <c r="A2900"/>
  <c r="C2900" s="1"/>
  <c r="B2899"/>
  <c r="D2899" s="1"/>
  <c r="A2899"/>
  <c r="C2899" s="1"/>
  <c r="B2898"/>
  <c r="D2898" s="1"/>
  <c r="A2898"/>
  <c r="C2898" s="1"/>
  <c r="B2897"/>
  <c r="D2897" s="1"/>
  <c r="A2897"/>
  <c r="C2897" s="1"/>
  <c r="B2896"/>
  <c r="D2896" s="1"/>
  <c r="A2896"/>
  <c r="C2896" s="1"/>
  <c r="B2895"/>
  <c r="D2895" s="1"/>
  <c r="A2895"/>
  <c r="C2895" s="1"/>
  <c r="B2894"/>
  <c r="D2894" s="1"/>
  <c r="A2894"/>
  <c r="C2894" s="1"/>
  <c r="B2893"/>
  <c r="D2893" s="1"/>
  <c r="A2893"/>
  <c r="C2893" s="1"/>
  <c r="B2892"/>
  <c r="D2892" s="1"/>
  <c r="A2892"/>
  <c r="C2892" s="1"/>
  <c r="B2891"/>
  <c r="D2891" s="1"/>
  <c r="A2891"/>
  <c r="C2891" s="1"/>
  <c r="B2890"/>
  <c r="D2890" s="1"/>
  <c r="A2890"/>
  <c r="C2890" s="1"/>
  <c r="B2889"/>
  <c r="D2889" s="1"/>
  <c r="A2889"/>
  <c r="C2889" s="1"/>
  <c r="B2888"/>
  <c r="D2888" s="1"/>
  <c r="A2888"/>
  <c r="C2888" s="1"/>
  <c r="B2887"/>
  <c r="D2887" s="1"/>
  <c r="A2887"/>
  <c r="C2887" s="1"/>
  <c r="B2886"/>
  <c r="D2886" s="1"/>
  <c r="A2886"/>
  <c r="C2886" s="1"/>
  <c r="B2885"/>
  <c r="D2885" s="1"/>
  <c r="A2885"/>
  <c r="C2885" s="1"/>
  <c r="B2884"/>
  <c r="D2884" s="1"/>
  <c r="A2884"/>
  <c r="C2884" s="1"/>
  <c r="B2883"/>
  <c r="D2883" s="1"/>
  <c r="A2883"/>
  <c r="C2883" s="1"/>
  <c r="B2882"/>
  <c r="D2882" s="1"/>
  <c r="A2882"/>
  <c r="C2882" s="1"/>
  <c r="B2881"/>
  <c r="D2881" s="1"/>
  <c r="A2881"/>
  <c r="C2881" s="1"/>
  <c r="B2880"/>
  <c r="D2880" s="1"/>
  <c r="A2880"/>
  <c r="C2880" s="1"/>
  <c r="B2879"/>
  <c r="D2879" s="1"/>
  <c r="A2879"/>
  <c r="C2879" s="1"/>
  <c r="B2878"/>
  <c r="D2878" s="1"/>
  <c r="A2878"/>
  <c r="C2878" s="1"/>
  <c r="B2877"/>
  <c r="D2877" s="1"/>
  <c r="A2877"/>
  <c r="C2877" s="1"/>
  <c r="B2876"/>
  <c r="D2876" s="1"/>
  <c r="A2876"/>
  <c r="C2876" s="1"/>
  <c r="B2875"/>
  <c r="D2875" s="1"/>
  <c r="A2875"/>
  <c r="C2875" s="1"/>
  <c r="B2874"/>
  <c r="D2874" s="1"/>
  <c r="A2874"/>
  <c r="C2874" s="1"/>
  <c r="B2873"/>
  <c r="D2873" s="1"/>
  <c r="A2873"/>
  <c r="C2873" s="1"/>
  <c r="B2872"/>
  <c r="D2872" s="1"/>
  <c r="A2872"/>
  <c r="C2872" s="1"/>
  <c r="B2871"/>
  <c r="D2871" s="1"/>
  <c r="A2871"/>
  <c r="C2871" s="1"/>
  <c r="B2870"/>
  <c r="D2870" s="1"/>
  <c r="A2870"/>
  <c r="C2870" s="1"/>
  <c r="B2869"/>
  <c r="D2869" s="1"/>
  <c r="A2869"/>
  <c r="C2869" s="1"/>
  <c r="B2868"/>
  <c r="D2868" s="1"/>
  <c r="A2868"/>
  <c r="C2868" s="1"/>
  <c r="B2867"/>
  <c r="D2867" s="1"/>
  <c r="A2867"/>
  <c r="C2867" s="1"/>
  <c r="B2866"/>
  <c r="D2866" s="1"/>
  <c r="A2866"/>
  <c r="C2866" s="1"/>
  <c r="B2865"/>
  <c r="D2865" s="1"/>
  <c r="A2865"/>
  <c r="C2865" s="1"/>
  <c r="B2864"/>
  <c r="D2864" s="1"/>
  <c r="A2864"/>
  <c r="C2864" s="1"/>
  <c r="B2863"/>
  <c r="D2863" s="1"/>
  <c r="A2863"/>
  <c r="C2863" s="1"/>
  <c r="B2862"/>
  <c r="D2862" s="1"/>
  <c r="A2862"/>
  <c r="C2862" s="1"/>
  <c r="B2861"/>
  <c r="D2861" s="1"/>
  <c r="A2861"/>
  <c r="C2861" s="1"/>
  <c r="B2860"/>
  <c r="D2860" s="1"/>
  <c r="A2860"/>
  <c r="C2860" s="1"/>
  <c r="B2859"/>
  <c r="D2859" s="1"/>
  <c r="A2859"/>
  <c r="C2859" s="1"/>
  <c r="B2858"/>
  <c r="D2858" s="1"/>
  <c r="A2858"/>
  <c r="C2858" s="1"/>
  <c r="B2857"/>
  <c r="D2857" s="1"/>
  <c r="A2857"/>
  <c r="C2857" s="1"/>
  <c r="B2856"/>
  <c r="D2856" s="1"/>
  <c r="A2856"/>
  <c r="C2856" s="1"/>
  <c r="B2855"/>
  <c r="D2855" s="1"/>
  <c r="A2855"/>
  <c r="C2855" s="1"/>
  <c r="B2854"/>
  <c r="D2854" s="1"/>
  <c r="A2854"/>
  <c r="C2854" s="1"/>
  <c r="B2853"/>
  <c r="D2853" s="1"/>
  <c r="A2853"/>
  <c r="C2853" s="1"/>
  <c r="B2852"/>
  <c r="D2852" s="1"/>
  <c r="A2852"/>
  <c r="C2852" s="1"/>
  <c r="B2851"/>
  <c r="D2851" s="1"/>
  <c r="A2851"/>
  <c r="C2851" s="1"/>
  <c r="B2850"/>
  <c r="D2850" s="1"/>
  <c r="A2850"/>
  <c r="C2850" s="1"/>
  <c r="B2849"/>
  <c r="D2849" s="1"/>
  <c r="A2849"/>
  <c r="C2849" s="1"/>
  <c r="B2848"/>
  <c r="D2848" s="1"/>
  <c r="A2848"/>
  <c r="C2848" s="1"/>
  <c r="B2847"/>
  <c r="D2847" s="1"/>
  <c r="A2847"/>
  <c r="C2847" s="1"/>
  <c r="B2846"/>
  <c r="D2846" s="1"/>
  <c r="A2846"/>
  <c r="C2846" s="1"/>
  <c r="B2845"/>
  <c r="D2845" s="1"/>
  <c r="A2845"/>
  <c r="C2845" s="1"/>
  <c r="B2844"/>
  <c r="D2844" s="1"/>
  <c r="A2844"/>
  <c r="C2844" s="1"/>
  <c r="B2843"/>
  <c r="D2843" s="1"/>
  <c r="A2843"/>
  <c r="C2843" s="1"/>
  <c r="B2842"/>
  <c r="D2842" s="1"/>
  <c r="A2842"/>
  <c r="C2842" s="1"/>
  <c r="B2841"/>
  <c r="D2841" s="1"/>
  <c r="A2841"/>
  <c r="C2841" s="1"/>
  <c r="B2840"/>
  <c r="D2840" s="1"/>
  <c r="A2840"/>
  <c r="C2840" s="1"/>
  <c r="B2839"/>
  <c r="D2839" s="1"/>
  <c r="A2839"/>
  <c r="C2839" s="1"/>
  <c r="B2838"/>
  <c r="D2838" s="1"/>
  <c r="A2838"/>
  <c r="C2838" s="1"/>
  <c r="B2837"/>
  <c r="D2837" s="1"/>
  <c r="A2837"/>
  <c r="C2837" s="1"/>
  <c r="B2836"/>
  <c r="D2836" s="1"/>
  <c r="A2836"/>
  <c r="C2836" s="1"/>
  <c r="B2835"/>
  <c r="D2835" s="1"/>
  <c r="A2835"/>
  <c r="C2835" s="1"/>
  <c r="B2834"/>
  <c r="D2834" s="1"/>
  <c r="A2834"/>
  <c r="C2834" s="1"/>
  <c r="B2833"/>
  <c r="D2833" s="1"/>
  <c r="A2833"/>
  <c r="C2833" s="1"/>
  <c r="B2832"/>
  <c r="D2832" s="1"/>
  <c r="A2832"/>
  <c r="C2832" s="1"/>
  <c r="B2831"/>
  <c r="D2831" s="1"/>
  <c r="A2831"/>
  <c r="C2831" s="1"/>
  <c r="B2830"/>
  <c r="D2830" s="1"/>
  <c r="A2830"/>
  <c r="C2830" s="1"/>
  <c r="B2829"/>
  <c r="D2829" s="1"/>
  <c r="A2829"/>
  <c r="C2829" s="1"/>
  <c r="B2828"/>
  <c r="D2828" s="1"/>
  <c r="A2828"/>
  <c r="C2828" s="1"/>
  <c r="B2827"/>
  <c r="D2827" s="1"/>
  <c r="A2827"/>
  <c r="C2827" s="1"/>
  <c r="B2826"/>
  <c r="D2826" s="1"/>
  <c r="A2826"/>
  <c r="C2826" s="1"/>
  <c r="B2825"/>
  <c r="D2825" s="1"/>
  <c r="A2825"/>
  <c r="C2825" s="1"/>
  <c r="B2824"/>
  <c r="D2824" s="1"/>
  <c r="A2824"/>
  <c r="C2824" s="1"/>
  <c r="B2823"/>
  <c r="D2823" s="1"/>
  <c r="A2823"/>
  <c r="C2823" s="1"/>
  <c r="B2822"/>
  <c r="D2822" s="1"/>
  <c r="A2822"/>
  <c r="C2822" s="1"/>
  <c r="B2821"/>
  <c r="D2821" s="1"/>
  <c r="A2821"/>
  <c r="C2821" s="1"/>
  <c r="B2820"/>
  <c r="D2820" s="1"/>
  <c r="A2820"/>
  <c r="C2820" s="1"/>
  <c r="B2819"/>
  <c r="D2819" s="1"/>
  <c r="A2819"/>
  <c r="C2819" s="1"/>
  <c r="B2818"/>
  <c r="D2818" s="1"/>
  <c r="A2818"/>
  <c r="C2818" s="1"/>
  <c r="B2817"/>
  <c r="D2817" s="1"/>
  <c r="A2817"/>
  <c r="C2817" s="1"/>
  <c r="B2816"/>
  <c r="D2816" s="1"/>
  <c r="A2816"/>
  <c r="C2816" s="1"/>
  <c r="B2815"/>
  <c r="D2815" s="1"/>
  <c r="A2815"/>
  <c r="C2815" s="1"/>
  <c r="B2814"/>
  <c r="D2814" s="1"/>
  <c r="A2814"/>
  <c r="C2814" s="1"/>
  <c r="B2813"/>
  <c r="D2813" s="1"/>
  <c r="A2813"/>
  <c r="C2813" s="1"/>
  <c r="B2812"/>
  <c r="D2812" s="1"/>
  <c r="A2812"/>
  <c r="C2812" s="1"/>
  <c r="B2811"/>
  <c r="D2811" s="1"/>
  <c r="A2811"/>
  <c r="C2811" s="1"/>
  <c r="B2810"/>
  <c r="D2810" s="1"/>
  <c r="A2810"/>
  <c r="C2810" s="1"/>
  <c r="B2809"/>
  <c r="D2809" s="1"/>
  <c r="A2809"/>
  <c r="C2809" s="1"/>
  <c r="B2808"/>
  <c r="D2808" s="1"/>
  <c r="A2808"/>
  <c r="C2808" s="1"/>
  <c r="B2807"/>
  <c r="D2807" s="1"/>
  <c r="A2807"/>
  <c r="C2807" s="1"/>
  <c r="B2806"/>
  <c r="D2806" s="1"/>
  <c r="A2806"/>
  <c r="C2806" s="1"/>
  <c r="B2805"/>
  <c r="D2805" s="1"/>
  <c r="A2805"/>
  <c r="C2805" s="1"/>
  <c r="B2804"/>
  <c r="D2804" s="1"/>
  <c r="A2804"/>
  <c r="C2804" s="1"/>
  <c r="B2803"/>
  <c r="D2803" s="1"/>
  <c r="A2803"/>
  <c r="C2803" s="1"/>
  <c r="B2802"/>
  <c r="D2802" s="1"/>
  <c r="A2802"/>
  <c r="C2802" s="1"/>
  <c r="B2801"/>
  <c r="D2801" s="1"/>
  <c r="A2801"/>
  <c r="C2801" s="1"/>
  <c r="B2800"/>
  <c r="D2800" s="1"/>
  <c r="A2800"/>
  <c r="C2800" s="1"/>
  <c r="B2799"/>
  <c r="D2799" s="1"/>
  <c r="A2799"/>
  <c r="C2799" s="1"/>
  <c r="B2798"/>
  <c r="D2798" s="1"/>
  <c r="A2798"/>
  <c r="C2798" s="1"/>
  <c r="B2797"/>
  <c r="D2797" s="1"/>
  <c r="A2797"/>
  <c r="C2797" s="1"/>
  <c r="B2796"/>
  <c r="D2796" s="1"/>
  <c r="A2796"/>
  <c r="C2796" s="1"/>
  <c r="B2795"/>
  <c r="D2795" s="1"/>
  <c r="A2795"/>
  <c r="C2795" s="1"/>
  <c r="B2794"/>
  <c r="D2794" s="1"/>
  <c r="A2794"/>
  <c r="C2794" s="1"/>
  <c r="B2793"/>
  <c r="D2793" s="1"/>
  <c r="A2793"/>
  <c r="C2793" s="1"/>
  <c r="B2792"/>
  <c r="D2792" s="1"/>
  <c r="A2792"/>
  <c r="C2792" s="1"/>
  <c r="B2791"/>
  <c r="D2791" s="1"/>
  <c r="A2791"/>
  <c r="C2791" s="1"/>
  <c r="B2790"/>
  <c r="D2790" s="1"/>
  <c r="A2790"/>
  <c r="C2790" s="1"/>
  <c r="B2789"/>
  <c r="D2789" s="1"/>
  <c r="A2789"/>
  <c r="C2789" s="1"/>
  <c r="B2788"/>
  <c r="D2788" s="1"/>
  <c r="A2788"/>
  <c r="C2788" s="1"/>
  <c r="B2787"/>
  <c r="D2787" s="1"/>
  <c r="A2787"/>
  <c r="C2787" s="1"/>
  <c r="B2786"/>
  <c r="D2786" s="1"/>
  <c r="A2786"/>
  <c r="C2786" s="1"/>
  <c r="B2785"/>
  <c r="D2785" s="1"/>
  <c r="A2785"/>
  <c r="C2785" s="1"/>
  <c r="B2784"/>
  <c r="D2784" s="1"/>
  <c r="A2784"/>
  <c r="C2784" s="1"/>
  <c r="B2783"/>
  <c r="D2783" s="1"/>
  <c r="A2783"/>
  <c r="C2783" s="1"/>
  <c r="B2782"/>
  <c r="D2782" s="1"/>
  <c r="A2782"/>
  <c r="C2782" s="1"/>
  <c r="B2781"/>
  <c r="D2781" s="1"/>
  <c r="A2781"/>
  <c r="C2781" s="1"/>
  <c r="B2780"/>
  <c r="D2780" s="1"/>
  <c r="A2780"/>
  <c r="C2780" s="1"/>
  <c r="B2779"/>
  <c r="D2779" s="1"/>
  <c r="A2779"/>
  <c r="C2779" s="1"/>
  <c r="B2778"/>
  <c r="D2778" s="1"/>
  <c r="A2778"/>
  <c r="C2778" s="1"/>
  <c r="B2777"/>
  <c r="D2777" s="1"/>
  <c r="A2777"/>
  <c r="C2777" s="1"/>
  <c r="B2776"/>
  <c r="D2776" s="1"/>
  <c r="A2776"/>
  <c r="C2776" s="1"/>
  <c r="B2775"/>
  <c r="D2775" s="1"/>
  <c r="A2775"/>
  <c r="C2775" s="1"/>
  <c r="B2774"/>
  <c r="D2774" s="1"/>
  <c r="A2774"/>
  <c r="C2774" s="1"/>
  <c r="B2773"/>
  <c r="D2773" s="1"/>
  <c r="A2773"/>
  <c r="C2773" s="1"/>
  <c r="B2772"/>
  <c r="D2772" s="1"/>
  <c r="A2772"/>
  <c r="C2772" s="1"/>
  <c r="B2771"/>
  <c r="D2771" s="1"/>
  <c r="A2771"/>
  <c r="C2771" s="1"/>
  <c r="B2770"/>
  <c r="D2770" s="1"/>
  <c r="A2770"/>
  <c r="C2770" s="1"/>
  <c r="B2769"/>
  <c r="D2769" s="1"/>
  <c r="A2769"/>
  <c r="C2769" s="1"/>
  <c r="B2768"/>
  <c r="D2768" s="1"/>
  <c r="A2768"/>
  <c r="C2768" s="1"/>
  <c r="B2767"/>
  <c r="D2767" s="1"/>
  <c r="A2767"/>
  <c r="C2767" s="1"/>
  <c r="B2766"/>
  <c r="D2766" s="1"/>
  <c r="A2766"/>
  <c r="C2766" s="1"/>
  <c r="B2765"/>
  <c r="D2765" s="1"/>
  <c r="A2765"/>
  <c r="C2765" s="1"/>
  <c r="B2764"/>
  <c r="D2764" s="1"/>
  <c r="A2764"/>
  <c r="C2764" s="1"/>
  <c r="B2763"/>
  <c r="D2763" s="1"/>
  <c r="A2763"/>
  <c r="C2763" s="1"/>
  <c r="B2762"/>
  <c r="D2762" s="1"/>
  <c r="A2762"/>
  <c r="C2762" s="1"/>
  <c r="B2761"/>
  <c r="D2761" s="1"/>
  <c r="A2761"/>
  <c r="C2761" s="1"/>
  <c r="B2760"/>
  <c r="D2760" s="1"/>
  <c r="A2760"/>
  <c r="C2760" s="1"/>
  <c r="B2759"/>
  <c r="D2759" s="1"/>
  <c r="A2759"/>
  <c r="C2759" s="1"/>
  <c r="B2758"/>
  <c r="D2758" s="1"/>
  <c r="A2758"/>
  <c r="C2758" s="1"/>
  <c r="B2757"/>
  <c r="D2757" s="1"/>
  <c r="A2757"/>
  <c r="C2757" s="1"/>
  <c r="B2756"/>
  <c r="D2756" s="1"/>
  <c r="A2756"/>
  <c r="C2756" s="1"/>
  <c r="B2755"/>
  <c r="D2755" s="1"/>
  <c r="A2755"/>
  <c r="C2755" s="1"/>
  <c r="B2754"/>
  <c r="D2754" s="1"/>
  <c r="A2754"/>
  <c r="C2754" s="1"/>
  <c r="B2753"/>
  <c r="D2753" s="1"/>
  <c r="A2753"/>
  <c r="C2753" s="1"/>
  <c r="B2752"/>
  <c r="D2752" s="1"/>
  <c r="A2752"/>
  <c r="C2752" s="1"/>
  <c r="B2751"/>
  <c r="D2751" s="1"/>
  <c r="A2751"/>
  <c r="C2751" s="1"/>
  <c r="B2750"/>
  <c r="D2750" s="1"/>
  <c r="A2750"/>
  <c r="C2750" s="1"/>
  <c r="B2749"/>
  <c r="D2749" s="1"/>
  <c r="A2749"/>
  <c r="C2749" s="1"/>
  <c r="B2748"/>
  <c r="D2748" s="1"/>
  <c r="A2748"/>
  <c r="C2748" s="1"/>
  <c r="B2747"/>
  <c r="D2747" s="1"/>
  <c r="A2747"/>
  <c r="C2747" s="1"/>
  <c r="B2746"/>
  <c r="D2746" s="1"/>
  <c r="A2746"/>
  <c r="C2746" s="1"/>
  <c r="B2745"/>
  <c r="D2745" s="1"/>
  <c r="A2745"/>
  <c r="C2745" s="1"/>
  <c r="B2744"/>
  <c r="D2744" s="1"/>
  <c r="A2744"/>
  <c r="C2744" s="1"/>
  <c r="B2743"/>
  <c r="D2743" s="1"/>
  <c r="A2743"/>
  <c r="C2743" s="1"/>
  <c r="B2742"/>
  <c r="D2742" s="1"/>
  <c r="A2742"/>
  <c r="C2742" s="1"/>
  <c r="B2741"/>
  <c r="D2741" s="1"/>
  <c r="A2741"/>
  <c r="C2741" s="1"/>
  <c r="B2740"/>
  <c r="D2740" s="1"/>
  <c r="A2740"/>
  <c r="C2740" s="1"/>
  <c r="B2739"/>
  <c r="D2739" s="1"/>
  <c r="A2739"/>
  <c r="C2739" s="1"/>
  <c r="B2738"/>
  <c r="D2738" s="1"/>
  <c r="A2738"/>
  <c r="C2738" s="1"/>
  <c r="B2737"/>
  <c r="D2737" s="1"/>
  <c r="A2737"/>
  <c r="C2737" s="1"/>
  <c r="B2736"/>
  <c r="D2736" s="1"/>
  <c r="A2736"/>
  <c r="C2736" s="1"/>
  <c r="B2735"/>
  <c r="D2735" s="1"/>
  <c r="A2735"/>
  <c r="C2735" s="1"/>
  <c r="B2734"/>
  <c r="D2734" s="1"/>
  <c r="A2734"/>
  <c r="C2734" s="1"/>
  <c r="B2733"/>
  <c r="D2733" s="1"/>
  <c r="A2733"/>
  <c r="C2733" s="1"/>
  <c r="B2732"/>
  <c r="D2732" s="1"/>
  <c r="A2732"/>
  <c r="C2732" s="1"/>
  <c r="B2731"/>
  <c r="D2731" s="1"/>
  <c r="A2731"/>
  <c r="C2731" s="1"/>
  <c r="B2730"/>
  <c r="D2730" s="1"/>
  <c r="A2730"/>
  <c r="C2730" s="1"/>
  <c r="B2729"/>
  <c r="D2729" s="1"/>
  <c r="A2729"/>
  <c r="C2729" s="1"/>
  <c r="B2728"/>
  <c r="D2728" s="1"/>
  <c r="A2728"/>
  <c r="C2728" s="1"/>
  <c r="B2727"/>
  <c r="D2727" s="1"/>
  <c r="A2727"/>
  <c r="C2727" s="1"/>
  <c r="B2726"/>
  <c r="D2726" s="1"/>
  <c r="A2726"/>
  <c r="C2726" s="1"/>
  <c r="B2725"/>
  <c r="D2725" s="1"/>
  <c r="A2725"/>
  <c r="C2725" s="1"/>
  <c r="B2724"/>
  <c r="D2724" s="1"/>
  <c r="A2724"/>
  <c r="C2724" s="1"/>
  <c r="B2723"/>
  <c r="D2723" s="1"/>
  <c r="A2723"/>
  <c r="C2723" s="1"/>
  <c r="B2722"/>
  <c r="D2722" s="1"/>
  <c r="A2722"/>
  <c r="C2722" s="1"/>
  <c r="B2721"/>
  <c r="D2721" s="1"/>
  <c r="A2721"/>
  <c r="C2721" s="1"/>
  <c r="B2720"/>
  <c r="D2720" s="1"/>
  <c r="A2720"/>
  <c r="C2720" s="1"/>
  <c r="B2719"/>
  <c r="D2719" s="1"/>
  <c r="A2719"/>
  <c r="C2719" s="1"/>
  <c r="B2718"/>
  <c r="D2718" s="1"/>
  <c r="A2718"/>
  <c r="C2718" s="1"/>
  <c r="B2717"/>
  <c r="D2717" s="1"/>
  <c r="A2717"/>
  <c r="C2717" s="1"/>
  <c r="B2716"/>
  <c r="D2716" s="1"/>
  <c r="A2716"/>
  <c r="C2716" s="1"/>
  <c r="B2715"/>
  <c r="D2715" s="1"/>
  <c r="A2715"/>
  <c r="C2715" s="1"/>
  <c r="B2714"/>
  <c r="D2714" s="1"/>
  <c r="A2714"/>
  <c r="C2714" s="1"/>
  <c r="B2713"/>
  <c r="D2713" s="1"/>
  <c r="A2713"/>
  <c r="C2713" s="1"/>
  <c r="B2712"/>
  <c r="D2712" s="1"/>
  <c r="A2712"/>
  <c r="C2712" s="1"/>
  <c r="B2711"/>
  <c r="D2711" s="1"/>
  <c r="A2711"/>
  <c r="C2711" s="1"/>
  <c r="B2710"/>
  <c r="D2710" s="1"/>
  <c r="A2710"/>
  <c r="C2710" s="1"/>
  <c r="B2709"/>
  <c r="D2709" s="1"/>
  <c r="A2709"/>
  <c r="C2709" s="1"/>
  <c r="B2708"/>
  <c r="D2708" s="1"/>
  <c r="A2708"/>
  <c r="C2708" s="1"/>
  <c r="B2707"/>
  <c r="D2707" s="1"/>
  <c r="A2707"/>
  <c r="C2707" s="1"/>
  <c r="B2706"/>
  <c r="D2706" s="1"/>
  <c r="A2706"/>
  <c r="C2706" s="1"/>
  <c r="B2705"/>
  <c r="D2705" s="1"/>
  <c r="A2705"/>
  <c r="C2705" s="1"/>
  <c r="B2704"/>
  <c r="D2704" s="1"/>
  <c r="A2704"/>
  <c r="C2704" s="1"/>
  <c r="B2703"/>
  <c r="D2703" s="1"/>
  <c r="A2703"/>
  <c r="C2703" s="1"/>
  <c r="B2702"/>
  <c r="D2702" s="1"/>
  <c r="A2702"/>
  <c r="C2702" s="1"/>
  <c r="B2701"/>
  <c r="D2701" s="1"/>
  <c r="A2701"/>
  <c r="C2701" s="1"/>
  <c r="B2700"/>
  <c r="D2700" s="1"/>
  <c r="A2700"/>
  <c r="C2700" s="1"/>
  <c r="B2699"/>
  <c r="D2699" s="1"/>
  <c r="A2699"/>
  <c r="C2699" s="1"/>
  <c r="B2698"/>
  <c r="D2698" s="1"/>
  <c r="A2698"/>
  <c r="C2698" s="1"/>
  <c r="B2697"/>
  <c r="D2697" s="1"/>
  <c r="A2697"/>
  <c r="C2697" s="1"/>
  <c r="B2696"/>
  <c r="D2696" s="1"/>
  <c r="A2696"/>
  <c r="C2696" s="1"/>
  <c r="B2695"/>
  <c r="D2695" s="1"/>
  <c r="A2695"/>
  <c r="C2695" s="1"/>
  <c r="B2694"/>
  <c r="D2694" s="1"/>
  <c r="A2694"/>
  <c r="C2694" s="1"/>
  <c r="B2693"/>
  <c r="D2693" s="1"/>
  <c r="A2693"/>
  <c r="C2693" s="1"/>
  <c r="B2692"/>
  <c r="D2692" s="1"/>
  <c r="A2692"/>
  <c r="C2692" s="1"/>
  <c r="B2691"/>
  <c r="D2691" s="1"/>
  <c r="A2691"/>
  <c r="C2691" s="1"/>
  <c r="B2690"/>
  <c r="D2690" s="1"/>
  <c r="A2690"/>
  <c r="C2690" s="1"/>
  <c r="B2689"/>
  <c r="D2689" s="1"/>
  <c r="A2689"/>
  <c r="C2689" s="1"/>
  <c r="B2688"/>
  <c r="D2688" s="1"/>
  <c r="A2688"/>
  <c r="C2688" s="1"/>
  <c r="B2687"/>
  <c r="D2687" s="1"/>
  <c r="A2687"/>
  <c r="C2687" s="1"/>
  <c r="B2686"/>
  <c r="D2686" s="1"/>
  <c r="A2686"/>
  <c r="C2686" s="1"/>
  <c r="B2685"/>
  <c r="D2685" s="1"/>
  <c r="A2685"/>
  <c r="C2685" s="1"/>
  <c r="B2684"/>
  <c r="D2684" s="1"/>
  <c r="A2684"/>
  <c r="C2684" s="1"/>
  <c r="B2683"/>
  <c r="D2683" s="1"/>
  <c r="A2683"/>
  <c r="C2683" s="1"/>
  <c r="B2682"/>
  <c r="D2682" s="1"/>
  <c r="A2682"/>
  <c r="C2682" s="1"/>
  <c r="B2681"/>
  <c r="D2681" s="1"/>
  <c r="A2681"/>
  <c r="C2681" s="1"/>
  <c r="B2680"/>
  <c r="D2680" s="1"/>
  <c r="A2680"/>
  <c r="C2680" s="1"/>
  <c r="B2679"/>
  <c r="D2679" s="1"/>
  <c r="A2679"/>
  <c r="C2679" s="1"/>
  <c r="B2678"/>
  <c r="D2678" s="1"/>
  <c r="A2678"/>
  <c r="C2678" s="1"/>
  <c r="B2677"/>
  <c r="D2677" s="1"/>
  <c r="A2677"/>
  <c r="C2677" s="1"/>
  <c r="B2676"/>
  <c r="D2676" s="1"/>
  <c r="A2676"/>
  <c r="C2676" s="1"/>
  <c r="B2675"/>
  <c r="D2675" s="1"/>
  <c r="A2675"/>
  <c r="C2675" s="1"/>
  <c r="B2674"/>
  <c r="D2674" s="1"/>
  <c r="A2674"/>
  <c r="C2674" s="1"/>
  <c r="B2673"/>
  <c r="D2673" s="1"/>
  <c r="A2673"/>
  <c r="C2673" s="1"/>
  <c r="B2672"/>
  <c r="D2672" s="1"/>
  <c r="A2672"/>
  <c r="C2672" s="1"/>
  <c r="B2671"/>
  <c r="D2671" s="1"/>
  <c r="A2671"/>
  <c r="C2671" s="1"/>
  <c r="B2670"/>
  <c r="D2670" s="1"/>
  <c r="A2670"/>
  <c r="C2670" s="1"/>
  <c r="B2669"/>
  <c r="D2669" s="1"/>
  <c r="A2669"/>
  <c r="C2669" s="1"/>
  <c r="B2668"/>
  <c r="D2668" s="1"/>
  <c r="A2668"/>
  <c r="C2668" s="1"/>
  <c r="B2667"/>
  <c r="D2667" s="1"/>
  <c r="A2667"/>
  <c r="C2667" s="1"/>
  <c r="B2666"/>
  <c r="D2666" s="1"/>
  <c r="A2666"/>
  <c r="C2666" s="1"/>
  <c r="B2665"/>
  <c r="D2665" s="1"/>
  <c r="A2665"/>
  <c r="C2665" s="1"/>
  <c r="B2664"/>
  <c r="D2664" s="1"/>
  <c r="A2664"/>
  <c r="C2664" s="1"/>
  <c r="B2663"/>
  <c r="D2663" s="1"/>
  <c r="A2663"/>
  <c r="C2663" s="1"/>
  <c r="B2662"/>
  <c r="D2662" s="1"/>
  <c r="A2662"/>
  <c r="C2662" s="1"/>
  <c r="B2661"/>
  <c r="D2661" s="1"/>
  <c r="A2661"/>
  <c r="C2661" s="1"/>
  <c r="B2660"/>
  <c r="D2660" s="1"/>
  <c r="A2660"/>
  <c r="C2660" s="1"/>
  <c r="B2659"/>
  <c r="D2659" s="1"/>
  <c r="A2659"/>
  <c r="C2659" s="1"/>
  <c r="B2658"/>
  <c r="D2658" s="1"/>
  <c r="A2658"/>
  <c r="C2658" s="1"/>
  <c r="B2657"/>
  <c r="D2657" s="1"/>
  <c r="A2657"/>
  <c r="C2657" s="1"/>
  <c r="B2656"/>
  <c r="D2656" s="1"/>
  <c r="A2656"/>
  <c r="C2656" s="1"/>
  <c r="B2655"/>
  <c r="D2655" s="1"/>
  <c r="A2655"/>
  <c r="C2655" s="1"/>
  <c r="B2654"/>
  <c r="D2654" s="1"/>
  <c r="A2654"/>
  <c r="C2654" s="1"/>
  <c r="B2653"/>
  <c r="D2653" s="1"/>
  <c r="A2653"/>
  <c r="C2653" s="1"/>
  <c r="B2652"/>
  <c r="D2652" s="1"/>
  <c r="A2652"/>
  <c r="C2652" s="1"/>
  <c r="B2651"/>
  <c r="D2651" s="1"/>
  <c r="A2651"/>
  <c r="C2651" s="1"/>
  <c r="B2650"/>
  <c r="D2650" s="1"/>
  <c r="A2650"/>
  <c r="C2650" s="1"/>
  <c r="B2649"/>
  <c r="D2649" s="1"/>
  <c r="A2649"/>
  <c r="C2649" s="1"/>
  <c r="B2648"/>
  <c r="D2648" s="1"/>
  <c r="A2648"/>
  <c r="C2648" s="1"/>
  <c r="B2647"/>
  <c r="D2647" s="1"/>
  <c r="A2647"/>
  <c r="C2647" s="1"/>
  <c r="B2646"/>
  <c r="D2646" s="1"/>
  <c r="A2646"/>
  <c r="C2646" s="1"/>
  <c r="B2645"/>
  <c r="D2645" s="1"/>
  <c r="A2645"/>
  <c r="C2645" s="1"/>
  <c r="B2644"/>
  <c r="D2644" s="1"/>
  <c r="A2644"/>
  <c r="C2644" s="1"/>
  <c r="B2643"/>
  <c r="D2643" s="1"/>
  <c r="A2643"/>
  <c r="C2643" s="1"/>
  <c r="B2642"/>
  <c r="D2642" s="1"/>
  <c r="A2642"/>
  <c r="C2642" s="1"/>
  <c r="B2641"/>
  <c r="D2641" s="1"/>
  <c r="A2641"/>
  <c r="C2641" s="1"/>
  <c r="B2640"/>
  <c r="D2640" s="1"/>
  <c r="A2640"/>
  <c r="C2640" s="1"/>
  <c r="B2639"/>
  <c r="D2639" s="1"/>
  <c r="A2639"/>
  <c r="C2639" s="1"/>
  <c r="B2638"/>
  <c r="D2638" s="1"/>
  <c r="A2638"/>
  <c r="C2638" s="1"/>
  <c r="B2637"/>
  <c r="D2637" s="1"/>
  <c r="A2637"/>
  <c r="C2637" s="1"/>
  <c r="B2636"/>
  <c r="D2636" s="1"/>
  <c r="A2636"/>
  <c r="C2636" s="1"/>
  <c r="B2635"/>
  <c r="D2635" s="1"/>
  <c r="A2635"/>
  <c r="C2635" s="1"/>
  <c r="B2634"/>
  <c r="D2634" s="1"/>
  <c r="A2634"/>
  <c r="C2634" s="1"/>
  <c r="B2633"/>
  <c r="D2633" s="1"/>
  <c r="A2633"/>
  <c r="C2633" s="1"/>
  <c r="B2632"/>
  <c r="D2632" s="1"/>
  <c r="A2632"/>
  <c r="C2632" s="1"/>
  <c r="B2631"/>
  <c r="D2631" s="1"/>
  <c r="A2631"/>
  <c r="C2631" s="1"/>
  <c r="B2630"/>
  <c r="D2630" s="1"/>
  <c r="A2630"/>
  <c r="C2630" s="1"/>
  <c r="B2629"/>
  <c r="D2629" s="1"/>
  <c r="A2629"/>
  <c r="C2629" s="1"/>
  <c r="B2628"/>
  <c r="D2628" s="1"/>
  <c r="A2628"/>
  <c r="C2628" s="1"/>
  <c r="B2627"/>
  <c r="D2627" s="1"/>
  <c r="A2627"/>
  <c r="C2627" s="1"/>
  <c r="B2626"/>
  <c r="D2626" s="1"/>
  <c r="A2626"/>
  <c r="C2626" s="1"/>
  <c r="B2625"/>
  <c r="D2625" s="1"/>
  <c r="A2625"/>
  <c r="C2625" s="1"/>
  <c r="B2624"/>
  <c r="D2624" s="1"/>
  <c r="A2624"/>
  <c r="C2624" s="1"/>
  <c r="B2623"/>
  <c r="D2623" s="1"/>
  <c r="A2623"/>
  <c r="C2623" s="1"/>
  <c r="B2622"/>
  <c r="D2622" s="1"/>
  <c r="A2622"/>
  <c r="C2622" s="1"/>
  <c r="B2621"/>
  <c r="D2621" s="1"/>
  <c r="A2621"/>
  <c r="C2621" s="1"/>
  <c r="B2620"/>
  <c r="D2620" s="1"/>
  <c r="A2620"/>
  <c r="C2620" s="1"/>
  <c r="B2619"/>
  <c r="D2619" s="1"/>
  <c r="A2619"/>
  <c r="C2619" s="1"/>
  <c r="B2618"/>
  <c r="D2618" s="1"/>
  <c r="A2618"/>
  <c r="C2618" s="1"/>
  <c r="B2617"/>
  <c r="D2617" s="1"/>
  <c r="A2617"/>
  <c r="C2617" s="1"/>
  <c r="B2616"/>
  <c r="D2616" s="1"/>
  <c r="A2616"/>
  <c r="C2616" s="1"/>
  <c r="B2615"/>
  <c r="D2615" s="1"/>
  <c r="A2615"/>
  <c r="C2615" s="1"/>
  <c r="B2614"/>
  <c r="D2614" s="1"/>
  <c r="A2614"/>
  <c r="C2614" s="1"/>
  <c r="B2613"/>
  <c r="D2613" s="1"/>
  <c r="A2613"/>
  <c r="C2613" s="1"/>
  <c r="B2612"/>
  <c r="D2612" s="1"/>
  <c r="A2612"/>
  <c r="C2612" s="1"/>
  <c r="B2611"/>
  <c r="D2611" s="1"/>
  <c r="A2611"/>
  <c r="C2611" s="1"/>
  <c r="B2610"/>
  <c r="D2610" s="1"/>
  <c r="A2610"/>
  <c r="C2610" s="1"/>
  <c r="B2609"/>
  <c r="D2609" s="1"/>
  <c r="A2609"/>
  <c r="C2609" s="1"/>
  <c r="B2608"/>
  <c r="D2608" s="1"/>
  <c r="A2608"/>
  <c r="C2608" s="1"/>
  <c r="B2607"/>
  <c r="D2607" s="1"/>
  <c r="A2607"/>
  <c r="C2607" s="1"/>
  <c r="B2606"/>
  <c r="D2606" s="1"/>
  <c r="A2606"/>
  <c r="C2606" s="1"/>
  <c r="B2605"/>
  <c r="D2605" s="1"/>
  <c r="A2605"/>
  <c r="C2605" s="1"/>
  <c r="B2604"/>
  <c r="D2604" s="1"/>
  <c r="A2604"/>
  <c r="C2604" s="1"/>
  <c r="B2603"/>
  <c r="D2603" s="1"/>
  <c r="A2603"/>
  <c r="C2603" s="1"/>
  <c r="B2602"/>
  <c r="D2602" s="1"/>
  <c r="A2602"/>
  <c r="C2602" s="1"/>
  <c r="B2601"/>
  <c r="D2601" s="1"/>
  <c r="A2601"/>
  <c r="C2601" s="1"/>
  <c r="B2600"/>
  <c r="D2600" s="1"/>
  <c r="A2600"/>
  <c r="C2600" s="1"/>
  <c r="B2599"/>
  <c r="D2599" s="1"/>
  <c r="A2599"/>
  <c r="C2599" s="1"/>
  <c r="B2598"/>
  <c r="D2598" s="1"/>
  <c r="A2598"/>
  <c r="C2598" s="1"/>
  <c r="B2597"/>
  <c r="D2597" s="1"/>
  <c r="A2597"/>
  <c r="C2597" s="1"/>
  <c r="B2596"/>
  <c r="D2596" s="1"/>
  <c r="A2596"/>
  <c r="C2596" s="1"/>
  <c r="B2595"/>
  <c r="D2595" s="1"/>
  <c r="A2595"/>
  <c r="C2595" s="1"/>
  <c r="B2594"/>
  <c r="D2594" s="1"/>
  <c r="A2594"/>
  <c r="C2594" s="1"/>
  <c r="B2593"/>
  <c r="D2593" s="1"/>
  <c r="A2593"/>
  <c r="C2593" s="1"/>
  <c r="B2592"/>
  <c r="D2592" s="1"/>
  <c r="A2592"/>
  <c r="C2592" s="1"/>
  <c r="B2591"/>
  <c r="D2591" s="1"/>
  <c r="A2591"/>
  <c r="C2591" s="1"/>
  <c r="B2590"/>
  <c r="D2590" s="1"/>
  <c r="A2590"/>
  <c r="C2590" s="1"/>
  <c r="B2589"/>
  <c r="D2589" s="1"/>
  <c r="A2589"/>
  <c r="C2589" s="1"/>
  <c r="B2588"/>
  <c r="D2588" s="1"/>
  <c r="A2588"/>
  <c r="C2588" s="1"/>
  <c r="B2587"/>
  <c r="D2587" s="1"/>
  <c r="A2587"/>
  <c r="C2587" s="1"/>
  <c r="B2586"/>
  <c r="D2586" s="1"/>
  <c r="A2586"/>
  <c r="C2586" s="1"/>
  <c r="B2585"/>
  <c r="D2585" s="1"/>
  <c r="A2585"/>
  <c r="C2585" s="1"/>
  <c r="B2584"/>
  <c r="D2584" s="1"/>
  <c r="A2584"/>
  <c r="C2584" s="1"/>
  <c r="B2583"/>
  <c r="D2583" s="1"/>
  <c r="A2583"/>
  <c r="C2583" s="1"/>
  <c r="B2582"/>
  <c r="D2582" s="1"/>
  <c r="A2582"/>
  <c r="C2582" s="1"/>
  <c r="B2581"/>
  <c r="D2581" s="1"/>
  <c r="A2581"/>
  <c r="C2581" s="1"/>
  <c r="B2580"/>
  <c r="D2580" s="1"/>
  <c r="A2580"/>
  <c r="C2580" s="1"/>
  <c r="B2579"/>
  <c r="D2579" s="1"/>
  <c r="A2579"/>
  <c r="C2579" s="1"/>
  <c r="B2578"/>
  <c r="D2578" s="1"/>
  <c r="A2578"/>
  <c r="C2578" s="1"/>
  <c r="B2577"/>
  <c r="D2577" s="1"/>
  <c r="A2577"/>
  <c r="C2577" s="1"/>
  <c r="B2576"/>
  <c r="D2576" s="1"/>
  <c r="A2576"/>
  <c r="C2576" s="1"/>
  <c r="B2575"/>
  <c r="D2575" s="1"/>
  <c r="A2575"/>
  <c r="C2575" s="1"/>
  <c r="B2574"/>
  <c r="D2574" s="1"/>
  <c r="A2574"/>
  <c r="C2574" s="1"/>
  <c r="B2573"/>
  <c r="D2573" s="1"/>
  <c r="A2573"/>
  <c r="C2573" s="1"/>
  <c r="B2572"/>
  <c r="D2572" s="1"/>
  <c r="A2572"/>
  <c r="C2572" s="1"/>
  <c r="B2571"/>
  <c r="D2571" s="1"/>
  <c r="A2571"/>
  <c r="C2571" s="1"/>
  <c r="B2570"/>
  <c r="D2570" s="1"/>
  <c r="A2570"/>
  <c r="C2570" s="1"/>
  <c r="B2569"/>
  <c r="D2569" s="1"/>
  <c r="A2569"/>
  <c r="C2569" s="1"/>
  <c r="B2568"/>
  <c r="D2568" s="1"/>
  <c r="A2568"/>
  <c r="C2568" s="1"/>
  <c r="B2567"/>
  <c r="D2567" s="1"/>
  <c r="A2567"/>
  <c r="C2567" s="1"/>
  <c r="B2566"/>
  <c r="D2566" s="1"/>
  <c r="A2566"/>
  <c r="C2566" s="1"/>
  <c r="B2565"/>
  <c r="D2565" s="1"/>
  <c r="A2565"/>
  <c r="C2565" s="1"/>
  <c r="B2564"/>
  <c r="D2564" s="1"/>
  <c r="A2564"/>
  <c r="C2564" s="1"/>
  <c r="B2563"/>
  <c r="D2563" s="1"/>
  <c r="A2563"/>
  <c r="C2563" s="1"/>
  <c r="B2562"/>
  <c r="D2562" s="1"/>
  <c r="A2562"/>
  <c r="C2562" s="1"/>
  <c r="B2561"/>
  <c r="D2561" s="1"/>
  <c r="A2561"/>
  <c r="C2561" s="1"/>
  <c r="B2560"/>
  <c r="D2560" s="1"/>
  <c r="A2560"/>
  <c r="C2560" s="1"/>
  <c r="B2559"/>
  <c r="D2559" s="1"/>
  <c r="A2559"/>
  <c r="C2559" s="1"/>
  <c r="B2558"/>
  <c r="D2558" s="1"/>
  <c r="A2558"/>
  <c r="C2558" s="1"/>
  <c r="B2557"/>
  <c r="D2557" s="1"/>
  <c r="A2557"/>
  <c r="C2557" s="1"/>
  <c r="B2556"/>
  <c r="D2556" s="1"/>
  <c r="A2556"/>
  <c r="C2556" s="1"/>
  <c r="B2555"/>
  <c r="D2555" s="1"/>
  <c r="A2555"/>
  <c r="C2555" s="1"/>
  <c r="B2554"/>
  <c r="D2554" s="1"/>
  <c r="A2554"/>
  <c r="C2554" s="1"/>
  <c r="B2553"/>
  <c r="D2553" s="1"/>
  <c r="A2553"/>
  <c r="C2553" s="1"/>
  <c r="B2552"/>
  <c r="D2552" s="1"/>
  <c r="A2552"/>
  <c r="C2552" s="1"/>
  <c r="B2551"/>
  <c r="D2551" s="1"/>
  <c r="A2551"/>
  <c r="C2551" s="1"/>
  <c r="B2550"/>
  <c r="D2550" s="1"/>
  <c r="A2550"/>
  <c r="C2550" s="1"/>
  <c r="B2549"/>
  <c r="D2549" s="1"/>
  <c r="A2549"/>
  <c r="C2549" s="1"/>
  <c r="B2548"/>
  <c r="D2548" s="1"/>
  <c r="A2548"/>
  <c r="C2548" s="1"/>
  <c r="B2547"/>
  <c r="D2547" s="1"/>
  <c r="A2547"/>
  <c r="C2547" s="1"/>
  <c r="B2546"/>
  <c r="D2546" s="1"/>
  <c r="A2546"/>
  <c r="C2546" s="1"/>
  <c r="B2545"/>
  <c r="D2545" s="1"/>
  <c r="A2545"/>
  <c r="C2545" s="1"/>
  <c r="B2544"/>
  <c r="D2544" s="1"/>
  <c r="A2544"/>
  <c r="C2544" s="1"/>
  <c r="B2543"/>
  <c r="D2543" s="1"/>
  <c r="A2543"/>
  <c r="C2543" s="1"/>
  <c r="B2542"/>
  <c r="D2542" s="1"/>
  <c r="A2542"/>
  <c r="C2542" s="1"/>
  <c r="B2541"/>
  <c r="D2541" s="1"/>
  <c r="A2541"/>
  <c r="C2541" s="1"/>
  <c r="B2540"/>
  <c r="D2540" s="1"/>
  <c r="A2540"/>
  <c r="C2540" s="1"/>
  <c r="B2539"/>
  <c r="D2539" s="1"/>
  <c r="A2539"/>
  <c r="C2539" s="1"/>
  <c r="B2538"/>
  <c r="D2538" s="1"/>
  <c r="A2538"/>
  <c r="C2538" s="1"/>
  <c r="B2537"/>
  <c r="D2537" s="1"/>
  <c r="A2537"/>
  <c r="C2537" s="1"/>
  <c r="B2536"/>
  <c r="D2536" s="1"/>
  <c r="A2536"/>
  <c r="C2536" s="1"/>
  <c r="B2535"/>
  <c r="D2535" s="1"/>
  <c r="A2535"/>
  <c r="C2535" s="1"/>
  <c r="B2534"/>
  <c r="D2534" s="1"/>
  <c r="A2534"/>
  <c r="C2534" s="1"/>
  <c r="B2533"/>
  <c r="D2533" s="1"/>
  <c r="A2533"/>
  <c r="C2533" s="1"/>
  <c r="B2532"/>
  <c r="D2532" s="1"/>
  <c r="A2532"/>
  <c r="C2532" s="1"/>
  <c r="B2531"/>
  <c r="D2531" s="1"/>
  <c r="A2531"/>
  <c r="C2531" s="1"/>
  <c r="B2530"/>
  <c r="D2530" s="1"/>
  <c r="A2530"/>
  <c r="C2530" s="1"/>
  <c r="B2529"/>
  <c r="D2529" s="1"/>
  <c r="A2529"/>
  <c r="C2529" s="1"/>
  <c r="B2528"/>
  <c r="D2528" s="1"/>
  <c r="A2528"/>
  <c r="C2528" s="1"/>
  <c r="B2527"/>
  <c r="D2527" s="1"/>
  <c r="A2527"/>
  <c r="C2527" s="1"/>
  <c r="B2526"/>
  <c r="D2526" s="1"/>
  <c r="A2526"/>
  <c r="C2526" s="1"/>
  <c r="B2525"/>
  <c r="D2525" s="1"/>
  <c r="A2525"/>
  <c r="C2525" s="1"/>
  <c r="B2524"/>
  <c r="D2524" s="1"/>
  <c r="A2524"/>
  <c r="C2524" s="1"/>
  <c r="B2523"/>
  <c r="D2523" s="1"/>
  <c r="A2523"/>
  <c r="C2523" s="1"/>
  <c r="B2522"/>
  <c r="D2522" s="1"/>
  <c r="A2522"/>
  <c r="C2522" s="1"/>
  <c r="B2521"/>
  <c r="D2521" s="1"/>
  <c r="A2521"/>
  <c r="C2521" s="1"/>
  <c r="B2520"/>
  <c r="D2520" s="1"/>
  <c r="A2520"/>
  <c r="C2520" s="1"/>
  <c r="B2519"/>
  <c r="D2519" s="1"/>
  <c r="A2519"/>
  <c r="C2519" s="1"/>
  <c r="B2518"/>
  <c r="D2518" s="1"/>
  <c r="A2518"/>
  <c r="C2518" s="1"/>
  <c r="B2517"/>
  <c r="D2517" s="1"/>
  <c r="A2517"/>
  <c r="C2517" s="1"/>
  <c r="B2516"/>
  <c r="D2516" s="1"/>
  <c r="A2516"/>
  <c r="C2516" s="1"/>
  <c r="B2515"/>
  <c r="D2515" s="1"/>
  <c r="A2515"/>
  <c r="C2515" s="1"/>
  <c r="B2514"/>
  <c r="D2514" s="1"/>
  <c r="A2514"/>
  <c r="C2514" s="1"/>
  <c r="B2513"/>
  <c r="D2513" s="1"/>
  <c r="A2513"/>
  <c r="C2513" s="1"/>
  <c r="B2512"/>
  <c r="D2512" s="1"/>
  <c r="A2512"/>
  <c r="C2512" s="1"/>
  <c r="B2511"/>
  <c r="D2511" s="1"/>
  <c r="A2511"/>
  <c r="C2511" s="1"/>
  <c r="B2510"/>
  <c r="D2510" s="1"/>
  <c r="A2510"/>
  <c r="C2510" s="1"/>
  <c r="B2509"/>
  <c r="D2509" s="1"/>
  <c r="A2509"/>
  <c r="C2509" s="1"/>
  <c r="B2508"/>
  <c r="D2508" s="1"/>
  <c r="A2508"/>
  <c r="C2508" s="1"/>
  <c r="B2507"/>
  <c r="D2507" s="1"/>
  <c r="A2507"/>
  <c r="C2507" s="1"/>
  <c r="B2506"/>
  <c r="D2506" s="1"/>
  <c r="A2506"/>
  <c r="C2506" s="1"/>
  <c r="B2505"/>
  <c r="D2505" s="1"/>
  <c r="A2505"/>
  <c r="C2505" s="1"/>
  <c r="B2504"/>
  <c r="D2504" s="1"/>
  <c r="A2504"/>
  <c r="C2504" s="1"/>
  <c r="B2503"/>
  <c r="D2503" s="1"/>
  <c r="A2503"/>
  <c r="C2503" s="1"/>
  <c r="B2502"/>
  <c r="D2502" s="1"/>
  <c r="A2502"/>
  <c r="C2502" s="1"/>
  <c r="B2501"/>
  <c r="D2501" s="1"/>
  <c r="A2501"/>
  <c r="C2501" s="1"/>
  <c r="B2500"/>
  <c r="D2500" s="1"/>
  <c r="A2500"/>
  <c r="C2500" s="1"/>
  <c r="B2499"/>
  <c r="D2499" s="1"/>
  <c r="A2499"/>
  <c r="C2499" s="1"/>
  <c r="B2498"/>
  <c r="D2498" s="1"/>
  <c r="A2498"/>
  <c r="C2498" s="1"/>
  <c r="B2497"/>
  <c r="D2497" s="1"/>
  <c r="A2497"/>
  <c r="C2497" s="1"/>
  <c r="B2496"/>
  <c r="D2496" s="1"/>
  <c r="A2496"/>
  <c r="C2496" s="1"/>
  <c r="B2495"/>
  <c r="D2495" s="1"/>
  <c r="A2495"/>
  <c r="C2495" s="1"/>
  <c r="B2494"/>
  <c r="D2494" s="1"/>
  <c r="A2494"/>
  <c r="C2494" s="1"/>
  <c r="B2493"/>
  <c r="D2493" s="1"/>
  <c r="A2493"/>
  <c r="C2493" s="1"/>
  <c r="B2492"/>
  <c r="D2492" s="1"/>
  <c r="A2492"/>
  <c r="C2492" s="1"/>
  <c r="B2491"/>
  <c r="D2491" s="1"/>
  <c r="A2491"/>
  <c r="C2491" s="1"/>
  <c r="B2490"/>
  <c r="D2490" s="1"/>
  <c r="A2490"/>
  <c r="C2490" s="1"/>
  <c r="B2489"/>
  <c r="D2489" s="1"/>
  <c r="A2489"/>
  <c r="C2489" s="1"/>
  <c r="B2488"/>
  <c r="D2488" s="1"/>
  <c r="A2488"/>
  <c r="C2488" s="1"/>
  <c r="B2487"/>
  <c r="D2487" s="1"/>
  <c r="A2487"/>
  <c r="C2487" s="1"/>
  <c r="B2486"/>
  <c r="D2486" s="1"/>
  <c r="A2486"/>
  <c r="C2486" s="1"/>
  <c r="B2485"/>
  <c r="D2485" s="1"/>
  <c r="A2485"/>
  <c r="C2485" s="1"/>
  <c r="B2484"/>
  <c r="D2484" s="1"/>
  <c r="A2484"/>
  <c r="C2484" s="1"/>
  <c r="B2483"/>
  <c r="D2483" s="1"/>
  <c r="A2483"/>
  <c r="C2483" s="1"/>
  <c r="B2482"/>
  <c r="D2482" s="1"/>
  <c r="A2482"/>
  <c r="C2482" s="1"/>
  <c r="B2481"/>
  <c r="D2481" s="1"/>
  <c r="A2481"/>
  <c r="C2481" s="1"/>
  <c r="B2480"/>
  <c r="D2480" s="1"/>
  <c r="A2480"/>
  <c r="C2480" s="1"/>
  <c r="B2479"/>
  <c r="D2479" s="1"/>
  <c r="A2479"/>
  <c r="C2479" s="1"/>
  <c r="B2478"/>
  <c r="D2478" s="1"/>
  <c r="A2478"/>
  <c r="C2478" s="1"/>
  <c r="B2477"/>
  <c r="D2477" s="1"/>
  <c r="A2477"/>
  <c r="C2477" s="1"/>
  <c r="B2476"/>
  <c r="D2476" s="1"/>
  <c r="A2476"/>
  <c r="C2476" s="1"/>
  <c r="B2475"/>
  <c r="D2475" s="1"/>
  <c r="A2475"/>
  <c r="C2475" s="1"/>
  <c r="B2474"/>
  <c r="D2474" s="1"/>
  <c r="A2474"/>
  <c r="C2474" s="1"/>
  <c r="B2473"/>
  <c r="D2473" s="1"/>
  <c r="A2473"/>
  <c r="C2473" s="1"/>
  <c r="B2472"/>
  <c r="D2472" s="1"/>
  <c r="A2472"/>
  <c r="C2472" s="1"/>
  <c r="B2471"/>
  <c r="D2471" s="1"/>
  <c r="A2471"/>
  <c r="C2471" s="1"/>
  <c r="B2470"/>
  <c r="D2470" s="1"/>
  <c r="A2470"/>
  <c r="C2470" s="1"/>
  <c r="B2469"/>
  <c r="D2469" s="1"/>
  <c r="A2469"/>
  <c r="C2469" s="1"/>
  <c r="B2468"/>
  <c r="D2468" s="1"/>
  <c r="A2468"/>
  <c r="C2468" s="1"/>
  <c r="B2467"/>
  <c r="D2467" s="1"/>
  <c r="A2467"/>
  <c r="C2467" s="1"/>
  <c r="B2466"/>
  <c r="D2466" s="1"/>
  <c r="A2466"/>
  <c r="C2466" s="1"/>
  <c r="B2465"/>
  <c r="D2465" s="1"/>
  <c r="A2465"/>
  <c r="C2465" s="1"/>
  <c r="B2464"/>
  <c r="D2464" s="1"/>
  <c r="A2464"/>
  <c r="C2464" s="1"/>
  <c r="B2463"/>
  <c r="D2463" s="1"/>
  <c r="A2463"/>
  <c r="C2463" s="1"/>
  <c r="B2462"/>
  <c r="D2462" s="1"/>
  <c r="A2462"/>
  <c r="C2462" s="1"/>
  <c r="B2461"/>
  <c r="D2461" s="1"/>
  <c r="A2461"/>
  <c r="C2461" s="1"/>
  <c r="B2460"/>
  <c r="D2460" s="1"/>
  <c r="A2460"/>
  <c r="C2460" s="1"/>
  <c r="B2459"/>
  <c r="D2459" s="1"/>
  <c r="A2459"/>
  <c r="C2459" s="1"/>
  <c r="B2458"/>
  <c r="D2458" s="1"/>
  <c r="A2458"/>
  <c r="C2458" s="1"/>
  <c r="B2457"/>
  <c r="D2457" s="1"/>
  <c r="A2457"/>
  <c r="C2457" s="1"/>
  <c r="B2456"/>
  <c r="D2456" s="1"/>
  <c r="A2456"/>
  <c r="C2456" s="1"/>
  <c r="B2455"/>
  <c r="D2455" s="1"/>
  <c r="A2455"/>
  <c r="C2455" s="1"/>
  <c r="B2454"/>
  <c r="D2454" s="1"/>
  <c r="A2454"/>
  <c r="C2454" s="1"/>
  <c r="B2453"/>
  <c r="D2453" s="1"/>
  <c r="A2453"/>
  <c r="C2453" s="1"/>
  <c r="B2452"/>
  <c r="D2452" s="1"/>
  <c r="A2452"/>
  <c r="C2452" s="1"/>
  <c r="B2451"/>
  <c r="D2451" s="1"/>
  <c r="A2451"/>
  <c r="C2451" s="1"/>
  <c r="B2450"/>
  <c r="D2450" s="1"/>
  <c r="A2450"/>
  <c r="C2450" s="1"/>
  <c r="B2449"/>
  <c r="D2449" s="1"/>
  <c r="A2449"/>
  <c r="C2449" s="1"/>
  <c r="B2448"/>
  <c r="D2448" s="1"/>
  <c r="A2448"/>
  <c r="C2448" s="1"/>
  <c r="B2447"/>
  <c r="D2447" s="1"/>
  <c r="A2447"/>
  <c r="C2447" s="1"/>
  <c r="B2446"/>
  <c r="D2446" s="1"/>
  <c r="A2446"/>
  <c r="C2446" s="1"/>
  <c r="B2445"/>
  <c r="D2445" s="1"/>
  <c r="A2445"/>
  <c r="C2445" s="1"/>
  <c r="B2444"/>
  <c r="D2444" s="1"/>
  <c r="A2444"/>
  <c r="C2444" s="1"/>
  <c r="B2443"/>
  <c r="D2443" s="1"/>
  <c r="A2443"/>
  <c r="C2443" s="1"/>
  <c r="B2442"/>
  <c r="D2442" s="1"/>
  <c r="A2442"/>
  <c r="C2442" s="1"/>
  <c r="B2441"/>
  <c r="D2441" s="1"/>
  <c r="A2441"/>
  <c r="C2441" s="1"/>
  <c r="B2440"/>
  <c r="D2440" s="1"/>
  <c r="A2440"/>
  <c r="C2440" s="1"/>
  <c r="B2439"/>
  <c r="D2439" s="1"/>
  <c r="A2439"/>
  <c r="C2439" s="1"/>
  <c r="B2438"/>
  <c r="D2438" s="1"/>
  <c r="A2438"/>
  <c r="C2438" s="1"/>
  <c r="B2437"/>
  <c r="D2437" s="1"/>
  <c r="A2437"/>
  <c r="C2437" s="1"/>
  <c r="B2436"/>
  <c r="D2436" s="1"/>
  <c r="A2436"/>
  <c r="C2436" s="1"/>
  <c r="B2435"/>
  <c r="D2435" s="1"/>
  <c r="A2435"/>
  <c r="C2435" s="1"/>
  <c r="B2434"/>
  <c r="D2434" s="1"/>
  <c r="A2434"/>
  <c r="C2434" s="1"/>
  <c r="B2433"/>
  <c r="D2433" s="1"/>
  <c r="A2433"/>
  <c r="C2433" s="1"/>
  <c r="B2432"/>
  <c r="D2432" s="1"/>
  <c r="A2432"/>
  <c r="C2432" s="1"/>
  <c r="B2431"/>
  <c r="D2431" s="1"/>
  <c r="A2431"/>
  <c r="C2431" s="1"/>
  <c r="B2430"/>
  <c r="D2430" s="1"/>
  <c r="A2430"/>
  <c r="C2430" s="1"/>
  <c r="B2429"/>
  <c r="D2429" s="1"/>
  <c r="A2429"/>
  <c r="C2429" s="1"/>
  <c r="B2428"/>
  <c r="D2428" s="1"/>
  <c r="A2428"/>
  <c r="C2428" s="1"/>
  <c r="B2427"/>
  <c r="D2427" s="1"/>
  <c r="A2427"/>
  <c r="C2427" s="1"/>
  <c r="B2426"/>
  <c r="D2426" s="1"/>
  <c r="A2426"/>
  <c r="C2426" s="1"/>
  <c r="B2425"/>
  <c r="D2425" s="1"/>
  <c r="A2425"/>
  <c r="C2425" s="1"/>
  <c r="B2424"/>
  <c r="D2424" s="1"/>
  <c r="A2424"/>
  <c r="C2424" s="1"/>
  <c r="B2423"/>
  <c r="D2423" s="1"/>
  <c r="A2423"/>
  <c r="C2423" s="1"/>
  <c r="B2422"/>
  <c r="D2422" s="1"/>
  <c r="A2422"/>
  <c r="C2422" s="1"/>
  <c r="B2421"/>
  <c r="D2421" s="1"/>
  <c r="A2421"/>
  <c r="C2421" s="1"/>
  <c r="B2420"/>
  <c r="D2420" s="1"/>
  <c r="A2420"/>
  <c r="C2420" s="1"/>
  <c r="B2419"/>
  <c r="D2419" s="1"/>
  <c r="A2419"/>
  <c r="C2419" s="1"/>
  <c r="B2418"/>
  <c r="D2418" s="1"/>
  <c r="A2418"/>
  <c r="C2418" s="1"/>
  <c r="B2417"/>
  <c r="D2417" s="1"/>
  <c r="A2417"/>
  <c r="C2417" s="1"/>
  <c r="B2416"/>
  <c r="D2416" s="1"/>
  <c r="A2416"/>
  <c r="C2416" s="1"/>
  <c r="B2415"/>
  <c r="D2415" s="1"/>
  <c r="A2415"/>
  <c r="C2415" s="1"/>
  <c r="B2414"/>
  <c r="D2414" s="1"/>
  <c r="A2414"/>
  <c r="C2414" s="1"/>
  <c r="B2413"/>
  <c r="D2413" s="1"/>
  <c r="A2413"/>
  <c r="C2413" s="1"/>
  <c r="B2412"/>
  <c r="D2412" s="1"/>
  <c r="A2412"/>
  <c r="C2412" s="1"/>
  <c r="B2411"/>
  <c r="D2411" s="1"/>
  <c r="A2411"/>
  <c r="C2411" s="1"/>
  <c r="B2410"/>
  <c r="D2410" s="1"/>
  <c r="A2410"/>
  <c r="C2410" s="1"/>
  <c r="B2409"/>
  <c r="D2409" s="1"/>
  <c r="A2409"/>
  <c r="C2409" s="1"/>
  <c r="B2408"/>
  <c r="D2408" s="1"/>
  <c r="A2408"/>
  <c r="C2408" s="1"/>
  <c r="B2407"/>
  <c r="D2407" s="1"/>
  <c r="A2407"/>
  <c r="C2407" s="1"/>
  <c r="B2406"/>
  <c r="D2406" s="1"/>
  <c r="A2406"/>
  <c r="C2406" s="1"/>
  <c r="B2405"/>
  <c r="D2405" s="1"/>
  <c r="A2405"/>
  <c r="C2405" s="1"/>
  <c r="B2404"/>
  <c r="D2404" s="1"/>
  <c r="A2404"/>
  <c r="C2404" s="1"/>
  <c r="B2403"/>
  <c r="D2403" s="1"/>
  <c r="A2403"/>
  <c r="C2403" s="1"/>
  <c r="B2402"/>
  <c r="D2402" s="1"/>
  <c r="A2402"/>
  <c r="C2402" s="1"/>
  <c r="B2401"/>
  <c r="D2401" s="1"/>
  <c r="A2401"/>
  <c r="C2401" s="1"/>
  <c r="B2400"/>
  <c r="D2400" s="1"/>
  <c r="A2400"/>
  <c r="C2400" s="1"/>
  <c r="B2399"/>
  <c r="D2399" s="1"/>
  <c r="A2399"/>
  <c r="C2399" s="1"/>
  <c r="B2398"/>
  <c r="D2398" s="1"/>
  <c r="A2398"/>
  <c r="C2398" s="1"/>
  <c r="B2397"/>
  <c r="D2397" s="1"/>
  <c r="A2397"/>
  <c r="C2397" s="1"/>
  <c r="B2396"/>
  <c r="D2396" s="1"/>
  <c r="A2396"/>
  <c r="C2396" s="1"/>
  <c r="B2395"/>
  <c r="D2395" s="1"/>
  <c r="A2395"/>
  <c r="C2395" s="1"/>
  <c r="B2394"/>
  <c r="D2394" s="1"/>
  <c r="A2394"/>
  <c r="C2394" s="1"/>
  <c r="B2393"/>
  <c r="D2393" s="1"/>
  <c r="A2393"/>
  <c r="C2393" s="1"/>
  <c r="B2392"/>
  <c r="D2392" s="1"/>
  <c r="A2392"/>
  <c r="C2392" s="1"/>
  <c r="B2391"/>
  <c r="D2391" s="1"/>
  <c r="A2391"/>
  <c r="C2391" s="1"/>
  <c r="B2390"/>
  <c r="D2390" s="1"/>
  <c r="A2390"/>
  <c r="C2390" s="1"/>
  <c r="B2389"/>
  <c r="D2389" s="1"/>
  <c r="A2389"/>
  <c r="C2389" s="1"/>
  <c r="B2388"/>
  <c r="D2388" s="1"/>
  <c r="A2388"/>
  <c r="C2388" s="1"/>
  <c r="B2387"/>
  <c r="D2387" s="1"/>
  <c r="A2387"/>
  <c r="C2387" s="1"/>
  <c r="B2386"/>
  <c r="D2386" s="1"/>
  <c r="A2386"/>
  <c r="C2386" s="1"/>
  <c r="B2385"/>
  <c r="D2385" s="1"/>
  <c r="A2385"/>
  <c r="C2385" s="1"/>
  <c r="B2384"/>
  <c r="D2384" s="1"/>
  <c r="A2384"/>
  <c r="C2384" s="1"/>
  <c r="B2383"/>
  <c r="D2383" s="1"/>
  <c r="A2383"/>
  <c r="C2383" s="1"/>
  <c r="B2382"/>
  <c r="D2382" s="1"/>
  <c r="A2382"/>
  <c r="C2382" s="1"/>
  <c r="B2381"/>
  <c r="D2381" s="1"/>
  <c r="A2381"/>
  <c r="C2381" s="1"/>
  <c r="B2380"/>
  <c r="D2380" s="1"/>
  <c r="A2380"/>
  <c r="C2380" s="1"/>
  <c r="B2379"/>
  <c r="D2379" s="1"/>
  <c r="A2379"/>
  <c r="C2379" s="1"/>
  <c r="B2378"/>
  <c r="D2378" s="1"/>
  <c r="A2378"/>
  <c r="C2378" s="1"/>
  <c r="B2377"/>
  <c r="D2377" s="1"/>
  <c r="A2377"/>
  <c r="C2377" s="1"/>
  <c r="B2376"/>
  <c r="D2376" s="1"/>
  <c r="A2376"/>
  <c r="C2376" s="1"/>
  <c r="B2375"/>
  <c r="D2375" s="1"/>
  <c r="A2375"/>
  <c r="C2375" s="1"/>
  <c r="B2374"/>
  <c r="D2374" s="1"/>
  <c r="A2374"/>
  <c r="C2374" s="1"/>
  <c r="B2373"/>
  <c r="D2373" s="1"/>
  <c r="A2373"/>
  <c r="C2373" s="1"/>
  <c r="B2372"/>
  <c r="D2372" s="1"/>
  <c r="A2372"/>
  <c r="C2372" s="1"/>
  <c r="B2371"/>
  <c r="D2371" s="1"/>
  <c r="A2371"/>
  <c r="C2371" s="1"/>
  <c r="B2370"/>
  <c r="D2370" s="1"/>
  <c r="A2370"/>
  <c r="C2370" s="1"/>
  <c r="B2369"/>
  <c r="D2369" s="1"/>
  <c r="A2369"/>
  <c r="C2369" s="1"/>
  <c r="B2368"/>
  <c r="D2368" s="1"/>
  <c r="A2368"/>
  <c r="C2368" s="1"/>
  <c r="B2367"/>
  <c r="D2367" s="1"/>
  <c r="A2367"/>
  <c r="C2367" s="1"/>
  <c r="B2366"/>
  <c r="D2366" s="1"/>
  <c r="A2366"/>
  <c r="C2366" s="1"/>
  <c r="B2365"/>
  <c r="D2365" s="1"/>
  <c r="A2365"/>
  <c r="C2365" s="1"/>
  <c r="B2364"/>
  <c r="D2364" s="1"/>
  <c r="A2364"/>
  <c r="C2364" s="1"/>
  <c r="B2363"/>
  <c r="D2363" s="1"/>
  <c r="A2363"/>
  <c r="C2363" s="1"/>
  <c r="B2362"/>
  <c r="D2362" s="1"/>
  <c r="A2362"/>
  <c r="C2362" s="1"/>
  <c r="B2361"/>
  <c r="D2361" s="1"/>
  <c r="A2361"/>
  <c r="C2361" s="1"/>
  <c r="B2360"/>
  <c r="D2360" s="1"/>
  <c r="A2360"/>
  <c r="C2360" s="1"/>
  <c r="B2359"/>
  <c r="D2359" s="1"/>
  <c r="A2359"/>
  <c r="C2359" s="1"/>
  <c r="B2358"/>
  <c r="D2358" s="1"/>
  <c r="A2358"/>
  <c r="C2358" s="1"/>
  <c r="B2357"/>
  <c r="D2357" s="1"/>
  <c r="A2357"/>
  <c r="C2357" s="1"/>
  <c r="B2356"/>
  <c r="D2356" s="1"/>
  <c r="A2356"/>
  <c r="C2356" s="1"/>
  <c r="B2355"/>
  <c r="D2355" s="1"/>
  <c r="A2355"/>
  <c r="C2355" s="1"/>
  <c r="B2354"/>
  <c r="D2354" s="1"/>
  <c r="A2354"/>
  <c r="C2354" s="1"/>
  <c r="B2353"/>
  <c r="D2353" s="1"/>
  <c r="A2353"/>
  <c r="C2353" s="1"/>
  <c r="B2352"/>
  <c r="D2352" s="1"/>
  <c r="A2352"/>
  <c r="C2352" s="1"/>
  <c r="B2351"/>
  <c r="D2351" s="1"/>
  <c r="A2351"/>
  <c r="C2351" s="1"/>
  <c r="B2350"/>
  <c r="D2350" s="1"/>
  <c r="A2350"/>
  <c r="C2350" s="1"/>
  <c r="B2349"/>
  <c r="D2349" s="1"/>
  <c r="A2349"/>
  <c r="C2349" s="1"/>
  <c r="B2348"/>
  <c r="D2348" s="1"/>
  <c r="A2348"/>
  <c r="C2348" s="1"/>
  <c r="B2347"/>
  <c r="D2347" s="1"/>
  <c r="A2347"/>
  <c r="C2347" s="1"/>
  <c r="B2346"/>
  <c r="D2346" s="1"/>
  <c r="A2346"/>
  <c r="C2346" s="1"/>
  <c r="B2345"/>
  <c r="D2345" s="1"/>
  <c r="A2345"/>
  <c r="C2345" s="1"/>
  <c r="B2344"/>
  <c r="D2344" s="1"/>
  <c r="A2344"/>
  <c r="C2344" s="1"/>
  <c r="B2343"/>
  <c r="D2343" s="1"/>
  <c r="A2343"/>
  <c r="C2343" s="1"/>
  <c r="B2342"/>
  <c r="D2342" s="1"/>
  <c r="A2342"/>
  <c r="C2342" s="1"/>
  <c r="B2341"/>
  <c r="D2341" s="1"/>
  <c r="A2341"/>
  <c r="C2341" s="1"/>
  <c r="B2340"/>
  <c r="D2340" s="1"/>
  <c r="A2340"/>
  <c r="C2340" s="1"/>
  <c r="B2339"/>
  <c r="D2339" s="1"/>
  <c r="A2339"/>
  <c r="C2339" s="1"/>
  <c r="B2338"/>
  <c r="D2338" s="1"/>
  <c r="A2338"/>
  <c r="C2338" s="1"/>
  <c r="B2337"/>
  <c r="D2337" s="1"/>
  <c r="A2337"/>
  <c r="C2337" s="1"/>
  <c r="B2336"/>
  <c r="D2336" s="1"/>
  <c r="A2336"/>
  <c r="C2336" s="1"/>
  <c r="B2335"/>
  <c r="D2335" s="1"/>
  <c r="A2335"/>
  <c r="C2335" s="1"/>
  <c r="B2334"/>
  <c r="D2334" s="1"/>
  <c r="A2334"/>
  <c r="C2334" s="1"/>
  <c r="B2333"/>
  <c r="D2333" s="1"/>
  <c r="A2333"/>
  <c r="C2333" s="1"/>
  <c r="B2332"/>
  <c r="D2332" s="1"/>
  <c r="A2332"/>
  <c r="C2332" s="1"/>
  <c r="B2331"/>
  <c r="D2331" s="1"/>
  <c r="A2331"/>
  <c r="C2331" s="1"/>
  <c r="B2330"/>
  <c r="D2330" s="1"/>
  <c r="A2330"/>
  <c r="C2330" s="1"/>
  <c r="B2329"/>
  <c r="D2329" s="1"/>
  <c r="A2329"/>
  <c r="C2329" s="1"/>
  <c r="B2328"/>
  <c r="D2328" s="1"/>
  <c r="A2328"/>
  <c r="C2328" s="1"/>
  <c r="B2327"/>
  <c r="D2327" s="1"/>
  <c r="A2327"/>
  <c r="C2327" s="1"/>
  <c r="B2326"/>
  <c r="D2326" s="1"/>
  <c r="A2326"/>
  <c r="C2326" s="1"/>
  <c r="B2325"/>
  <c r="D2325" s="1"/>
  <c r="A2325"/>
  <c r="C2325" s="1"/>
  <c r="B2324"/>
  <c r="D2324" s="1"/>
  <c r="A2324"/>
  <c r="C2324" s="1"/>
  <c r="B2323"/>
  <c r="D2323" s="1"/>
  <c r="A2323"/>
  <c r="C2323" s="1"/>
  <c r="B2322"/>
  <c r="D2322" s="1"/>
  <c r="A2322"/>
  <c r="C2322" s="1"/>
  <c r="B2321"/>
  <c r="D2321" s="1"/>
  <c r="A2321"/>
  <c r="C2321" s="1"/>
  <c r="B2320"/>
  <c r="D2320" s="1"/>
  <c r="A2320"/>
  <c r="C2320" s="1"/>
  <c r="B2319"/>
  <c r="D2319" s="1"/>
  <c r="A2319"/>
  <c r="C2319" s="1"/>
  <c r="B2318"/>
  <c r="D2318" s="1"/>
  <c r="A2318"/>
  <c r="C2318" s="1"/>
  <c r="B2317"/>
  <c r="D2317" s="1"/>
  <c r="A2317"/>
  <c r="C2317" s="1"/>
  <c r="B2316"/>
  <c r="D2316" s="1"/>
  <c r="A2316"/>
  <c r="C2316" s="1"/>
  <c r="B2315"/>
  <c r="D2315" s="1"/>
  <c r="A2315"/>
  <c r="C2315" s="1"/>
  <c r="B2314"/>
  <c r="D2314" s="1"/>
  <c r="A2314"/>
  <c r="C2314" s="1"/>
  <c r="B2313"/>
  <c r="D2313" s="1"/>
  <c r="A2313"/>
  <c r="C2313" s="1"/>
  <c r="B2312"/>
  <c r="D2312" s="1"/>
  <c r="A2312"/>
  <c r="C2312" s="1"/>
  <c r="B2311"/>
  <c r="D2311" s="1"/>
  <c r="A2311"/>
  <c r="C2311" s="1"/>
  <c r="B2310"/>
  <c r="D2310" s="1"/>
  <c r="A2310"/>
  <c r="C2310" s="1"/>
  <c r="B2309"/>
  <c r="D2309" s="1"/>
  <c r="A2309"/>
  <c r="C2309" s="1"/>
  <c r="B2308"/>
  <c r="D2308" s="1"/>
  <c r="A2308"/>
  <c r="C2308" s="1"/>
  <c r="B2307"/>
  <c r="D2307" s="1"/>
  <c r="A2307"/>
  <c r="C2307" s="1"/>
  <c r="B2306"/>
  <c r="D2306" s="1"/>
  <c r="A2306"/>
  <c r="C2306" s="1"/>
  <c r="B2305"/>
  <c r="D2305" s="1"/>
  <c r="A2305"/>
  <c r="C2305" s="1"/>
  <c r="B2304"/>
  <c r="D2304" s="1"/>
  <c r="A2304"/>
  <c r="C2304" s="1"/>
  <c r="B2303"/>
  <c r="D2303" s="1"/>
  <c r="A2303"/>
  <c r="C2303" s="1"/>
  <c r="B2302"/>
  <c r="D2302" s="1"/>
  <c r="A2302"/>
  <c r="C2302" s="1"/>
  <c r="B2301"/>
  <c r="D2301" s="1"/>
  <c r="A2301"/>
  <c r="C2301" s="1"/>
  <c r="B2300"/>
  <c r="D2300" s="1"/>
  <c r="A2300"/>
  <c r="C2300" s="1"/>
  <c r="B2299"/>
  <c r="D2299" s="1"/>
  <c r="A2299"/>
  <c r="C2299" s="1"/>
  <c r="B2298"/>
  <c r="D2298" s="1"/>
  <c r="A2298"/>
  <c r="C2298" s="1"/>
  <c r="B2297"/>
  <c r="D2297" s="1"/>
  <c r="A2297"/>
  <c r="C2297" s="1"/>
  <c r="B2296"/>
  <c r="D2296" s="1"/>
  <c r="A2296"/>
  <c r="C2296" s="1"/>
  <c r="B2295"/>
  <c r="D2295" s="1"/>
  <c r="A2295"/>
  <c r="C2295" s="1"/>
  <c r="B2294"/>
  <c r="D2294" s="1"/>
  <c r="A2294"/>
  <c r="C2294" s="1"/>
  <c r="B2293"/>
  <c r="D2293" s="1"/>
  <c r="A2293"/>
  <c r="C2293" s="1"/>
  <c r="B2292"/>
  <c r="D2292" s="1"/>
  <c r="A2292"/>
  <c r="C2292" s="1"/>
  <c r="B2291"/>
  <c r="D2291" s="1"/>
  <c r="A2291"/>
  <c r="C2291" s="1"/>
  <c r="B2290"/>
  <c r="D2290" s="1"/>
  <c r="A2290"/>
  <c r="C2290" s="1"/>
  <c r="B2289"/>
  <c r="D2289" s="1"/>
  <c r="A2289"/>
  <c r="C2289" s="1"/>
  <c r="B2288"/>
  <c r="D2288" s="1"/>
  <c r="A2288"/>
  <c r="C2288" s="1"/>
  <c r="B2287"/>
  <c r="D2287" s="1"/>
  <c r="A2287"/>
  <c r="C2287" s="1"/>
  <c r="B2286"/>
  <c r="D2286" s="1"/>
  <c r="A2286"/>
  <c r="C2286" s="1"/>
  <c r="B2285"/>
  <c r="D2285" s="1"/>
  <c r="A2285"/>
  <c r="C2285" s="1"/>
  <c r="B2284"/>
  <c r="D2284" s="1"/>
  <c r="A2284"/>
  <c r="C2284" s="1"/>
  <c r="B2283"/>
  <c r="D2283" s="1"/>
  <c r="A2283"/>
  <c r="C2283" s="1"/>
  <c r="B2282"/>
  <c r="D2282" s="1"/>
  <c r="A2282"/>
  <c r="C2282" s="1"/>
  <c r="B2281"/>
  <c r="D2281" s="1"/>
  <c r="A2281"/>
  <c r="C2281" s="1"/>
  <c r="B2280"/>
  <c r="D2280" s="1"/>
  <c r="A2280"/>
  <c r="C2280" s="1"/>
  <c r="B2279"/>
  <c r="D2279" s="1"/>
  <c r="A2279"/>
  <c r="C2279" s="1"/>
  <c r="B2278"/>
  <c r="D2278" s="1"/>
  <c r="A2278"/>
  <c r="C2278" s="1"/>
  <c r="B2277"/>
  <c r="D2277" s="1"/>
  <c r="A2277"/>
  <c r="C2277" s="1"/>
  <c r="B2276"/>
  <c r="D2276" s="1"/>
  <c r="A2276"/>
  <c r="C2276" s="1"/>
  <c r="B2275"/>
  <c r="D2275" s="1"/>
  <c r="A2275"/>
  <c r="C2275" s="1"/>
  <c r="B2274"/>
  <c r="D2274" s="1"/>
  <c r="A2274"/>
  <c r="C2274" s="1"/>
  <c r="B2273"/>
  <c r="D2273" s="1"/>
  <c r="A2273"/>
  <c r="C2273" s="1"/>
  <c r="B2272"/>
  <c r="D2272" s="1"/>
  <c r="A2272"/>
  <c r="C2272" s="1"/>
  <c r="B2271"/>
  <c r="D2271" s="1"/>
  <c r="A2271"/>
  <c r="C2271" s="1"/>
  <c r="B2270"/>
  <c r="D2270" s="1"/>
  <c r="A2270"/>
  <c r="C2270" s="1"/>
  <c r="B2269"/>
  <c r="D2269" s="1"/>
  <c r="A2269"/>
  <c r="C2269" s="1"/>
  <c r="B2268"/>
  <c r="D2268" s="1"/>
  <c r="A2268"/>
  <c r="C2268" s="1"/>
  <c r="B2267"/>
  <c r="D2267" s="1"/>
  <c r="A2267"/>
  <c r="C2267" s="1"/>
  <c r="B2266"/>
  <c r="D2266" s="1"/>
  <c r="A2266"/>
  <c r="C2266" s="1"/>
  <c r="B2265"/>
  <c r="D2265" s="1"/>
  <c r="A2265"/>
  <c r="C2265" s="1"/>
  <c r="B2264"/>
  <c r="D2264" s="1"/>
  <c r="A2264"/>
  <c r="C2264" s="1"/>
  <c r="B2263"/>
  <c r="D2263" s="1"/>
  <c r="A2263"/>
  <c r="C2263" s="1"/>
  <c r="B2262"/>
  <c r="D2262" s="1"/>
  <c r="A2262"/>
  <c r="C2262" s="1"/>
  <c r="B2261"/>
  <c r="D2261" s="1"/>
  <c r="A2261"/>
  <c r="C2261" s="1"/>
  <c r="B2260"/>
  <c r="D2260" s="1"/>
  <c r="A2260"/>
  <c r="C2260" s="1"/>
  <c r="B2259"/>
  <c r="D2259" s="1"/>
  <c r="A2259"/>
  <c r="C2259" s="1"/>
  <c r="B2258"/>
  <c r="D2258" s="1"/>
  <c r="A2258"/>
  <c r="C2258" s="1"/>
  <c r="B2257"/>
  <c r="D2257" s="1"/>
  <c r="A2257"/>
  <c r="C2257" s="1"/>
  <c r="B2256"/>
  <c r="D2256" s="1"/>
  <c r="A2256"/>
  <c r="C2256" s="1"/>
  <c r="B2255"/>
  <c r="D2255" s="1"/>
  <c r="A2255"/>
  <c r="C2255" s="1"/>
  <c r="B2254"/>
  <c r="D2254" s="1"/>
  <c r="A2254"/>
  <c r="C2254" s="1"/>
  <c r="B2253"/>
  <c r="D2253" s="1"/>
  <c r="A2253"/>
  <c r="C2253" s="1"/>
  <c r="B2252"/>
  <c r="D2252" s="1"/>
  <c r="A2252"/>
  <c r="C2252" s="1"/>
  <c r="B2251"/>
  <c r="D2251" s="1"/>
  <c r="A2251"/>
  <c r="C2251" s="1"/>
  <c r="B2250"/>
  <c r="D2250" s="1"/>
  <c r="A2250"/>
  <c r="C2250" s="1"/>
  <c r="B2249"/>
  <c r="D2249" s="1"/>
  <c r="A2249"/>
  <c r="C2249" s="1"/>
  <c r="B2248"/>
  <c r="D2248" s="1"/>
  <c r="A2248"/>
  <c r="C2248" s="1"/>
  <c r="B2247"/>
  <c r="D2247" s="1"/>
  <c r="A2247"/>
  <c r="C2247" s="1"/>
  <c r="B2246"/>
  <c r="D2246" s="1"/>
  <c r="A2246"/>
  <c r="C2246" s="1"/>
  <c r="B2245"/>
  <c r="D2245" s="1"/>
  <c r="A2245"/>
  <c r="C2245" s="1"/>
  <c r="B2244"/>
  <c r="D2244" s="1"/>
  <c r="A2244"/>
  <c r="C2244" s="1"/>
  <c r="B2243"/>
  <c r="D2243" s="1"/>
  <c r="A2243"/>
  <c r="C2243" s="1"/>
  <c r="B2242"/>
  <c r="D2242" s="1"/>
  <c r="A2242"/>
  <c r="C2242" s="1"/>
  <c r="B2241"/>
  <c r="D2241" s="1"/>
  <c r="A2241"/>
  <c r="C2241" s="1"/>
  <c r="B2240"/>
  <c r="D2240" s="1"/>
  <c r="A2240"/>
  <c r="C2240" s="1"/>
  <c r="B2239"/>
  <c r="D2239" s="1"/>
  <c r="A2239"/>
  <c r="C2239" s="1"/>
  <c r="B2238"/>
  <c r="D2238" s="1"/>
  <c r="A2238"/>
  <c r="C2238" s="1"/>
  <c r="B2237"/>
  <c r="D2237" s="1"/>
  <c r="A2237"/>
  <c r="C2237" s="1"/>
  <c r="B2236"/>
  <c r="D2236" s="1"/>
  <c r="A2236"/>
  <c r="C2236" s="1"/>
  <c r="B2235"/>
  <c r="D2235" s="1"/>
  <c r="A2235"/>
  <c r="C2235" s="1"/>
  <c r="B2234"/>
  <c r="D2234" s="1"/>
  <c r="A2234"/>
  <c r="C2234" s="1"/>
  <c r="B2233"/>
  <c r="D2233" s="1"/>
  <c r="A2233"/>
  <c r="C2233" s="1"/>
  <c r="B2232"/>
  <c r="D2232" s="1"/>
  <c r="A2232"/>
  <c r="C2232" s="1"/>
  <c r="B2231"/>
  <c r="D2231" s="1"/>
  <c r="A2231"/>
  <c r="C2231" s="1"/>
  <c r="B2230"/>
  <c r="D2230" s="1"/>
  <c r="A2230"/>
  <c r="C2230" s="1"/>
  <c r="B2229"/>
  <c r="D2229" s="1"/>
  <c r="A2229"/>
  <c r="C2229" s="1"/>
  <c r="B2228"/>
  <c r="D2228" s="1"/>
  <c r="A2228"/>
  <c r="C2228" s="1"/>
  <c r="B2227"/>
  <c r="D2227" s="1"/>
  <c r="A2227"/>
  <c r="C2227" s="1"/>
  <c r="B2226"/>
  <c r="D2226" s="1"/>
  <c r="A2226"/>
  <c r="C2226" s="1"/>
  <c r="B2225"/>
  <c r="D2225" s="1"/>
  <c r="A2225"/>
  <c r="C2225" s="1"/>
  <c r="B2224"/>
  <c r="D2224" s="1"/>
  <c r="A2224"/>
  <c r="C2224" s="1"/>
  <c r="B2223"/>
  <c r="D2223" s="1"/>
  <c r="A2223"/>
  <c r="C2223" s="1"/>
  <c r="B2222"/>
  <c r="D2222" s="1"/>
  <c r="A2222"/>
  <c r="C2222" s="1"/>
  <c r="B2221"/>
  <c r="D2221" s="1"/>
  <c r="A2221"/>
  <c r="C2221" s="1"/>
  <c r="B2220"/>
  <c r="D2220" s="1"/>
  <c r="A2220"/>
  <c r="C2220" s="1"/>
  <c r="B2219"/>
  <c r="D2219" s="1"/>
  <c r="A2219"/>
  <c r="C2219" s="1"/>
  <c r="B2218"/>
  <c r="D2218" s="1"/>
  <c r="A2218"/>
  <c r="C2218" s="1"/>
  <c r="B2217"/>
  <c r="D2217" s="1"/>
  <c r="A2217"/>
  <c r="C2217" s="1"/>
  <c r="B2216"/>
  <c r="D2216" s="1"/>
  <c r="A2216"/>
  <c r="C2216" s="1"/>
  <c r="B2215"/>
  <c r="D2215" s="1"/>
  <c r="A2215"/>
  <c r="C2215" s="1"/>
  <c r="B2214"/>
  <c r="D2214" s="1"/>
  <c r="A2214"/>
  <c r="C2214" s="1"/>
  <c r="B2213"/>
  <c r="D2213" s="1"/>
  <c r="A2213"/>
  <c r="C2213" s="1"/>
  <c r="B2212"/>
  <c r="D2212" s="1"/>
  <c r="A2212"/>
  <c r="C2212" s="1"/>
  <c r="B2211"/>
  <c r="D2211" s="1"/>
  <c r="A2211"/>
  <c r="C2211" s="1"/>
  <c r="B2210"/>
  <c r="D2210" s="1"/>
  <c r="A2210"/>
  <c r="C2210" s="1"/>
  <c r="B2209"/>
  <c r="D2209" s="1"/>
  <c r="A2209"/>
  <c r="C2209" s="1"/>
  <c r="B2208"/>
  <c r="D2208" s="1"/>
  <c r="A2208"/>
  <c r="C2208" s="1"/>
  <c r="B2207"/>
  <c r="D2207" s="1"/>
  <c r="A2207"/>
  <c r="C2207" s="1"/>
  <c r="B2206"/>
  <c r="D2206" s="1"/>
  <c r="A2206"/>
  <c r="C2206" s="1"/>
  <c r="B2205"/>
  <c r="D2205" s="1"/>
  <c r="A2205"/>
  <c r="C2205" s="1"/>
  <c r="B2204"/>
  <c r="D2204" s="1"/>
  <c r="A2204"/>
  <c r="C2204" s="1"/>
  <c r="B2203"/>
  <c r="D2203" s="1"/>
  <c r="A2203"/>
  <c r="C2203" s="1"/>
  <c r="B2202"/>
  <c r="D2202" s="1"/>
  <c r="A2202"/>
  <c r="C2202" s="1"/>
  <c r="B2201"/>
  <c r="D2201" s="1"/>
  <c r="A2201"/>
  <c r="C2201" s="1"/>
  <c r="B2200"/>
  <c r="D2200" s="1"/>
  <c r="A2200"/>
  <c r="C2200" s="1"/>
  <c r="B2199"/>
  <c r="D2199" s="1"/>
  <c r="A2199"/>
  <c r="C2199" s="1"/>
  <c r="B2198"/>
  <c r="D2198" s="1"/>
  <c r="A2198"/>
  <c r="C2198" s="1"/>
  <c r="B2197"/>
  <c r="D2197" s="1"/>
  <c r="A2197"/>
  <c r="C2197" s="1"/>
  <c r="B2196"/>
  <c r="D2196" s="1"/>
  <c r="A2196"/>
  <c r="C2196" s="1"/>
  <c r="B2195"/>
  <c r="D2195" s="1"/>
  <c r="A2195"/>
  <c r="C2195" s="1"/>
  <c r="B2194"/>
  <c r="D2194" s="1"/>
  <c r="A2194"/>
  <c r="C2194" s="1"/>
  <c r="B2193"/>
  <c r="D2193" s="1"/>
  <c r="A2193"/>
  <c r="C2193" s="1"/>
  <c r="B2192"/>
  <c r="D2192" s="1"/>
  <c r="A2192"/>
  <c r="C2192" s="1"/>
  <c r="B2191"/>
  <c r="D2191" s="1"/>
  <c r="A2191"/>
  <c r="C2191" s="1"/>
  <c r="B2190"/>
  <c r="D2190" s="1"/>
  <c r="A2190"/>
  <c r="C2190" s="1"/>
  <c r="B2189"/>
  <c r="D2189" s="1"/>
  <c r="A2189"/>
  <c r="C2189" s="1"/>
  <c r="B2188"/>
  <c r="D2188" s="1"/>
  <c r="A2188"/>
  <c r="C2188" s="1"/>
  <c r="B2187"/>
  <c r="D2187" s="1"/>
  <c r="A2187"/>
  <c r="C2187" s="1"/>
  <c r="B2186"/>
  <c r="D2186" s="1"/>
  <c r="A2186"/>
  <c r="C2186" s="1"/>
  <c r="B2185"/>
  <c r="D2185" s="1"/>
  <c r="A2185"/>
  <c r="C2185" s="1"/>
  <c r="B2184"/>
  <c r="D2184" s="1"/>
  <c r="A2184"/>
  <c r="C2184" s="1"/>
  <c r="B2183"/>
  <c r="D2183" s="1"/>
  <c r="A2183"/>
  <c r="C2183" s="1"/>
  <c r="B2182"/>
  <c r="D2182" s="1"/>
  <c r="A2182"/>
  <c r="C2182" s="1"/>
  <c r="B2181"/>
  <c r="D2181" s="1"/>
  <c r="A2181"/>
  <c r="C2181" s="1"/>
  <c r="B2180"/>
  <c r="D2180" s="1"/>
  <c r="A2180"/>
  <c r="C2180" s="1"/>
  <c r="B2179"/>
  <c r="D2179" s="1"/>
  <c r="A2179"/>
  <c r="C2179" s="1"/>
  <c r="B2178"/>
  <c r="D2178" s="1"/>
  <c r="A2178"/>
  <c r="C2178" s="1"/>
  <c r="B2177"/>
  <c r="D2177" s="1"/>
  <c r="A2177"/>
  <c r="C2177" s="1"/>
  <c r="B2176"/>
  <c r="D2176" s="1"/>
  <c r="A2176"/>
  <c r="C2176" s="1"/>
  <c r="B2175"/>
  <c r="D2175" s="1"/>
  <c r="A2175"/>
  <c r="C2175" s="1"/>
  <c r="B2174"/>
  <c r="D2174" s="1"/>
  <c r="A2174"/>
  <c r="C2174" s="1"/>
  <c r="B2173"/>
  <c r="D2173" s="1"/>
  <c r="A2173"/>
  <c r="C2173" s="1"/>
  <c r="B2172"/>
  <c r="D2172" s="1"/>
  <c r="A2172"/>
  <c r="C2172" s="1"/>
  <c r="B2171"/>
  <c r="D2171" s="1"/>
  <c r="A2171"/>
  <c r="C2171" s="1"/>
  <c r="B2170"/>
  <c r="D2170" s="1"/>
  <c r="A2170"/>
  <c r="C2170" s="1"/>
  <c r="B2169"/>
  <c r="D2169" s="1"/>
  <c r="A2169"/>
  <c r="C2169" s="1"/>
  <c r="B2168"/>
  <c r="D2168" s="1"/>
  <c r="A2168"/>
  <c r="C2168" s="1"/>
  <c r="B2167"/>
  <c r="D2167" s="1"/>
  <c r="A2167"/>
  <c r="C2167" s="1"/>
  <c r="B2166"/>
  <c r="D2166" s="1"/>
  <c r="A2166"/>
  <c r="C2166" s="1"/>
  <c r="B2165"/>
  <c r="D2165" s="1"/>
  <c r="A2165"/>
  <c r="C2165" s="1"/>
  <c r="B2164"/>
  <c r="D2164" s="1"/>
  <c r="A2164"/>
  <c r="C2164" s="1"/>
  <c r="B2163"/>
  <c r="D2163" s="1"/>
  <c r="A2163"/>
  <c r="C2163" s="1"/>
  <c r="B2162"/>
  <c r="D2162" s="1"/>
  <c r="A2162"/>
  <c r="C2162" s="1"/>
  <c r="B2161"/>
  <c r="D2161" s="1"/>
  <c r="A2161"/>
  <c r="C2161" s="1"/>
  <c r="B2160"/>
  <c r="D2160" s="1"/>
  <c r="A2160"/>
  <c r="C2160" s="1"/>
  <c r="B2159"/>
  <c r="D2159" s="1"/>
  <c r="A2159"/>
  <c r="C2159" s="1"/>
  <c r="B2158"/>
  <c r="D2158" s="1"/>
  <c r="A2158"/>
  <c r="C2158" s="1"/>
  <c r="B2157"/>
  <c r="D2157" s="1"/>
  <c r="A2157"/>
  <c r="C2157" s="1"/>
  <c r="B2156"/>
  <c r="D2156" s="1"/>
  <c r="A2156"/>
  <c r="C2156" s="1"/>
  <c r="B2155"/>
  <c r="D2155" s="1"/>
  <c r="A2155"/>
  <c r="C2155" s="1"/>
  <c r="B2154"/>
  <c r="D2154" s="1"/>
  <c r="A2154"/>
  <c r="C2154" s="1"/>
  <c r="B2153"/>
  <c r="D2153" s="1"/>
  <c r="A2153"/>
  <c r="C2153" s="1"/>
  <c r="B2152"/>
  <c r="D2152" s="1"/>
  <c r="A2152"/>
  <c r="C2152" s="1"/>
  <c r="B2151"/>
  <c r="D2151" s="1"/>
  <c r="A2151"/>
  <c r="C2151" s="1"/>
  <c r="B2150"/>
  <c r="D2150" s="1"/>
  <c r="A2150"/>
  <c r="C2150" s="1"/>
  <c r="B2149"/>
  <c r="D2149" s="1"/>
  <c r="A2149"/>
  <c r="C2149" s="1"/>
  <c r="B2148"/>
  <c r="D2148" s="1"/>
  <c r="A2148"/>
  <c r="C2148" s="1"/>
  <c r="B2147"/>
  <c r="D2147" s="1"/>
  <c r="A2147"/>
  <c r="C2147" s="1"/>
  <c r="B2146"/>
  <c r="D2146" s="1"/>
  <c r="A2146"/>
  <c r="C2146" s="1"/>
  <c r="B2145"/>
  <c r="D2145" s="1"/>
  <c r="A2145"/>
  <c r="C2145" s="1"/>
  <c r="B2144"/>
  <c r="D2144" s="1"/>
  <c r="A2144"/>
  <c r="C2144" s="1"/>
  <c r="B2143"/>
  <c r="D2143" s="1"/>
  <c r="A2143"/>
  <c r="C2143" s="1"/>
  <c r="B2142"/>
  <c r="D2142" s="1"/>
  <c r="A2142"/>
  <c r="C2142" s="1"/>
  <c r="B2141"/>
  <c r="D2141" s="1"/>
  <c r="A2141"/>
  <c r="C2141" s="1"/>
  <c r="B2140"/>
  <c r="D2140" s="1"/>
  <c r="A2140"/>
  <c r="C2140" s="1"/>
  <c r="B2139"/>
  <c r="D2139" s="1"/>
  <c r="A2139"/>
  <c r="C2139" s="1"/>
  <c r="B2138"/>
  <c r="D2138" s="1"/>
  <c r="A2138"/>
  <c r="C2138" s="1"/>
  <c r="B2137"/>
  <c r="D2137" s="1"/>
  <c r="A2137"/>
  <c r="C2137" s="1"/>
  <c r="B2136"/>
  <c r="D2136" s="1"/>
  <c r="A2136"/>
  <c r="C2136" s="1"/>
  <c r="B2135"/>
  <c r="D2135" s="1"/>
  <c r="A2135"/>
  <c r="C2135" s="1"/>
  <c r="B2134"/>
  <c r="D2134" s="1"/>
  <c r="A2134"/>
  <c r="C2134" s="1"/>
  <c r="B2133"/>
  <c r="D2133" s="1"/>
  <c r="A2133"/>
  <c r="C2133" s="1"/>
  <c r="B2132"/>
  <c r="D2132" s="1"/>
  <c r="A2132"/>
  <c r="C2132" s="1"/>
  <c r="B2131"/>
  <c r="D2131" s="1"/>
  <c r="A2131"/>
  <c r="C2131" s="1"/>
  <c r="B2130"/>
  <c r="D2130" s="1"/>
  <c r="A2130"/>
  <c r="C2130" s="1"/>
  <c r="B2129"/>
  <c r="D2129" s="1"/>
  <c r="A2129"/>
  <c r="C2129" s="1"/>
  <c r="B2128"/>
  <c r="D2128" s="1"/>
  <c r="A2128"/>
  <c r="C2128" s="1"/>
  <c r="B2127"/>
  <c r="D2127" s="1"/>
  <c r="A2127"/>
  <c r="C2127" s="1"/>
  <c r="B2126"/>
  <c r="D2126" s="1"/>
  <c r="A2126"/>
  <c r="C2126" s="1"/>
  <c r="B2125"/>
  <c r="D2125" s="1"/>
  <c r="A2125"/>
  <c r="C2125" s="1"/>
  <c r="B2124"/>
  <c r="D2124" s="1"/>
  <c r="A2124"/>
  <c r="C2124" s="1"/>
  <c r="B2123"/>
  <c r="D2123" s="1"/>
  <c r="A2123"/>
  <c r="C2123" s="1"/>
  <c r="B2122"/>
  <c r="D2122" s="1"/>
  <c r="A2122"/>
  <c r="C2122" s="1"/>
  <c r="B2121"/>
  <c r="D2121" s="1"/>
  <c r="A2121"/>
  <c r="C2121" s="1"/>
  <c r="B2120"/>
  <c r="D2120" s="1"/>
  <c r="A2120"/>
  <c r="C2120" s="1"/>
  <c r="B2119"/>
  <c r="D2119" s="1"/>
  <c r="A2119"/>
  <c r="C2119" s="1"/>
  <c r="B2118"/>
  <c r="D2118" s="1"/>
  <c r="A2118"/>
  <c r="C2118" s="1"/>
  <c r="B2117"/>
  <c r="D2117" s="1"/>
  <c r="A2117"/>
  <c r="C2117" s="1"/>
  <c r="B2116"/>
  <c r="D2116" s="1"/>
  <c r="A2116"/>
  <c r="C2116" s="1"/>
  <c r="B2115"/>
  <c r="D2115" s="1"/>
  <c r="A2115"/>
  <c r="C2115" s="1"/>
  <c r="B2114"/>
  <c r="D2114" s="1"/>
  <c r="A2114"/>
  <c r="C2114" s="1"/>
  <c r="B2113"/>
  <c r="D2113" s="1"/>
  <c r="A2113"/>
  <c r="C2113" s="1"/>
  <c r="B2112"/>
  <c r="D2112" s="1"/>
  <c r="A2112"/>
  <c r="C2112" s="1"/>
  <c r="B2111"/>
  <c r="D2111" s="1"/>
  <c r="A2111"/>
  <c r="C2111" s="1"/>
  <c r="B2110"/>
  <c r="D2110" s="1"/>
  <c r="A2110"/>
  <c r="C2110" s="1"/>
  <c r="B2109"/>
  <c r="D2109" s="1"/>
  <c r="A2109"/>
  <c r="C2109" s="1"/>
  <c r="B2108"/>
  <c r="D2108" s="1"/>
  <c r="A2108"/>
  <c r="C2108" s="1"/>
  <c r="B2107"/>
  <c r="D2107" s="1"/>
  <c r="A2107"/>
  <c r="C2107" s="1"/>
  <c r="B2106"/>
  <c r="D2106" s="1"/>
  <c r="A2106"/>
  <c r="C2106" s="1"/>
  <c r="B2105"/>
  <c r="D2105" s="1"/>
  <c r="A2105"/>
  <c r="C2105" s="1"/>
  <c r="B2104"/>
  <c r="D2104" s="1"/>
  <c r="A2104"/>
  <c r="C2104" s="1"/>
  <c r="B2103"/>
  <c r="D2103" s="1"/>
  <c r="A2103"/>
  <c r="C2103" s="1"/>
  <c r="B2102"/>
  <c r="D2102" s="1"/>
  <c r="A2102"/>
  <c r="C2102" s="1"/>
  <c r="B2101"/>
  <c r="D2101" s="1"/>
  <c r="A2101"/>
  <c r="C2101" s="1"/>
  <c r="B2100"/>
  <c r="D2100" s="1"/>
  <c r="A2100"/>
  <c r="C2100" s="1"/>
  <c r="B2099"/>
  <c r="D2099" s="1"/>
  <c r="A2099"/>
  <c r="C2099" s="1"/>
  <c r="B2098"/>
  <c r="D2098" s="1"/>
  <c r="A2098"/>
  <c r="C2098" s="1"/>
  <c r="B2097"/>
  <c r="D2097" s="1"/>
  <c r="A2097"/>
  <c r="C2097" s="1"/>
  <c r="B2096"/>
  <c r="D2096" s="1"/>
  <c r="A2096"/>
  <c r="C2096" s="1"/>
  <c r="B2095"/>
  <c r="D2095" s="1"/>
  <c r="A2095"/>
  <c r="C2095" s="1"/>
  <c r="B2094"/>
  <c r="D2094" s="1"/>
  <c r="A2094"/>
  <c r="C2094" s="1"/>
  <c r="B2093"/>
  <c r="D2093" s="1"/>
  <c r="A2093"/>
  <c r="C2093" s="1"/>
  <c r="B2092"/>
  <c r="D2092" s="1"/>
  <c r="A2092"/>
  <c r="C2092" s="1"/>
  <c r="B2091"/>
  <c r="D2091" s="1"/>
  <c r="A2091"/>
  <c r="C2091" s="1"/>
  <c r="B2090"/>
  <c r="D2090" s="1"/>
  <c r="A2090"/>
  <c r="C2090" s="1"/>
  <c r="B2089"/>
  <c r="D2089" s="1"/>
  <c r="A2089"/>
  <c r="C2089" s="1"/>
  <c r="B2088"/>
  <c r="D2088" s="1"/>
  <c r="A2088"/>
  <c r="C2088" s="1"/>
  <c r="B2087"/>
  <c r="D2087" s="1"/>
  <c r="A2087"/>
  <c r="C2087" s="1"/>
  <c r="B2086"/>
  <c r="D2086" s="1"/>
  <c r="A2086"/>
  <c r="C2086" s="1"/>
  <c r="B2085"/>
  <c r="D2085" s="1"/>
  <c r="A2085"/>
  <c r="C2085" s="1"/>
  <c r="B2084"/>
  <c r="D2084" s="1"/>
  <c r="A2084"/>
  <c r="C2084" s="1"/>
  <c r="B2083"/>
  <c r="D2083" s="1"/>
  <c r="A2083"/>
  <c r="C2083" s="1"/>
  <c r="B2082"/>
  <c r="D2082" s="1"/>
  <c r="A2082"/>
  <c r="C2082" s="1"/>
  <c r="B2081"/>
  <c r="D2081" s="1"/>
  <c r="A2081"/>
  <c r="C2081" s="1"/>
  <c r="B2080"/>
  <c r="D2080" s="1"/>
  <c r="A2080"/>
  <c r="C2080" s="1"/>
  <c r="B2079"/>
  <c r="D2079" s="1"/>
  <c r="A2079"/>
  <c r="C2079" s="1"/>
  <c r="B2078"/>
  <c r="D2078" s="1"/>
  <c r="A2078"/>
  <c r="C2078" s="1"/>
  <c r="B2077"/>
  <c r="D2077" s="1"/>
  <c r="A2077"/>
  <c r="C2077" s="1"/>
  <c r="B2076"/>
  <c r="D2076" s="1"/>
  <c r="A2076"/>
  <c r="C2076" s="1"/>
  <c r="B2075"/>
  <c r="D2075" s="1"/>
  <c r="A2075"/>
  <c r="C2075" s="1"/>
  <c r="B2074"/>
  <c r="D2074" s="1"/>
  <c r="A2074"/>
  <c r="C2074" s="1"/>
  <c r="B2073"/>
  <c r="D2073" s="1"/>
  <c r="A2073"/>
  <c r="C2073" s="1"/>
  <c r="B2072"/>
  <c r="D2072" s="1"/>
  <c r="A2072"/>
  <c r="C2072" s="1"/>
  <c r="B2071"/>
  <c r="D2071" s="1"/>
  <c r="A2071"/>
  <c r="C2071" s="1"/>
  <c r="B2070"/>
  <c r="D2070" s="1"/>
  <c r="A2070"/>
  <c r="C2070" s="1"/>
  <c r="B2069"/>
  <c r="D2069" s="1"/>
  <c r="A2069"/>
  <c r="C2069" s="1"/>
  <c r="B2068"/>
  <c r="D2068" s="1"/>
  <c r="A2068"/>
  <c r="C2068" s="1"/>
  <c r="B2067"/>
  <c r="D2067" s="1"/>
  <c r="A2067"/>
  <c r="C2067" s="1"/>
  <c r="B2066"/>
  <c r="D2066" s="1"/>
  <c r="A2066"/>
  <c r="C2066" s="1"/>
  <c r="B2065"/>
  <c r="D2065" s="1"/>
  <c r="A2065"/>
  <c r="C2065" s="1"/>
  <c r="B2064"/>
  <c r="D2064" s="1"/>
  <c r="A2064"/>
  <c r="C2064" s="1"/>
  <c r="B2063"/>
  <c r="D2063" s="1"/>
  <c r="A2063"/>
  <c r="C2063" s="1"/>
  <c r="B2062"/>
  <c r="D2062" s="1"/>
  <c r="A2062"/>
  <c r="C2062" s="1"/>
  <c r="B2061"/>
  <c r="D2061" s="1"/>
  <c r="A2061"/>
  <c r="C2061" s="1"/>
  <c r="B2060"/>
  <c r="D2060" s="1"/>
  <c r="A2060"/>
  <c r="C2060" s="1"/>
  <c r="B2059"/>
  <c r="D2059" s="1"/>
  <c r="A2059"/>
  <c r="C2059" s="1"/>
  <c r="B2058"/>
  <c r="D2058" s="1"/>
  <c r="A2058"/>
  <c r="C2058" s="1"/>
  <c r="B2057"/>
  <c r="D2057" s="1"/>
  <c r="A2057"/>
  <c r="C2057" s="1"/>
  <c r="B2056"/>
  <c r="D2056" s="1"/>
  <c r="A2056"/>
  <c r="C2056" s="1"/>
  <c r="B2055"/>
  <c r="D2055" s="1"/>
  <c r="A2055"/>
  <c r="C2055" s="1"/>
  <c r="B2054"/>
  <c r="D2054" s="1"/>
  <c r="A2054"/>
  <c r="C2054" s="1"/>
  <c r="B2053"/>
  <c r="D2053" s="1"/>
  <c r="A2053"/>
  <c r="C2053" s="1"/>
  <c r="B2052"/>
  <c r="D2052" s="1"/>
  <c r="A2052"/>
  <c r="C2052" s="1"/>
  <c r="B2051"/>
  <c r="D2051" s="1"/>
  <c r="A2051"/>
  <c r="C2051" s="1"/>
  <c r="B2050"/>
  <c r="D2050" s="1"/>
  <c r="A2050"/>
  <c r="C2050" s="1"/>
  <c r="B2049"/>
  <c r="D2049" s="1"/>
  <c r="A2049"/>
  <c r="C2049" s="1"/>
  <c r="B2048"/>
  <c r="D2048" s="1"/>
  <c r="A2048"/>
  <c r="C2048" s="1"/>
  <c r="B2047"/>
  <c r="D2047" s="1"/>
  <c r="A2047"/>
  <c r="C2047" s="1"/>
  <c r="B2046"/>
  <c r="D2046" s="1"/>
  <c r="A2046"/>
  <c r="C2046" s="1"/>
  <c r="B2045"/>
  <c r="D2045" s="1"/>
  <c r="A2045"/>
  <c r="C2045" s="1"/>
  <c r="B2044"/>
  <c r="D2044" s="1"/>
  <c r="A2044"/>
  <c r="C2044" s="1"/>
  <c r="B2043"/>
  <c r="D2043" s="1"/>
  <c r="A2043"/>
  <c r="C2043" s="1"/>
  <c r="B2042"/>
  <c r="D2042" s="1"/>
  <c r="A2042"/>
  <c r="C2042" s="1"/>
  <c r="B2041"/>
  <c r="D2041" s="1"/>
  <c r="A2041"/>
  <c r="C2041" s="1"/>
  <c r="B2040"/>
  <c r="D2040" s="1"/>
  <c r="A2040"/>
  <c r="C2040" s="1"/>
  <c r="B2039"/>
  <c r="D2039" s="1"/>
  <c r="A2039"/>
  <c r="C2039" s="1"/>
  <c r="B2038"/>
  <c r="D2038" s="1"/>
  <c r="A2038"/>
  <c r="C2038" s="1"/>
  <c r="B2037"/>
  <c r="D2037" s="1"/>
  <c r="A2037"/>
  <c r="C2037" s="1"/>
  <c r="B2036"/>
  <c r="D2036" s="1"/>
  <c r="A2036"/>
  <c r="C2036" s="1"/>
  <c r="B2035"/>
  <c r="D2035" s="1"/>
  <c r="A2035"/>
  <c r="C2035" s="1"/>
  <c r="B2034"/>
  <c r="D2034" s="1"/>
  <c r="A2034"/>
  <c r="C2034" s="1"/>
  <c r="B2033"/>
  <c r="D2033" s="1"/>
  <c r="A2033"/>
  <c r="C2033" s="1"/>
  <c r="B2032"/>
  <c r="D2032" s="1"/>
  <c r="A2032"/>
  <c r="C2032" s="1"/>
  <c r="B2031"/>
  <c r="D2031" s="1"/>
  <c r="A2031"/>
  <c r="C2031" s="1"/>
  <c r="B2030"/>
  <c r="D2030" s="1"/>
  <c r="A2030"/>
  <c r="C2030" s="1"/>
  <c r="B2029"/>
  <c r="D2029" s="1"/>
  <c r="A2029"/>
  <c r="C2029" s="1"/>
  <c r="B2028"/>
  <c r="D2028" s="1"/>
  <c r="A2028"/>
  <c r="C2028" s="1"/>
  <c r="B2027"/>
  <c r="D2027" s="1"/>
  <c r="A2027"/>
  <c r="C2027" s="1"/>
  <c r="B2026"/>
  <c r="D2026" s="1"/>
  <c r="A2026"/>
  <c r="C2026" s="1"/>
  <c r="B2025"/>
  <c r="D2025" s="1"/>
  <c r="A2025"/>
  <c r="C2025" s="1"/>
  <c r="B2024"/>
  <c r="D2024" s="1"/>
  <c r="A2024"/>
  <c r="C2024" s="1"/>
  <c r="B2023"/>
  <c r="D2023" s="1"/>
  <c r="A2023"/>
  <c r="C2023" s="1"/>
  <c r="B2022"/>
  <c r="D2022" s="1"/>
  <c r="A2022"/>
  <c r="C2022" s="1"/>
  <c r="B2021"/>
  <c r="D2021" s="1"/>
  <c r="A2021"/>
  <c r="C2021" s="1"/>
  <c r="B2020"/>
  <c r="D2020" s="1"/>
  <c r="A2020"/>
  <c r="C2020" s="1"/>
  <c r="B2019"/>
  <c r="D2019" s="1"/>
  <c r="A2019"/>
  <c r="C2019" s="1"/>
  <c r="B2018"/>
  <c r="D2018" s="1"/>
  <c r="A2018"/>
  <c r="C2018" s="1"/>
  <c r="B2017"/>
  <c r="D2017" s="1"/>
  <c r="A2017"/>
  <c r="C2017" s="1"/>
  <c r="B2016"/>
  <c r="D2016" s="1"/>
  <c r="A2016"/>
  <c r="C2016" s="1"/>
  <c r="B2015"/>
  <c r="D2015" s="1"/>
  <c r="A2015"/>
  <c r="C2015" s="1"/>
  <c r="B2014"/>
  <c r="D2014" s="1"/>
  <c r="A2014"/>
  <c r="C2014" s="1"/>
  <c r="B2013"/>
  <c r="D2013" s="1"/>
  <c r="A2013"/>
  <c r="C2013" s="1"/>
  <c r="B2012"/>
  <c r="D2012" s="1"/>
  <c r="A2012"/>
  <c r="C2012" s="1"/>
  <c r="B2011"/>
  <c r="D2011" s="1"/>
  <c r="A2011"/>
  <c r="C2011" s="1"/>
  <c r="B2010"/>
  <c r="D2010" s="1"/>
  <c r="A2010"/>
  <c r="C2010" s="1"/>
  <c r="B2009"/>
  <c r="D2009" s="1"/>
  <c r="A2009"/>
  <c r="C2009" s="1"/>
  <c r="B2008"/>
  <c r="D2008" s="1"/>
  <c r="A2008"/>
  <c r="C2008" s="1"/>
  <c r="B2007"/>
  <c r="D2007" s="1"/>
  <c r="A2007"/>
  <c r="C2007" s="1"/>
  <c r="B2006"/>
  <c r="D2006" s="1"/>
  <c r="A2006"/>
  <c r="C2006" s="1"/>
  <c r="B2005"/>
  <c r="D2005" s="1"/>
  <c r="A2005"/>
  <c r="C2005" s="1"/>
  <c r="B2004"/>
  <c r="D2004" s="1"/>
  <c r="A2004"/>
  <c r="C2004" s="1"/>
  <c r="B2003"/>
  <c r="D2003" s="1"/>
  <c r="A2003"/>
  <c r="C2003" s="1"/>
  <c r="B2002"/>
  <c r="D2002" s="1"/>
  <c r="A2002"/>
  <c r="C2002" s="1"/>
  <c r="B2001"/>
  <c r="D2001" s="1"/>
  <c r="A2001"/>
  <c r="C2001" s="1"/>
  <c r="B2000"/>
  <c r="D2000" s="1"/>
  <c r="A2000"/>
  <c r="C2000" s="1"/>
  <c r="B1999"/>
  <c r="D1999" s="1"/>
  <c r="A1999"/>
  <c r="C1999" s="1"/>
  <c r="B1998"/>
  <c r="D1998" s="1"/>
  <c r="A1998"/>
  <c r="C1998" s="1"/>
  <c r="B1997"/>
  <c r="D1997" s="1"/>
  <c r="A1997"/>
  <c r="C1997" s="1"/>
  <c r="B1996"/>
  <c r="D1996" s="1"/>
  <c r="A1996"/>
  <c r="C1996" s="1"/>
  <c r="B1995"/>
  <c r="D1995" s="1"/>
  <c r="A1995"/>
  <c r="C1995" s="1"/>
  <c r="B1994"/>
  <c r="D1994" s="1"/>
  <c r="A1994"/>
  <c r="C1994" s="1"/>
  <c r="B1993"/>
  <c r="D1993" s="1"/>
  <c r="A1993"/>
  <c r="C1993" s="1"/>
  <c r="B1992"/>
  <c r="D1992" s="1"/>
  <c r="A1992"/>
  <c r="C1992" s="1"/>
  <c r="B1991"/>
  <c r="D1991" s="1"/>
  <c r="A1991"/>
  <c r="C1991" s="1"/>
  <c r="B1990"/>
  <c r="D1990" s="1"/>
  <c r="A1990"/>
  <c r="C1990" s="1"/>
  <c r="B1989"/>
  <c r="D1989" s="1"/>
  <c r="A1989"/>
  <c r="C1989" s="1"/>
  <c r="B1988"/>
  <c r="D1988" s="1"/>
  <c r="A1988"/>
  <c r="C1988" s="1"/>
  <c r="B1987"/>
  <c r="D1987" s="1"/>
  <c r="A1987"/>
  <c r="C1987" s="1"/>
  <c r="B1986"/>
  <c r="D1986" s="1"/>
  <c r="A1986"/>
  <c r="C1986" s="1"/>
  <c r="B1985"/>
  <c r="D1985" s="1"/>
  <c r="A1985"/>
  <c r="C1985" s="1"/>
  <c r="B1984"/>
  <c r="D1984" s="1"/>
  <c r="A1984"/>
  <c r="C1984" s="1"/>
  <c r="B1983"/>
  <c r="D1983" s="1"/>
  <c r="A1983"/>
  <c r="C1983" s="1"/>
  <c r="B1982"/>
  <c r="D1982" s="1"/>
  <c r="A1982"/>
  <c r="C1982" s="1"/>
  <c r="B1981"/>
  <c r="D1981" s="1"/>
  <c r="A1981"/>
  <c r="C1981" s="1"/>
  <c r="B1980"/>
  <c r="D1980" s="1"/>
  <c r="A1980"/>
  <c r="C1980" s="1"/>
  <c r="B1979"/>
  <c r="D1979" s="1"/>
  <c r="A1979"/>
  <c r="C1979" s="1"/>
  <c r="B1978"/>
  <c r="D1978" s="1"/>
  <c r="A1978"/>
  <c r="C1978" s="1"/>
  <c r="B1977"/>
  <c r="D1977" s="1"/>
  <c r="A1977"/>
  <c r="C1977" s="1"/>
  <c r="B1976"/>
  <c r="D1976" s="1"/>
  <c r="A1976"/>
  <c r="C1976" s="1"/>
  <c r="B1975"/>
  <c r="D1975" s="1"/>
  <c r="A1975"/>
  <c r="C1975" s="1"/>
  <c r="B1974"/>
  <c r="D1974" s="1"/>
  <c r="A1974"/>
  <c r="C1974" s="1"/>
  <c r="B1973"/>
  <c r="D1973" s="1"/>
  <c r="A1973"/>
  <c r="C1973" s="1"/>
  <c r="B1972"/>
  <c r="D1972" s="1"/>
  <c r="A1972"/>
  <c r="C1972" s="1"/>
  <c r="B1971"/>
  <c r="D1971" s="1"/>
  <c r="A1971"/>
  <c r="C1971" s="1"/>
  <c r="B1970"/>
  <c r="D1970" s="1"/>
  <c r="A1970"/>
  <c r="C1970" s="1"/>
  <c r="B1969"/>
  <c r="D1969" s="1"/>
  <c r="A1969"/>
  <c r="C1969" s="1"/>
  <c r="B1968"/>
  <c r="D1968" s="1"/>
  <c r="A1968"/>
  <c r="C1968" s="1"/>
  <c r="B1967"/>
  <c r="D1967" s="1"/>
  <c r="A1967"/>
  <c r="C1967" s="1"/>
  <c r="B1966"/>
  <c r="D1966" s="1"/>
  <c r="A1966"/>
  <c r="C1966" s="1"/>
  <c r="B1965"/>
  <c r="D1965" s="1"/>
  <c r="A1965"/>
  <c r="C1965" s="1"/>
  <c r="B1964"/>
  <c r="D1964" s="1"/>
  <c r="A1964"/>
  <c r="C1964" s="1"/>
  <c r="B1963"/>
  <c r="D1963" s="1"/>
  <c r="A1963"/>
  <c r="C1963" s="1"/>
  <c r="B1962"/>
  <c r="D1962" s="1"/>
  <c r="A1962"/>
  <c r="C1962" s="1"/>
  <c r="B1961"/>
  <c r="D1961" s="1"/>
  <c r="A1961"/>
  <c r="C1961" s="1"/>
  <c r="B1960"/>
  <c r="D1960" s="1"/>
  <c r="A1960"/>
  <c r="C1960" s="1"/>
  <c r="B1959"/>
  <c r="D1959" s="1"/>
  <c r="A1959"/>
  <c r="C1959" s="1"/>
  <c r="B1958"/>
  <c r="D1958" s="1"/>
  <c r="A1958"/>
  <c r="C1958" s="1"/>
  <c r="B1957"/>
  <c r="D1957" s="1"/>
  <c r="A1957"/>
  <c r="C1957" s="1"/>
  <c r="B1956"/>
  <c r="D1956" s="1"/>
  <c r="A1956"/>
  <c r="C1956" s="1"/>
  <c r="B1955"/>
  <c r="D1955" s="1"/>
  <c r="A1955"/>
  <c r="C1955" s="1"/>
  <c r="B1954"/>
  <c r="D1954" s="1"/>
  <c r="A1954"/>
  <c r="C1954" s="1"/>
  <c r="B1953"/>
  <c r="D1953" s="1"/>
  <c r="A1953"/>
  <c r="C1953" s="1"/>
  <c r="B1952"/>
  <c r="D1952" s="1"/>
  <c r="A1952"/>
  <c r="C1952" s="1"/>
  <c r="B1951"/>
  <c r="D1951" s="1"/>
  <c r="A1951"/>
  <c r="C1951" s="1"/>
  <c r="B1950"/>
  <c r="D1950" s="1"/>
  <c r="A1950"/>
  <c r="C1950" s="1"/>
  <c r="B1949"/>
  <c r="D1949" s="1"/>
  <c r="A1949"/>
  <c r="C1949" s="1"/>
  <c r="B1948"/>
  <c r="D1948" s="1"/>
  <c r="A1948"/>
  <c r="C1948" s="1"/>
  <c r="B1947"/>
  <c r="D1947" s="1"/>
  <c r="A1947"/>
  <c r="C1947" s="1"/>
  <c r="B1946"/>
  <c r="D1946" s="1"/>
  <c r="A1946"/>
  <c r="C1946" s="1"/>
  <c r="B1945"/>
  <c r="D1945" s="1"/>
  <c r="A1945"/>
  <c r="C1945" s="1"/>
  <c r="B1944"/>
  <c r="D1944" s="1"/>
  <c r="A1944"/>
  <c r="C1944" s="1"/>
  <c r="B1943"/>
  <c r="D1943" s="1"/>
  <c r="A1943"/>
  <c r="C1943" s="1"/>
  <c r="B1942"/>
  <c r="D1942" s="1"/>
  <c r="A1942"/>
  <c r="C1942" s="1"/>
  <c r="B1941"/>
  <c r="D1941" s="1"/>
  <c r="A1941"/>
  <c r="C1941" s="1"/>
  <c r="B1940"/>
  <c r="D1940" s="1"/>
  <c r="A1940"/>
  <c r="C1940" s="1"/>
  <c r="B1939"/>
  <c r="D1939" s="1"/>
  <c r="A1939"/>
  <c r="C1939" s="1"/>
  <c r="B1938"/>
  <c r="D1938" s="1"/>
  <c r="A1938"/>
  <c r="C1938" s="1"/>
  <c r="B1937"/>
  <c r="D1937" s="1"/>
  <c r="A1937"/>
  <c r="C1937" s="1"/>
  <c r="B1936"/>
  <c r="D1936" s="1"/>
  <c r="A1936"/>
  <c r="C1936" s="1"/>
  <c r="B1935"/>
  <c r="D1935" s="1"/>
  <c r="A1935"/>
  <c r="C1935" s="1"/>
  <c r="B1934"/>
  <c r="D1934" s="1"/>
  <c r="A1934"/>
  <c r="C1934" s="1"/>
  <c r="B1933"/>
  <c r="D1933" s="1"/>
  <c r="A1933"/>
  <c r="C1933" s="1"/>
  <c r="B1932"/>
  <c r="D1932" s="1"/>
  <c r="A1932"/>
  <c r="C1932" s="1"/>
  <c r="B1931"/>
  <c r="D1931" s="1"/>
  <c r="A1931"/>
  <c r="C1931" s="1"/>
  <c r="B1930"/>
  <c r="D1930" s="1"/>
  <c r="A1930"/>
  <c r="C1930" s="1"/>
  <c r="B1929"/>
  <c r="D1929" s="1"/>
  <c r="A1929"/>
  <c r="C1929" s="1"/>
  <c r="B1928"/>
  <c r="D1928" s="1"/>
  <c r="A1928"/>
  <c r="C1928" s="1"/>
  <c r="B1927"/>
  <c r="D1927" s="1"/>
  <c r="A1927"/>
  <c r="C1927" s="1"/>
  <c r="B1926"/>
  <c r="D1926" s="1"/>
  <c r="A1926"/>
  <c r="C1926" s="1"/>
  <c r="B1925"/>
  <c r="D1925" s="1"/>
  <c r="A1925"/>
  <c r="C1925" s="1"/>
  <c r="B1924"/>
  <c r="D1924" s="1"/>
  <c r="A1924"/>
  <c r="C1924" s="1"/>
  <c r="B1923"/>
  <c r="D1923" s="1"/>
  <c r="A1923"/>
  <c r="C1923" s="1"/>
  <c r="B1922"/>
  <c r="D1922" s="1"/>
  <c r="A1922"/>
  <c r="C1922" s="1"/>
  <c r="B1921"/>
  <c r="D1921" s="1"/>
  <c r="A1921"/>
  <c r="C1921" s="1"/>
  <c r="B1920"/>
  <c r="D1920" s="1"/>
  <c r="A1920"/>
  <c r="C1920" s="1"/>
  <c r="B1919"/>
  <c r="D1919" s="1"/>
  <c r="A1919"/>
  <c r="C1919" s="1"/>
  <c r="B1918"/>
  <c r="D1918" s="1"/>
  <c r="A1918"/>
  <c r="C1918" s="1"/>
  <c r="B1917"/>
  <c r="D1917" s="1"/>
  <c r="A1917"/>
  <c r="C1917" s="1"/>
  <c r="B1916"/>
  <c r="D1916" s="1"/>
  <c r="A1916"/>
  <c r="C1916" s="1"/>
  <c r="B1915"/>
  <c r="D1915" s="1"/>
  <c r="A1915"/>
  <c r="C1915" s="1"/>
  <c r="B1914"/>
  <c r="D1914" s="1"/>
  <c r="A1914"/>
  <c r="C1914" s="1"/>
  <c r="B1913"/>
  <c r="D1913" s="1"/>
  <c r="A1913"/>
  <c r="C1913" s="1"/>
  <c r="B1912"/>
  <c r="D1912" s="1"/>
  <c r="A1912"/>
  <c r="C1912" s="1"/>
  <c r="B1911"/>
  <c r="D1911" s="1"/>
  <c r="A1911"/>
  <c r="C1911" s="1"/>
  <c r="B1910"/>
  <c r="D1910" s="1"/>
  <c r="A1910"/>
  <c r="C1910" s="1"/>
  <c r="B1909"/>
  <c r="D1909" s="1"/>
  <c r="A1909"/>
  <c r="C1909" s="1"/>
  <c r="B1908"/>
  <c r="D1908" s="1"/>
  <c r="A1908"/>
  <c r="C1908" s="1"/>
  <c r="B1907"/>
  <c r="D1907" s="1"/>
  <c r="A1907"/>
  <c r="C1907" s="1"/>
  <c r="B1906"/>
  <c r="D1906" s="1"/>
  <c r="A1906"/>
  <c r="C1906" s="1"/>
  <c r="B1905"/>
  <c r="D1905" s="1"/>
  <c r="A1905"/>
  <c r="C1905" s="1"/>
  <c r="B1904"/>
  <c r="D1904" s="1"/>
  <c r="A1904"/>
  <c r="C1904" s="1"/>
  <c r="B1903"/>
  <c r="D1903" s="1"/>
  <c r="A1903"/>
  <c r="C1903" s="1"/>
  <c r="B1902"/>
  <c r="D1902" s="1"/>
  <c r="A1902"/>
  <c r="C1902" s="1"/>
  <c r="B1901"/>
  <c r="D1901" s="1"/>
  <c r="A1901"/>
  <c r="C1901" s="1"/>
  <c r="B1900"/>
  <c r="D1900" s="1"/>
  <c r="A1900"/>
  <c r="C1900" s="1"/>
  <c r="B1899"/>
  <c r="D1899" s="1"/>
  <c r="A1899"/>
  <c r="C1899" s="1"/>
  <c r="B1898"/>
  <c r="D1898" s="1"/>
  <c r="A1898"/>
  <c r="C1898" s="1"/>
  <c r="B1897"/>
  <c r="D1897" s="1"/>
  <c r="A1897"/>
  <c r="C1897" s="1"/>
  <c r="B1896"/>
  <c r="D1896" s="1"/>
  <c r="A1896"/>
  <c r="C1896" s="1"/>
  <c r="B1895"/>
  <c r="D1895" s="1"/>
  <c r="A1895"/>
  <c r="C1895" s="1"/>
  <c r="B1894"/>
  <c r="D1894" s="1"/>
  <c r="A1894"/>
  <c r="C1894" s="1"/>
  <c r="B1893"/>
  <c r="D1893" s="1"/>
  <c r="A1893"/>
  <c r="C1893" s="1"/>
  <c r="B1892"/>
  <c r="D1892" s="1"/>
  <c r="A1892"/>
  <c r="C1892" s="1"/>
  <c r="B1891"/>
  <c r="D1891" s="1"/>
  <c r="A1891"/>
  <c r="C1891" s="1"/>
  <c r="B1890"/>
  <c r="D1890" s="1"/>
  <c r="A1890"/>
  <c r="C1890" s="1"/>
  <c r="B1889"/>
  <c r="D1889" s="1"/>
  <c r="A1889"/>
  <c r="C1889" s="1"/>
  <c r="B1888"/>
  <c r="D1888" s="1"/>
  <c r="A1888"/>
  <c r="C1888" s="1"/>
  <c r="B1887"/>
  <c r="D1887" s="1"/>
  <c r="A1887"/>
  <c r="C1887" s="1"/>
  <c r="B1886"/>
  <c r="D1886" s="1"/>
  <c r="A1886"/>
  <c r="C1886" s="1"/>
  <c r="B1885"/>
  <c r="D1885" s="1"/>
  <c r="A1885"/>
  <c r="C1885" s="1"/>
  <c r="B1884"/>
  <c r="D1884" s="1"/>
  <c r="A1884"/>
  <c r="C1884" s="1"/>
  <c r="B1883"/>
  <c r="D1883" s="1"/>
  <c r="A1883"/>
  <c r="C1883" s="1"/>
  <c r="B1882"/>
  <c r="D1882" s="1"/>
  <c r="A1882"/>
  <c r="C1882" s="1"/>
  <c r="B1881"/>
  <c r="D1881" s="1"/>
  <c r="A1881"/>
  <c r="C1881" s="1"/>
  <c r="B1880"/>
  <c r="D1880" s="1"/>
  <c r="A1880"/>
  <c r="C1880" s="1"/>
  <c r="B1879"/>
  <c r="D1879" s="1"/>
  <c r="A1879"/>
  <c r="C1879" s="1"/>
  <c r="B1878"/>
  <c r="D1878" s="1"/>
  <c r="A1878"/>
  <c r="C1878" s="1"/>
  <c r="B1877"/>
  <c r="D1877" s="1"/>
  <c r="A1877"/>
  <c r="C1877" s="1"/>
  <c r="B1876"/>
  <c r="D1876" s="1"/>
  <c r="A1876"/>
  <c r="C1876" s="1"/>
  <c r="B1875"/>
  <c r="D1875" s="1"/>
  <c r="A1875"/>
  <c r="C1875" s="1"/>
  <c r="B1874"/>
  <c r="D1874" s="1"/>
  <c r="A1874"/>
  <c r="C1874" s="1"/>
  <c r="B1873"/>
  <c r="D1873" s="1"/>
  <c r="A1873"/>
  <c r="C1873" s="1"/>
  <c r="B1872"/>
  <c r="D1872" s="1"/>
  <c r="A1872"/>
  <c r="C1872" s="1"/>
  <c r="B1871"/>
  <c r="D1871" s="1"/>
  <c r="A1871"/>
  <c r="C1871" s="1"/>
  <c r="B1870"/>
  <c r="D1870" s="1"/>
  <c r="A1870"/>
  <c r="C1870" s="1"/>
  <c r="B1869"/>
  <c r="D1869" s="1"/>
  <c r="A1869"/>
  <c r="C1869" s="1"/>
  <c r="B1868"/>
  <c r="D1868" s="1"/>
  <c r="A1868"/>
  <c r="C1868" s="1"/>
  <c r="B1867"/>
  <c r="D1867" s="1"/>
  <c r="A1867"/>
  <c r="C1867" s="1"/>
  <c r="B1866"/>
  <c r="D1866" s="1"/>
  <c r="A1866"/>
  <c r="C1866" s="1"/>
  <c r="B1865"/>
  <c r="D1865" s="1"/>
  <c r="A1865"/>
  <c r="C1865" s="1"/>
  <c r="B1864"/>
  <c r="D1864" s="1"/>
  <c r="A1864"/>
  <c r="C1864" s="1"/>
  <c r="B1863"/>
  <c r="D1863" s="1"/>
  <c r="A1863"/>
  <c r="C1863" s="1"/>
  <c r="B1862"/>
  <c r="D1862" s="1"/>
  <c r="A1862"/>
  <c r="C1862" s="1"/>
  <c r="B1861"/>
  <c r="D1861" s="1"/>
  <c r="A1861"/>
  <c r="C1861" s="1"/>
  <c r="B1860"/>
  <c r="D1860" s="1"/>
  <c r="A1860"/>
  <c r="C1860" s="1"/>
  <c r="B1859"/>
  <c r="D1859" s="1"/>
  <c r="A1859"/>
  <c r="C1859" s="1"/>
  <c r="B1858"/>
  <c r="D1858" s="1"/>
  <c r="A1858"/>
  <c r="C1858" s="1"/>
  <c r="B1857"/>
  <c r="D1857" s="1"/>
  <c r="A1857"/>
  <c r="C1857" s="1"/>
  <c r="B1856"/>
  <c r="D1856" s="1"/>
  <c r="A1856"/>
  <c r="C1856" s="1"/>
  <c r="B1855"/>
  <c r="D1855" s="1"/>
  <c r="A1855"/>
  <c r="C1855" s="1"/>
  <c r="B1854"/>
  <c r="D1854" s="1"/>
  <c r="A1854"/>
  <c r="C1854" s="1"/>
  <c r="B1853"/>
  <c r="D1853" s="1"/>
  <c r="A1853"/>
  <c r="C1853" s="1"/>
  <c r="B1852"/>
  <c r="D1852" s="1"/>
  <c r="A1852"/>
  <c r="C1852" s="1"/>
  <c r="B1851"/>
  <c r="D1851" s="1"/>
  <c r="A1851"/>
  <c r="C1851" s="1"/>
  <c r="B1850"/>
  <c r="D1850" s="1"/>
  <c r="A1850"/>
  <c r="C1850" s="1"/>
  <c r="B1849"/>
  <c r="D1849" s="1"/>
  <c r="A1849"/>
  <c r="C1849" s="1"/>
  <c r="B1848"/>
  <c r="D1848" s="1"/>
  <c r="A1848"/>
  <c r="C1848" s="1"/>
  <c r="B1847"/>
  <c r="D1847" s="1"/>
  <c r="A1847"/>
  <c r="C1847" s="1"/>
  <c r="B1846"/>
  <c r="D1846" s="1"/>
  <c r="A1846"/>
  <c r="C1846" s="1"/>
  <c r="B1845"/>
  <c r="D1845" s="1"/>
  <c r="A1845"/>
  <c r="C1845" s="1"/>
  <c r="B1844"/>
  <c r="D1844" s="1"/>
  <c r="A1844"/>
  <c r="C1844" s="1"/>
  <c r="B1843"/>
  <c r="D1843" s="1"/>
  <c r="A1843"/>
  <c r="C1843" s="1"/>
  <c r="B1842"/>
  <c r="D1842" s="1"/>
  <c r="A1842"/>
  <c r="C1842" s="1"/>
  <c r="B1841"/>
  <c r="D1841" s="1"/>
  <c r="A1841"/>
  <c r="C1841" s="1"/>
  <c r="B1840"/>
  <c r="D1840" s="1"/>
  <c r="A1840"/>
  <c r="C1840" s="1"/>
  <c r="B1839"/>
  <c r="D1839" s="1"/>
  <c r="A1839"/>
  <c r="C1839" s="1"/>
  <c r="B1838"/>
  <c r="D1838" s="1"/>
  <c r="A1838"/>
  <c r="C1838" s="1"/>
  <c r="B1837"/>
  <c r="D1837" s="1"/>
  <c r="A1837"/>
  <c r="C1837" s="1"/>
  <c r="B1836"/>
  <c r="D1836" s="1"/>
  <c r="A1836"/>
  <c r="C1836" s="1"/>
  <c r="B1835"/>
  <c r="D1835" s="1"/>
  <c r="A1835"/>
  <c r="C1835" s="1"/>
  <c r="B1834"/>
  <c r="D1834" s="1"/>
  <c r="A1834"/>
  <c r="C1834" s="1"/>
  <c r="B1833"/>
  <c r="D1833" s="1"/>
  <c r="A1833"/>
  <c r="C1833" s="1"/>
  <c r="B1832"/>
  <c r="D1832" s="1"/>
  <c r="A1832"/>
  <c r="C1832" s="1"/>
  <c r="B1831"/>
  <c r="D1831" s="1"/>
  <c r="A1831"/>
  <c r="C1831" s="1"/>
  <c r="B1830"/>
  <c r="D1830" s="1"/>
  <c r="A1830"/>
  <c r="C1830" s="1"/>
  <c r="B1829"/>
  <c r="D1829" s="1"/>
  <c r="A1829"/>
  <c r="C1829" s="1"/>
  <c r="B1828"/>
  <c r="D1828" s="1"/>
  <c r="A1828"/>
  <c r="C1828" s="1"/>
  <c r="B1827"/>
  <c r="D1827" s="1"/>
  <c r="A1827"/>
  <c r="C1827" s="1"/>
  <c r="B1826"/>
  <c r="D1826" s="1"/>
  <c r="A1826"/>
  <c r="C1826" s="1"/>
  <c r="B1825"/>
  <c r="D1825" s="1"/>
  <c r="A1825"/>
  <c r="C1825" s="1"/>
  <c r="B1824"/>
  <c r="D1824" s="1"/>
  <c r="A1824"/>
  <c r="C1824" s="1"/>
  <c r="B1823"/>
  <c r="D1823" s="1"/>
  <c r="A1823"/>
  <c r="C1823" s="1"/>
  <c r="B1822"/>
  <c r="D1822" s="1"/>
  <c r="A1822"/>
  <c r="C1822" s="1"/>
  <c r="B1821"/>
  <c r="D1821" s="1"/>
  <c r="A1821"/>
  <c r="C1821" s="1"/>
  <c r="B1820"/>
  <c r="D1820" s="1"/>
  <c r="A1820"/>
  <c r="C1820" s="1"/>
  <c r="B1819"/>
  <c r="D1819" s="1"/>
  <c r="A1819"/>
  <c r="C1819" s="1"/>
  <c r="B1818"/>
  <c r="D1818" s="1"/>
  <c r="A1818"/>
  <c r="C1818" s="1"/>
  <c r="B1817"/>
  <c r="D1817" s="1"/>
  <c r="A1817"/>
  <c r="C1817" s="1"/>
  <c r="B1816"/>
  <c r="D1816" s="1"/>
  <c r="A1816"/>
  <c r="C1816" s="1"/>
  <c r="B1815"/>
  <c r="D1815" s="1"/>
  <c r="A1815"/>
  <c r="C1815" s="1"/>
  <c r="B1814"/>
  <c r="D1814" s="1"/>
  <c r="A1814"/>
  <c r="C1814" s="1"/>
  <c r="B1813"/>
  <c r="D1813" s="1"/>
  <c r="A1813"/>
  <c r="C1813" s="1"/>
  <c r="B1812"/>
  <c r="D1812" s="1"/>
  <c r="A1812"/>
  <c r="C1812" s="1"/>
  <c r="B1811"/>
  <c r="D1811" s="1"/>
  <c r="A1811"/>
  <c r="C1811" s="1"/>
  <c r="B1810"/>
  <c r="D1810" s="1"/>
  <c r="A1810"/>
  <c r="C1810" s="1"/>
  <c r="B1809"/>
  <c r="D1809" s="1"/>
  <c r="A1809"/>
  <c r="C1809" s="1"/>
  <c r="B1808"/>
  <c r="D1808" s="1"/>
  <c r="A1808"/>
  <c r="C1808" s="1"/>
  <c r="B1807"/>
  <c r="D1807" s="1"/>
  <c r="A1807"/>
  <c r="C1807" s="1"/>
  <c r="B1806"/>
  <c r="D1806" s="1"/>
  <c r="A1806"/>
  <c r="C1806" s="1"/>
  <c r="B1805"/>
  <c r="D1805" s="1"/>
  <c r="A1805"/>
  <c r="C1805" s="1"/>
  <c r="B1804"/>
  <c r="D1804" s="1"/>
  <c r="A1804"/>
  <c r="C1804" s="1"/>
  <c r="B1803"/>
  <c r="D1803" s="1"/>
  <c r="A1803"/>
  <c r="C1803" s="1"/>
  <c r="B1802"/>
  <c r="D1802" s="1"/>
  <c r="A1802"/>
  <c r="C1802" s="1"/>
  <c r="B1801"/>
  <c r="D1801" s="1"/>
  <c r="A1801"/>
  <c r="C1801" s="1"/>
  <c r="B1800"/>
  <c r="D1800" s="1"/>
  <c r="A1800"/>
  <c r="C1800" s="1"/>
  <c r="B1799"/>
  <c r="D1799" s="1"/>
  <c r="A1799"/>
  <c r="C1799" s="1"/>
  <c r="B1798"/>
  <c r="D1798" s="1"/>
  <c r="A1798"/>
  <c r="C1798" s="1"/>
  <c r="B1797"/>
  <c r="D1797" s="1"/>
  <c r="A1797"/>
  <c r="C1797" s="1"/>
  <c r="B1796"/>
  <c r="D1796" s="1"/>
  <c r="A1796"/>
  <c r="C1796" s="1"/>
  <c r="B1795"/>
  <c r="D1795" s="1"/>
  <c r="A1795"/>
  <c r="C1795" s="1"/>
  <c r="B1794"/>
  <c r="D1794" s="1"/>
  <c r="A1794"/>
  <c r="C1794" s="1"/>
  <c r="B1793"/>
  <c r="D1793" s="1"/>
  <c r="A1793"/>
  <c r="C1793" s="1"/>
  <c r="B1792"/>
  <c r="D1792" s="1"/>
  <c r="A1792"/>
  <c r="C1792" s="1"/>
  <c r="B1791"/>
  <c r="D1791" s="1"/>
  <c r="A1791"/>
  <c r="C1791" s="1"/>
  <c r="B1790"/>
  <c r="D1790" s="1"/>
  <c r="A1790"/>
  <c r="C1790" s="1"/>
  <c r="B1789"/>
  <c r="D1789" s="1"/>
  <c r="A1789"/>
  <c r="C1789" s="1"/>
  <c r="B1788"/>
  <c r="D1788" s="1"/>
  <c r="A1788"/>
  <c r="C1788" s="1"/>
  <c r="B1787"/>
  <c r="D1787" s="1"/>
  <c r="A1787"/>
  <c r="C1787" s="1"/>
  <c r="B1786"/>
  <c r="D1786" s="1"/>
  <c r="A1786"/>
  <c r="C1786" s="1"/>
  <c r="B1785"/>
  <c r="D1785" s="1"/>
  <c r="A1785"/>
  <c r="C1785" s="1"/>
  <c r="B1784"/>
  <c r="D1784" s="1"/>
  <c r="A1784"/>
  <c r="C1784" s="1"/>
  <c r="B1783"/>
  <c r="D1783" s="1"/>
  <c r="A1783"/>
  <c r="C1783" s="1"/>
  <c r="B1782"/>
  <c r="D1782" s="1"/>
  <c r="A1782"/>
  <c r="C1782" s="1"/>
  <c r="B1781"/>
  <c r="D1781" s="1"/>
  <c r="A1781"/>
  <c r="C1781" s="1"/>
  <c r="B1780"/>
  <c r="D1780" s="1"/>
  <c r="A1780"/>
  <c r="C1780" s="1"/>
  <c r="B1779"/>
  <c r="D1779" s="1"/>
  <c r="A1779"/>
  <c r="C1779" s="1"/>
  <c r="B1778"/>
  <c r="D1778" s="1"/>
  <c r="A1778"/>
  <c r="C1778" s="1"/>
  <c r="B1777"/>
  <c r="D1777" s="1"/>
  <c r="A1777"/>
  <c r="C1777" s="1"/>
  <c r="B1776"/>
  <c r="D1776" s="1"/>
  <c r="A1776"/>
  <c r="C1776" s="1"/>
  <c r="B1775"/>
  <c r="D1775" s="1"/>
  <c r="A1775"/>
  <c r="C1775" s="1"/>
  <c r="B1774"/>
  <c r="D1774" s="1"/>
  <c r="A1774"/>
  <c r="C1774" s="1"/>
  <c r="B1773"/>
  <c r="D1773" s="1"/>
  <c r="A1773"/>
  <c r="C1773" s="1"/>
  <c r="B1772"/>
  <c r="D1772" s="1"/>
  <c r="A1772"/>
  <c r="C1772" s="1"/>
  <c r="B1771"/>
  <c r="D1771" s="1"/>
  <c r="A1771"/>
  <c r="C1771" s="1"/>
  <c r="B1770"/>
  <c r="D1770" s="1"/>
  <c r="A1770"/>
  <c r="C1770" s="1"/>
  <c r="B1769"/>
  <c r="D1769" s="1"/>
  <c r="A1769"/>
  <c r="C1769" s="1"/>
  <c r="B1768"/>
  <c r="D1768" s="1"/>
  <c r="A1768"/>
  <c r="C1768" s="1"/>
  <c r="B1767"/>
  <c r="D1767" s="1"/>
  <c r="A1767"/>
  <c r="C1767" s="1"/>
  <c r="B1766"/>
  <c r="D1766" s="1"/>
  <c r="A1766"/>
  <c r="C1766" s="1"/>
  <c r="B1765"/>
  <c r="D1765" s="1"/>
  <c r="A1765"/>
  <c r="C1765" s="1"/>
  <c r="B1764"/>
  <c r="D1764" s="1"/>
  <c r="A1764"/>
  <c r="C1764" s="1"/>
  <c r="B1763"/>
  <c r="D1763" s="1"/>
  <c r="A1763"/>
  <c r="C1763" s="1"/>
  <c r="B1762"/>
  <c r="D1762" s="1"/>
  <c r="A1762"/>
  <c r="C1762" s="1"/>
  <c r="B1761"/>
  <c r="D1761" s="1"/>
  <c r="A1761"/>
  <c r="C1761" s="1"/>
  <c r="B1760"/>
  <c r="D1760" s="1"/>
  <c r="A1760"/>
  <c r="C1760" s="1"/>
  <c r="B1759"/>
  <c r="D1759" s="1"/>
  <c r="A1759"/>
  <c r="C1759" s="1"/>
  <c r="B1758"/>
  <c r="D1758" s="1"/>
  <c r="A1758"/>
  <c r="C1758" s="1"/>
  <c r="B1757"/>
  <c r="D1757" s="1"/>
  <c r="A1757"/>
  <c r="C1757" s="1"/>
  <c r="B1756"/>
  <c r="D1756" s="1"/>
  <c r="A1756"/>
  <c r="C1756" s="1"/>
  <c r="B1755"/>
  <c r="D1755" s="1"/>
  <c r="A1755"/>
  <c r="C1755" s="1"/>
  <c r="B1754"/>
  <c r="D1754" s="1"/>
  <c r="A1754"/>
  <c r="C1754" s="1"/>
  <c r="B1753"/>
  <c r="D1753" s="1"/>
  <c r="A1753"/>
  <c r="C1753" s="1"/>
  <c r="B1752"/>
  <c r="D1752" s="1"/>
  <c r="A1752"/>
  <c r="C1752" s="1"/>
  <c r="B1751"/>
  <c r="D1751" s="1"/>
  <c r="A1751"/>
  <c r="C1751" s="1"/>
  <c r="B1750"/>
  <c r="D1750" s="1"/>
  <c r="A1750"/>
  <c r="C1750" s="1"/>
  <c r="B1749"/>
  <c r="D1749" s="1"/>
  <c r="A1749"/>
  <c r="C1749" s="1"/>
  <c r="B1748"/>
  <c r="D1748" s="1"/>
  <c r="A1748"/>
  <c r="C1748" s="1"/>
  <c r="B1747"/>
  <c r="D1747" s="1"/>
  <c r="A1747"/>
  <c r="C1747" s="1"/>
  <c r="B1746"/>
  <c r="D1746" s="1"/>
  <c r="A1746"/>
  <c r="C1746" s="1"/>
  <c r="B1745"/>
  <c r="D1745" s="1"/>
  <c r="A1745"/>
  <c r="C1745" s="1"/>
  <c r="B1744"/>
  <c r="D1744" s="1"/>
  <c r="A1744"/>
  <c r="C1744" s="1"/>
  <c r="B1743"/>
  <c r="D1743" s="1"/>
  <c r="A1743"/>
  <c r="C1743" s="1"/>
  <c r="B1742"/>
  <c r="D1742" s="1"/>
  <c r="A1742"/>
  <c r="C1742" s="1"/>
  <c r="B1741"/>
  <c r="D1741" s="1"/>
  <c r="A1741"/>
  <c r="C1741" s="1"/>
  <c r="B1740"/>
  <c r="D1740" s="1"/>
  <c r="A1740"/>
  <c r="C1740" s="1"/>
  <c r="B1739"/>
  <c r="D1739" s="1"/>
  <c r="A1739"/>
  <c r="C1739" s="1"/>
  <c r="B1738"/>
  <c r="D1738" s="1"/>
  <c r="A1738"/>
  <c r="C1738" s="1"/>
  <c r="B1737"/>
  <c r="D1737" s="1"/>
  <c r="A1737"/>
  <c r="C1737" s="1"/>
  <c r="B1736"/>
  <c r="D1736" s="1"/>
  <c r="A1736"/>
  <c r="C1736" s="1"/>
  <c r="B1735"/>
  <c r="D1735" s="1"/>
  <c r="A1735"/>
  <c r="C1735" s="1"/>
  <c r="B1734"/>
  <c r="D1734" s="1"/>
  <c r="A1734"/>
  <c r="C1734" s="1"/>
  <c r="B1733"/>
  <c r="D1733" s="1"/>
  <c r="A1733"/>
  <c r="C1733" s="1"/>
  <c r="B1732"/>
  <c r="D1732" s="1"/>
  <c r="A1732"/>
  <c r="C1732" s="1"/>
  <c r="B1731"/>
  <c r="D1731" s="1"/>
  <c r="A1731"/>
  <c r="C1731" s="1"/>
  <c r="B1730"/>
  <c r="D1730" s="1"/>
  <c r="A1730"/>
  <c r="C1730" s="1"/>
  <c r="B1729"/>
  <c r="D1729" s="1"/>
  <c r="A1729"/>
  <c r="C1729" s="1"/>
  <c r="B1728"/>
  <c r="D1728" s="1"/>
  <c r="A1728"/>
  <c r="C1728" s="1"/>
  <c r="B1727"/>
  <c r="D1727" s="1"/>
  <c r="A1727"/>
  <c r="C1727" s="1"/>
  <c r="B1726"/>
  <c r="D1726" s="1"/>
  <c r="A1726"/>
  <c r="C1726" s="1"/>
  <c r="B1725"/>
  <c r="D1725" s="1"/>
  <c r="A1725"/>
  <c r="C1725" s="1"/>
  <c r="B1724"/>
  <c r="D1724" s="1"/>
  <c r="A1724"/>
  <c r="C1724" s="1"/>
  <c r="B1723"/>
  <c r="D1723" s="1"/>
  <c r="A1723"/>
  <c r="C1723" s="1"/>
  <c r="B1722"/>
  <c r="D1722" s="1"/>
  <c r="A1722"/>
  <c r="C1722" s="1"/>
  <c r="B1721"/>
  <c r="D1721" s="1"/>
  <c r="A1721"/>
  <c r="C1721" s="1"/>
  <c r="B1720"/>
  <c r="D1720" s="1"/>
  <c r="A1720"/>
  <c r="C1720" s="1"/>
  <c r="B1719"/>
  <c r="D1719" s="1"/>
  <c r="A1719"/>
  <c r="C1719" s="1"/>
  <c r="B1718"/>
  <c r="D1718" s="1"/>
  <c r="A1718"/>
  <c r="C1718" s="1"/>
  <c r="B1717"/>
  <c r="D1717" s="1"/>
  <c r="A1717"/>
  <c r="C1717" s="1"/>
  <c r="B1716"/>
  <c r="D1716" s="1"/>
  <c r="A1716"/>
  <c r="C1716" s="1"/>
  <c r="B1715"/>
  <c r="D1715" s="1"/>
  <c r="A1715"/>
  <c r="C1715" s="1"/>
  <c r="B1714"/>
  <c r="D1714" s="1"/>
  <c r="A1714"/>
  <c r="C1714" s="1"/>
  <c r="B1713"/>
  <c r="D1713" s="1"/>
  <c r="A1713"/>
  <c r="C1713" s="1"/>
  <c r="B1712"/>
  <c r="D1712" s="1"/>
  <c r="A1712"/>
  <c r="C1712" s="1"/>
  <c r="B1711"/>
  <c r="D1711" s="1"/>
  <c r="A1711"/>
  <c r="C1711" s="1"/>
  <c r="B1710"/>
  <c r="D1710" s="1"/>
  <c r="A1710"/>
  <c r="C1710" s="1"/>
  <c r="B1709"/>
  <c r="D1709" s="1"/>
  <c r="A1709"/>
  <c r="C1709" s="1"/>
  <c r="B1708"/>
  <c r="D1708" s="1"/>
  <c r="A1708"/>
  <c r="C1708" s="1"/>
  <c r="B1707"/>
  <c r="D1707" s="1"/>
  <c r="A1707"/>
  <c r="C1707" s="1"/>
  <c r="B1706"/>
  <c r="D1706" s="1"/>
  <c r="A1706"/>
  <c r="C1706" s="1"/>
  <c r="B1705"/>
  <c r="D1705" s="1"/>
  <c r="A1705"/>
  <c r="C1705" s="1"/>
  <c r="B1704"/>
  <c r="D1704" s="1"/>
  <c r="A1704"/>
  <c r="C1704" s="1"/>
  <c r="B1703"/>
  <c r="D1703" s="1"/>
  <c r="A1703"/>
  <c r="C1703" s="1"/>
  <c r="B1702"/>
  <c r="D1702" s="1"/>
  <c r="A1702"/>
  <c r="C1702" s="1"/>
  <c r="B1701"/>
  <c r="D1701" s="1"/>
  <c r="A1701"/>
  <c r="C1701" s="1"/>
  <c r="B1700"/>
  <c r="D1700" s="1"/>
  <c r="A1700"/>
  <c r="C1700" s="1"/>
  <c r="B1699"/>
  <c r="D1699" s="1"/>
  <c r="A1699"/>
  <c r="C1699" s="1"/>
  <c r="B1698"/>
  <c r="D1698" s="1"/>
  <c r="A1698"/>
  <c r="C1698" s="1"/>
  <c r="B1697"/>
  <c r="D1697" s="1"/>
  <c r="A1697"/>
  <c r="C1697" s="1"/>
  <c r="B1696"/>
  <c r="D1696" s="1"/>
  <c r="A1696"/>
  <c r="C1696" s="1"/>
  <c r="B1695"/>
  <c r="D1695" s="1"/>
  <c r="A1695"/>
  <c r="C1695" s="1"/>
  <c r="B1694"/>
  <c r="D1694" s="1"/>
  <c r="A1694"/>
  <c r="C1694" s="1"/>
  <c r="B1693"/>
  <c r="D1693" s="1"/>
  <c r="A1693"/>
  <c r="C1693" s="1"/>
  <c r="B1692"/>
  <c r="D1692" s="1"/>
  <c r="A1692"/>
  <c r="C1692" s="1"/>
  <c r="B1691"/>
  <c r="D1691" s="1"/>
  <c r="A1691"/>
  <c r="C1691" s="1"/>
  <c r="B1690"/>
  <c r="D1690" s="1"/>
  <c r="A1690"/>
  <c r="C1690" s="1"/>
  <c r="B1689"/>
  <c r="D1689" s="1"/>
  <c r="A1689"/>
  <c r="C1689" s="1"/>
  <c r="B1688"/>
  <c r="D1688" s="1"/>
  <c r="A1688"/>
  <c r="C1688" s="1"/>
  <c r="B1687"/>
  <c r="D1687" s="1"/>
  <c r="A1687"/>
  <c r="C1687" s="1"/>
  <c r="B1686"/>
  <c r="D1686" s="1"/>
  <c r="A1686"/>
  <c r="C1686" s="1"/>
  <c r="B1685"/>
  <c r="D1685" s="1"/>
  <c r="A1685"/>
  <c r="C1685" s="1"/>
  <c r="B1684"/>
  <c r="D1684" s="1"/>
  <c r="A1684"/>
  <c r="C1684" s="1"/>
  <c r="B1683"/>
  <c r="D1683" s="1"/>
  <c r="A1683"/>
  <c r="C1683" s="1"/>
  <c r="B1682"/>
  <c r="D1682" s="1"/>
  <c r="A1682"/>
  <c r="C1682" s="1"/>
  <c r="B1681"/>
  <c r="D1681" s="1"/>
  <c r="A1681"/>
  <c r="C1681" s="1"/>
  <c r="B1680"/>
  <c r="D1680" s="1"/>
  <c r="A1680"/>
  <c r="C1680" s="1"/>
  <c r="B1679"/>
  <c r="D1679" s="1"/>
  <c r="A1679"/>
  <c r="C1679" s="1"/>
  <c r="B1678"/>
  <c r="D1678" s="1"/>
  <c r="A1678"/>
  <c r="C1678" s="1"/>
  <c r="B1677"/>
  <c r="D1677" s="1"/>
  <c r="A1677"/>
  <c r="C1677" s="1"/>
  <c r="B1676"/>
  <c r="D1676" s="1"/>
  <c r="A1676"/>
  <c r="C1676" s="1"/>
  <c r="B1675"/>
  <c r="D1675" s="1"/>
  <c r="A1675"/>
  <c r="C1675" s="1"/>
  <c r="B1674"/>
  <c r="D1674" s="1"/>
  <c r="A1674"/>
  <c r="C1674" s="1"/>
  <c r="B1673"/>
  <c r="D1673" s="1"/>
  <c r="A1673"/>
  <c r="C1673" s="1"/>
  <c r="B1672"/>
  <c r="D1672" s="1"/>
  <c r="A1672"/>
  <c r="C1672" s="1"/>
  <c r="B1671"/>
  <c r="D1671" s="1"/>
  <c r="A1671"/>
  <c r="C1671" s="1"/>
  <c r="B1670"/>
  <c r="D1670" s="1"/>
  <c r="A1670"/>
  <c r="C1670" s="1"/>
  <c r="B1669"/>
  <c r="D1669" s="1"/>
  <c r="A1669"/>
  <c r="C1669" s="1"/>
  <c r="B1668"/>
  <c r="D1668" s="1"/>
  <c r="A1668"/>
  <c r="C1668" s="1"/>
  <c r="B1667"/>
  <c r="D1667" s="1"/>
  <c r="A1667"/>
  <c r="C1667" s="1"/>
  <c r="B1666"/>
  <c r="D1666" s="1"/>
  <c r="A1666"/>
  <c r="C1666" s="1"/>
  <c r="B1665"/>
  <c r="D1665" s="1"/>
  <c r="A1665"/>
  <c r="C1665" s="1"/>
  <c r="B1664"/>
  <c r="D1664" s="1"/>
  <c r="A1664"/>
  <c r="C1664" s="1"/>
  <c r="B1663"/>
  <c r="D1663" s="1"/>
  <c r="A1663"/>
  <c r="C1663" s="1"/>
  <c r="B1662"/>
  <c r="D1662" s="1"/>
  <c r="A1662"/>
  <c r="C1662" s="1"/>
  <c r="B1661"/>
  <c r="D1661" s="1"/>
  <c r="A1661"/>
  <c r="C1661" s="1"/>
  <c r="B1660"/>
  <c r="D1660" s="1"/>
  <c r="A1660"/>
  <c r="C1660" s="1"/>
  <c r="B1659"/>
  <c r="D1659" s="1"/>
  <c r="A1659"/>
  <c r="C1659" s="1"/>
  <c r="B1658"/>
  <c r="D1658" s="1"/>
  <c r="A1658"/>
  <c r="C1658" s="1"/>
  <c r="B1657"/>
  <c r="D1657" s="1"/>
  <c r="A1657"/>
  <c r="C1657" s="1"/>
  <c r="B1656"/>
  <c r="D1656" s="1"/>
  <c r="A1656"/>
  <c r="C1656" s="1"/>
  <c r="B1655"/>
  <c r="D1655" s="1"/>
  <c r="A1655"/>
  <c r="C1655" s="1"/>
  <c r="B1654"/>
  <c r="D1654" s="1"/>
  <c r="A1654"/>
  <c r="C1654" s="1"/>
  <c r="B1653"/>
  <c r="D1653" s="1"/>
  <c r="A1653"/>
  <c r="C1653" s="1"/>
  <c r="B1652"/>
  <c r="D1652" s="1"/>
  <c r="A1652"/>
  <c r="C1652" s="1"/>
  <c r="B1651"/>
  <c r="D1651" s="1"/>
  <c r="A1651"/>
  <c r="C1651" s="1"/>
  <c r="B1650"/>
  <c r="D1650" s="1"/>
  <c r="A1650"/>
  <c r="C1650" s="1"/>
  <c r="B1649"/>
  <c r="D1649" s="1"/>
  <c r="A1649"/>
  <c r="C1649" s="1"/>
  <c r="B1648"/>
  <c r="D1648" s="1"/>
  <c r="A1648"/>
  <c r="C1648" s="1"/>
  <c r="B1647"/>
  <c r="D1647" s="1"/>
  <c r="A1647"/>
  <c r="C1647" s="1"/>
  <c r="B1646"/>
  <c r="D1646" s="1"/>
  <c r="A1646"/>
  <c r="C1646" s="1"/>
  <c r="B1645"/>
  <c r="D1645" s="1"/>
  <c r="A1645"/>
  <c r="C1645" s="1"/>
  <c r="B1644"/>
  <c r="D1644" s="1"/>
  <c r="A1644"/>
  <c r="C1644" s="1"/>
  <c r="B1643"/>
  <c r="D1643" s="1"/>
  <c r="A1643"/>
  <c r="C1643" s="1"/>
  <c r="B1642"/>
  <c r="D1642" s="1"/>
  <c r="A1642"/>
  <c r="C1642" s="1"/>
  <c r="B1641"/>
  <c r="D1641" s="1"/>
  <c r="A1641"/>
  <c r="C1641" s="1"/>
  <c r="B1640"/>
  <c r="D1640" s="1"/>
  <c r="A1640"/>
  <c r="C1640" s="1"/>
  <c r="B1639"/>
  <c r="D1639" s="1"/>
  <c r="A1639"/>
  <c r="C1639" s="1"/>
  <c r="B1638"/>
  <c r="D1638" s="1"/>
  <c r="A1638"/>
  <c r="C1638" s="1"/>
  <c r="B1637"/>
  <c r="D1637" s="1"/>
  <c r="A1637"/>
  <c r="C1637" s="1"/>
  <c r="B1636"/>
  <c r="D1636" s="1"/>
  <c r="A1636"/>
  <c r="C1636" s="1"/>
  <c r="B1635"/>
  <c r="D1635" s="1"/>
  <c r="A1635"/>
  <c r="C1635" s="1"/>
  <c r="B1634"/>
  <c r="D1634" s="1"/>
  <c r="A1634"/>
  <c r="C1634" s="1"/>
  <c r="B1633"/>
  <c r="D1633" s="1"/>
  <c r="A1633"/>
  <c r="C1633" s="1"/>
  <c r="B1632"/>
  <c r="D1632" s="1"/>
  <c r="A1632"/>
  <c r="C1632" s="1"/>
  <c r="B1631"/>
  <c r="D1631" s="1"/>
  <c r="A1631"/>
  <c r="C1631" s="1"/>
  <c r="B1630"/>
  <c r="D1630" s="1"/>
  <c r="A1630"/>
  <c r="C1630" s="1"/>
  <c r="B1629"/>
  <c r="D1629" s="1"/>
  <c r="A1629"/>
  <c r="C1629" s="1"/>
  <c r="B1628"/>
  <c r="D1628" s="1"/>
  <c r="A1628"/>
  <c r="C1628" s="1"/>
  <c r="B1627"/>
  <c r="D1627" s="1"/>
  <c r="A1627"/>
  <c r="C1627" s="1"/>
  <c r="B1626"/>
  <c r="D1626" s="1"/>
  <c r="A1626"/>
  <c r="C1626" s="1"/>
  <c r="B1625"/>
  <c r="D1625" s="1"/>
  <c r="A1625"/>
  <c r="C1625" s="1"/>
  <c r="B1624"/>
  <c r="D1624" s="1"/>
  <c r="A1624"/>
  <c r="C1624" s="1"/>
  <c r="B1623"/>
  <c r="D1623" s="1"/>
  <c r="A1623"/>
  <c r="C1623" s="1"/>
  <c r="B1622"/>
  <c r="D1622" s="1"/>
  <c r="A1622"/>
  <c r="C1622" s="1"/>
  <c r="B1621"/>
  <c r="D1621" s="1"/>
  <c r="A1621"/>
  <c r="C1621" s="1"/>
  <c r="B1620"/>
  <c r="D1620" s="1"/>
  <c r="A1620"/>
  <c r="C1620" s="1"/>
  <c r="B1619"/>
  <c r="D1619" s="1"/>
  <c r="A1619"/>
  <c r="C1619" s="1"/>
  <c r="B1618"/>
  <c r="D1618" s="1"/>
  <c r="A1618"/>
  <c r="C1618" s="1"/>
  <c r="B1617"/>
  <c r="D1617" s="1"/>
  <c r="A1617"/>
  <c r="C1617" s="1"/>
  <c r="B1616"/>
  <c r="D1616" s="1"/>
  <c r="A1616"/>
  <c r="C1616" s="1"/>
  <c r="B1615"/>
  <c r="D1615" s="1"/>
  <c r="A1615"/>
  <c r="C1615" s="1"/>
  <c r="B1614"/>
  <c r="D1614" s="1"/>
  <c r="A1614"/>
  <c r="C1614" s="1"/>
  <c r="B1613"/>
  <c r="D1613" s="1"/>
  <c r="A1613"/>
  <c r="C1613" s="1"/>
  <c r="B1612"/>
  <c r="D1612" s="1"/>
  <c r="A1612"/>
  <c r="C1612" s="1"/>
  <c r="B1611"/>
  <c r="D1611" s="1"/>
  <c r="A1611"/>
  <c r="C1611" s="1"/>
  <c r="B1610"/>
  <c r="D1610" s="1"/>
  <c r="A1610"/>
  <c r="C1610" s="1"/>
  <c r="B1609"/>
  <c r="D1609" s="1"/>
  <c r="A1609"/>
  <c r="C1609" s="1"/>
  <c r="B1608"/>
  <c r="D1608" s="1"/>
  <c r="A1608"/>
  <c r="C1608" s="1"/>
  <c r="B1607"/>
  <c r="D1607" s="1"/>
  <c r="A1607"/>
  <c r="C1607" s="1"/>
  <c r="B1606"/>
  <c r="D1606" s="1"/>
  <c r="A1606"/>
  <c r="C1606" s="1"/>
  <c r="B1605"/>
  <c r="D1605" s="1"/>
  <c r="A1605"/>
  <c r="C1605" s="1"/>
  <c r="B1604"/>
  <c r="D1604" s="1"/>
  <c r="A1604"/>
  <c r="C1604" s="1"/>
  <c r="B1603"/>
  <c r="D1603" s="1"/>
  <c r="A1603"/>
  <c r="C1603" s="1"/>
  <c r="B1602"/>
  <c r="D1602" s="1"/>
  <c r="A1602"/>
  <c r="C1602" s="1"/>
  <c r="B1601"/>
  <c r="D1601" s="1"/>
  <c r="A1601"/>
  <c r="C1601" s="1"/>
  <c r="B1600"/>
  <c r="D1600" s="1"/>
  <c r="A1600"/>
  <c r="C1600" s="1"/>
  <c r="B1599"/>
  <c r="D1599" s="1"/>
  <c r="A1599"/>
  <c r="C1599" s="1"/>
  <c r="B1598"/>
  <c r="D1598" s="1"/>
  <c r="A1598"/>
  <c r="C1598" s="1"/>
  <c r="B1597"/>
  <c r="D1597" s="1"/>
  <c r="A1597"/>
  <c r="C1597" s="1"/>
  <c r="B1596"/>
  <c r="D1596" s="1"/>
  <c r="A1596"/>
  <c r="C1596" s="1"/>
  <c r="B1595"/>
  <c r="D1595" s="1"/>
  <c r="A1595"/>
  <c r="C1595" s="1"/>
  <c r="B1594"/>
  <c r="D1594" s="1"/>
  <c r="A1594"/>
  <c r="C1594" s="1"/>
  <c r="B1593"/>
  <c r="D1593" s="1"/>
  <c r="A1593"/>
  <c r="C1593" s="1"/>
  <c r="B1592"/>
  <c r="D1592" s="1"/>
  <c r="A1592"/>
  <c r="C1592" s="1"/>
  <c r="B1591"/>
  <c r="D1591" s="1"/>
  <c r="A1591"/>
  <c r="C1591" s="1"/>
  <c r="B1590"/>
  <c r="D1590" s="1"/>
  <c r="A1590"/>
  <c r="C1590" s="1"/>
  <c r="B1589"/>
  <c r="D1589" s="1"/>
  <c r="A1589"/>
  <c r="C1589" s="1"/>
  <c r="B1588"/>
  <c r="D1588" s="1"/>
  <c r="A1588"/>
  <c r="C1588" s="1"/>
  <c r="B1587"/>
  <c r="D1587" s="1"/>
  <c r="A1587"/>
  <c r="C1587" s="1"/>
  <c r="B1586"/>
  <c r="D1586" s="1"/>
  <c r="A1586"/>
  <c r="C1586" s="1"/>
  <c r="B1585"/>
  <c r="D1585" s="1"/>
  <c r="A1585"/>
  <c r="C1585" s="1"/>
  <c r="B1584"/>
  <c r="D1584" s="1"/>
  <c r="A1584"/>
  <c r="C1584" s="1"/>
  <c r="B1583"/>
  <c r="D1583" s="1"/>
  <c r="A1583"/>
  <c r="C1583" s="1"/>
  <c r="B1582"/>
  <c r="D1582" s="1"/>
  <c r="A1582"/>
  <c r="C1582" s="1"/>
  <c r="B1581"/>
  <c r="D1581" s="1"/>
  <c r="A1581"/>
  <c r="C1581" s="1"/>
  <c r="B1580"/>
  <c r="D1580" s="1"/>
  <c r="A1580"/>
  <c r="C1580" s="1"/>
  <c r="B1579"/>
  <c r="D1579" s="1"/>
  <c r="A1579"/>
  <c r="C1579" s="1"/>
  <c r="B1578"/>
  <c r="D1578" s="1"/>
  <c r="A1578"/>
  <c r="C1578" s="1"/>
  <c r="B1577"/>
  <c r="D1577" s="1"/>
  <c r="A1577"/>
  <c r="C1577" s="1"/>
  <c r="B1576"/>
  <c r="D1576" s="1"/>
  <c r="A1576"/>
  <c r="C1576" s="1"/>
  <c r="B1575"/>
  <c r="D1575" s="1"/>
  <c r="A1575"/>
  <c r="C1575" s="1"/>
  <c r="B1574"/>
  <c r="D1574" s="1"/>
  <c r="A1574"/>
  <c r="C1574" s="1"/>
  <c r="B1573"/>
  <c r="D1573" s="1"/>
  <c r="A1573"/>
  <c r="C1573" s="1"/>
  <c r="B1572"/>
  <c r="D1572" s="1"/>
  <c r="A1572"/>
  <c r="C1572" s="1"/>
  <c r="B1571"/>
  <c r="D1571" s="1"/>
  <c r="A1571"/>
  <c r="C1571" s="1"/>
  <c r="B1570"/>
  <c r="D1570" s="1"/>
  <c r="A1570"/>
  <c r="C1570" s="1"/>
  <c r="B1569"/>
  <c r="D1569" s="1"/>
  <c r="A1569"/>
  <c r="C1569" s="1"/>
  <c r="B1568"/>
  <c r="D1568" s="1"/>
  <c r="A1568"/>
  <c r="C1568" s="1"/>
  <c r="B1567"/>
  <c r="D1567" s="1"/>
  <c r="A1567"/>
  <c r="C1567" s="1"/>
  <c r="B1566"/>
  <c r="D1566" s="1"/>
  <c r="A1566"/>
  <c r="C1566" s="1"/>
  <c r="B1565"/>
  <c r="D1565" s="1"/>
  <c r="A1565"/>
  <c r="C1565" s="1"/>
  <c r="B1564"/>
  <c r="D1564" s="1"/>
  <c r="A1564"/>
  <c r="C1564" s="1"/>
  <c r="B1563"/>
  <c r="D1563" s="1"/>
  <c r="A1563"/>
  <c r="C1563" s="1"/>
  <c r="B1562"/>
  <c r="D1562" s="1"/>
  <c r="A1562"/>
  <c r="C1562" s="1"/>
  <c r="B1561"/>
  <c r="D1561" s="1"/>
  <c r="A1561"/>
  <c r="C1561" s="1"/>
  <c r="B1560"/>
  <c r="D1560" s="1"/>
  <c r="A1560"/>
  <c r="C1560" s="1"/>
  <c r="B1559"/>
  <c r="D1559" s="1"/>
  <c r="A1559"/>
  <c r="C1559" s="1"/>
  <c r="B1558"/>
  <c r="D1558" s="1"/>
  <c r="A1558"/>
  <c r="C1558" s="1"/>
  <c r="B1557"/>
  <c r="D1557" s="1"/>
  <c r="A1557"/>
  <c r="C1557" s="1"/>
  <c r="B1556"/>
  <c r="D1556" s="1"/>
  <c r="A1556"/>
  <c r="C1556" s="1"/>
  <c r="B1555"/>
  <c r="D1555" s="1"/>
  <c r="A1555"/>
  <c r="C1555" s="1"/>
  <c r="B1554"/>
  <c r="D1554" s="1"/>
  <c r="A1554"/>
  <c r="C1554" s="1"/>
  <c r="B1553"/>
  <c r="D1553" s="1"/>
  <c r="A1553"/>
  <c r="C1553" s="1"/>
  <c r="B1552"/>
  <c r="D1552" s="1"/>
  <c r="A1552"/>
  <c r="C1552" s="1"/>
  <c r="B1551"/>
  <c r="D1551" s="1"/>
  <c r="A1551"/>
  <c r="C1551" s="1"/>
  <c r="B1550"/>
  <c r="D1550" s="1"/>
  <c r="A1550"/>
  <c r="C1550" s="1"/>
  <c r="B1549"/>
  <c r="D1549" s="1"/>
  <c r="A1549"/>
  <c r="C1549" s="1"/>
  <c r="B1548"/>
  <c r="D1548" s="1"/>
  <c r="A1548"/>
  <c r="C1548" s="1"/>
  <c r="B1547"/>
  <c r="D1547" s="1"/>
  <c r="A1547"/>
  <c r="C1547" s="1"/>
  <c r="B1546"/>
  <c r="D1546" s="1"/>
  <c r="A1546"/>
  <c r="C1546" s="1"/>
  <c r="B1545"/>
  <c r="D1545" s="1"/>
  <c r="A1545"/>
  <c r="C1545" s="1"/>
  <c r="B1544"/>
  <c r="D1544" s="1"/>
  <c r="A1544"/>
  <c r="C1544" s="1"/>
  <c r="B1543"/>
  <c r="D1543" s="1"/>
  <c r="A1543"/>
  <c r="C1543" s="1"/>
  <c r="B1542"/>
  <c r="D1542" s="1"/>
  <c r="A1542"/>
  <c r="C1542" s="1"/>
  <c r="B1541"/>
  <c r="D1541" s="1"/>
  <c r="A1541"/>
  <c r="C1541" s="1"/>
  <c r="B1540"/>
  <c r="D1540" s="1"/>
  <c r="A1540"/>
  <c r="C1540" s="1"/>
  <c r="B1539"/>
  <c r="D1539" s="1"/>
  <c r="A1539"/>
  <c r="C1539" s="1"/>
  <c r="B1538"/>
  <c r="D1538" s="1"/>
  <c r="A1538"/>
  <c r="C1538" s="1"/>
  <c r="B1537"/>
  <c r="D1537" s="1"/>
  <c r="A1537"/>
  <c r="C1537" s="1"/>
  <c r="B1536"/>
  <c r="D1536" s="1"/>
  <c r="A1536"/>
  <c r="C1536" s="1"/>
  <c r="B1535"/>
  <c r="D1535" s="1"/>
  <c r="A1535"/>
  <c r="C1535" s="1"/>
  <c r="B1534"/>
  <c r="D1534" s="1"/>
  <c r="A1534"/>
  <c r="C1534" s="1"/>
  <c r="B1533"/>
  <c r="D1533" s="1"/>
  <c r="A1533"/>
  <c r="C1533" s="1"/>
  <c r="B1532"/>
  <c r="D1532" s="1"/>
  <c r="A1532"/>
  <c r="C1532" s="1"/>
  <c r="B1531"/>
  <c r="D1531" s="1"/>
  <c r="A1531"/>
  <c r="C1531" s="1"/>
  <c r="B1530"/>
  <c r="D1530" s="1"/>
  <c r="A1530"/>
  <c r="C1530" s="1"/>
  <c r="B1529"/>
  <c r="D1529" s="1"/>
  <c r="A1529"/>
  <c r="C1529" s="1"/>
  <c r="B1528"/>
  <c r="D1528" s="1"/>
  <c r="A1528"/>
  <c r="C1528" s="1"/>
  <c r="B1527"/>
  <c r="D1527" s="1"/>
  <c r="A1527"/>
  <c r="C1527" s="1"/>
  <c r="B1526"/>
  <c r="D1526" s="1"/>
  <c r="A1526"/>
  <c r="C1526" s="1"/>
  <c r="B1525"/>
  <c r="D1525" s="1"/>
  <c r="A1525"/>
  <c r="C1525" s="1"/>
  <c r="B1524"/>
  <c r="D1524" s="1"/>
  <c r="A1524"/>
  <c r="C1524" s="1"/>
  <c r="B1523"/>
  <c r="D1523" s="1"/>
  <c r="A1523"/>
  <c r="C1523" s="1"/>
  <c r="B1522"/>
  <c r="D1522" s="1"/>
  <c r="A1522"/>
  <c r="C1522" s="1"/>
  <c r="B1521"/>
  <c r="D1521" s="1"/>
  <c r="A1521"/>
  <c r="C1521" s="1"/>
  <c r="B1520"/>
  <c r="D1520" s="1"/>
  <c r="A1520"/>
  <c r="C1520" s="1"/>
  <c r="B1519"/>
  <c r="D1519" s="1"/>
  <c r="A1519"/>
  <c r="C1519" s="1"/>
  <c r="B1518"/>
  <c r="D1518" s="1"/>
  <c r="A1518"/>
  <c r="C1518" s="1"/>
  <c r="B1517"/>
  <c r="D1517" s="1"/>
  <c r="A1517"/>
  <c r="C1517" s="1"/>
  <c r="B1516"/>
  <c r="D1516" s="1"/>
  <c r="A1516"/>
  <c r="C1516" s="1"/>
  <c r="B1515"/>
  <c r="D1515" s="1"/>
  <c r="A1515"/>
  <c r="C1515" s="1"/>
  <c r="B1514"/>
  <c r="D1514" s="1"/>
  <c r="A1514"/>
  <c r="C1514" s="1"/>
  <c r="B1513"/>
  <c r="D1513" s="1"/>
  <c r="A1513"/>
  <c r="C1513" s="1"/>
  <c r="B1512"/>
  <c r="D1512" s="1"/>
  <c r="A1512"/>
  <c r="C1512" s="1"/>
  <c r="B1511"/>
  <c r="D1511" s="1"/>
  <c r="A1511"/>
  <c r="C1511" s="1"/>
  <c r="B1510"/>
  <c r="D1510" s="1"/>
  <c r="A1510"/>
  <c r="C1510" s="1"/>
  <c r="B1509"/>
  <c r="D1509" s="1"/>
  <c r="A1509"/>
  <c r="C1509" s="1"/>
  <c r="B1508"/>
  <c r="D1508" s="1"/>
  <c r="A1508"/>
  <c r="C1508" s="1"/>
  <c r="B1507"/>
  <c r="D1507" s="1"/>
  <c r="A1507"/>
  <c r="C1507" s="1"/>
  <c r="B1506"/>
  <c r="D1506" s="1"/>
  <c r="A1506"/>
  <c r="C1506" s="1"/>
  <c r="B1505"/>
  <c r="D1505" s="1"/>
  <c r="A1505"/>
  <c r="C1505" s="1"/>
  <c r="B1504"/>
  <c r="D1504" s="1"/>
  <c r="A1504"/>
  <c r="C1504" s="1"/>
  <c r="B1503"/>
  <c r="D1503" s="1"/>
  <c r="A1503"/>
  <c r="C1503" s="1"/>
  <c r="B1502"/>
  <c r="D1502" s="1"/>
  <c r="A1502"/>
  <c r="C1502" s="1"/>
  <c r="B1501"/>
  <c r="D1501" s="1"/>
  <c r="A1501"/>
  <c r="C1501" s="1"/>
  <c r="B1500"/>
  <c r="D1500" s="1"/>
  <c r="A1500"/>
  <c r="C1500" s="1"/>
  <c r="B1499"/>
  <c r="D1499" s="1"/>
  <c r="A1499"/>
  <c r="C1499" s="1"/>
  <c r="B1498"/>
  <c r="D1498" s="1"/>
  <c r="A1498"/>
  <c r="C1498" s="1"/>
  <c r="B1497"/>
  <c r="D1497" s="1"/>
  <c r="A1497"/>
  <c r="C1497" s="1"/>
  <c r="B1496"/>
  <c r="D1496" s="1"/>
  <c r="A1496"/>
  <c r="C1496" s="1"/>
  <c r="B1495"/>
  <c r="D1495" s="1"/>
  <c r="A1495"/>
  <c r="C1495" s="1"/>
  <c r="B1494"/>
  <c r="D1494" s="1"/>
  <c r="A1494"/>
  <c r="C1494" s="1"/>
  <c r="B1493"/>
  <c r="D1493" s="1"/>
  <c r="A1493"/>
  <c r="C1493" s="1"/>
  <c r="B1492"/>
  <c r="D1492" s="1"/>
  <c r="A1492"/>
  <c r="C1492" s="1"/>
  <c r="B1491"/>
  <c r="D1491" s="1"/>
  <c r="A1491"/>
  <c r="C1491" s="1"/>
  <c r="B1490"/>
  <c r="D1490" s="1"/>
  <c r="A1490"/>
  <c r="C1490" s="1"/>
  <c r="B1489"/>
  <c r="D1489" s="1"/>
  <c r="A1489"/>
  <c r="C1489" s="1"/>
  <c r="B1488"/>
  <c r="D1488" s="1"/>
  <c r="A1488"/>
  <c r="C1488" s="1"/>
  <c r="B1487"/>
  <c r="D1487" s="1"/>
  <c r="A1487"/>
  <c r="C1487" s="1"/>
  <c r="B1486"/>
  <c r="D1486" s="1"/>
  <c r="A1486"/>
  <c r="C1486" s="1"/>
  <c r="B1485"/>
  <c r="D1485" s="1"/>
  <c r="A1485"/>
  <c r="C1485" s="1"/>
  <c r="B1484"/>
  <c r="D1484" s="1"/>
  <c r="A1484"/>
  <c r="C1484" s="1"/>
  <c r="B1483"/>
  <c r="D1483" s="1"/>
  <c r="A1483"/>
  <c r="C1483" s="1"/>
  <c r="B1482"/>
  <c r="D1482" s="1"/>
  <c r="A1482"/>
  <c r="C1482" s="1"/>
  <c r="B1481"/>
  <c r="D1481" s="1"/>
  <c r="A1481"/>
  <c r="C1481" s="1"/>
  <c r="B1480"/>
  <c r="D1480" s="1"/>
  <c r="A1480"/>
  <c r="C1480" s="1"/>
  <c r="B1479"/>
  <c r="D1479" s="1"/>
  <c r="A1479"/>
  <c r="C1479" s="1"/>
  <c r="B1478"/>
  <c r="D1478" s="1"/>
  <c r="A1478"/>
  <c r="C1478" s="1"/>
  <c r="B1477"/>
  <c r="D1477" s="1"/>
  <c r="A1477"/>
  <c r="C1477" s="1"/>
  <c r="B1476"/>
  <c r="D1476" s="1"/>
  <c r="A1476"/>
  <c r="C1476" s="1"/>
  <c r="B1475"/>
  <c r="D1475" s="1"/>
  <c r="A1475"/>
  <c r="C1475" s="1"/>
  <c r="B1474"/>
  <c r="D1474" s="1"/>
  <c r="A1474"/>
  <c r="C1474" s="1"/>
  <c r="B1473"/>
  <c r="D1473" s="1"/>
  <c r="A1473"/>
  <c r="C1473" s="1"/>
  <c r="B1472"/>
  <c r="D1472" s="1"/>
  <c r="A1472"/>
  <c r="C1472" s="1"/>
  <c r="B1471"/>
  <c r="D1471" s="1"/>
  <c r="A1471"/>
  <c r="C1471" s="1"/>
  <c r="B1470"/>
  <c r="D1470" s="1"/>
  <c r="A1470"/>
  <c r="C1470" s="1"/>
  <c r="B1469"/>
  <c r="D1469" s="1"/>
  <c r="A1469"/>
  <c r="C1469" s="1"/>
  <c r="B1468"/>
  <c r="D1468" s="1"/>
  <c r="A1468"/>
  <c r="C1468" s="1"/>
  <c r="B1467"/>
  <c r="D1467" s="1"/>
  <c r="A1467"/>
  <c r="C1467" s="1"/>
  <c r="B1466"/>
  <c r="D1466" s="1"/>
  <c r="A1466"/>
  <c r="C1466" s="1"/>
  <c r="B1465"/>
  <c r="D1465" s="1"/>
  <c r="A1465"/>
  <c r="C1465" s="1"/>
  <c r="B1464"/>
  <c r="D1464" s="1"/>
  <c r="A1464"/>
  <c r="C1464" s="1"/>
  <c r="B1463"/>
  <c r="D1463" s="1"/>
  <c r="A1463"/>
  <c r="C1463" s="1"/>
  <c r="B1462"/>
  <c r="D1462" s="1"/>
  <c r="A1462"/>
  <c r="C1462" s="1"/>
  <c r="B1461"/>
  <c r="D1461" s="1"/>
  <c r="A1461"/>
  <c r="C1461" s="1"/>
  <c r="B1460"/>
  <c r="D1460" s="1"/>
  <c r="A1460"/>
  <c r="C1460" s="1"/>
  <c r="B1459"/>
  <c r="D1459" s="1"/>
  <c r="A1459"/>
  <c r="C1459" s="1"/>
  <c r="B1458"/>
  <c r="D1458" s="1"/>
  <c r="A1458"/>
  <c r="C1458" s="1"/>
  <c r="B1457"/>
  <c r="D1457" s="1"/>
  <c r="A1457"/>
  <c r="C1457" s="1"/>
  <c r="B1456"/>
  <c r="D1456" s="1"/>
  <c r="A1456"/>
  <c r="C1456" s="1"/>
  <c r="B1455"/>
  <c r="D1455" s="1"/>
  <c r="A1455"/>
  <c r="C1455" s="1"/>
  <c r="B1454"/>
  <c r="D1454" s="1"/>
  <c r="A1454"/>
  <c r="C1454" s="1"/>
  <c r="B1453"/>
  <c r="D1453" s="1"/>
  <c r="A1453"/>
  <c r="C1453" s="1"/>
  <c r="B1452"/>
  <c r="D1452" s="1"/>
  <c r="A1452"/>
  <c r="C1452" s="1"/>
  <c r="B1451"/>
  <c r="D1451" s="1"/>
  <c r="A1451"/>
  <c r="C1451" s="1"/>
  <c r="B1450"/>
  <c r="D1450" s="1"/>
  <c r="A1450"/>
  <c r="C1450" s="1"/>
  <c r="B1449"/>
  <c r="D1449" s="1"/>
  <c r="A1449"/>
  <c r="C1449" s="1"/>
  <c r="B1448"/>
  <c r="D1448" s="1"/>
  <c r="A1448"/>
  <c r="C1448" s="1"/>
  <c r="B1447"/>
  <c r="D1447" s="1"/>
  <c r="A1447"/>
  <c r="C1447" s="1"/>
  <c r="B1446"/>
  <c r="D1446" s="1"/>
  <c r="A1446"/>
  <c r="C1446" s="1"/>
  <c r="B1445"/>
  <c r="D1445" s="1"/>
  <c r="A1445"/>
  <c r="C1445" s="1"/>
  <c r="B1444"/>
  <c r="D1444" s="1"/>
  <c r="A1444"/>
  <c r="C1444" s="1"/>
  <c r="B1443"/>
  <c r="D1443" s="1"/>
  <c r="A1443"/>
  <c r="C1443" s="1"/>
  <c r="B1442"/>
  <c r="D1442" s="1"/>
  <c r="A1442"/>
  <c r="C1442" s="1"/>
  <c r="B1441"/>
  <c r="D1441" s="1"/>
  <c r="A1441"/>
  <c r="C1441" s="1"/>
  <c r="B1440"/>
  <c r="D1440" s="1"/>
  <c r="A1440"/>
  <c r="C1440" s="1"/>
  <c r="B1439"/>
  <c r="D1439" s="1"/>
  <c r="A1439"/>
  <c r="C1439" s="1"/>
  <c r="B1438"/>
  <c r="D1438" s="1"/>
  <c r="A1438"/>
  <c r="C1438" s="1"/>
  <c r="B1437"/>
  <c r="D1437" s="1"/>
  <c r="A1437"/>
  <c r="C1437" s="1"/>
  <c r="B1436"/>
  <c r="D1436" s="1"/>
  <c r="A1436"/>
  <c r="C1436" s="1"/>
  <c r="B1435"/>
  <c r="D1435" s="1"/>
  <c r="A1435"/>
  <c r="C1435" s="1"/>
  <c r="B1434"/>
  <c r="D1434" s="1"/>
  <c r="A1434"/>
  <c r="C1434" s="1"/>
  <c r="B1433"/>
  <c r="D1433" s="1"/>
  <c r="A1433"/>
  <c r="C1433" s="1"/>
  <c r="B1432"/>
  <c r="D1432" s="1"/>
  <c r="A1432"/>
  <c r="C1432" s="1"/>
  <c r="B1431"/>
  <c r="D1431" s="1"/>
  <c r="A1431"/>
  <c r="C1431" s="1"/>
  <c r="B1430"/>
  <c r="D1430" s="1"/>
  <c r="A1430"/>
  <c r="C1430" s="1"/>
  <c r="B1429"/>
  <c r="D1429" s="1"/>
  <c r="A1429"/>
  <c r="C1429" s="1"/>
  <c r="B1428"/>
  <c r="D1428" s="1"/>
  <c r="A1428"/>
  <c r="C1428" s="1"/>
  <c r="B1427"/>
  <c r="D1427" s="1"/>
  <c r="A1427"/>
  <c r="C1427" s="1"/>
  <c r="B1426"/>
  <c r="D1426" s="1"/>
  <c r="A1426"/>
  <c r="C1426" s="1"/>
  <c r="B1425"/>
  <c r="D1425" s="1"/>
  <c r="A1425"/>
  <c r="C1425" s="1"/>
  <c r="B1424"/>
  <c r="D1424" s="1"/>
  <c r="A1424"/>
  <c r="C1424" s="1"/>
  <c r="B1423"/>
  <c r="D1423" s="1"/>
  <c r="A1423"/>
  <c r="C1423" s="1"/>
  <c r="B1422"/>
  <c r="D1422" s="1"/>
  <c r="A1422"/>
  <c r="C1422" s="1"/>
  <c r="B1421"/>
  <c r="D1421" s="1"/>
  <c r="A1421"/>
  <c r="C1421" s="1"/>
  <c r="B1420"/>
  <c r="D1420" s="1"/>
  <c r="A1420"/>
  <c r="C1420" s="1"/>
  <c r="B1419"/>
  <c r="D1419" s="1"/>
  <c r="A1419"/>
  <c r="C1419" s="1"/>
  <c r="B1418"/>
  <c r="D1418" s="1"/>
  <c r="A1418"/>
  <c r="C1418" s="1"/>
  <c r="B1417"/>
  <c r="D1417" s="1"/>
  <c r="A1417"/>
  <c r="C1417" s="1"/>
  <c r="B1416"/>
  <c r="D1416" s="1"/>
  <c r="A1416"/>
  <c r="C1416" s="1"/>
  <c r="B1415"/>
  <c r="D1415" s="1"/>
  <c r="A1415"/>
  <c r="C1415" s="1"/>
  <c r="B1414"/>
  <c r="D1414" s="1"/>
  <c r="A1414"/>
  <c r="C1414" s="1"/>
  <c r="B1413"/>
  <c r="D1413" s="1"/>
  <c r="A1413"/>
  <c r="C1413" s="1"/>
  <c r="B1412"/>
  <c r="D1412" s="1"/>
  <c r="A1412"/>
  <c r="C1412" s="1"/>
  <c r="B1411"/>
  <c r="D1411" s="1"/>
  <c r="A1411"/>
  <c r="C1411" s="1"/>
  <c r="B1410"/>
  <c r="D1410" s="1"/>
  <c r="A1410"/>
  <c r="C1410" s="1"/>
  <c r="B1409"/>
  <c r="D1409" s="1"/>
  <c r="A1409"/>
  <c r="C1409" s="1"/>
  <c r="B1408"/>
  <c r="D1408" s="1"/>
  <c r="A1408"/>
  <c r="C1408" s="1"/>
  <c r="B1407"/>
  <c r="D1407" s="1"/>
  <c r="A1407"/>
  <c r="C1407" s="1"/>
  <c r="B1406"/>
  <c r="D1406" s="1"/>
  <c r="A1406"/>
  <c r="C1406" s="1"/>
  <c r="B1405"/>
  <c r="D1405" s="1"/>
  <c r="A1405"/>
  <c r="C1405" s="1"/>
  <c r="B1404"/>
  <c r="D1404" s="1"/>
  <c r="A1404"/>
  <c r="C1404" s="1"/>
  <c r="B1403"/>
  <c r="D1403" s="1"/>
  <c r="A1403"/>
  <c r="C1403" s="1"/>
  <c r="B1402"/>
  <c r="D1402" s="1"/>
  <c r="A1402"/>
  <c r="C1402" s="1"/>
  <c r="B1401"/>
  <c r="D1401" s="1"/>
  <c r="A1401"/>
  <c r="C1401" s="1"/>
  <c r="B1400"/>
  <c r="D1400" s="1"/>
  <c r="A1400"/>
  <c r="C1400" s="1"/>
  <c r="B1399"/>
  <c r="D1399" s="1"/>
  <c r="A1399"/>
  <c r="C1399" s="1"/>
  <c r="B1398"/>
  <c r="D1398" s="1"/>
  <c r="A1398"/>
  <c r="C1398" s="1"/>
  <c r="B1397"/>
  <c r="D1397" s="1"/>
  <c r="A1397"/>
  <c r="C1397" s="1"/>
  <c r="B1396"/>
  <c r="D1396" s="1"/>
  <c r="A1396"/>
  <c r="C1396" s="1"/>
  <c r="B1395"/>
  <c r="D1395" s="1"/>
  <c r="A1395"/>
  <c r="C1395" s="1"/>
  <c r="B1394"/>
  <c r="D1394" s="1"/>
  <c r="A1394"/>
  <c r="C1394" s="1"/>
  <c r="B1393"/>
  <c r="D1393" s="1"/>
  <c r="A1393"/>
  <c r="C1393" s="1"/>
  <c r="B1392"/>
  <c r="D1392" s="1"/>
  <c r="A1392"/>
  <c r="C1392" s="1"/>
  <c r="B1391"/>
  <c r="D1391" s="1"/>
  <c r="A1391"/>
  <c r="C1391" s="1"/>
  <c r="B1390"/>
  <c r="D1390" s="1"/>
  <c r="A1390"/>
  <c r="C1390" s="1"/>
  <c r="B1389"/>
  <c r="D1389" s="1"/>
  <c r="A1389"/>
  <c r="C1389" s="1"/>
  <c r="B1388"/>
  <c r="D1388" s="1"/>
  <c r="A1388"/>
  <c r="C1388" s="1"/>
  <c r="B1387"/>
  <c r="D1387" s="1"/>
  <c r="A1387"/>
  <c r="C1387" s="1"/>
  <c r="B1386"/>
  <c r="D1386" s="1"/>
  <c r="A1386"/>
  <c r="C1386" s="1"/>
  <c r="B1385"/>
  <c r="D1385" s="1"/>
  <c r="A1385"/>
  <c r="C1385" s="1"/>
  <c r="B1384"/>
  <c r="D1384" s="1"/>
  <c r="A1384"/>
  <c r="C1384" s="1"/>
  <c r="B1383"/>
  <c r="D1383" s="1"/>
  <c r="A1383"/>
  <c r="C1383" s="1"/>
  <c r="B1382"/>
  <c r="D1382" s="1"/>
  <c r="A1382"/>
  <c r="C1382" s="1"/>
  <c r="B1381"/>
  <c r="D1381" s="1"/>
  <c r="A1381"/>
  <c r="C1381" s="1"/>
  <c r="B1380"/>
  <c r="D1380" s="1"/>
  <c r="A1380"/>
  <c r="C1380" s="1"/>
  <c r="B1379"/>
  <c r="D1379" s="1"/>
  <c r="A1379"/>
  <c r="C1379" s="1"/>
  <c r="B1378"/>
  <c r="D1378" s="1"/>
  <c r="A1378"/>
  <c r="C1378" s="1"/>
  <c r="B1377"/>
  <c r="D1377" s="1"/>
  <c r="A1377"/>
  <c r="C1377" s="1"/>
  <c r="B1376"/>
  <c r="D1376" s="1"/>
  <c r="A1376"/>
  <c r="C1376" s="1"/>
  <c r="B1375"/>
  <c r="D1375" s="1"/>
  <c r="A1375"/>
  <c r="C1375" s="1"/>
  <c r="B1374"/>
  <c r="D1374" s="1"/>
  <c r="A1374"/>
  <c r="C1374" s="1"/>
  <c r="B1373"/>
  <c r="D1373" s="1"/>
  <c r="A1373"/>
  <c r="C1373" s="1"/>
  <c r="B1372"/>
  <c r="D1372" s="1"/>
  <c r="A1372"/>
  <c r="C1372" s="1"/>
  <c r="B1371"/>
  <c r="D1371" s="1"/>
  <c r="A1371"/>
  <c r="C1371" s="1"/>
  <c r="B1370"/>
  <c r="D1370" s="1"/>
  <c r="A1370"/>
  <c r="C1370" s="1"/>
  <c r="B1369"/>
  <c r="D1369" s="1"/>
  <c r="A1369"/>
  <c r="C1369" s="1"/>
  <c r="B1368"/>
  <c r="D1368" s="1"/>
  <c r="A1368"/>
  <c r="C1368" s="1"/>
  <c r="B1367"/>
  <c r="D1367" s="1"/>
  <c r="A1367"/>
  <c r="C1367" s="1"/>
  <c r="B1366"/>
  <c r="D1366" s="1"/>
  <c r="A1366"/>
  <c r="C1366" s="1"/>
  <c r="B1365"/>
  <c r="D1365" s="1"/>
  <c r="A1365"/>
  <c r="C1365" s="1"/>
  <c r="B1364"/>
  <c r="D1364" s="1"/>
  <c r="A1364"/>
  <c r="C1364" s="1"/>
  <c r="B1363"/>
  <c r="D1363" s="1"/>
  <c r="A1363"/>
  <c r="C1363" s="1"/>
  <c r="B1362"/>
  <c r="D1362" s="1"/>
  <c r="A1362"/>
  <c r="C1362" s="1"/>
  <c r="B1361"/>
  <c r="D1361" s="1"/>
  <c r="A1361"/>
  <c r="C1361" s="1"/>
  <c r="B1360"/>
  <c r="D1360" s="1"/>
  <c r="A1360"/>
  <c r="C1360" s="1"/>
  <c r="B1359"/>
  <c r="D1359" s="1"/>
  <c r="A1359"/>
  <c r="C1359" s="1"/>
  <c r="B1358"/>
  <c r="D1358" s="1"/>
  <c r="A1358"/>
  <c r="C1358" s="1"/>
  <c r="B1357"/>
  <c r="D1357" s="1"/>
  <c r="A1357"/>
  <c r="C1357" s="1"/>
  <c r="B1356"/>
  <c r="D1356" s="1"/>
  <c r="A1356"/>
  <c r="C1356" s="1"/>
  <c r="B1355"/>
  <c r="D1355" s="1"/>
  <c r="A1355"/>
  <c r="C1355" s="1"/>
  <c r="B1354"/>
  <c r="D1354" s="1"/>
  <c r="A1354"/>
  <c r="C1354" s="1"/>
  <c r="B1353"/>
  <c r="D1353" s="1"/>
  <c r="A1353"/>
  <c r="C1353" s="1"/>
  <c r="B1352"/>
  <c r="D1352" s="1"/>
  <c r="A1352"/>
  <c r="C1352" s="1"/>
  <c r="B1351"/>
  <c r="D1351" s="1"/>
  <c r="A1351"/>
  <c r="C1351" s="1"/>
  <c r="B1350"/>
  <c r="D1350" s="1"/>
  <c r="A1350"/>
  <c r="C1350" s="1"/>
  <c r="B1349"/>
  <c r="D1349" s="1"/>
  <c r="A1349"/>
  <c r="C1349" s="1"/>
  <c r="B1348"/>
  <c r="D1348" s="1"/>
  <c r="A1348"/>
  <c r="C1348" s="1"/>
  <c r="B1347"/>
  <c r="D1347" s="1"/>
  <c r="A1347"/>
  <c r="C1347" s="1"/>
  <c r="B1346"/>
  <c r="D1346" s="1"/>
  <c r="A1346"/>
  <c r="C1346" s="1"/>
  <c r="B1345"/>
  <c r="D1345" s="1"/>
  <c r="A1345"/>
  <c r="C1345" s="1"/>
  <c r="B1344"/>
  <c r="D1344" s="1"/>
  <c r="A1344"/>
  <c r="C1344" s="1"/>
  <c r="B1343"/>
  <c r="D1343" s="1"/>
  <c r="A1343"/>
  <c r="C1343" s="1"/>
  <c r="B1342"/>
  <c r="D1342" s="1"/>
  <c r="A1342"/>
  <c r="C1342" s="1"/>
  <c r="B1341"/>
  <c r="D1341" s="1"/>
  <c r="A1341"/>
  <c r="C1341" s="1"/>
  <c r="B1340"/>
  <c r="D1340" s="1"/>
  <c r="A1340"/>
  <c r="C1340" s="1"/>
  <c r="B1339"/>
  <c r="D1339" s="1"/>
  <c r="A1339"/>
  <c r="C1339" s="1"/>
  <c r="B1338"/>
  <c r="D1338" s="1"/>
  <c r="A1338"/>
  <c r="C1338" s="1"/>
  <c r="B1337"/>
  <c r="D1337" s="1"/>
  <c r="A1337"/>
  <c r="C1337" s="1"/>
  <c r="B1336"/>
  <c r="D1336" s="1"/>
  <c r="A1336"/>
  <c r="C1336" s="1"/>
  <c r="B1335"/>
  <c r="D1335" s="1"/>
  <c r="A1335"/>
  <c r="C1335" s="1"/>
  <c r="B1334"/>
  <c r="D1334" s="1"/>
  <c r="A1334"/>
  <c r="C1334" s="1"/>
  <c r="B1333"/>
  <c r="D1333" s="1"/>
  <c r="A1333"/>
  <c r="C1333" s="1"/>
  <c r="B1332"/>
  <c r="D1332" s="1"/>
  <c r="A1332"/>
  <c r="C1332" s="1"/>
  <c r="B1331"/>
  <c r="D1331" s="1"/>
  <c r="A1331"/>
  <c r="C1331" s="1"/>
  <c r="B1330"/>
  <c r="D1330" s="1"/>
  <c r="A1330"/>
  <c r="C1330" s="1"/>
  <c r="B1329"/>
  <c r="D1329" s="1"/>
  <c r="A1329"/>
  <c r="C1329" s="1"/>
  <c r="B1328"/>
  <c r="D1328" s="1"/>
  <c r="A1328"/>
  <c r="C1328" s="1"/>
  <c r="B1327"/>
  <c r="D1327" s="1"/>
  <c r="A1327"/>
  <c r="C1327" s="1"/>
  <c r="B1326"/>
  <c r="D1326" s="1"/>
  <c r="A1326"/>
  <c r="C1326" s="1"/>
  <c r="B1325"/>
  <c r="D1325" s="1"/>
  <c r="A1325"/>
  <c r="C1325" s="1"/>
  <c r="B1324"/>
  <c r="D1324" s="1"/>
  <c r="A1324"/>
  <c r="C1324" s="1"/>
  <c r="B1323"/>
  <c r="D1323" s="1"/>
  <c r="A1323"/>
  <c r="C1323" s="1"/>
  <c r="B1322"/>
  <c r="D1322" s="1"/>
  <c r="A1322"/>
  <c r="C1322" s="1"/>
  <c r="B1321"/>
  <c r="D1321" s="1"/>
  <c r="A1321"/>
  <c r="C1321" s="1"/>
  <c r="B1320"/>
  <c r="D1320" s="1"/>
  <c r="A1320"/>
  <c r="C1320" s="1"/>
  <c r="B1319"/>
  <c r="D1319" s="1"/>
  <c r="A1319"/>
  <c r="C1319" s="1"/>
  <c r="B1318"/>
  <c r="D1318" s="1"/>
  <c r="A1318"/>
  <c r="C1318" s="1"/>
  <c r="B1317"/>
  <c r="D1317" s="1"/>
  <c r="A1317"/>
  <c r="C1317" s="1"/>
  <c r="B1316"/>
  <c r="D1316" s="1"/>
  <c r="A1316"/>
  <c r="C1316" s="1"/>
  <c r="B1315"/>
  <c r="D1315" s="1"/>
  <c r="A1315"/>
  <c r="C1315" s="1"/>
  <c r="B1314"/>
  <c r="D1314" s="1"/>
  <c r="A1314"/>
  <c r="C1314" s="1"/>
  <c r="B1313"/>
  <c r="D1313" s="1"/>
  <c r="A1313"/>
  <c r="C1313" s="1"/>
  <c r="B1312"/>
  <c r="D1312" s="1"/>
  <c r="A1312"/>
  <c r="C1312" s="1"/>
  <c r="B1311"/>
  <c r="D1311" s="1"/>
  <c r="A1311"/>
  <c r="C1311" s="1"/>
  <c r="B1310"/>
  <c r="D1310" s="1"/>
  <c r="A1310"/>
  <c r="C1310" s="1"/>
  <c r="B1309"/>
  <c r="D1309" s="1"/>
  <c r="A1309"/>
  <c r="C1309" s="1"/>
  <c r="B1308"/>
  <c r="D1308" s="1"/>
  <c r="A1308"/>
  <c r="C1308" s="1"/>
  <c r="B1307"/>
  <c r="D1307" s="1"/>
  <c r="A1307"/>
  <c r="C1307" s="1"/>
  <c r="B1306"/>
  <c r="D1306" s="1"/>
  <c r="A1306"/>
  <c r="C1306" s="1"/>
  <c r="B1305"/>
  <c r="D1305" s="1"/>
  <c r="A1305"/>
  <c r="C1305" s="1"/>
  <c r="B1304"/>
  <c r="D1304" s="1"/>
  <c r="A1304"/>
  <c r="C1304" s="1"/>
  <c r="B1303"/>
  <c r="D1303" s="1"/>
  <c r="A1303"/>
  <c r="C1303" s="1"/>
  <c r="B1302"/>
  <c r="D1302" s="1"/>
  <c r="A1302"/>
  <c r="C1302" s="1"/>
  <c r="B1301"/>
  <c r="D1301" s="1"/>
  <c r="A1301"/>
  <c r="C1301" s="1"/>
  <c r="B1300"/>
  <c r="D1300" s="1"/>
  <c r="A1300"/>
  <c r="C1300" s="1"/>
  <c r="B1299"/>
  <c r="D1299" s="1"/>
  <c r="A1299"/>
  <c r="C1299" s="1"/>
  <c r="B1298"/>
  <c r="D1298" s="1"/>
  <c r="A1298"/>
  <c r="C1298" s="1"/>
  <c r="B1297"/>
  <c r="D1297" s="1"/>
  <c r="A1297"/>
  <c r="C1297" s="1"/>
  <c r="B1296"/>
  <c r="D1296" s="1"/>
  <c r="A1296"/>
  <c r="C1296" s="1"/>
  <c r="B1295"/>
  <c r="D1295" s="1"/>
  <c r="A1295"/>
  <c r="C1295" s="1"/>
  <c r="B1294"/>
  <c r="D1294" s="1"/>
  <c r="A1294"/>
  <c r="C1294" s="1"/>
  <c r="B1293"/>
  <c r="D1293" s="1"/>
  <c r="A1293"/>
  <c r="C1293" s="1"/>
  <c r="B1292"/>
  <c r="D1292" s="1"/>
  <c r="A1292"/>
  <c r="C1292" s="1"/>
  <c r="B1291"/>
  <c r="D1291" s="1"/>
  <c r="A1291"/>
  <c r="C1291" s="1"/>
  <c r="B1290"/>
  <c r="D1290" s="1"/>
  <c r="A1290"/>
  <c r="C1290" s="1"/>
  <c r="B1289"/>
  <c r="D1289" s="1"/>
  <c r="A1289"/>
  <c r="C1289" s="1"/>
  <c r="B1288"/>
  <c r="D1288" s="1"/>
  <c r="A1288"/>
  <c r="C1288" s="1"/>
  <c r="B1287"/>
  <c r="D1287" s="1"/>
  <c r="A1287"/>
  <c r="C1287" s="1"/>
  <c r="B1286"/>
  <c r="D1286" s="1"/>
  <c r="A1286"/>
  <c r="C1286" s="1"/>
  <c r="B1285"/>
  <c r="D1285" s="1"/>
  <c r="A1285"/>
  <c r="C1285" s="1"/>
  <c r="B1284"/>
  <c r="D1284" s="1"/>
  <c r="A1284"/>
  <c r="C1284" s="1"/>
  <c r="B1283"/>
  <c r="D1283" s="1"/>
  <c r="A1283"/>
  <c r="C1283" s="1"/>
  <c r="B1282"/>
  <c r="D1282" s="1"/>
  <c r="A1282"/>
  <c r="C1282" s="1"/>
  <c r="B1281"/>
  <c r="D1281" s="1"/>
  <c r="A1281"/>
  <c r="C1281" s="1"/>
  <c r="B1280"/>
  <c r="D1280" s="1"/>
  <c r="A1280"/>
  <c r="C1280" s="1"/>
  <c r="B1279"/>
  <c r="D1279" s="1"/>
  <c r="A1279"/>
  <c r="C1279" s="1"/>
  <c r="B1278"/>
  <c r="D1278" s="1"/>
  <c r="A1278"/>
  <c r="C1278" s="1"/>
  <c r="B1277"/>
  <c r="D1277" s="1"/>
  <c r="A1277"/>
  <c r="C1277" s="1"/>
  <c r="B1276"/>
  <c r="D1276" s="1"/>
  <c r="A1276"/>
  <c r="C1276" s="1"/>
  <c r="B1275"/>
  <c r="D1275" s="1"/>
  <c r="A1275"/>
  <c r="C1275" s="1"/>
  <c r="B1274"/>
  <c r="D1274" s="1"/>
  <c r="A1274"/>
  <c r="C1274" s="1"/>
  <c r="B1273"/>
  <c r="D1273" s="1"/>
  <c r="A1273"/>
  <c r="C1273" s="1"/>
  <c r="B1272"/>
  <c r="D1272" s="1"/>
  <c r="A1272"/>
  <c r="C1272" s="1"/>
  <c r="B1271"/>
  <c r="D1271" s="1"/>
  <c r="A1271"/>
  <c r="C1271" s="1"/>
  <c r="B1270"/>
  <c r="D1270" s="1"/>
  <c r="A1270"/>
  <c r="C1270" s="1"/>
  <c r="B1269"/>
  <c r="D1269" s="1"/>
  <c r="A1269"/>
  <c r="C1269" s="1"/>
  <c r="B1268"/>
  <c r="D1268" s="1"/>
  <c r="A1268"/>
  <c r="C1268" s="1"/>
  <c r="B1267"/>
  <c r="D1267" s="1"/>
  <c r="A1267"/>
  <c r="C1267" s="1"/>
  <c r="B1266"/>
  <c r="D1266" s="1"/>
  <c r="A1266"/>
  <c r="C1266" s="1"/>
  <c r="B1265"/>
  <c r="D1265" s="1"/>
  <c r="A1265"/>
  <c r="C1265" s="1"/>
  <c r="B1264"/>
  <c r="D1264" s="1"/>
  <c r="A1264"/>
  <c r="C1264" s="1"/>
  <c r="B1263"/>
  <c r="D1263" s="1"/>
  <c r="A1263"/>
  <c r="C1263" s="1"/>
  <c r="B1262"/>
  <c r="D1262" s="1"/>
  <c r="A1262"/>
  <c r="C1262" s="1"/>
  <c r="B1261"/>
  <c r="D1261" s="1"/>
  <c r="A1261"/>
  <c r="C1261" s="1"/>
  <c r="B1260"/>
  <c r="D1260" s="1"/>
  <c r="A1260"/>
  <c r="C1260" s="1"/>
  <c r="B1259"/>
  <c r="D1259" s="1"/>
  <c r="A1259"/>
  <c r="C1259" s="1"/>
  <c r="B1258"/>
  <c r="D1258" s="1"/>
  <c r="A1258"/>
  <c r="C1258" s="1"/>
  <c r="B1257"/>
  <c r="D1257" s="1"/>
  <c r="A1257"/>
  <c r="C1257" s="1"/>
  <c r="B1256"/>
  <c r="D1256" s="1"/>
  <c r="A1256"/>
  <c r="C1256" s="1"/>
  <c r="B1255"/>
  <c r="D1255" s="1"/>
  <c r="A1255"/>
  <c r="C1255" s="1"/>
  <c r="B1254"/>
  <c r="D1254" s="1"/>
  <c r="A1254"/>
  <c r="C1254" s="1"/>
  <c r="B1253"/>
  <c r="D1253" s="1"/>
  <c r="A1253"/>
  <c r="C1253" s="1"/>
  <c r="B1252"/>
  <c r="D1252" s="1"/>
  <c r="A1252"/>
  <c r="C1252" s="1"/>
  <c r="B1251"/>
  <c r="D1251" s="1"/>
  <c r="A1251"/>
  <c r="C1251" s="1"/>
  <c r="B1250"/>
  <c r="D1250" s="1"/>
  <c r="A1250"/>
  <c r="C1250" s="1"/>
  <c r="B1249"/>
  <c r="D1249" s="1"/>
  <c r="A1249"/>
  <c r="C1249" s="1"/>
  <c r="B1248"/>
  <c r="D1248" s="1"/>
  <c r="A1248"/>
  <c r="C1248" s="1"/>
  <c r="B1247"/>
  <c r="D1247" s="1"/>
  <c r="A1247"/>
  <c r="C1247" s="1"/>
  <c r="B1246"/>
  <c r="D1246" s="1"/>
  <c r="A1246"/>
  <c r="C1246" s="1"/>
  <c r="B1245"/>
  <c r="D1245" s="1"/>
  <c r="A1245"/>
  <c r="C1245" s="1"/>
  <c r="B1244"/>
  <c r="D1244" s="1"/>
  <c r="A1244"/>
  <c r="C1244" s="1"/>
  <c r="B1243"/>
  <c r="D1243" s="1"/>
  <c r="A1243"/>
  <c r="C1243" s="1"/>
  <c r="B1242"/>
  <c r="D1242" s="1"/>
  <c r="A1242"/>
  <c r="C1242" s="1"/>
  <c r="B1241"/>
  <c r="D1241" s="1"/>
  <c r="A1241"/>
  <c r="C1241" s="1"/>
  <c r="B1240"/>
  <c r="D1240" s="1"/>
  <c r="A1240"/>
  <c r="C1240" s="1"/>
  <c r="B1239"/>
  <c r="D1239" s="1"/>
  <c r="A1239"/>
  <c r="C1239" s="1"/>
  <c r="B1238"/>
  <c r="D1238" s="1"/>
  <c r="A1238"/>
  <c r="C1238" s="1"/>
  <c r="B1237"/>
  <c r="D1237" s="1"/>
  <c r="A1237"/>
  <c r="C1237" s="1"/>
  <c r="B1236"/>
  <c r="D1236" s="1"/>
  <c r="A1236"/>
  <c r="C1236" s="1"/>
  <c r="B1235"/>
  <c r="D1235" s="1"/>
  <c r="A1235"/>
  <c r="C1235" s="1"/>
  <c r="B1234"/>
  <c r="D1234" s="1"/>
  <c r="A1234"/>
  <c r="C1234" s="1"/>
  <c r="B1233"/>
  <c r="D1233" s="1"/>
  <c r="A1233"/>
  <c r="C1233" s="1"/>
  <c r="B1232"/>
  <c r="D1232" s="1"/>
  <c r="A1232"/>
  <c r="C1232" s="1"/>
  <c r="B1231"/>
  <c r="D1231" s="1"/>
  <c r="A1231"/>
  <c r="C1231" s="1"/>
  <c r="B1230"/>
  <c r="D1230" s="1"/>
  <c r="A1230"/>
  <c r="C1230" s="1"/>
  <c r="B1229"/>
  <c r="D1229" s="1"/>
  <c r="A1229"/>
  <c r="C1229" s="1"/>
  <c r="B1228"/>
  <c r="D1228" s="1"/>
  <c r="A1228"/>
  <c r="C1228" s="1"/>
  <c r="B1227"/>
  <c r="D1227" s="1"/>
  <c r="A1227"/>
  <c r="C1227" s="1"/>
  <c r="B1226"/>
  <c r="D1226" s="1"/>
  <c r="A1226"/>
  <c r="C1226" s="1"/>
  <c r="B1225"/>
  <c r="D1225" s="1"/>
  <c r="A1225"/>
  <c r="C1225" s="1"/>
  <c r="B1224"/>
  <c r="D1224" s="1"/>
  <c r="A1224"/>
  <c r="C1224" s="1"/>
  <c r="B1223"/>
  <c r="D1223" s="1"/>
  <c r="A1223"/>
  <c r="C1223" s="1"/>
  <c r="B1222"/>
  <c r="D1222" s="1"/>
  <c r="A1222"/>
  <c r="C1222" s="1"/>
  <c r="B1221"/>
  <c r="D1221" s="1"/>
  <c r="A1221"/>
  <c r="C1221" s="1"/>
  <c r="B1220"/>
  <c r="D1220" s="1"/>
  <c r="A1220"/>
  <c r="C1220" s="1"/>
  <c r="B1219"/>
  <c r="D1219" s="1"/>
  <c r="A1219"/>
  <c r="C1219" s="1"/>
  <c r="B1218"/>
  <c r="D1218" s="1"/>
  <c r="A1218"/>
  <c r="C1218" s="1"/>
  <c r="B1217"/>
  <c r="D1217" s="1"/>
  <c r="A1217"/>
  <c r="C1217" s="1"/>
  <c r="B1216"/>
  <c r="D1216" s="1"/>
  <c r="A1216"/>
  <c r="C1216" s="1"/>
  <c r="B1215"/>
  <c r="D1215" s="1"/>
  <c r="A1215"/>
  <c r="C1215" s="1"/>
  <c r="B1214"/>
  <c r="D1214" s="1"/>
  <c r="A1214"/>
  <c r="C1214" s="1"/>
  <c r="B1213"/>
  <c r="D1213" s="1"/>
  <c r="A1213"/>
  <c r="C1213" s="1"/>
  <c r="B1212"/>
  <c r="D1212" s="1"/>
  <c r="A1212"/>
  <c r="C1212" s="1"/>
  <c r="B1211"/>
  <c r="D1211" s="1"/>
  <c r="A1211"/>
  <c r="C1211" s="1"/>
  <c r="B1210"/>
  <c r="D1210" s="1"/>
  <c r="A1210"/>
  <c r="C1210" s="1"/>
  <c r="B1209"/>
  <c r="D1209" s="1"/>
  <c r="A1209"/>
  <c r="C1209" s="1"/>
  <c r="B1208"/>
  <c r="D1208" s="1"/>
  <c r="A1208"/>
  <c r="C1208" s="1"/>
  <c r="B1207"/>
  <c r="D1207" s="1"/>
  <c r="A1207"/>
  <c r="C1207" s="1"/>
  <c r="B1206"/>
  <c r="D1206" s="1"/>
  <c r="A1206"/>
  <c r="C1206" s="1"/>
  <c r="B1205"/>
  <c r="D1205" s="1"/>
  <c r="A1205"/>
  <c r="C1205" s="1"/>
  <c r="B1204"/>
  <c r="D1204" s="1"/>
  <c r="A1204"/>
  <c r="C1204" s="1"/>
  <c r="B1203"/>
  <c r="D1203" s="1"/>
  <c r="A1203"/>
  <c r="C1203" s="1"/>
  <c r="B1202"/>
  <c r="D1202" s="1"/>
  <c r="A1202"/>
  <c r="C1202" s="1"/>
  <c r="B1201"/>
  <c r="D1201" s="1"/>
  <c r="A1201"/>
  <c r="C1201" s="1"/>
  <c r="B1200"/>
  <c r="D1200" s="1"/>
  <c r="A1200"/>
  <c r="C1200" s="1"/>
  <c r="B1199"/>
  <c r="D1199" s="1"/>
  <c r="A1199"/>
  <c r="C1199" s="1"/>
  <c r="B1198"/>
  <c r="D1198" s="1"/>
  <c r="A1198"/>
  <c r="C1198" s="1"/>
  <c r="B1197"/>
  <c r="D1197" s="1"/>
  <c r="A1197"/>
  <c r="C1197" s="1"/>
  <c r="B1196"/>
  <c r="D1196" s="1"/>
  <c r="A1196"/>
  <c r="C1196" s="1"/>
  <c r="B1195"/>
  <c r="D1195" s="1"/>
  <c r="A1195"/>
  <c r="C1195" s="1"/>
  <c r="B1194"/>
  <c r="D1194" s="1"/>
  <c r="A1194"/>
  <c r="C1194" s="1"/>
  <c r="B1193"/>
  <c r="D1193" s="1"/>
  <c r="A1193"/>
  <c r="C1193" s="1"/>
  <c r="B1192"/>
  <c r="D1192" s="1"/>
  <c r="A1192"/>
  <c r="C1192" s="1"/>
  <c r="B1191"/>
  <c r="D1191" s="1"/>
  <c r="A1191"/>
  <c r="C1191" s="1"/>
  <c r="B1190"/>
  <c r="D1190" s="1"/>
  <c r="A1190"/>
  <c r="C1190" s="1"/>
  <c r="B1189"/>
  <c r="D1189" s="1"/>
  <c r="A1189"/>
  <c r="C1189" s="1"/>
  <c r="B1188"/>
  <c r="D1188" s="1"/>
  <c r="A1188"/>
  <c r="C1188" s="1"/>
  <c r="B1187"/>
  <c r="D1187" s="1"/>
  <c r="A1187"/>
  <c r="C1187" s="1"/>
  <c r="B1186"/>
  <c r="D1186" s="1"/>
  <c r="A1186"/>
  <c r="C1186" s="1"/>
  <c r="B1185"/>
  <c r="D1185" s="1"/>
  <c r="A1185"/>
  <c r="C1185" s="1"/>
  <c r="B1184"/>
  <c r="D1184" s="1"/>
  <c r="A1184"/>
  <c r="C1184" s="1"/>
  <c r="B1183"/>
  <c r="D1183" s="1"/>
  <c r="A1183"/>
  <c r="C1183" s="1"/>
  <c r="B1182"/>
  <c r="D1182" s="1"/>
  <c r="A1182"/>
  <c r="C1182" s="1"/>
  <c r="B1181"/>
  <c r="D1181" s="1"/>
  <c r="A1181"/>
  <c r="C1181" s="1"/>
  <c r="B1180"/>
  <c r="D1180" s="1"/>
  <c r="A1180"/>
  <c r="C1180" s="1"/>
  <c r="B1179"/>
  <c r="D1179" s="1"/>
  <c r="A1179"/>
  <c r="C1179" s="1"/>
  <c r="B1178"/>
  <c r="D1178" s="1"/>
  <c r="A1178"/>
  <c r="C1178" s="1"/>
  <c r="B1177"/>
  <c r="D1177" s="1"/>
  <c r="A1177"/>
  <c r="C1177" s="1"/>
  <c r="B1176"/>
  <c r="D1176" s="1"/>
  <c r="A1176"/>
  <c r="C1176" s="1"/>
  <c r="B1175"/>
  <c r="D1175" s="1"/>
  <c r="A1175"/>
  <c r="C1175" s="1"/>
  <c r="B1174"/>
  <c r="D1174" s="1"/>
  <c r="A1174"/>
  <c r="C1174" s="1"/>
  <c r="B1173"/>
  <c r="D1173" s="1"/>
  <c r="A1173"/>
  <c r="C1173" s="1"/>
  <c r="B1172"/>
  <c r="D1172" s="1"/>
  <c r="A1172"/>
  <c r="C1172" s="1"/>
  <c r="B1171"/>
  <c r="D1171" s="1"/>
  <c r="A1171"/>
  <c r="C1171" s="1"/>
  <c r="B1170"/>
  <c r="D1170" s="1"/>
  <c r="A1170"/>
  <c r="C1170" s="1"/>
  <c r="B1169"/>
  <c r="D1169" s="1"/>
  <c r="A1169"/>
  <c r="C1169" s="1"/>
  <c r="B1168"/>
  <c r="D1168" s="1"/>
  <c r="A1168"/>
  <c r="C1168" s="1"/>
  <c r="B1167"/>
  <c r="D1167" s="1"/>
  <c r="A1167"/>
  <c r="C1167" s="1"/>
  <c r="B1166"/>
  <c r="D1166" s="1"/>
  <c r="A1166"/>
  <c r="C1166" s="1"/>
  <c r="B1165"/>
  <c r="D1165" s="1"/>
  <c r="A1165"/>
  <c r="C1165" s="1"/>
  <c r="B1164"/>
  <c r="D1164" s="1"/>
  <c r="A1164"/>
  <c r="C1164" s="1"/>
  <c r="B1163"/>
  <c r="D1163" s="1"/>
  <c r="A1163"/>
  <c r="C1163" s="1"/>
  <c r="B1162"/>
  <c r="D1162" s="1"/>
  <c r="A1162"/>
  <c r="C1162" s="1"/>
  <c r="B1161"/>
  <c r="D1161" s="1"/>
  <c r="A1161"/>
  <c r="C1161" s="1"/>
  <c r="B1160"/>
  <c r="D1160" s="1"/>
  <c r="A1160"/>
  <c r="C1160" s="1"/>
  <c r="B1159"/>
  <c r="D1159" s="1"/>
  <c r="A1159"/>
  <c r="C1159" s="1"/>
  <c r="B1158"/>
  <c r="D1158" s="1"/>
  <c r="A1158"/>
  <c r="C1158" s="1"/>
  <c r="B1157"/>
  <c r="D1157" s="1"/>
  <c r="A1157"/>
  <c r="C1157" s="1"/>
  <c r="B1156"/>
  <c r="D1156" s="1"/>
  <c r="A1156"/>
  <c r="C1156" s="1"/>
  <c r="B1155"/>
  <c r="D1155" s="1"/>
  <c r="A1155"/>
  <c r="C1155" s="1"/>
  <c r="B1154"/>
  <c r="D1154" s="1"/>
  <c r="A1154"/>
  <c r="C1154" s="1"/>
  <c r="B1153"/>
  <c r="D1153" s="1"/>
  <c r="A1153"/>
  <c r="C1153" s="1"/>
  <c r="B1152"/>
  <c r="D1152" s="1"/>
  <c r="A1152"/>
  <c r="C1152" s="1"/>
  <c r="B1151"/>
  <c r="D1151" s="1"/>
  <c r="A1151"/>
  <c r="C1151" s="1"/>
  <c r="B1150"/>
  <c r="D1150" s="1"/>
  <c r="A1150"/>
  <c r="C1150" s="1"/>
  <c r="B1149"/>
  <c r="D1149" s="1"/>
  <c r="A1149"/>
  <c r="C1149" s="1"/>
  <c r="B1148"/>
  <c r="D1148" s="1"/>
  <c r="A1148"/>
  <c r="C1148" s="1"/>
  <c r="B1147"/>
  <c r="D1147" s="1"/>
  <c r="A1147"/>
  <c r="C1147" s="1"/>
  <c r="B1146"/>
  <c r="D1146" s="1"/>
  <c r="A1146"/>
  <c r="C1146" s="1"/>
  <c r="B1145"/>
  <c r="D1145" s="1"/>
  <c r="A1145"/>
  <c r="C1145" s="1"/>
  <c r="B1144"/>
  <c r="D1144" s="1"/>
  <c r="A1144"/>
  <c r="C1144" s="1"/>
  <c r="B1143"/>
  <c r="D1143" s="1"/>
  <c r="A1143"/>
  <c r="C1143" s="1"/>
  <c r="B1142"/>
  <c r="D1142" s="1"/>
  <c r="A1142"/>
  <c r="C1142" s="1"/>
  <c r="B1141"/>
  <c r="D1141" s="1"/>
  <c r="A1141"/>
  <c r="C1141" s="1"/>
  <c r="B1140"/>
  <c r="D1140" s="1"/>
  <c r="A1140"/>
  <c r="C1140" s="1"/>
  <c r="B1139"/>
  <c r="D1139" s="1"/>
  <c r="A1139"/>
  <c r="C1139" s="1"/>
  <c r="B1138"/>
  <c r="D1138" s="1"/>
  <c r="A1138"/>
  <c r="C1138" s="1"/>
  <c r="B1137"/>
  <c r="D1137" s="1"/>
  <c r="A1137"/>
  <c r="C1137" s="1"/>
  <c r="B1136"/>
  <c r="D1136" s="1"/>
  <c r="A1136"/>
  <c r="C1136" s="1"/>
  <c r="B1135"/>
  <c r="D1135" s="1"/>
  <c r="A1135"/>
  <c r="C1135" s="1"/>
  <c r="B1134"/>
  <c r="D1134" s="1"/>
  <c r="A1134"/>
  <c r="C1134" s="1"/>
  <c r="B1133"/>
  <c r="D1133" s="1"/>
  <c r="A1133"/>
  <c r="C1133" s="1"/>
  <c r="B1132"/>
  <c r="D1132" s="1"/>
  <c r="A1132"/>
  <c r="C1132" s="1"/>
  <c r="B1131"/>
  <c r="D1131" s="1"/>
  <c r="A1131"/>
  <c r="C1131" s="1"/>
  <c r="B1130"/>
  <c r="D1130" s="1"/>
  <c r="A1130"/>
  <c r="C1130" s="1"/>
  <c r="B1129"/>
  <c r="D1129" s="1"/>
  <c r="A1129"/>
  <c r="C1129" s="1"/>
  <c r="B1128"/>
  <c r="D1128" s="1"/>
  <c r="A1128"/>
  <c r="C1128" s="1"/>
  <c r="B1127"/>
  <c r="D1127" s="1"/>
  <c r="A1127"/>
  <c r="C1127" s="1"/>
  <c r="B1126"/>
  <c r="D1126" s="1"/>
  <c r="A1126"/>
  <c r="C1126" s="1"/>
  <c r="B1125"/>
  <c r="D1125" s="1"/>
  <c r="A1125"/>
  <c r="C1125" s="1"/>
  <c r="B1124"/>
  <c r="D1124" s="1"/>
  <c r="A1124"/>
  <c r="C1124" s="1"/>
  <c r="B1123"/>
  <c r="D1123" s="1"/>
  <c r="A1123"/>
  <c r="C1123" s="1"/>
  <c r="B1122"/>
  <c r="D1122" s="1"/>
  <c r="A1122"/>
  <c r="C1122" s="1"/>
  <c r="B1121"/>
  <c r="D1121" s="1"/>
  <c r="A1121"/>
  <c r="C1121" s="1"/>
  <c r="B1120"/>
  <c r="D1120" s="1"/>
  <c r="A1120"/>
  <c r="C1120" s="1"/>
  <c r="B1119"/>
  <c r="D1119" s="1"/>
  <c r="A1119"/>
  <c r="C1119" s="1"/>
  <c r="B1118"/>
  <c r="D1118" s="1"/>
  <c r="A1118"/>
  <c r="C1118" s="1"/>
  <c r="B1117"/>
  <c r="D1117" s="1"/>
  <c r="A1117"/>
  <c r="C1117" s="1"/>
  <c r="B1116"/>
  <c r="D1116" s="1"/>
  <c r="A1116"/>
  <c r="C1116" s="1"/>
  <c r="B1115"/>
  <c r="D1115" s="1"/>
  <c r="A1115"/>
  <c r="C1115" s="1"/>
  <c r="B1114"/>
  <c r="D1114" s="1"/>
  <c r="A1114"/>
  <c r="C1114" s="1"/>
  <c r="B1113"/>
  <c r="D1113" s="1"/>
  <c r="A1113"/>
  <c r="C1113" s="1"/>
  <c r="B1112"/>
  <c r="D1112" s="1"/>
  <c r="A1112"/>
  <c r="C1112" s="1"/>
  <c r="B1111"/>
  <c r="D1111" s="1"/>
  <c r="A1111"/>
  <c r="C1111" s="1"/>
  <c r="B1110"/>
  <c r="D1110" s="1"/>
  <c r="A1110"/>
  <c r="C1110" s="1"/>
  <c r="B1109"/>
  <c r="D1109" s="1"/>
  <c r="A1109"/>
  <c r="C1109" s="1"/>
  <c r="B1108"/>
  <c r="D1108" s="1"/>
  <c r="A1108"/>
  <c r="C1108" s="1"/>
  <c r="B1107"/>
  <c r="D1107" s="1"/>
  <c r="A1107"/>
  <c r="C1107" s="1"/>
  <c r="B1106"/>
  <c r="D1106" s="1"/>
  <c r="A1106"/>
  <c r="C1106" s="1"/>
  <c r="B1105"/>
  <c r="D1105" s="1"/>
  <c r="A1105"/>
  <c r="C1105" s="1"/>
  <c r="B1104"/>
  <c r="D1104" s="1"/>
  <c r="A1104"/>
  <c r="C1104" s="1"/>
  <c r="B1103"/>
  <c r="D1103" s="1"/>
  <c r="A1103"/>
  <c r="C1103" s="1"/>
  <c r="B1102"/>
  <c r="D1102" s="1"/>
  <c r="A1102"/>
  <c r="C1102" s="1"/>
  <c r="B1101"/>
  <c r="D1101" s="1"/>
  <c r="A1101"/>
  <c r="C1101" s="1"/>
  <c r="B1100"/>
  <c r="D1100" s="1"/>
  <c r="A1100"/>
  <c r="C1100" s="1"/>
  <c r="B1099"/>
  <c r="D1099" s="1"/>
  <c r="A1099"/>
  <c r="C1099" s="1"/>
  <c r="B1098"/>
  <c r="D1098" s="1"/>
  <c r="A1098"/>
  <c r="C1098" s="1"/>
  <c r="B1097"/>
  <c r="D1097" s="1"/>
  <c r="A1097"/>
  <c r="C1097" s="1"/>
  <c r="B1096"/>
  <c r="D1096" s="1"/>
  <c r="A1096"/>
  <c r="C1096" s="1"/>
  <c r="B1095"/>
  <c r="D1095" s="1"/>
  <c r="A1095"/>
  <c r="C1095" s="1"/>
  <c r="B1094"/>
  <c r="D1094" s="1"/>
  <c r="A1094"/>
  <c r="C1094" s="1"/>
  <c r="B1093"/>
  <c r="D1093" s="1"/>
  <c r="A1093"/>
  <c r="C1093" s="1"/>
  <c r="B1092"/>
  <c r="D1092" s="1"/>
  <c r="A1092"/>
  <c r="C1092" s="1"/>
  <c r="B1091"/>
  <c r="D1091" s="1"/>
  <c r="A1091"/>
  <c r="C1091" s="1"/>
  <c r="B1090"/>
  <c r="D1090" s="1"/>
  <c r="A1090"/>
  <c r="C1090" s="1"/>
  <c r="B1089"/>
  <c r="D1089" s="1"/>
  <c r="A1089"/>
  <c r="C1089" s="1"/>
  <c r="B1088"/>
  <c r="D1088" s="1"/>
  <c r="A1088"/>
  <c r="C1088" s="1"/>
  <c r="B1087"/>
  <c r="D1087" s="1"/>
  <c r="A1087"/>
  <c r="C1087" s="1"/>
  <c r="B1086"/>
  <c r="D1086" s="1"/>
  <c r="A1086"/>
  <c r="C1086" s="1"/>
  <c r="B1085"/>
  <c r="D1085" s="1"/>
  <c r="A1085"/>
  <c r="C1085" s="1"/>
  <c r="B1084"/>
  <c r="D1084" s="1"/>
  <c r="A1084"/>
  <c r="C1084" s="1"/>
  <c r="B1083"/>
  <c r="D1083" s="1"/>
  <c r="A1083"/>
  <c r="C1083" s="1"/>
  <c r="B1082"/>
  <c r="D1082" s="1"/>
  <c r="A1082"/>
  <c r="C1082" s="1"/>
  <c r="B1081"/>
  <c r="D1081" s="1"/>
  <c r="A1081"/>
  <c r="C1081" s="1"/>
  <c r="B1080"/>
  <c r="D1080" s="1"/>
  <c r="A1080"/>
  <c r="C1080" s="1"/>
  <c r="B1079"/>
  <c r="D1079" s="1"/>
  <c r="A1079"/>
  <c r="C1079" s="1"/>
  <c r="B1078"/>
  <c r="D1078" s="1"/>
  <c r="A1078"/>
  <c r="C1078" s="1"/>
  <c r="B1077"/>
  <c r="D1077" s="1"/>
  <c r="A1077"/>
  <c r="C1077" s="1"/>
  <c r="B1076"/>
  <c r="D1076" s="1"/>
  <c r="A1076"/>
  <c r="C1076" s="1"/>
  <c r="B1075"/>
  <c r="D1075" s="1"/>
  <c r="A1075"/>
  <c r="C1075" s="1"/>
  <c r="B1074"/>
  <c r="D1074" s="1"/>
  <c r="A1074"/>
  <c r="C1074" s="1"/>
  <c r="B1073"/>
  <c r="D1073" s="1"/>
  <c r="A1073"/>
  <c r="C1073" s="1"/>
  <c r="B1072"/>
  <c r="D1072" s="1"/>
  <c r="A1072"/>
  <c r="C1072" s="1"/>
  <c r="B1071"/>
  <c r="D1071" s="1"/>
  <c r="A1071"/>
  <c r="C1071" s="1"/>
  <c r="B1070"/>
  <c r="D1070" s="1"/>
  <c r="A1070"/>
  <c r="C1070" s="1"/>
  <c r="B1069"/>
  <c r="D1069" s="1"/>
  <c r="A1069"/>
  <c r="C1069" s="1"/>
  <c r="B1068"/>
  <c r="D1068" s="1"/>
  <c r="A1068"/>
  <c r="C1068" s="1"/>
  <c r="B1067"/>
  <c r="D1067" s="1"/>
  <c r="A1067"/>
  <c r="C1067" s="1"/>
  <c r="B1066"/>
  <c r="D1066" s="1"/>
  <c r="A1066"/>
  <c r="C1066" s="1"/>
  <c r="B1065"/>
  <c r="D1065" s="1"/>
  <c r="A1065"/>
  <c r="C1065" s="1"/>
  <c r="B1064"/>
  <c r="D1064" s="1"/>
  <c r="A1064"/>
  <c r="C1064" s="1"/>
  <c r="B1063"/>
  <c r="D1063" s="1"/>
  <c r="A1063"/>
  <c r="C1063" s="1"/>
  <c r="B1062"/>
  <c r="D1062" s="1"/>
  <c r="A1062"/>
  <c r="C1062" s="1"/>
  <c r="B1061"/>
  <c r="D1061" s="1"/>
  <c r="A1061"/>
  <c r="C1061" s="1"/>
  <c r="B1060"/>
  <c r="D1060" s="1"/>
  <c r="A1060"/>
  <c r="C1060" s="1"/>
  <c r="B1059"/>
  <c r="D1059" s="1"/>
  <c r="A1059"/>
  <c r="C1059" s="1"/>
  <c r="B1058"/>
  <c r="D1058" s="1"/>
  <c r="A1058"/>
  <c r="C1058" s="1"/>
  <c r="B1057"/>
  <c r="D1057" s="1"/>
  <c r="A1057"/>
  <c r="C1057" s="1"/>
  <c r="B1056"/>
  <c r="D1056" s="1"/>
  <c r="A1056"/>
  <c r="C1056" s="1"/>
  <c r="B1055"/>
  <c r="D1055" s="1"/>
  <c r="A1055"/>
  <c r="C1055" s="1"/>
  <c r="B1054"/>
  <c r="D1054" s="1"/>
  <c r="A1054"/>
  <c r="C1054" s="1"/>
  <c r="B1053"/>
  <c r="D1053" s="1"/>
  <c r="A1053"/>
  <c r="C1053" s="1"/>
  <c r="B1052"/>
  <c r="D1052" s="1"/>
  <c r="A1052"/>
  <c r="C1052" s="1"/>
  <c r="B1051"/>
  <c r="D1051" s="1"/>
  <c r="A1051"/>
  <c r="C1051" s="1"/>
  <c r="B1050"/>
  <c r="D1050" s="1"/>
  <c r="A1050"/>
  <c r="C1050" s="1"/>
  <c r="B1049"/>
  <c r="D1049" s="1"/>
  <c r="A1049"/>
  <c r="C1049" s="1"/>
  <c r="B1048"/>
  <c r="D1048" s="1"/>
  <c r="A1048"/>
  <c r="C1048" s="1"/>
  <c r="B1047"/>
  <c r="D1047" s="1"/>
  <c r="A1047"/>
  <c r="C1047" s="1"/>
  <c r="B1046"/>
  <c r="D1046" s="1"/>
  <c r="A1046"/>
  <c r="C1046" s="1"/>
  <c r="B1045"/>
  <c r="D1045" s="1"/>
  <c r="A1045"/>
  <c r="C1045" s="1"/>
  <c r="B1044"/>
  <c r="D1044" s="1"/>
  <c r="A1044"/>
  <c r="C1044" s="1"/>
  <c r="B1043"/>
  <c r="D1043" s="1"/>
  <c r="A1043"/>
  <c r="C1043" s="1"/>
  <c r="B1042"/>
  <c r="D1042" s="1"/>
  <c r="A1042"/>
  <c r="C1042" s="1"/>
  <c r="B1041"/>
  <c r="D1041" s="1"/>
  <c r="A1041"/>
  <c r="C1041" s="1"/>
  <c r="B1040"/>
  <c r="D1040" s="1"/>
  <c r="A1040"/>
  <c r="C1040" s="1"/>
  <c r="B1039"/>
  <c r="D1039" s="1"/>
  <c r="A1039"/>
  <c r="C1039" s="1"/>
  <c r="B1038"/>
  <c r="D1038" s="1"/>
  <c r="A1038"/>
  <c r="C1038" s="1"/>
  <c r="B1037"/>
  <c r="D1037" s="1"/>
  <c r="A1037"/>
  <c r="C1037" s="1"/>
  <c r="B1036"/>
  <c r="D1036" s="1"/>
  <c r="A1036"/>
  <c r="C1036" s="1"/>
  <c r="B1035"/>
  <c r="D1035" s="1"/>
  <c r="A1035"/>
  <c r="C1035" s="1"/>
  <c r="B1034"/>
  <c r="D1034" s="1"/>
  <c r="A1034"/>
  <c r="C1034" s="1"/>
  <c r="B1033"/>
  <c r="D1033" s="1"/>
  <c r="A1033"/>
  <c r="C1033" s="1"/>
  <c r="B1032"/>
  <c r="D1032" s="1"/>
  <c r="A1032"/>
  <c r="C1032" s="1"/>
  <c r="B1031"/>
  <c r="D1031" s="1"/>
  <c r="A1031"/>
  <c r="C1031" s="1"/>
  <c r="B1030"/>
  <c r="D1030" s="1"/>
  <c r="A1030"/>
  <c r="C1030" s="1"/>
  <c r="B1029"/>
  <c r="D1029" s="1"/>
  <c r="A1029"/>
  <c r="C1029" s="1"/>
  <c r="B1028"/>
  <c r="D1028" s="1"/>
  <c r="A1028"/>
  <c r="C1028" s="1"/>
  <c r="B1027"/>
  <c r="D1027" s="1"/>
  <c r="A1027"/>
  <c r="C1027" s="1"/>
  <c r="B1026"/>
  <c r="D1026" s="1"/>
  <c r="A1026"/>
  <c r="C1026" s="1"/>
  <c r="B1025"/>
  <c r="D1025" s="1"/>
  <c r="A1025"/>
  <c r="C1025" s="1"/>
  <c r="B1024"/>
  <c r="D1024" s="1"/>
  <c r="A1024"/>
  <c r="C1024" s="1"/>
  <c r="B1023"/>
  <c r="D1023" s="1"/>
  <c r="A1023"/>
  <c r="C1023" s="1"/>
  <c r="B1022"/>
  <c r="D1022" s="1"/>
  <c r="A1022"/>
  <c r="C1022" s="1"/>
  <c r="B1021"/>
  <c r="D1021" s="1"/>
  <c r="A1021"/>
  <c r="C1021" s="1"/>
  <c r="B1020"/>
  <c r="D1020" s="1"/>
  <c r="A1020"/>
  <c r="C1020" s="1"/>
  <c r="B1019"/>
  <c r="D1019" s="1"/>
  <c r="A1019"/>
  <c r="C1019" s="1"/>
  <c r="B1018"/>
  <c r="D1018" s="1"/>
  <c r="A1018"/>
  <c r="C1018" s="1"/>
  <c r="B1017"/>
  <c r="D1017" s="1"/>
  <c r="A1017"/>
  <c r="C1017" s="1"/>
  <c r="B1016"/>
  <c r="D1016" s="1"/>
  <c r="A1016"/>
  <c r="C1016" s="1"/>
  <c r="B1015"/>
  <c r="D1015" s="1"/>
  <c r="A1015"/>
  <c r="C1015" s="1"/>
  <c r="B1014"/>
  <c r="D1014" s="1"/>
  <c r="A1014"/>
  <c r="C1014" s="1"/>
  <c r="B1013"/>
  <c r="D1013" s="1"/>
  <c r="A1013"/>
  <c r="C1013" s="1"/>
  <c r="B1012"/>
  <c r="D1012" s="1"/>
  <c r="A1012"/>
  <c r="C1012" s="1"/>
  <c r="B1011"/>
  <c r="D1011" s="1"/>
  <c r="A1011"/>
  <c r="C1011" s="1"/>
  <c r="B1010"/>
  <c r="D1010" s="1"/>
  <c r="A1010"/>
  <c r="C1010" s="1"/>
  <c r="B1009"/>
  <c r="D1009" s="1"/>
  <c r="A1009"/>
  <c r="C1009" s="1"/>
  <c r="B1008"/>
  <c r="D1008" s="1"/>
  <c r="A1008"/>
  <c r="C1008" s="1"/>
  <c r="B1007"/>
  <c r="D1007" s="1"/>
  <c r="A1007"/>
  <c r="C1007" s="1"/>
  <c r="B1006"/>
  <c r="D1006" s="1"/>
  <c r="A1006"/>
  <c r="C1006" s="1"/>
  <c r="B1005"/>
  <c r="D1005" s="1"/>
  <c r="A1005"/>
  <c r="C1005" s="1"/>
  <c r="B1004"/>
  <c r="D1004" s="1"/>
  <c r="A1004"/>
  <c r="C1004" s="1"/>
  <c r="B1003"/>
  <c r="D1003" s="1"/>
  <c r="A1003"/>
  <c r="C1003" s="1"/>
  <c r="B1002"/>
  <c r="D1002" s="1"/>
  <c r="A1002"/>
  <c r="C1002" s="1"/>
  <c r="B1001"/>
  <c r="D1001" s="1"/>
  <c r="A1001"/>
  <c r="C1001" s="1"/>
  <c r="B1000"/>
  <c r="D1000" s="1"/>
  <c r="A1000"/>
  <c r="C1000" s="1"/>
  <c r="B999"/>
  <c r="D999" s="1"/>
  <c r="A999"/>
  <c r="C999" s="1"/>
  <c r="B998"/>
  <c r="D998" s="1"/>
  <c r="A998"/>
  <c r="C998" s="1"/>
  <c r="B997"/>
  <c r="D997" s="1"/>
  <c r="A997"/>
  <c r="C997" s="1"/>
  <c r="B996"/>
  <c r="D996" s="1"/>
  <c r="A996"/>
  <c r="C996" s="1"/>
  <c r="B995"/>
  <c r="D995" s="1"/>
  <c r="A995"/>
  <c r="C995" s="1"/>
  <c r="B994"/>
  <c r="D994" s="1"/>
  <c r="A994"/>
  <c r="C994" s="1"/>
  <c r="B993"/>
  <c r="D993" s="1"/>
  <c r="A993"/>
  <c r="C993" s="1"/>
  <c r="B992"/>
  <c r="D992" s="1"/>
  <c r="A992"/>
  <c r="C992" s="1"/>
  <c r="B991"/>
  <c r="D991" s="1"/>
  <c r="A991"/>
  <c r="C991" s="1"/>
  <c r="B990"/>
  <c r="D990" s="1"/>
  <c r="A990"/>
  <c r="C990" s="1"/>
  <c r="B989"/>
  <c r="D989" s="1"/>
  <c r="A989"/>
  <c r="C989" s="1"/>
  <c r="B988"/>
  <c r="D988" s="1"/>
  <c r="A988"/>
  <c r="C988" s="1"/>
  <c r="B987"/>
  <c r="D987" s="1"/>
  <c r="A987"/>
  <c r="C987" s="1"/>
  <c r="B986"/>
  <c r="D986" s="1"/>
  <c r="A986"/>
  <c r="C986" s="1"/>
  <c r="B985"/>
  <c r="D985" s="1"/>
  <c r="A985"/>
  <c r="C985" s="1"/>
  <c r="B984"/>
  <c r="D984" s="1"/>
  <c r="A984"/>
  <c r="C984" s="1"/>
  <c r="B983"/>
  <c r="D983" s="1"/>
  <c r="A983"/>
  <c r="C983" s="1"/>
  <c r="B982"/>
  <c r="D982" s="1"/>
  <c r="A982"/>
  <c r="C982" s="1"/>
  <c r="B981"/>
  <c r="D981" s="1"/>
  <c r="A981"/>
  <c r="C981" s="1"/>
  <c r="B980"/>
  <c r="D980" s="1"/>
  <c r="A980"/>
  <c r="C980" s="1"/>
  <c r="B979"/>
  <c r="D979" s="1"/>
  <c r="A979"/>
  <c r="C979" s="1"/>
  <c r="B978"/>
  <c r="D978" s="1"/>
  <c r="A978"/>
  <c r="C978" s="1"/>
  <c r="B977"/>
  <c r="D977" s="1"/>
  <c r="A977"/>
  <c r="C977" s="1"/>
  <c r="B976"/>
  <c r="D976" s="1"/>
  <c r="A976"/>
  <c r="C976" s="1"/>
  <c r="B975"/>
  <c r="D975" s="1"/>
  <c r="A975"/>
  <c r="C975" s="1"/>
  <c r="B974"/>
  <c r="D974" s="1"/>
  <c r="A974"/>
  <c r="C974" s="1"/>
  <c r="B973"/>
  <c r="D973" s="1"/>
  <c r="A973"/>
  <c r="C973" s="1"/>
  <c r="B972"/>
  <c r="D972" s="1"/>
  <c r="A972"/>
  <c r="C972" s="1"/>
  <c r="B971"/>
  <c r="D971" s="1"/>
  <c r="A971"/>
  <c r="C971" s="1"/>
  <c r="B970"/>
  <c r="D970" s="1"/>
  <c r="A970"/>
  <c r="C970" s="1"/>
  <c r="B969"/>
  <c r="D969" s="1"/>
  <c r="A969"/>
  <c r="C969" s="1"/>
  <c r="B968"/>
  <c r="D968" s="1"/>
  <c r="A968"/>
  <c r="C968" s="1"/>
  <c r="B967"/>
  <c r="D967" s="1"/>
  <c r="A967"/>
  <c r="C967" s="1"/>
  <c r="B966"/>
  <c r="D966" s="1"/>
  <c r="A966"/>
  <c r="C966" s="1"/>
  <c r="B965"/>
  <c r="D965" s="1"/>
  <c r="A965"/>
  <c r="C965" s="1"/>
  <c r="B964"/>
  <c r="D964" s="1"/>
  <c r="A964"/>
  <c r="C964" s="1"/>
  <c r="B963"/>
  <c r="D963" s="1"/>
  <c r="A963"/>
  <c r="C963" s="1"/>
  <c r="B962"/>
  <c r="D962" s="1"/>
  <c r="A962"/>
  <c r="C962" s="1"/>
  <c r="B961"/>
  <c r="D961" s="1"/>
  <c r="A961"/>
  <c r="C961" s="1"/>
  <c r="B960"/>
  <c r="D960" s="1"/>
  <c r="A960"/>
  <c r="C960" s="1"/>
  <c r="B959"/>
  <c r="D959" s="1"/>
  <c r="A959"/>
  <c r="C959" s="1"/>
  <c r="B958"/>
  <c r="D958" s="1"/>
  <c r="A958"/>
  <c r="C958" s="1"/>
  <c r="B957"/>
  <c r="D957" s="1"/>
  <c r="A957"/>
  <c r="C957" s="1"/>
  <c r="B956"/>
  <c r="D956" s="1"/>
  <c r="A956"/>
  <c r="C956" s="1"/>
  <c r="B955"/>
  <c r="D955" s="1"/>
  <c r="A955"/>
  <c r="C955" s="1"/>
  <c r="B954"/>
  <c r="D954" s="1"/>
  <c r="A954"/>
  <c r="C954" s="1"/>
  <c r="B953"/>
  <c r="D953" s="1"/>
  <c r="A953"/>
  <c r="C953" s="1"/>
  <c r="B952"/>
  <c r="D952" s="1"/>
  <c r="A952"/>
  <c r="C952" s="1"/>
  <c r="B951"/>
  <c r="D951" s="1"/>
  <c r="A951"/>
  <c r="C951" s="1"/>
  <c r="B950"/>
  <c r="D950" s="1"/>
  <c r="A950"/>
  <c r="C950" s="1"/>
  <c r="B949"/>
  <c r="D949" s="1"/>
  <c r="A949"/>
  <c r="C949" s="1"/>
  <c r="B948"/>
  <c r="D948" s="1"/>
  <c r="A948"/>
  <c r="C948" s="1"/>
  <c r="B947"/>
  <c r="D947" s="1"/>
  <c r="A947"/>
  <c r="C947" s="1"/>
  <c r="B946"/>
  <c r="D946" s="1"/>
  <c r="A946"/>
  <c r="C946" s="1"/>
  <c r="B945"/>
  <c r="D945" s="1"/>
  <c r="A945"/>
  <c r="C945" s="1"/>
  <c r="B944"/>
  <c r="D944" s="1"/>
  <c r="A944"/>
  <c r="C944" s="1"/>
  <c r="B943"/>
  <c r="D943" s="1"/>
  <c r="A943"/>
  <c r="C943" s="1"/>
  <c r="B942"/>
  <c r="D942" s="1"/>
  <c r="A942"/>
  <c r="C942" s="1"/>
  <c r="B941"/>
  <c r="D941" s="1"/>
  <c r="A941"/>
  <c r="C941" s="1"/>
  <c r="B940"/>
  <c r="D940" s="1"/>
  <c r="A940"/>
  <c r="C940" s="1"/>
  <c r="B939"/>
  <c r="D939" s="1"/>
  <c r="A939"/>
  <c r="C939" s="1"/>
  <c r="B938"/>
  <c r="D938" s="1"/>
  <c r="A938"/>
  <c r="C938" s="1"/>
  <c r="B937"/>
  <c r="D937" s="1"/>
  <c r="A937"/>
  <c r="C937" s="1"/>
  <c r="B936"/>
  <c r="D936" s="1"/>
  <c r="A936"/>
  <c r="C936" s="1"/>
  <c r="B935"/>
  <c r="D935" s="1"/>
  <c r="A935"/>
  <c r="C935" s="1"/>
  <c r="B934"/>
  <c r="D934" s="1"/>
  <c r="A934"/>
  <c r="C934" s="1"/>
  <c r="B933"/>
  <c r="D933" s="1"/>
  <c r="A933"/>
  <c r="C933" s="1"/>
  <c r="B932"/>
  <c r="D932" s="1"/>
  <c r="A932"/>
  <c r="C932" s="1"/>
  <c r="B931"/>
  <c r="D931" s="1"/>
  <c r="A931"/>
  <c r="C931" s="1"/>
  <c r="B930"/>
  <c r="D930" s="1"/>
  <c r="A930"/>
  <c r="C930" s="1"/>
  <c r="B929"/>
  <c r="D929" s="1"/>
  <c r="A929"/>
  <c r="C929" s="1"/>
  <c r="B928"/>
  <c r="D928" s="1"/>
  <c r="A928"/>
  <c r="C928" s="1"/>
  <c r="B927"/>
  <c r="D927" s="1"/>
  <c r="A927"/>
  <c r="C927" s="1"/>
  <c r="B926"/>
  <c r="D926" s="1"/>
  <c r="A926"/>
  <c r="C926" s="1"/>
  <c r="B925"/>
  <c r="D925" s="1"/>
  <c r="A925"/>
  <c r="C925" s="1"/>
  <c r="B924"/>
  <c r="D924" s="1"/>
  <c r="A924"/>
  <c r="C924" s="1"/>
  <c r="B923"/>
  <c r="D923" s="1"/>
  <c r="A923"/>
  <c r="C923" s="1"/>
  <c r="B922"/>
  <c r="D922" s="1"/>
  <c r="A922"/>
  <c r="C922" s="1"/>
  <c r="B921"/>
  <c r="D921" s="1"/>
  <c r="A921"/>
  <c r="C921" s="1"/>
  <c r="B920"/>
  <c r="D920" s="1"/>
  <c r="A920"/>
  <c r="C920" s="1"/>
  <c r="B919"/>
  <c r="D919" s="1"/>
  <c r="A919"/>
  <c r="C919" s="1"/>
  <c r="B918"/>
  <c r="D918" s="1"/>
  <c r="A918"/>
  <c r="C918" s="1"/>
  <c r="B917"/>
  <c r="D917" s="1"/>
  <c r="A917"/>
  <c r="C917" s="1"/>
  <c r="B916"/>
  <c r="D916" s="1"/>
  <c r="A916"/>
  <c r="C916" s="1"/>
  <c r="B915"/>
  <c r="D915" s="1"/>
  <c r="A915"/>
  <c r="C915" s="1"/>
  <c r="B914"/>
  <c r="D914" s="1"/>
  <c r="A914"/>
  <c r="C914" s="1"/>
  <c r="B913"/>
  <c r="D913" s="1"/>
  <c r="A913"/>
  <c r="C913" s="1"/>
  <c r="B912"/>
  <c r="D912" s="1"/>
  <c r="A912"/>
  <c r="C912" s="1"/>
  <c r="B911"/>
  <c r="D911" s="1"/>
  <c r="A911"/>
  <c r="C911" s="1"/>
  <c r="B910"/>
  <c r="D910" s="1"/>
  <c r="A910"/>
  <c r="C910" s="1"/>
  <c r="B909"/>
  <c r="D909" s="1"/>
  <c r="A909"/>
  <c r="C909" s="1"/>
  <c r="B908"/>
  <c r="D908" s="1"/>
  <c r="A908"/>
  <c r="C908" s="1"/>
  <c r="B907"/>
  <c r="D907" s="1"/>
  <c r="A907"/>
  <c r="C907" s="1"/>
  <c r="B906"/>
  <c r="D906" s="1"/>
  <c r="A906"/>
  <c r="C906" s="1"/>
  <c r="B905"/>
  <c r="D905" s="1"/>
  <c r="A905"/>
  <c r="C905" s="1"/>
  <c r="B904"/>
  <c r="D904" s="1"/>
  <c r="A904"/>
  <c r="C904" s="1"/>
  <c r="B903"/>
  <c r="D903" s="1"/>
  <c r="A903"/>
  <c r="C903" s="1"/>
  <c r="B902"/>
  <c r="D902" s="1"/>
  <c r="A902"/>
  <c r="C902" s="1"/>
  <c r="B901"/>
  <c r="D901" s="1"/>
  <c r="A901"/>
  <c r="C901" s="1"/>
  <c r="B900"/>
  <c r="D900" s="1"/>
  <c r="A900"/>
  <c r="C900" s="1"/>
  <c r="B899"/>
  <c r="D899" s="1"/>
  <c r="A899"/>
  <c r="C899" s="1"/>
  <c r="B898"/>
  <c r="D898" s="1"/>
  <c r="A898"/>
  <c r="C898" s="1"/>
  <c r="B897"/>
  <c r="D897" s="1"/>
  <c r="A897"/>
  <c r="C897" s="1"/>
  <c r="B896"/>
  <c r="D896" s="1"/>
  <c r="A896"/>
  <c r="C896" s="1"/>
  <c r="B895"/>
  <c r="D895" s="1"/>
  <c r="A895"/>
  <c r="C895" s="1"/>
  <c r="B894"/>
  <c r="D894" s="1"/>
  <c r="A894"/>
  <c r="C894" s="1"/>
  <c r="B893"/>
  <c r="D893" s="1"/>
  <c r="A893"/>
  <c r="C893" s="1"/>
  <c r="B892"/>
  <c r="D892" s="1"/>
  <c r="A892"/>
  <c r="C892" s="1"/>
  <c r="B891"/>
  <c r="D891" s="1"/>
  <c r="A891"/>
  <c r="C891" s="1"/>
  <c r="B890"/>
  <c r="D890" s="1"/>
  <c r="A890"/>
  <c r="C890" s="1"/>
  <c r="B889"/>
  <c r="D889" s="1"/>
  <c r="A889"/>
  <c r="C889" s="1"/>
  <c r="B888"/>
  <c r="D888" s="1"/>
  <c r="A888"/>
  <c r="C888" s="1"/>
  <c r="B887"/>
  <c r="D887" s="1"/>
  <c r="A887"/>
  <c r="C887" s="1"/>
  <c r="B886"/>
  <c r="D886" s="1"/>
  <c r="A886"/>
  <c r="C886" s="1"/>
  <c r="B885"/>
  <c r="D885" s="1"/>
  <c r="A885"/>
  <c r="C885" s="1"/>
  <c r="B884"/>
  <c r="D884" s="1"/>
  <c r="A884"/>
  <c r="C884" s="1"/>
  <c r="B883"/>
  <c r="D883" s="1"/>
  <c r="A883"/>
  <c r="C883" s="1"/>
  <c r="B882"/>
  <c r="D882" s="1"/>
  <c r="A882"/>
  <c r="C882" s="1"/>
  <c r="B881"/>
  <c r="D881" s="1"/>
  <c r="A881"/>
  <c r="C881" s="1"/>
  <c r="B880"/>
  <c r="D880" s="1"/>
  <c r="A880"/>
  <c r="C880" s="1"/>
  <c r="B879"/>
  <c r="D879" s="1"/>
  <c r="A879"/>
  <c r="C879" s="1"/>
  <c r="B878"/>
  <c r="D878" s="1"/>
  <c r="A878"/>
  <c r="C878" s="1"/>
  <c r="B877"/>
  <c r="D877" s="1"/>
  <c r="A877"/>
  <c r="C877" s="1"/>
  <c r="B876"/>
  <c r="D876" s="1"/>
  <c r="A876"/>
  <c r="C876" s="1"/>
  <c r="B875"/>
  <c r="D875" s="1"/>
  <c r="A875"/>
  <c r="C875" s="1"/>
  <c r="B874"/>
  <c r="D874" s="1"/>
  <c r="A874"/>
  <c r="C874" s="1"/>
  <c r="B873"/>
  <c r="D873" s="1"/>
  <c r="A873"/>
  <c r="C873" s="1"/>
  <c r="B872"/>
  <c r="D872" s="1"/>
  <c r="A872"/>
  <c r="C872" s="1"/>
  <c r="B871"/>
  <c r="D871" s="1"/>
  <c r="A871"/>
  <c r="C871" s="1"/>
  <c r="B870"/>
  <c r="D870" s="1"/>
  <c r="A870"/>
  <c r="C870" s="1"/>
  <c r="B869"/>
  <c r="D869" s="1"/>
  <c r="A869"/>
  <c r="C869" s="1"/>
  <c r="B868"/>
  <c r="D868" s="1"/>
  <c r="A868"/>
  <c r="C868" s="1"/>
  <c r="B867"/>
  <c r="D867" s="1"/>
  <c r="A867"/>
  <c r="C867" s="1"/>
  <c r="B866"/>
  <c r="D866" s="1"/>
  <c r="A866"/>
  <c r="C866" s="1"/>
  <c r="B865"/>
  <c r="D865" s="1"/>
  <c r="A865"/>
  <c r="C865" s="1"/>
  <c r="B864"/>
  <c r="D864" s="1"/>
  <c r="A864"/>
  <c r="C864" s="1"/>
  <c r="B863"/>
  <c r="D863" s="1"/>
  <c r="A863"/>
  <c r="C863" s="1"/>
  <c r="B862"/>
  <c r="D862" s="1"/>
  <c r="A862"/>
  <c r="C862" s="1"/>
  <c r="B861"/>
  <c r="D861" s="1"/>
  <c r="A861"/>
  <c r="C861" s="1"/>
  <c r="B860"/>
  <c r="D860" s="1"/>
  <c r="A860"/>
  <c r="C860" s="1"/>
  <c r="B859"/>
  <c r="D859" s="1"/>
  <c r="A859"/>
  <c r="C859" s="1"/>
  <c r="B858"/>
  <c r="D858" s="1"/>
  <c r="A858"/>
  <c r="C858" s="1"/>
  <c r="B857"/>
  <c r="D857" s="1"/>
  <c r="A857"/>
  <c r="C857" s="1"/>
  <c r="B856"/>
  <c r="D856" s="1"/>
  <c r="A856"/>
  <c r="C856" s="1"/>
  <c r="B855"/>
  <c r="D855" s="1"/>
  <c r="A855"/>
  <c r="C855" s="1"/>
  <c r="B854"/>
  <c r="D854" s="1"/>
  <c r="A854"/>
  <c r="C854" s="1"/>
  <c r="B853"/>
  <c r="D853" s="1"/>
  <c r="A853"/>
  <c r="C853" s="1"/>
  <c r="B852"/>
  <c r="D852" s="1"/>
  <c r="A852"/>
  <c r="C852" s="1"/>
  <c r="B851"/>
  <c r="D851" s="1"/>
  <c r="A851"/>
  <c r="C851" s="1"/>
  <c r="B850"/>
  <c r="D850" s="1"/>
  <c r="A850"/>
  <c r="C850" s="1"/>
  <c r="B849"/>
  <c r="D849" s="1"/>
  <c r="A849"/>
  <c r="C849" s="1"/>
  <c r="B848"/>
  <c r="D848" s="1"/>
  <c r="A848"/>
  <c r="C848" s="1"/>
  <c r="B847"/>
  <c r="D847" s="1"/>
  <c r="A847"/>
  <c r="C847" s="1"/>
  <c r="B846"/>
  <c r="D846" s="1"/>
  <c r="A846"/>
  <c r="C846" s="1"/>
  <c r="B845"/>
  <c r="D845" s="1"/>
  <c r="A845"/>
  <c r="C845" s="1"/>
  <c r="B844"/>
  <c r="D844" s="1"/>
  <c r="A844"/>
  <c r="C844" s="1"/>
  <c r="B843"/>
  <c r="D843" s="1"/>
  <c r="A843"/>
  <c r="C843" s="1"/>
  <c r="B842"/>
  <c r="D842" s="1"/>
  <c r="A842"/>
  <c r="C842" s="1"/>
  <c r="B841"/>
  <c r="D841" s="1"/>
  <c r="A841"/>
  <c r="C841" s="1"/>
  <c r="B840"/>
  <c r="D840" s="1"/>
  <c r="A840"/>
  <c r="C840" s="1"/>
  <c r="B839"/>
  <c r="D839" s="1"/>
  <c r="A839"/>
  <c r="C839" s="1"/>
  <c r="B838"/>
  <c r="D838" s="1"/>
  <c r="A838"/>
  <c r="C838" s="1"/>
  <c r="B837"/>
  <c r="D837" s="1"/>
  <c r="A837"/>
  <c r="C837" s="1"/>
  <c r="B836"/>
  <c r="D836" s="1"/>
  <c r="A836"/>
  <c r="C836" s="1"/>
  <c r="B835"/>
  <c r="D835" s="1"/>
  <c r="A835"/>
  <c r="C835" s="1"/>
  <c r="B834"/>
  <c r="D834" s="1"/>
  <c r="A834"/>
  <c r="C834" s="1"/>
  <c r="B833"/>
  <c r="D833" s="1"/>
  <c r="A833"/>
  <c r="C833" s="1"/>
  <c r="B832"/>
  <c r="D832" s="1"/>
  <c r="A832"/>
  <c r="C832" s="1"/>
  <c r="B831"/>
  <c r="D831" s="1"/>
  <c r="A831"/>
  <c r="C831" s="1"/>
  <c r="B830"/>
  <c r="D830" s="1"/>
  <c r="A830"/>
  <c r="C830" s="1"/>
  <c r="B829"/>
  <c r="D829" s="1"/>
  <c r="A829"/>
  <c r="C829" s="1"/>
  <c r="B828"/>
  <c r="D828" s="1"/>
  <c r="A828"/>
  <c r="C828" s="1"/>
  <c r="B827"/>
  <c r="D827" s="1"/>
  <c r="A827"/>
  <c r="C827" s="1"/>
  <c r="B826"/>
  <c r="D826" s="1"/>
  <c r="A826"/>
  <c r="C826" s="1"/>
  <c r="B825"/>
  <c r="D825" s="1"/>
  <c r="A825"/>
  <c r="C825" s="1"/>
  <c r="B824"/>
  <c r="D824" s="1"/>
  <c r="A824"/>
  <c r="C824" s="1"/>
  <c r="B823"/>
  <c r="D823" s="1"/>
  <c r="A823"/>
  <c r="C823" s="1"/>
  <c r="B822"/>
  <c r="D822" s="1"/>
  <c r="A822"/>
  <c r="C822" s="1"/>
  <c r="B821"/>
  <c r="D821" s="1"/>
  <c r="A821"/>
  <c r="C821" s="1"/>
  <c r="B820"/>
  <c r="D820" s="1"/>
  <c r="A820"/>
  <c r="C820" s="1"/>
  <c r="B819"/>
  <c r="D819" s="1"/>
  <c r="A819"/>
  <c r="C819" s="1"/>
  <c r="B818"/>
  <c r="D818" s="1"/>
  <c r="A818"/>
  <c r="C818" s="1"/>
  <c r="B817"/>
  <c r="D817" s="1"/>
  <c r="A817"/>
  <c r="C817" s="1"/>
  <c r="B816"/>
  <c r="D816" s="1"/>
  <c r="A816"/>
  <c r="C816" s="1"/>
  <c r="B815"/>
  <c r="D815" s="1"/>
  <c r="A815"/>
  <c r="C815" s="1"/>
  <c r="B814"/>
  <c r="D814" s="1"/>
  <c r="A814"/>
  <c r="C814" s="1"/>
  <c r="B813"/>
  <c r="D813" s="1"/>
  <c r="A813"/>
  <c r="C813" s="1"/>
  <c r="B812"/>
  <c r="D812" s="1"/>
  <c r="A812"/>
  <c r="C812" s="1"/>
  <c r="B811"/>
  <c r="D811" s="1"/>
  <c r="A811"/>
  <c r="C811" s="1"/>
  <c r="B810"/>
  <c r="D810" s="1"/>
  <c r="A810"/>
  <c r="C810" s="1"/>
  <c r="B809"/>
  <c r="D809" s="1"/>
  <c r="A809"/>
  <c r="C809" s="1"/>
  <c r="B808"/>
  <c r="D808" s="1"/>
  <c r="A808"/>
  <c r="C808" s="1"/>
  <c r="B807"/>
  <c r="D807" s="1"/>
  <c r="A807"/>
  <c r="C807" s="1"/>
  <c r="B806"/>
  <c r="D806" s="1"/>
  <c r="A806"/>
  <c r="C806" s="1"/>
  <c r="B805"/>
  <c r="D805" s="1"/>
  <c r="A805"/>
  <c r="C805" s="1"/>
  <c r="B804"/>
  <c r="D804" s="1"/>
  <c r="A804"/>
  <c r="C804" s="1"/>
  <c r="B803"/>
  <c r="D803" s="1"/>
  <c r="A803"/>
  <c r="C803" s="1"/>
  <c r="B802"/>
  <c r="D802" s="1"/>
  <c r="A802"/>
  <c r="C802" s="1"/>
  <c r="B801"/>
  <c r="D801" s="1"/>
  <c r="A801"/>
  <c r="C801" s="1"/>
  <c r="B800"/>
  <c r="D800" s="1"/>
  <c r="A800"/>
  <c r="C800" s="1"/>
  <c r="B799"/>
  <c r="D799" s="1"/>
  <c r="A799"/>
  <c r="C799" s="1"/>
  <c r="B798"/>
  <c r="D798" s="1"/>
  <c r="A798"/>
  <c r="C798" s="1"/>
  <c r="B797"/>
  <c r="D797" s="1"/>
  <c r="A797"/>
  <c r="C797" s="1"/>
  <c r="B796"/>
  <c r="D796" s="1"/>
  <c r="A796"/>
  <c r="C796" s="1"/>
  <c r="B795"/>
  <c r="D795" s="1"/>
  <c r="A795"/>
  <c r="C795" s="1"/>
  <c r="B794"/>
  <c r="D794" s="1"/>
  <c r="A794"/>
  <c r="C794" s="1"/>
  <c r="B793"/>
  <c r="D793" s="1"/>
  <c r="A793"/>
  <c r="C793" s="1"/>
  <c r="B792"/>
  <c r="D792" s="1"/>
  <c r="A792"/>
  <c r="C792" s="1"/>
  <c r="B791"/>
  <c r="D791" s="1"/>
  <c r="A791"/>
  <c r="C791" s="1"/>
  <c r="B790"/>
  <c r="D790" s="1"/>
  <c r="A790"/>
  <c r="C790" s="1"/>
  <c r="B789"/>
  <c r="D789" s="1"/>
  <c r="A789"/>
  <c r="C789" s="1"/>
  <c r="B788"/>
  <c r="D788" s="1"/>
  <c r="A788"/>
  <c r="C788" s="1"/>
  <c r="B787"/>
  <c r="D787" s="1"/>
  <c r="A787"/>
  <c r="C787" s="1"/>
  <c r="B786"/>
  <c r="D786" s="1"/>
  <c r="A786"/>
  <c r="C786" s="1"/>
  <c r="B785"/>
  <c r="D785" s="1"/>
  <c r="A785"/>
  <c r="C785" s="1"/>
  <c r="B784"/>
  <c r="D784" s="1"/>
  <c r="A784"/>
  <c r="C784" s="1"/>
  <c r="B783"/>
  <c r="D783" s="1"/>
  <c r="A783"/>
  <c r="C783" s="1"/>
  <c r="B782"/>
  <c r="D782" s="1"/>
  <c r="A782"/>
  <c r="C782" s="1"/>
  <c r="B781"/>
  <c r="D781" s="1"/>
  <c r="A781"/>
  <c r="C781" s="1"/>
  <c r="B780"/>
  <c r="D780" s="1"/>
  <c r="A780"/>
  <c r="C780" s="1"/>
  <c r="B779"/>
  <c r="D779" s="1"/>
  <c r="A779"/>
  <c r="C779" s="1"/>
  <c r="B778"/>
  <c r="D778" s="1"/>
  <c r="A778"/>
  <c r="C778" s="1"/>
  <c r="B777"/>
  <c r="D777" s="1"/>
  <c r="A777"/>
  <c r="C777" s="1"/>
  <c r="B776"/>
  <c r="D776" s="1"/>
  <c r="A776"/>
  <c r="C776" s="1"/>
  <c r="B775"/>
  <c r="D775" s="1"/>
  <c r="A775"/>
  <c r="C775" s="1"/>
  <c r="B774"/>
  <c r="D774" s="1"/>
  <c r="A774"/>
  <c r="C774" s="1"/>
  <c r="B773"/>
  <c r="D773" s="1"/>
  <c r="A773"/>
  <c r="C773" s="1"/>
  <c r="B772"/>
  <c r="D772" s="1"/>
  <c r="A772"/>
  <c r="C772" s="1"/>
  <c r="B771"/>
  <c r="D771" s="1"/>
  <c r="A771"/>
  <c r="C771" s="1"/>
  <c r="B770"/>
  <c r="D770" s="1"/>
  <c r="A770"/>
  <c r="C770" s="1"/>
  <c r="B769"/>
  <c r="D769" s="1"/>
  <c r="A769"/>
  <c r="C769" s="1"/>
  <c r="B768"/>
  <c r="D768" s="1"/>
  <c r="A768"/>
  <c r="C768" s="1"/>
  <c r="B767"/>
  <c r="D767" s="1"/>
  <c r="A767"/>
  <c r="C767" s="1"/>
  <c r="B766"/>
  <c r="D766" s="1"/>
  <c r="A766"/>
  <c r="C766" s="1"/>
  <c r="B765"/>
  <c r="D765" s="1"/>
  <c r="A765"/>
  <c r="C765" s="1"/>
  <c r="B764"/>
  <c r="D764" s="1"/>
  <c r="A764"/>
  <c r="C764" s="1"/>
  <c r="B763"/>
  <c r="D763" s="1"/>
  <c r="A763"/>
  <c r="C763" s="1"/>
  <c r="B762"/>
  <c r="D762" s="1"/>
  <c r="A762"/>
  <c r="C762" s="1"/>
  <c r="B761"/>
  <c r="D761" s="1"/>
  <c r="A761"/>
  <c r="C761" s="1"/>
  <c r="B760"/>
  <c r="D760" s="1"/>
  <c r="A760"/>
  <c r="C760" s="1"/>
  <c r="B759"/>
  <c r="D759" s="1"/>
  <c r="A759"/>
  <c r="C759" s="1"/>
  <c r="B758"/>
  <c r="D758" s="1"/>
  <c r="A758"/>
  <c r="C758" s="1"/>
  <c r="B757"/>
  <c r="D757" s="1"/>
  <c r="A757"/>
  <c r="C757" s="1"/>
  <c r="B756"/>
  <c r="D756" s="1"/>
  <c r="A756"/>
  <c r="C756" s="1"/>
  <c r="B755"/>
  <c r="D755" s="1"/>
  <c r="A755"/>
  <c r="C755" s="1"/>
  <c r="B754"/>
  <c r="D754" s="1"/>
  <c r="A754"/>
  <c r="C754" s="1"/>
  <c r="B753"/>
  <c r="D753" s="1"/>
  <c r="A753"/>
  <c r="C753" s="1"/>
  <c r="B752"/>
  <c r="D752" s="1"/>
  <c r="A752"/>
  <c r="C752" s="1"/>
  <c r="B751"/>
  <c r="D751" s="1"/>
  <c r="A751"/>
  <c r="C751" s="1"/>
  <c r="B750"/>
  <c r="D750" s="1"/>
  <c r="A750"/>
  <c r="C750" s="1"/>
  <c r="B749"/>
  <c r="D749" s="1"/>
  <c r="A749"/>
  <c r="C749" s="1"/>
  <c r="B748"/>
  <c r="D748" s="1"/>
  <c r="A748"/>
  <c r="C748" s="1"/>
  <c r="B747"/>
  <c r="D747" s="1"/>
  <c r="A747"/>
  <c r="C747" s="1"/>
  <c r="B746"/>
  <c r="D746" s="1"/>
  <c r="A746"/>
  <c r="C746" s="1"/>
  <c r="B745"/>
  <c r="D745" s="1"/>
  <c r="A745"/>
  <c r="C745" s="1"/>
  <c r="B744"/>
  <c r="D744" s="1"/>
  <c r="A744"/>
  <c r="C744" s="1"/>
  <c r="B743"/>
  <c r="D743" s="1"/>
  <c r="A743"/>
  <c r="C743" s="1"/>
  <c r="B742"/>
  <c r="D742" s="1"/>
  <c r="A742"/>
  <c r="C742" s="1"/>
  <c r="B741"/>
  <c r="D741" s="1"/>
  <c r="A741"/>
  <c r="C741" s="1"/>
  <c r="B740"/>
  <c r="D740" s="1"/>
  <c r="A740"/>
  <c r="C740" s="1"/>
  <c r="B739"/>
  <c r="D739" s="1"/>
  <c r="A739"/>
  <c r="C739" s="1"/>
  <c r="B738"/>
  <c r="D738" s="1"/>
  <c r="A738"/>
  <c r="C738" s="1"/>
  <c r="B737"/>
  <c r="D737" s="1"/>
  <c r="A737"/>
  <c r="C737" s="1"/>
  <c r="B736"/>
  <c r="D736" s="1"/>
  <c r="A736"/>
  <c r="C736" s="1"/>
  <c r="B735"/>
  <c r="D735" s="1"/>
  <c r="A735"/>
  <c r="C735" s="1"/>
  <c r="B734"/>
  <c r="D734" s="1"/>
  <c r="A734"/>
  <c r="C734" s="1"/>
  <c r="B733"/>
  <c r="D733" s="1"/>
  <c r="A733"/>
  <c r="C733" s="1"/>
  <c r="B732"/>
  <c r="D732" s="1"/>
  <c r="A732"/>
  <c r="C732" s="1"/>
  <c r="B731"/>
  <c r="D731" s="1"/>
  <c r="A731"/>
  <c r="C731" s="1"/>
  <c r="B730"/>
  <c r="D730" s="1"/>
  <c r="A730"/>
  <c r="C730" s="1"/>
  <c r="B729"/>
  <c r="D729" s="1"/>
  <c r="A729"/>
  <c r="C729" s="1"/>
  <c r="B728"/>
  <c r="D728" s="1"/>
  <c r="A728"/>
  <c r="C728" s="1"/>
  <c r="B727"/>
  <c r="D727" s="1"/>
  <c r="A727"/>
  <c r="C727" s="1"/>
  <c r="B726"/>
  <c r="D726" s="1"/>
  <c r="A726"/>
  <c r="C726" s="1"/>
  <c r="B725"/>
  <c r="D725" s="1"/>
  <c r="A725"/>
  <c r="C725" s="1"/>
  <c r="B724"/>
  <c r="D724" s="1"/>
  <c r="A724"/>
  <c r="C724" s="1"/>
  <c r="B723"/>
  <c r="D723" s="1"/>
  <c r="A723"/>
  <c r="C723" s="1"/>
  <c r="B722"/>
  <c r="D722" s="1"/>
  <c r="A722"/>
  <c r="C722" s="1"/>
  <c r="B721"/>
  <c r="D721" s="1"/>
  <c r="A721"/>
  <c r="C721" s="1"/>
  <c r="B720"/>
  <c r="D720" s="1"/>
  <c r="A720"/>
  <c r="C720" s="1"/>
  <c r="B719"/>
  <c r="D719" s="1"/>
  <c r="A719"/>
  <c r="C719" s="1"/>
  <c r="B718"/>
  <c r="D718" s="1"/>
  <c r="A718"/>
  <c r="C718" s="1"/>
  <c r="B717"/>
  <c r="D717" s="1"/>
  <c r="A717"/>
  <c r="C717" s="1"/>
  <c r="B716"/>
  <c r="D716" s="1"/>
  <c r="A716"/>
  <c r="C716" s="1"/>
  <c r="B715"/>
  <c r="D715" s="1"/>
  <c r="A715"/>
  <c r="C715" s="1"/>
  <c r="B714"/>
  <c r="D714" s="1"/>
  <c r="A714"/>
  <c r="C714" s="1"/>
  <c r="B713"/>
  <c r="D713" s="1"/>
  <c r="A713"/>
  <c r="C713" s="1"/>
  <c r="B712"/>
  <c r="D712" s="1"/>
  <c r="A712"/>
  <c r="C712" s="1"/>
  <c r="B711"/>
  <c r="D711" s="1"/>
  <c r="A711"/>
  <c r="C711" s="1"/>
  <c r="B710"/>
  <c r="D710" s="1"/>
  <c r="A710"/>
  <c r="C710" s="1"/>
  <c r="B709"/>
  <c r="D709" s="1"/>
  <c r="A709"/>
  <c r="C709" s="1"/>
  <c r="B708"/>
  <c r="D708" s="1"/>
  <c r="A708"/>
  <c r="C708" s="1"/>
  <c r="B707"/>
  <c r="D707" s="1"/>
  <c r="A707"/>
  <c r="C707" s="1"/>
  <c r="B706"/>
  <c r="D706" s="1"/>
  <c r="A706"/>
  <c r="C706" s="1"/>
  <c r="B705"/>
  <c r="D705" s="1"/>
  <c r="A705"/>
  <c r="C705" s="1"/>
  <c r="B704"/>
  <c r="D704" s="1"/>
  <c r="A704"/>
  <c r="C704" s="1"/>
  <c r="B703"/>
  <c r="D703" s="1"/>
  <c r="A703"/>
  <c r="C703" s="1"/>
  <c r="B702"/>
  <c r="D702" s="1"/>
  <c r="A702"/>
  <c r="C702" s="1"/>
  <c r="B701"/>
  <c r="D701" s="1"/>
  <c r="A701"/>
  <c r="C701" s="1"/>
  <c r="B700"/>
  <c r="D700" s="1"/>
  <c r="A700"/>
  <c r="C700" s="1"/>
  <c r="B699"/>
  <c r="D699" s="1"/>
  <c r="A699"/>
  <c r="C699" s="1"/>
  <c r="B698"/>
  <c r="D698" s="1"/>
  <c r="A698"/>
  <c r="C698" s="1"/>
  <c r="B697"/>
  <c r="D697" s="1"/>
  <c r="A697"/>
  <c r="C697" s="1"/>
  <c r="B696"/>
  <c r="D696" s="1"/>
  <c r="A696"/>
  <c r="C696" s="1"/>
  <c r="B695"/>
  <c r="D695" s="1"/>
  <c r="A695"/>
  <c r="C695" s="1"/>
  <c r="B694"/>
  <c r="D694" s="1"/>
  <c r="A694"/>
  <c r="C694" s="1"/>
  <c r="B693"/>
  <c r="D693" s="1"/>
  <c r="A693"/>
  <c r="C693" s="1"/>
  <c r="B692"/>
  <c r="D692" s="1"/>
  <c r="A692"/>
  <c r="C692" s="1"/>
  <c r="B691"/>
  <c r="D691" s="1"/>
  <c r="A691"/>
  <c r="C691" s="1"/>
  <c r="B690"/>
  <c r="D690" s="1"/>
  <c r="A690"/>
  <c r="C690" s="1"/>
  <c r="B689"/>
  <c r="D689" s="1"/>
  <c r="A689"/>
  <c r="C689" s="1"/>
  <c r="B688"/>
  <c r="D688" s="1"/>
  <c r="A688"/>
  <c r="C688" s="1"/>
  <c r="B687"/>
  <c r="D687" s="1"/>
  <c r="A687"/>
  <c r="C687" s="1"/>
  <c r="B686"/>
  <c r="D686" s="1"/>
  <c r="A686"/>
  <c r="C686" s="1"/>
  <c r="B685"/>
  <c r="D685" s="1"/>
  <c r="A685"/>
  <c r="C685" s="1"/>
  <c r="B684"/>
  <c r="D684" s="1"/>
  <c r="A684"/>
  <c r="C684" s="1"/>
  <c r="B683"/>
  <c r="D683" s="1"/>
  <c r="A683"/>
  <c r="C683" s="1"/>
  <c r="B682"/>
  <c r="D682" s="1"/>
  <c r="A682"/>
  <c r="C682" s="1"/>
  <c r="B681"/>
  <c r="D681" s="1"/>
  <c r="A681"/>
  <c r="C681" s="1"/>
  <c r="B680"/>
  <c r="D680" s="1"/>
  <c r="A680"/>
  <c r="C680" s="1"/>
  <c r="B679"/>
  <c r="D679" s="1"/>
  <c r="A679"/>
  <c r="C679" s="1"/>
  <c r="B678"/>
  <c r="D678" s="1"/>
  <c r="A678"/>
  <c r="C678" s="1"/>
  <c r="B677"/>
  <c r="D677" s="1"/>
  <c r="A677"/>
  <c r="C677" s="1"/>
  <c r="B676"/>
  <c r="D676" s="1"/>
  <c r="A676"/>
  <c r="C676" s="1"/>
  <c r="B675"/>
  <c r="D675" s="1"/>
  <c r="A675"/>
  <c r="C675" s="1"/>
  <c r="B674"/>
  <c r="D674" s="1"/>
  <c r="A674"/>
  <c r="C674" s="1"/>
  <c r="B673"/>
  <c r="D673" s="1"/>
  <c r="A673"/>
  <c r="C673" s="1"/>
  <c r="B672"/>
  <c r="D672" s="1"/>
  <c r="A672"/>
  <c r="C672" s="1"/>
  <c r="B671"/>
  <c r="D671" s="1"/>
  <c r="A671"/>
  <c r="C671" s="1"/>
  <c r="B670"/>
  <c r="D670" s="1"/>
  <c r="A670"/>
  <c r="C670" s="1"/>
  <c r="B669"/>
  <c r="D669" s="1"/>
  <c r="A669"/>
  <c r="C669" s="1"/>
  <c r="B668"/>
  <c r="D668" s="1"/>
  <c r="A668"/>
  <c r="C668" s="1"/>
  <c r="B667"/>
  <c r="D667" s="1"/>
  <c r="A667"/>
  <c r="C667" s="1"/>
  <c r="B666"/>
  <c r="D666" s="1"/>
  <c r="A666"/>
  <c r="C666" s="1"/>
  <c r="B665"/>
  <c r="D665" s="1"/>
  <c r="A665"/>
  <c r="C665" s="1"/>
  <c r="B664"/>
  <c r="D664" s="1"/>
  <c r="A664"/>
  <c r="C664" s="1"/>
  <c r="B663"/>
  <c r="D663" s="1"/>
  <c r="A663"/>
  <c r="C663" s="1"/>
  <c r="B662"/>
  <c r="D662" s="1"/>
  <c r="A662"/>
  <c r="C662" s="1"/>
  <c r="B661"/>
  <c r="D661" s="1"/>
  <c r="A661"/>
  <c r="C661" s="1"/>
  <c r="B660"/>
  <c r="D660" s="1"/>
  <c r="A660"/>
  <c r="C660" s="1"/>
  <c r="B659"/>
  <c r="D659" s="1"/>
  <c r="A659"/>
  <c r="C659" s="1"/>
  <c r="B658"/>
  <c r="D658" s="1"/>
  <c r="A658"/>
  <c r="C658" s="1"/>
  <c r="B657"/>
  <c r="D657" s="1"/>
  <c r="A657"/>
  <c r="C657" s="1"/>
  <c r="B656"/>
  <c r="D656" s="1"/>
  <c r="A656"/>
  <c r="C656" s="1"/>
  <c r="B655"/>
  <c r="D655" s="1"/>
  <c r="A655"/>
  <c r="C655" s="1"/>
  <c r="B654"/>
  <c r="D654" s="1"/>
  <c r="A654"/>
  <c r="C654" s="1"/>
  <c r="B653"/>
  <c r="D653" s="1"/>
  <c r="A653"/>
  <c r="C653" s="1"/>
  <c r="B652"/>
  <c r="D652" s="1"/>
  <c r="A652"/>
  <c r="C652" s="1"/>
  <c r="B651"/>
  <c r="D651" s="1"/>
  <c r="A651"/>
  <c r="C651" s="1"/>
  <c r="B650"/>
  <c r="D650" s="1"/>
  <c r="A650"/>
  <c r="C650" s="1"/>
  <c r="B649"/>
  <c r="D649" s="1"/>
  <c r="A649"/>
  <c r="C649" s="1"/>
  <c r="B648"/>
  <c r="D648" s="1"/>
  <c r="A648"/>
  <c r="C648" s="1"/>
  <c r="B647"/>
  <c r="D647" s="1"/>
  <c r="A647"/>
  <c r="C647" s="1"/>
  <c r="B646"/>
  <c r="D646" s="1"/>
  <c r="A646"/>
  <c r="C646" s="1"/>
  <c r="B645"/>
  <c r="D645" s="1"/>
  <c r="A645"/>
  <c r="C645" s="1"/>
  <c r="B644"/>
  <c r="D644" s="1"/>
  <c r="A644"/>
  <c r="C644" s="1"/>
  <c r="B643"/>
  <c r="D643" s="1"/>
  <c r="A643"/>
  <c r="C643" s="1"/>
  <c r="B642"/>
  <c r="D642" s="1"/>
  <c r="A642"/>
  <c r="C642" s="1"/>
  <c r="B641"/>
  <c r="D641" s="1"/>
  <c r="A641"/>
  <c r="C641" s="1"/>
  <c r="B640"/>
  <c r="D640" s="1"/>
  <c r="A640"/>
  <c r="C640" s="1"/>
  <c r="B639"/>
  <c r="D639" s="1"/>
  <c r="A639"/>
  <c r="C639" s="1"/>
  <c r="B638"/>
  <c r="D638" s="1"/>
  <c r="A638"/>
  <c r="C638" s="1"/>
  <c r="B637"/>
  <c r="D637" s="1"/>
  <c r="A637"/>
  <c r="C637" s="1"/>
  <c r="B636"/>
  <c r="D636" s="1"/>
  <c r="A636"/>
  <c r="C636" s="1"/>
  <c r="B635"/>
  <c r="D635" s="1"/>
  <c r="A635"/>
  <c r="C635" s="1"/>
  <c r="B634"/>
  <c r="D634" s="1"/>
  <c r="A634"/>
  <c r="C634" s="1"/>
  <c r="B633"/>
  <c r="D633" s="1"/>
  <c r="A633"/>
  <c r="C633" s="1"/>
  <c r="B632"/>
  <c r="D632" s="1"/>
  <c r="A632"/>
  <c r="C632" s="1"/>
  <c r="B631"/>
  <c r="D631" s="1"/>
  <c r="A631"/>
  <c r="C631" s="1"/>
  <c r="B630"/>
  <c r="D630" s="1"/>
  <c r="A630"/>
  <c r="C630" s="1"/>
  <c r="B629"/>
  <c r="D629" s="1"/>
  <c r="A629"/>
  <c r="C629" s="1"/>
  <c r="B628"/>
  <c r="D628" s="1"/>
  <c r="A628"/>
  <c r="C628" s="1"/>
  <c r="B627"/>
  <c r="D627" s="1"/>
  <c r="A627"/>
  <c r="C627" s="1"/>
  <c r="B626"/>
  <c r="D626" s="1"/>
  <c r="A626"/>
  <c r="C626" s="1"/>
  <c r="B625"/>
  <c r="D625" s="1"/>
  <c r="A625"/>
  <c r="C625" s="1"/>
  <c r="B624"/>
  <c r="D624" s="1"/>
  <c r="A624"/>
  <c r="C624" s="1"/>
  <c r="B623"/>
  <c r="D623" s="1"/>
  <c r="A623"/>
  <c r="C623" s="1"/>
  <c r="B622"/>
  <c r="D622" s="1"/>
  <c r="A622"/>
  <c r="C622" s="1"/>
  <c r="B621"/>
  <c r="D621" s="1"/>
  <c r="A621"/>
  <c r="C621" s="1"/>
  <c r="B620"/>
  <c r="D620" s="1"/>
  <c r="A620"/>
  <c r="C620" s="1"/>
  <c r="B619"/>
  <c r="D619" s="1"/>
  <c r="A619"/>
  <c r="C619" s="1"/>
  <c r="B618"/>
  <c r="D618" s="1"/>
  <c r="A618"/>
  <c r="C618" s="1"/>
  <c r="B617"/>
  <c r="D617" s="1"/>
  <c r="A617"/>
  <c r="C617" s="1"/>
  <c r="B616"/>
  <c r="D616" s="1"/>
  <c r="A616"/>
  <c r="C616" s="1"/>
  <c r="B615"/>
  <c r="D615" s="1"/>
  <c r="A615"/>
  <c r="C615" s="1"/>
  <c r="B614"/>
  <c r="D614" s="1"/>
  <c r="A614"/>
  <c r="C614" s="1"/>
  <c r="B613"/>
  <c r="D613" s="1"/>
  <c r="A613"/>
  <c r="C613" s="1"/>
  <c r="B612"/>
  <c r="D612" s="1"/>
  <c r="A612"/>
  <c r="C612" s="1"/>
  <c r="B611"/>
  <c r="D611" s="1"/>
  <c r="A611"/>
  <c r="C611" s="1"/>
  <c r="B610"/>
  <c r="D610" s="1"/>
  <c r="A610"/>
  <c r="C610" s="1"/>
  <c r="B609"/>
  <c r="D609" s="1"/>
  <c r="A609"/>
  <c r="C609" s="1"/>
  <c r="B608"/>
  <c r="D608" s="1"/>
  <c r="A608"/>
  <c r="C608" s="1"/>
  <c r="B607"/>
  <c r="D607" s="1"/>
  <c r="A607"/>
  <c r="C607" s="1"/>
  <c r="B606"/>
  <c r="D606" s="1"/>
  <c r="A606"/>
  <c r="C606" s="1"/>
  <c r="B605"/>
  <c r="D605" s="1"/>
  <c r="A605"/>
  <c r="C605" s="1"/>
  <c r="B604"/>
  <c r="D604" s="1"/>
  <c r="A604"/>
  <c r="C604" s="1"/>
  <c r="B603"/>
  <c r="D603" s="1"/>
  <c r="A603"/>
  <c r="C603" s="1"/>
  <c r="B602"/>
  <c r="D602" s="1"/>
  <c r="A602"/>
  <c r="C602" s="1"/>
  <c r="B601"/>
  <c r="D601" s="1"/>
  <c r="A601"/>
  <c r="C601" s="1"/>
  <c r="B600"/>
  <c r="D600" s="1"/>
  <c r="A600"/>
  <c r="C600" s="1"/>
  <c r="B599"/>
  <c r="D599" s="1"/>
  <c r="A599"/>
  <c r="C599" s="1"/>
  <c r="B598"/>
  <c r="D598" s="1"/>
  <c r="A598"/>
  <c r="C598" s="1"/>
  <c r="B597"/>
  <c r="D597" s="1"/>
  <c r="A597"/>
  <c r="C597" s="1"/>
  <c r="B596"/>
  <c r="D596" s="1"/>
  <c r="A596"/>
  <c r="C596" s="1"/>
  <c r="B595"/>
  <c r="D595" s="1"/>
  <c r="A595"/>
  <c r="C595" s="1"/>
  <c r="B594"/>
  <c r="D594" s="1"/>
  <c r="A594"/>
  <c r="C594" s="1"/>
  <c r="B593"/>
  <c r="D593" s="1"/>
  <c r="A593"/>
  <c r="C593" s="1"/>
  <c r="B592"/>
  <c r="D592" s="1"/>
  <c r="A592"/>
  <c r="C592" s="1"/>
  <c r="B591"/>
  <c r="D591" s="1"/>
  <c r="A591"/>
  <c r="C591" s="1"/>
  <c r="B590"/>
  <c r="D590" s="1"/>
  <c r="A590"/>
  <c r="C590" s="1"/>
  <c r="B589"/>
  <c r="D589" s="1"/>
  <c r="A589"/>
  <c r="C589" s="1"/>
  <c r="B588"/>
  <c r="D588" s="1"/>
  <c r="A588"/>
  <c r="C588" s="1"/>
  <c r="B587"/>
  <c r="D587" s="1"/>
  <c r="A587"/>
  <c r="C587" s="1"/>
  <c r="B586"/>
  <c r="D586" s="1"/>
  <c r="A586"/>
  <c r="C586" s="1"/>
  <c r="B585"/>
  <c r="D585" s="1"/>
  <c r="A585"/>
  <c r="C585" s="1"/>
  <c r="B584"/>
  <c r="D584" s="1"/>
  <c r="A584"/>
  <c r="C584" s="1"/>
  <c r="B583"/>
  <c r="D583" s="1"/>
  <c r="A583"/>
  <c r="C583" s="1"/>
  <c r="B582"/>
  <c r="D582" s="1"/>
  <c r="A582"/>
  <c r="C582" s="1"/>
  <c r="B581"/>
  <c r="D581" s="1"/>
  <c r="A581"/>
  <c r="C581" s="1"/>
  <c r="B580"/>
  <c r="D580" s="1"/>
  <c r="A580"/>
  <c r="C580" s="1"/>
  <c r="B579"/>
  <c r="D579" s="1"/>
  <c r="A579"/>
  <c r="C579" s="1"/>
  <c r="B578"/>
  <c r="D578" s="1"/>
  <c r="A578"/>
  <c r="C578" s="1"/>
  <c r="B577"/>
  <c r="D577" s="1"/>
  <c r="A577"/>
  <c r="C577" s="1"/>
  <c r="B576"/>
  <c r="D576" s="1"/>
  <c r="A576"/>
  <c r="C576" s="1"/>
  <c r="B575"/>
  <c r="D575" s="1"/>
  <c r="A575"/>
  <c r="C575" s="1"/>
  <c r="B574"/>
  <c r="D574" s="1"/>
  <c r="A574"/>
  <c r="C574" s="1"/>
  <c r="B573"/>
  <c r="D573" s="1"/>
  <c r="A573"/>
  <c r="C573" s="1"/>
  <c r="B572"/>
  <c r="D572" s="1"/>
  <c r="A572"/>
  <c r="C572" s="1"/>
  <c r="B571"/>
  <c r="D571" s="1"/>
  <c r="A571"/>
  <c r="C571" s="1"/>
  <c r="B570"/>
  <c r="D570" s="1"/>
  <c r="A570"/>
  <c r="C570" s="1"/>
  <c r="B569"/>
  <c r="D569" s="1"/>
  <c r="A569"/>
  <c r="C569" s="1"/>
  <c r="B568"/>
  <c r="D568" s="1"/>
  <c r="A568"/>
  <c r="C568" s="1"/>
  <c r="B567"/>
  <c r="D567" s="1"/>
  <c r="A567"/>
  <c r="C567" s="1"/>
  <c r="B566"/>
  <c r="D566" s="1"/>
  <c r="A566"/>
  <c r="C566" s="1"/>
  <c r="B565"/>
  <c r="D565" s="1"/>
  <c r="A565"/>
  <c r="C565" s="1"/>
  <c r="B564"/>
  <c r="D564" s="1"/>
  <c r="A564"/>
  <c r="C564" s="1"/>
  <c r="B563"/>
  <c r="D563" s="1"/>
  <c r="A563"/>
  <c r="C563" s="1"/>
  <c r="B562"/>
  <c r="D562" s="1"/>
  <c r="A562"/>
  <c r="C562" s="1"/>
  <c r="B561"/>
  <c r="D561" s="1"/>
  <c r="A561"/>
  <c r="C561" s="1"/>
  <c r="B560"/>
  <c r="D560" s="1"/>
  <c r="A560"/>
  <c r="C560" s="1"/>
  <c r="B559"/>
  <c r="D559" s="1"/>
  <c r="A559"/>
  <c r="C559" s="1"/>
  <c r="B558"/>
  <c r="D558" s="1"/>
  <c r="A558"/>
  <c r="C558" s="1"/>
  <c r="B557"/>
  <c r="D557" s="1"/>
  <c r="A557"/>
  <c r="C557" s="1"/>
  <c r="B556"/>
  <c r="D556" s="1"/>
  <c r="A556"/>
  <c r="C556" s="1"/>
  <c r="B555"/>
  <c r="D555" s="1"/>
  <c r="A555"/>
  <c r="C555" s="1"/>
  <c r="B554"/>
  <c r="D554" s="1"/>
  <c r="A554"/>
  <c r="C554" s="1"/>
  <c r="B553"/>
  <c r="D553" s="1"/>
  <c r="A553"/>
  <c r="C553" s="1"/>
  <c r="B552"/>
  <c r="D552" s="1"/>
  <c r="A552"/>
  <c r="C552" s="1"/>
  <c r="B551"/>
  <c r="D551" s="1"/>
  <c r="A551"/>
  <c r="C551" s="1"/>
  <c r="B550"/>
  <c r="D550" s="1"/>
  <c r="A550"/>
  <c r="C550" s="1"/>
  <c r="B549"/>
  <c r="D549" s="1"/>
  <c r="A549"/>
  <c r="C549" s="1"/>
  <c r="B548"/>
  <c r="D548" s="1"/>
  <c r="A548"/>
  <c r="C548" s="1"/>
  <c r="B547"/>
  <c r="D547" s="1"/>
  <c r="A547"/>
  <c r="C547" s="1"/>
  <c r="B546"/>
  <c r="D546" s="1"/>
  <c r="A546"/>
  <c r="C546" s="1"/>
  <c r="B545"/>
  <c r="D545" s="1"/>
  <c r="A545"/>
  <c r="C545" s="1"/>
  <c r="B544"/>
  <c r="D544" s="1"/>
  <c r="A544"/>
  <c r="C544" s="1"/>
  <c r="B543"/>
  <c r="D543" s="1"/>
  <c r="A543"/>
  <c r="C543" s="1"/>
  <c r="B542"/>
  <c r="D542" s="1"/>
  <c r="A542"/>
  <c r="C542" s="1"/>
  <c r="B541"/>
  <c r="D541" s="1"/>
  <c r="A541"/>
  <c r="C541" s="1"/>
  <c r="B540"/>
  <c r="D540" s="1"/>
  <c r="A540"/>
  <c r="C540" s="1"/>
  <c r="B539"/>
  <c r="D539" s="1"/>
  <c r="A539"/>
  <c r="C539" s="1"/>
  <c r="B538"/>
  <c r="D538" s="1"/>
  <c r="A538"/>
  <c r="C538" s="1"/>
  <c r="B537"/>
  <c r="D537" s="1"/>
  <c r="A537"/>
  <c r="C537" s="1"/>
  <c r="B536"/>
  <c r="D536" s="1"/>
  <c r="A536"/>
  <c r="C536" s="1"/>
  <c r="B535"/>
  <c r="D535" s="1"/>
  <c r="A535"/>
  <c r="C535" s="1"/>
  <c r="B534"/>
  <c r="D534" s="1"/>
  <c r="A534"/>
  <c r="C534" s="1"/>
  <c r="B533"/>
  <c r="D533" s="1"/>
  <c r="A533"/>
  <c r="C533" s="1"/>
  <c r="B532"/>
  <c r="D532" s="1"/>
  <c r="A532"/>
  <c r="C532" s="1"/>
  <c r="B531"/>
  <c r="D531" s="1"/>
  <c r="A531"/>
  <c r="C531" s="1"/>
  <c r="B530"/>
  <c r="D530" s="1"/>
  <c r="A530"/>
  <c r="C530" s="1"/>
  <c r="B529"/>
  <c r="D529" s="1"/>
  <c r="A529"/>
  <c r="C529" s="1"/>
  <c r="B528"/>
  <c r="D528" s="1"/>
  <c r="A528"/>
  <c r="C528" s="1"/>
  <c r="B527"/>
  <c r="D527" s="1"/>
  <c r="A527"/>
  <c r="C527" s="1"/>
  <c r="B526"/>
  <c r="D526" s="1"/>
  <c r="A526"/>
  <c r="C526" s="1"/>
  <c r="B525"/>
  <c r="D525" s="1"/>
  <c r="A525"/>
  <c r="C525" s="1"/>
  <c r="B524"/>
  <c r="D524" s="1"/>
  <c r="A524"/>
  <c r="C524" s="1"/>
  <c r="B523"/>
  <c r="D523" s="1"/>
  <c r="A523"/>
  <c r="C523" s="1"/>
  <c r="B522"/>
  <c r="D522" s="1"/>
  <c r="A522"/>
  <c r="C522" s="1"/>
  <c r="B521"/>
  <c r="D521" s="1"/>
  <c r="A521"/>
  <c r="C521" s="1"/>
  <c r="B520"/>
  <c r="D520" s="1"/>
  <c r="A520"/>
  <c r="C520" s="1"/>
  <c r="B519"/>
  <c r="D519" s="1"/>
  <c r="A519"/>
  <c r="C519" s="1"/>
  <c r="B518"/>
  <c r="D518" s="1"/>
  <c r="A518"/>
  <c r="C518" s="1"/>
  <c r="B517"/>
  <c r="D517" s="1"/>
  <c r="A517"/>
  <c r="C517" s="1"/>
  <c r="B516"/>
  <c r="D516" s="1"/>
  <c r="A516"/>
  <c r="C516" s="1"/>
  <c r="B515"/>
  <c r="D515" s="1"/>
  <c r="A515"/>
  <c r="C515" s="1"/>
  <c r="B514"/>
  <c r="D514" s="1"/>
  <c r="A514"/>
  <c r="C514" s="1"/>
  <c r="B513"/>
  <c r="D513" s="1"/>
  <c r="A513"/>
  <c r="C513" s="1"/>
  <c r="B512"/>
  <c r="D512" s="1"/>
  <c r="A512"/>
  <c r="C512" s="1"/>
  <c r="B511"/>
  <c r="D511" s="1"/>
  <c r="A511"/>
  <c r="C511" s="1"/>
  <c r="B510"/>
  <c r="D510" s="1"/>
  <c r="A510"/>
  <c r="C510" s="1"/>
  <c r="B509"/>
  <c r="D509" s="1"/>
  <c r="A509"/>
  <c r="C509" s="1"/>
  <c r="B508"/>
  <c r="D508" s="1"/>
  <c r="A508"/>
  <c r="C508" s="1"/>
  <c r="B507"/>
  <c r="D507" s="1"/>
  <c r="A507"/>
  <c r="C507" s="1"/>
  <c r="B506"/>
  <c r="D506" s="1"/>
  <c r="A506"/>
  <c r="C506" s="1"/>
  <c r="B505"/>
  <c r="D505" s="1"/>
  <c r="A505"/>
  <c r="C505" s="1"/>
  <c r="B504"/>
  <c r="D504" s="1"/>
  <c r="A504"/>
  <c r="C504" s="1"/>
  <c r="B503"/>
  <c r="D503" s="1"/>
  <c r="A503"/>
  <c r="C503" s="1"/>
  <c r="B502"/>
  <c r="D502" s="1"/>
  <c r="A502"/>
  <c r="C502" s="1"/>
  <c r="B501"/>
  <c r="D501" s="1"/>
  <c r="A501"/>
  <c r="C501" s="1"/>
  <c r="B500"/>
  <c r="D500" s="1"/>
  <c r="A500"/>
  <c r="C500" s="1"/>
  <c r="B499"/>
  <c r="D499" s="1"/>
  <c r="A499"/>
  <c r="C499" s="1"/>
  <c r="B498"/>
  <c r="D498" s="1"/>
  <c r="A498"/>
  <c r="C498" s="1"/>
  <c r="B497"/>
  <c r="D497" s="1"/>
  <c r="A497"/>
  <c r="C497" s="1"/>
  <c r="B496"/>
  <c r="D496" s="1"/>
  <c r="A496"/>
  <c r="C496" s="1"/>
  <c r="B495"/>
  <c r="D495" s="1"/>
  <c r="A495"/>
  <c r="C495" s="1"/>
  <c r="B494"/>
  <c r="D494" s="1"/>
  <c r="A494"/>
  <c r="C494" s="1"/>
  <c r="B493"/>
  <c r="D493" s="1"/>
  <c r="A493"/>
  <c r="C493" s="1"/>
  <c r="B492"/>
  <c r="D492" s="1"/>
  <c r="A492"/>
  <c r="C492" s="1"/>
  <c r="B491"/>
  <c r="D491" s="1"/>
  <c r="A491"/>
  <c r="C491" s="1"/>
  <c r="B490"/>
  <c r="D490" s="1"/>
  <c r="A490"/>
  <c r="C490" s="1"/>
  <c r="B489"/>
  <c r="D489" s="1"/>
  <c r="A489"/>
  <c r="C489" s="1"/>
  <c r="B488"/>
  <c r="D488" s="1"/>
  <c r="A488"/>
  <c r="C488" s="1"/>
  <c r="B487"/>
  <c r="D487" s="1"/>
  <c r="A487"/>
  <c r="C487" s="1"/>
  <c r="B486"/>
  <c r="D486" s="1"/>
  <c r="A486"/>
  <c r="C486" s="1"/>
  <c r="B485"/>
  <c r="D485" s="1"/>
  <c r="A485"/>
  <c r="C485" s="1"/>
  <c r="B484"/>
  <c r="D484" s="1"/>
  <c r="A484"/>
  <c r="C484" s="1"/>
  <c r="B483"/>
  <c r="D483" s="1"/>
  <c r="A483"/>
  <c r="C483" s="1"/>
  <c r="B482"/>
  <c r="D482" s="1"/>
  <c r="A482"/>
  <c r="C482" s="1"/>
  <c r="B481"/>
  <c r="D481" s="1"/>
  <c r="A481"/>
  <c r="C481" s="1"/>
  <c r="B480"/>
  <c r="D480" s="1"/>
  <c r="A480"/>
  <c r="C480" s="1"/>
  <c r="B479"/>
  <c r="D479" s="1"/>
  <c r="A479"/>
  <c r="C479" s="1"/>
  <c r="B478"/>
  <c r="D478" s="1"/>
  <c r="A478"/>
  <c r="C478" s="1"/>
  <c r="B477"/>
  <c r="D477" s="1"/>
  <c r="A477"/>
  <c r="C477" s="1"/>
  <c r="B476"/>
  <c r="D476" s="1"/>
  <c r="A476"/>
  <c r="C476" s="1"/>
  <c r="B475"/>
  <c r="D475" s="1"/>
  <c r="A475"/>
  <c r="C475" s="1"/>
  <c r="B474"/>
  <c r="D474" s="1"/>
  <c r="A474"/>
  <c r="C474" s="1"/>
  <c r="B473"/>
  <c r="D473" s="1"/>
  <c r="A473"/>
  <c r="C473" s="1"/>
  <c r="B472"/>
  <c r="D472" s="1"/>
  <c r="A472"/>
  <c r="C472" s="1"/>
  <c r="B471"/>
  <c r="D471" s="1"/>
  <c r="A471"/>
  <c r="C471" s="1"/>
  <c r="B470"/>
  <c r="D470" s="1"/>
  <c r="A470"/>
  <c r="C470" s="1"/>
  <c r="B469"/>
  <c r="D469" s="1"/>
  <c r="A469"/>
  <c r="C469" s="1"/>
  <c r="B468"/>
  <c r="D468" s="1"/>
  <c r="A468"/>
  <c r="C468" s="1"/>
  <c r="B467"/>
  <c r="D467" s="1"/>
  <c r="A467"/>
  <c r="C467" s="1"/>
  <c r="B466"/>
  <c r="D466" s="1"/>
  <c r="A466"/>
  <c r="C466" s="1"/>
  <c r="B465"/>
  <c r="D465" s="1"/>
  <c r="A465"/>
  <c r="C465" s="1"/>
  <c r="B464"/>
  <c r="D464" s="1"/>
  <c r="A464"/>
  <c r="C464" s="1"/>
  <c r="B463"/>
  <c r="D463" s="1"/>
  <c r="A463"/>
  <c r="C463" s="1"/>
  <c r="B462"/>
  <c r="D462" s="1"/>
  <c r="A462"/>
  <c r="C462" s="1"/>
  <c r="B461"/>
  <c r="D461" s="1"/>
  <c r="A461"/>
  <c r="C461" s="1"/>
  <c r="B460"/>
  <c r="D460" s="1"/>
  <c r="A460"/>
  <c r="C460" s="1"/>
  <c r="B459"/>
  <c r="D459" s="1"/>
  <c r="A459"/>
  <c r="C459" s="1"/>
  <c r="B458"/>
  <c r="D458" s="1"/>
  <c r="A458"/>
  <c r="C458" s="1"/>
  <c r="B457"/>
  <c r="D457" s="1"/>
  <c r="A457"/>
  <c r="C457" s="1"/>
  <c r="B456"/>
  <c r="D456" s="1"/>
  <c r="A456"/>
  <c r="C456" s="1"/>
  <c r="B455"/>
  <c r="D455" s="1"/>
  <c r="A455"/>
  <c r="C455" s="1"/>
  <c r="B454"/>
  <c r="D454" s="1"/>
  <c r="A454"/>
  <c r="C454" s="1"/>
  <c r="B453"/>
  <c r="D453" s="1"/>
  <c r="A453"/>
  <c r="C453" s="1"/>
  <c r="B452"/>
  <c r="D452" s="1"/>
  <c r="A452"/>
  <c r="C452" s="1"/>
  <c r="B451"/>
  <c r="D451" s="1"/>
  <c r="A451"/>
  <c r="C451" s="1"/>
  <c r="B450"/>
  <c r="D450" s="1"/>
  <c r="A450"/>
  <c r="C450" s="1"/>
  <c r="B449"/>
  <c r="D449" s="1"/>
  <c r="A449"/>
  <c r="C449" s="1"/>
  <c r="B448"/>
  <c r="D448" s="1"/>
  <c r="A448"/>
  <c r="C448" s="1"/>
  <c r="B447"/>
  <c r="D447" s="1"/>
  <c r="A447"/>
  <c r="C447" s="1"/>
  <c r="B446"/>
  <c r="D446" s="1"/>
  <c r="A446"/>
  <c r="C446" s="1"/>
  <c r="B445"/>
  <c r="D445" s="1"/>
  <c r="A445"/>
  <c r="C445" s="1"/>
  <c r="B444"/>
  <c r="D444" s="1"/>
  <c r="A444"/>
  <c r="C444" s="1"/>
  <c r="B443"/>
  <c r="D443" s="1"/>
  <c r="A443"/>
  <c r="C443" s="1"/>
  <c r="B442"/>
  <c r="D442" s="1"/>
  <c r="A442"/>
  <c r="C442" s="1"/>
  <c r="B441"/>
  <c r="D441" s="1"/>
  <c r="A441"/>
  <c r="C441" s="1"/>
  <c r="B440"/>
  <c r="D440" s="1"/>
  <c r="A440"/>
  <c r="C440" s="1"/>
  <c r="B439"/>
  <c r="D439" s="1"/>
  <c r="A439"/>
  <c r="C439" s="1"/>
  <c r="B438"/>
  <c r="D438" s="1"/>
  <c r="A438"/>
  <c r="C438" s="1"/>
  <c r="B437"/>
  <c r="D437" s="1"/>
  <c r="A437"/>
  <c r="C437" s="1"/>
  <c r="B436"/>
  <c r="D436" s="1"/>
  <c r="A436"/>
  <c r="C436" s="1"/>
  <c r="B435"/>
  <c r="D435" s="1"/>
  <c r="A435"/>
  <c r="C435" s="1"/>
  <c r="B434"/>
  <c r="D434" s="1"/>
  <c r="A434"/>
  <c r="C434" s="1"/>
  <c r="B433"/>
  <c r="D433" s="1"/>
  <c r="A433"/>
  <c r="C433" s="1"/>
  <c r="B432"/>
  <c r="D432" s="1"/>
  <c r="A432"/>
  <c r="C432" s="1"/>
  <c r="B431"/>
  <c r="D431" s="1"/>
  <c r="A431"/>
  <c r="C431" s="1"/>
  <c r="B430"/>
  <c r="D430" s="1"/>
  <c r="A430"/>
  <c r="C430" s="1"/>
  <c r="B429"/>
  <c r="D429" s="1"/>
  <c r="A429"/>
  <c r="C429" s="1"/>
  <c r="B428"/>
  <c r="D428" s="1"/>
  <c r="A428"/>
  <c r="C428" s="1"/>
  <c r="B427"/>
  <c r="D427" s="1"/>
  <c r="A427"/>
  <c r="C427" s="1"/>
  <c r="B426"/>
  <c r="D426" s="1"/>
  <c r="A426"/>
  <c r="C426" s="1"/>
  <c r="B425"/>
  <c r="D425" s="1"/>
  <c r="A425"/>
  <c r="C425" s="1"/>
  <c r="B424"/>
  <c r="D424" s="1"/>
  <c r="A424"/>
  <c r="C424" s="1"/>
  <c r="B423"/>
  <c r="D423" s="1"/>
  <c r="A423"/>
  <c r="C423" s="1"/>
  <c r="B422"/>
  <c r="D422" s="1"/>
  <c r="A422"/>
  <c r="C422" s="1"/>
  <c r="B421"/>
  <c r="D421" s="1"/>
  <c r="A421"/>
  <c r="C421" s="1"/>
  <c r="B420"/>
  <c r="D420" s="1"/>
  <c r="A420"/>
  <c r="C420" s="1"/>
  <c r="B419"/>
  <c r="D419" s="1"/>
  <c r="A419"/>
  <c r="C419" s="1"/>
  <c r="B418"/>
  <c r="D418" s="1"/>
  <c r="A418"/>
  <c r="C418" s="1"/>
  <c r="B417"/>
  <c r="D417" s="1"/>
  <c r="A417"/>
  <c r="C417" s="1"/>
  <c r="B416"/>
  <c r="D416" s="1"/>
  <c r="A416"/>
  <c r="C416" s="1"/>
  <c r="B415"/>
  <c r="D415" s="1"/>
  <c r="A415"/>
  <c r="C415" s="1"/>
  <c r="B414"/>
  <c r="D414" s="1"/>
  <c r="A414"/>
  <c r="C414" s="1"/>
  <c r="B413"/>
  <c r="D413" s="1"/>
  <c r="A413"/>
  <c r="C413" s="1"/>
  <c r="B412"/>
  <c r="D412" s="1"/>
  <c r="A412"/>
  <c r="C412" s="1"/>
  <c r="B411"/>
  <c r="D411" s="1"/>
  <c r="A411"/>
  <c r="C411" s="1"/>
  <c r="B410"/>
  <c r="D410" s="1"/>
  <c r="A410"/>
  <c r="C410" s="1"/>
  <c r="B409"/>
  <c r="D409" s="1"/>
  <c r="A409"/>
  <c r="C409" s="1"/>
  <c r="B408"/>
  <c r="D408" s="1"/>
  <c r="A408"/>
  <c r="C408" s="1"/>
  <c r="B407"/>
  <c r="D407" s="1"/>
  <c r="A407"/>
  <c r="C407" s="1"/>
  <c r="B406"/>
  <c r="D406" s="1"/>
  <c r="A406"/>
  <c r="C406" s="1"/>
  <c r="B405"/>
  <c r="D405" s="1"/>
  <c r="A405"/>
  <c r="C405" s="1"/>
  <c r="B404"/>
  <c r="D404" s="1"/>
  <c r="A404"/>
  <c r="C404" s="1"/>
  <c r="B403"/>
  <c r="D403" s="1"/>
  <c r="A403"/>
  <c r="C403" s="1"/>
  <c r="B402"/>
  <c r="D402" s="1"/>
  <c r="A402"/>
  <c r="C402" s="1"/>
  <c r="B401"/>
  <c r="D401" s="1"/>
  <c r="A401"/>
  <c r="C401" s="1"/>
  <c r="B400"/>
  <c r="D400" s="1"/>
  <c r="A400"/>
  <c r="C400" s="1"/>
  <c r="B399"/>
  <c r="D399" s="1"/>
  <c r="A399"/>
  <c r="C399" s="1"/>
  <c r="B398"/>
  <c r="D398" s="1"/>
  <c r="A398"/>
  <c r="C398" s="1"/>
  <c r="B397"/>
  <c r="D397" s="1"/>
  <c r="A397"/>
  <c r="C397" s="1"/>
  <c r="B396"/>
  <c r="D396" s="1"/>
  <c r="A396"/>
  <c r="C396" s="1"/>
  <c r="B395"/>
  <c r="D395" s="1"/>
  <c r="A395"/>
  <c r="C395" s="1"/>
  <c r="B394"/>
  <c r="D394" s="1"/>
  <c r="A394"/>
  <c r="C394" s="1"/>
  <c r="B393"/>
  <c r="D393" s="1"/>
  <c r="A393"/>
  <c r="C393" s="1"/>
  <c r="B392"/>
  <c r="D392" s="1"/>
  <c r="A392"/>
  <c r="C392" s="1"/>
  <c r="B391"/>
  <c r="D391" s="1"/>
  <c r="A391"/>
  <c r="C391" s="1"/>
  <c r="B390"/>
  <c r="D390" s="1"/>
  <c r="A390"/>
  <c r="C390" s="1"/>
  <c r="B389"/>
  <c r="D389" s="1"/>
  <c r="A389"/>
  <c r="C389" s="1"/>
  <c r="B388"/>
  <c r="D388" s="1"/>
  <c r="A388"/>
  <c r="C388" s="1"/>
  <c r="B387"/>
  <c r="D387" s="1"/>
  <c r="A387"/>
  <c r="C387" s="1"/>
  <c r="B386"/>
  <c r="D386" s="1"/>
  <c r="A386"/>
  <c r="C386" s="1"/>
  <c r="B385"/>
  <c r="D385" s="1"/>
  <c r="A385"/>
  <c r="C385" s="1"/>
  <c r="B384"/>
  <c r="D384" s="1"/>
  <c r="A384"/>
  <c r="C384" s="1"/>
  <c r="B383"/>
  <c r="D383" s="1"/>
  <c r="A383"/>
  <c r="C383" s="1"/>
  <c r="B382"/>
  <c r="D382" s="1"/>
  <c r="A382"/>
  <c r="C382" s="1"/>
  <c r="B381"/>
  <c r="D381" s="1"/>
  <c r="A381"/>
  <c r="C381" s="1"/>
  <c r="B380"/>
  <c r="D380" s="1"/>
  <c r="A380"/>
  <c r="C380" s="1"/>
  <c r="B379"/>
  <c r="D379" s="1"/>
  <c r="A379"/>
  <c r="C379" s="1"/>
  <c r="B378"/>
  <c r="D378" s="1"/>
  <c r="A378"/>
  <c r="C378" s="1"/>
  <c r="B377"/>
  <c r="D377" s="1"/>
  <c r="A377"/>
  <c r="C377" s="1"/>
  <c r="B376"/>
  <c r="D376" s="1"/>
  <c r="A376"/>
  <c r="C376" s="1"/>
  <c r="B375"/>
  <c r="D375" s="1"/>
  <c r="A375"/>
  <c r="C375" s="1"/>
  <c r="B374"/>
  <c r="D374" s="1"/>
  <c r="A374"/>
  <c r="C374" s="1"/>
  <c r="B373"/>
  <c r="D373" s="1"/>
  <c r="A373"/>
  <c r="C373" s="1"/>
  <c r="B372"/>
  <c r="D372" s="1"/>
  <c r="A372"/>
  <c r="C372" s="1"/>
  <c r="B371"/>
  <c r="D371" s="1"/>
  <c r="A371"/>
  <c r="C371" s="1"/>
  <c r="B370"/>
  <c r="D370" s="1"/>
  <c r="A370"/>
  <c r="C370" s="1"/>
  <c r="B369"/>
  <c r="D369" s="1"/>
  <c r="A369"/>
  <c r="C369" s="1"/>
  <c r="B368"/>
  <c r="D368" s="1"/>
  <c r="A368"/>
  <c r="C368" s="1"/>
  <c r="B367"/>
  <c r="D367" s="1"/>
  <c r="A367"/>
  <c r="C367" s="1"/>
  <c r="B366"/>
  <c r="D366" s="1"/>
  <c r="A366"/>
  <c r="C366" s="1"/>
  <c r="B365"/>
  <c r="D365" s="1"/>
  <c r="A365"/>
  <c r="C365" s="1"/>
  <c r="B364"/>
  <c r="D364" s="1"/>
  <c r="A364"/>
  <c r="C364" s="1"/>
  <c r="B363"/>
  <c r="D363" s="1"/>
  <c r="A363"/>
  <c r="C363" s="1"/>
  <c r="B362"/>
  <c r="D362" s="1"/>
  <c r="A362"/>
  <c r="C362" s="1"/>
  <c r="B361"/>
  <c r="D361" s="1"/>
  <c r="A361"/>
  <c r="C361" s="1"/>
  <c r="B360"/>
  <c r="D360" s="1"/>
  <c r="A360"/>
  <c r="C360" s="1"/>
  <c r="B359"/>
  <c r="D359" s="1"/>
  <c r="A359"/>
  <c r="C359" s="1"/>
  <c r="B358"/>
  <c r="D358" s="1"/>
  <c r="A358"/>
  <c r="C358" s="1"/>
  <c r="B357"/>
  <c r="D357" s="1"/>
  <c r="A357"/>
  <c r="C357" s="1"/>
  <c r="B356"/>
  <c r="D356" s="1"/>
  <c r="A356"/>
  <c r="C356" s="1"/>
  <c r="B355"/>
  <c r="D355" s="1"/>
  <c r="A355"/>
  <c r="C355" s="1"/>
  <c r="B354"/>
  <c r="D354" s="1"/>
  <c r="A354"/>
  <c r="C354" s="1"/>
  <c r="B353"/>
  <c r="D353" s="1"/>
  <c r="A353"/>
  <c r="C353" s="1"/>
  <c r="B352"/>
  <c r="D352" s="1"/>
  <c r="A352"/>
  <c r="C352" s="1"/>
  <c r="B351"/>
  <c r="D351" s="1"/>
  <c r="A351"/>
  <c r="C351" s="1"/>
  <c r="B350"/>
  <c r="D350" s="1"/>
  <c r="A350"/>
  <c r="C350" s="1"/>
  <c r="B349"/>
  <c r="D349" s="1"/>
  <c r="A349"/>
  <c r="C349" s="1"/>
  <c r="B348"/>
  <c r="D348" s="1"/>
  <c r="A348"/>
  <c r="C348" s="1"/>
  <c r="B347"/>
  <c r="D347" s="1"/>
  <c r="A347"/>
  <c r="C347" s="1"/>
  <c r="B346"/>
  <c r="D346" s="1"/>
  <c r="A346"/>
  <c r="C346" s="1"/>
  <c r="B345"/>
  <c r="D345" s="1"/>
  <c r="A345"/>
  <c r="C345" s="1"/>
  <c r="B344"/>
  <c r="D344" s="1"/>
  <c r="A344"/>
  <c r="C344" s="1"/>
  <c r="B343"/>
  <c r="D343" s="1"/>
  <c r="A343"/>
  <c r="C343" s="1"/>
  <c r="B342"/>
  <c r="D342" s="1"/>
  <c r="A342"/>
  <c r="C342" s="1"/>
  <c r="B341"/>
  <c r="D341" s="1"/>
  <c r="A341"/>
  <c r="C341" s="1"/>
  <c r="B340"/>
  <c r="D340" s="1"/>
  <c r="A340"/>
  <c r="C340" s="1"/>
  <c r="B339"/>
  <c r="D339" s="1"/>
  <c r="A339"/>
  <c r="C339" s="1"/>
  <c r="B338"/>
  <c r="D338" s="1"/>
  <c r="A338"/>
  <c r="C338" s="1"/>
  <c r="B337"/>
  <c r="D337" s="1"/>
  <c r="A337"/>
  <c r="C337" s="1"/>
  <c r="B336"/>
  <c r="D336" s="1"/>
  <c r="A336"/>
  <c r="C336" s="1"/>
  <c r="B335"/>
  <c r="D335" s="1"/>
  <c r="A335"/>
  <c r="C335" s="1"/>
  <c r="B334"/>
  <c r="D334" s="1"/>
  <c r="A334"/>
  <c r="C334" s="1"/>
  <c r="B333"/>
  <c r="D333" s="1"/>
  <c r="A333"/>
  <c r="C333" s="1"/>
  <c r="B332"/>
  <c r="D332" s="1"/>
  <c r="A332"/>
  <c r="C332" s="1"/>
  <c r="B331"/>
  <c r="D331" s="1"/>
  <c r="A331"/>
  <c r="C331" s="1"/>
  <c r="B330"/>
  <c r="D330" s="1"/>
  <c r="A330"/>
  <c r="C330" s="1"/>
  <c r="B329"/>
  <c r="D329" s="1"/>
  <c r="A329"/>
  <c r="C329" s="1"/>
  <c r="B328"/>
  <c r="D328" s="1"/>
  <c r="A328"/>
  <c r="C328" s="1"/>
  <c r="B327"/>
  <c r="D327" s="1"/>
  <c r="A327"/>
  <c r="C327" s="1"/>
  <c r="B326"/>
  <c r="D326" s="1"/>
  <c r="A326"/>
  <c r="C326" s="1"/>
  <c r="B325"/>
  <c r="D325" s="1"/>
  <c r="A325"/>
  <c r="C325" s="1"/>
  <c r="B324"/>
  <c r="D324" s="1"/>
  <c r="A324"/>
  <c r="C324" s="1"/>
  <c r="B323"/>
  <c r="D323" s="1"/>
  <c r="A323"/>
  <c r="C323" s="1"/>
  <c r="B322"/>
  <c r="D322" s="1"/>
  <c r="A322"/>
  <c r="C322" s="1"/>
  <c r="B321"/>
  <c r="D321" s="1"/>
  <c r="A321"/>
  <c r="C321" s="1"/>
  <c r="B320"/>
  <c r="D320" s="1"/>
  <c r="A320"/>
  <c r="C320" s="1"/>
  <c r="B319"/>
  <c r="D319" s="1"/>
  <c r="A319"/>
  <c r="C319" s="1"/>
  <c r="B318"/>
  <c r="D318" s="1"/>
  <c r="A318"/>
  <c r="C318" s="1"/>
  <c r="B317"/>
  <c r="D317" s="1"/>
  <c r="A317"/>
  <c r="C317" s="1"/>
  <c r="B316"/>
  <c r="D316" s="1"/>
  <c r="A316"/>
  <c r="C316" s="1"/>
  <c r="B315"/>
  <c r="D315" s="1"/>
  <c r="A315"/>
  <c r="C315" s="1"/>
  <c r="B314"/>
  <c r="D314" s="1"/>
  <c r="A314"/>
  <c r="C314" s="1"/>
  <c r="B313"/>
  <c r="D313" s="1"/>
  <c r="A313"/>
  <c r="C313" s="1"/>
  <c r="B312"/>
  <c r="D312" s="1"/>
  <c r="A312"/>
  <c r="C312" s="1"/>
  <c r="B311"/>
  <c r="D311" s="1"/>
  <c r="A311"/>
  <c r="C311" s="1"/>
  <c r="B310"/>
  <c r="D310" s="1"/>
  <c r="A310"/>
  <c r="C310" s="1"/>
  <c r="B309"/>
  <c r="D309" s="1"/>
  <c r="A309"/>
  <c r="C309" s="1"/>
  <c r="B308"/>
  <c r="D308" s="1"/>
  <c r="A308"/>
  <c r="C308" s="1"/>
  <c r="B307"/>
  <c r="D307" s="1"/>
  <c r="A307"/>
  <c r="C307" s="1"/>
  <c r="B306"/>
  <c r="D306" s="1"/>
  <c r="A306"/>
  <c r="C306" s="1"/>
  <c r="B305"/>
  <c r="D305" s="1"/>
  <c r="A305"/>
  <c r="C305" s="1"/>
  <c r="B304"/>
  <c r="D304" s="1"/>
  <c r="A304"/>
  <c r="C304" s="1"/>
  <c r="B303"/>
  <c r="D303" s="1"/>
  <c r="A303"/>
  <c r="C303" s="1"/>
  <c r="B302"/>
  <c r="D302" s="1"/>
  <c r="A302"/>
  <c r="C302" s="1"/>
  <c r="B301"/>
  <c r="D301" s="1"/>
  <c r="A301"/>
  <c r="C301" s="1"/>
  <c r="B300"/>
  <c r="D300" s="1"/>
  <c r="A300"/>
  <c r="C300" s="1"/>
  <c r="B299"/>
  <c r="D299" s="1"/>
  <c r="A299"/>
  <c r="C299" s="1"/>
  <c r="B298"/>
  <c r="D298" s="1"/>
  <c r="A298"/>
  <c r="C298" s="1"/>
  <c r="B297"/>
  <c r="D297" s="1"/>
  <c r="A297"/>
  <c r="C297" s="1"/>
  <c r="B296"/>
  <c r="D296" s="1"/>
  <c r="A296"/>
  <c r="C296" s="1"/>
  <c r="B295"/>
  <c r="D295" s="1"/>
  <c r="A295"/>
  <c r="C295" s="1"/>
  <c r="B294"/>
  <c r="D294" s="1"/>
  <c r="A294"/>
  <c r="C294" s="1"/>
  <c r="B293"/>
  <c r="D293" s="1"/>
  <c r="A293"/>
  <c r="C293" s="1"/>
  <c r="B292"/>
  <c r="D292" s="1"/>
  <c r="A292"/>
  <c r="C292" s="1"/>
  <c r="B291"/>
  <c r="D291" s="1"/>
  <c r="A291"/>
  <c r="C291" s="1"/>
  <c r="B290"/>
  <c r="D290" s="1"/>
  <c r="A290"/>
  <c r="C290" s="1"/>
  <c r="B289"/>
  <c r="D289" s="1"/>
  <c r="A289"/>
  <c r="C289" s="1"/>
  <c r="B288"/>
  <c r="D288" s="1"/>
  <c r="A288"/>
  <c r="C288" s="1"/>
  <c r="B287"/>
  <c r="D287" s="1"/>
  <c r="A287"/>
  <c r="C287" s="1"/>
  <c r="B286"/>
  <c r="D286" s="1"/>
  <c r="A286"/>
  <c r="C286" s="1"/>
  <c r="B285"/>
  <c r="D285" s="1"/>
  <c r="A285"/>
  <c r="C285" s="1"/>
  <c r="B284"/>
  <c r="D284" s="1"/>
  <c r="A284"/>
  <c r="C284" s="1"/>
  <c r="B283"/>
  <c r="D283" s="1"/>
  <c r="A283"/>
  <c r="C283" s="1"/>
  <c r="B282"/>
  <c r="D282" s="1"/>
  <c r="A282"/>
  <c r="C282" s="1"/>
  <c r="B281"/>
  <c r="D281" s="1"/>
  <c r="A281"/>
  <c r="C281" s="1"/>
  <c r="B280"/>
  <c r="D280" s="1"/>
  <c r="A280"/>
  <c r="C280" s="1"/>
  <c r="B279"/>
  <c r="D279" s="1"/>
  <c r="A279"/>
  <c r="C279" s="1"/>
  <c r="B278"/>
  <c r="D278" s="1"/>
  <c r="A278"/>
  <c r="C278" s="1"/>
  <c r="B277"/>
  <c r="D277" s="1"/>
  <c r="A277"/>
  <c r="C277" s="1"/>
  <c r="B276"/>
  <c r="D276" s="1"/>
  <c r="A276"/>
  <c r="C276" s="1"/>
  <c r="B275"/>
  <c r="D275" s="1"/>
  <c r="A275"/>
  <c r="C275" s="1"/>
  <c r="B274"/>
  <c r="D274" s="1"/>
  <c r="A274"/>
  <c r="C274" s="1"/>
  <c r="B273"/>
  <c r="D273" s="1"/>
  <c r="A273"/>
  <c r="C273" s="1"/>
  <c r="B272"/>
  <c r="D272" s="1"/>
  <c r="A272"/>
  <c r="C272" s="1"/>
  <c r="B271"/>
  <c r="D271" s="1"/>
  <c r="A271"/>
  <c r="C271" s="1"/>
  <c r="B270"/>
  <c r="D270" s="1"/>
  <c r="A270"/>
  <c r="C270" s="1"/>
  <c r="B269"/>
  <c r="D269" s="1"/>
  <c r="A269"/>
  <c r="C269" s="1"/>
  <c r="B268"/>
  <c r="D268" s="1"/>
  <c r="A268"/>
  <c r="C268" s="1"/>
  <c r="B267"/>
  <c r="D267" s="1"/>
  <c r="A267"/>
  <c r="C267" s="1"/>
  <c r="B266"/>
  <c r="D266" s="1"/>
  <c r="A266"/>
  <c r="C266" s="1"/>
  <c r="B265"/>
  <c r="D265" s="1"/>
  <c r="A265"/>
  <c r="C265" s="1"/>
  <c r="B264"/>
  <c r="D264" s="1"/>
  <c r="A264"/>
  <c r="C264" s="1"/>
  <c r="B263"/>
  <c r="D263" s="1"/>
  <c r="A263"/>
  <c r="C263" s="1"/>
  <c r="B262"/>
  <c r="D262" s="1"/>
  <c r="A262"/>
  <c r="C262" s="1"/>
  <c r="B261"/>
  <c r="D261" s="1"/>
  <c r="A261"/>
  <c r="C261" s="1"/>
  <c r="B260"/>
  <c r="D260" s="1"/>
  <c r="A260"/>
  <c r="C260" s="1"/>
  <c r="B259"/>
  <c r="D259" s="1"/>
  <c r="A259"/>
  <c r="C259" s="1"/>
  <c r="B258"/>
  <c r="D258" s="1"/>
  <c r="A258"/>
  <c r="C258" s="1"/>
  <c r="B257"/>
  <c r="D257" s="1"/>
  <c r="A257"/>
  <c r="C257" s="1"/>
  <c r="B256"/>
  <c r="D256" s="1"/>
  <c r="A256"/>
  <c r="C256" s="1"/>
  <c r="B255"/>
  <c r="D255" s="1"/>
  <c r="A255"/>
  <c r="C255" s="1"/>
  <c r="B254"/>
  <c r="D254" s="1"/>
  <c r="A254"/>
  <c r="C254" s="1"/>
  <c r="B253"/>
  <c r="D253" s="1"/>
  <c r="A253"/>
  <c r="C253" s="1"/>
  <c r="B252"/>
  <c r="D252" s="1"/>
  <c r="A252"/>
  <c r="C252" s="1"/>
  <c r="B251"/>
  <c r="D251" s="1"/>
  <c r="A251"/>
  <c r="C251" s="1"/>
  <c r="B250"/>
  <c r="D250" s="1"/>
  <c r="A250"/>
  <c r="C250" s="1"/>
  <c r="B249"/>
  <c r="D249" s="1"/>
  <c r="A249"/>
  <c r="C249" s="1"/>
  <c r="B248"/>
  <c r="D248" s="1"/>
  <c r="A248"/>
  <c r="C248" s="1"/>
  <c r="B247"/>
  <c r="D247" s="1"/>
  <c r="A247"/>
  <c r="C247" s="1"/>
  <c r="B246"/>
  <c r="D246" s="1"/>
  <c r="A246"/>
  <c r="C246" s="1"/>
  <c r="B245"/>
  <c r="D245" s="1"/>
  <c r="A245"/>
  <c r="C245" s="1"/>
  <c r="B244"/>
  <c r="D244" s="1"/>
  <c r="A244"/>
  <c r="C244" s="1"/>
  <c r="B243"/>
  <c r="D243" s="1"/>
  <c r="A243"/>
  <c r="C243" s="1"/>
  <c r="B242"/>
  <c r="D242" s="1"/>
  <c r="A242"/>
  <c r="C242" s="1"/>
  <c r="B241"/>
  <c r="D241" s="1"/>
  <c r="A241"/>
  <c r="C241" s="1"/>
  <c r="B240"/>
  <c r="D240" s="1"/>
  <c r="A240"/>
  <c r="C240" s="1"/>
  <c r="B239"/>
  <c r="D239" s="1"/>
  <c r="A239"/>
  <c r="C239" s="1"/>
  <c r="B238"/>
  <c r="D238" s="1"/>
  <c r="A238"/>
  <c r="C238" s="1"/>
  <c r="B237"/>
  <c r="D237" s="1"/>
  <c r="A237"/>
  <c r="C237" s="1"/>
  <c r="B236"/>
  <c r="D236" s="1"/>
  <c r="A236"/>
  <c r="C236" s="1"/>
  <c r="B235"/>
  <c r="D235" s="1"/>
  <c r="A235"/>
  <c r="C235" s="1"/>
  <c r="B234"/>
  <c r="D234" s="1"/>
  <c r="A234"/>
  <c r="C234" s="1"/>
  <c r="B233"/>
  <c r="D233" s="1"/>
  <c r="A233"/>
  <c r="C233" s="1"/>
  <c r="B232"/>
  <c r="D232" s="1"/>
  <c r="A232"/>
  <c r="C232" s="1"/>
  <c r="B231"/>
  <c r="D231" s="1"/>
  <c r="A231"/>
  <c r="C231" s="1"/>
  <c r="B230"/>
  <c r="D230" s="1"/>
  <c r="A230"/>
  <c r="C230" s="1"/>
  <c r="B229"/>
  <c r="D229" s="1"/>
  <c r="A229"/>
  <c r="C229" s="1"/>
  <c r="B228"/>
  <c r="D228" s="1"/>
  <c r="A228"/>
  <c r="C228" s="1"/>
  <c r="B227"/>
  <c r="D227" s="1"/>
  <c r="A227"/>
  <c r="C227" s="1"/>
  <c r="B226"/>
  <c r="D226" s="1"/>
  <c r="A226"/>
  <c r="C226" s="1"/>
  <c r="B225"/>
  <c r="D225" s="1"/>
  <c r="A225"/>
  <c r="C225" s="1"/>
  <c r="B224"/>
  <c r="D224" s="1"/>
  <c r="A224"/>
  <c r="C224" s="1"/>
  <c r="B223"/>
  <c r="D223" s="1"/>
  <c r="A223"/>
  <c r="C223" s="1"/>
  <c r="B222"/>
  <c r="D222" s="1"/>
  <c r="A222"/>
  <c r="C222" s="1"/>
  <c r="B221"/>
  <c r="D221" s="1"/>
  <c r="A221"/>
  <c r="C221" s="1"/>
  <c r="B220"/>
  <c r="D220" s="1"/>
  <c r="A220"/>
  <c r="C220" s="1"/>
  <c r="B219"/>
  <c r="D219" s="1"/>
  <c r="A219"/>
  <c r="C219" s="1"/>
  <c r="B218"/>
  <c r="D218" s="1"/>
  <c r="A218"/>
  <c r="C218" s="1"/>
  <c r="B217"/>
  <c r="D217" s="1"/>
  <c r="A217"/>
  <c r="C217" s="1"/>
  <c r="B216"/>
  <c r="D216" s="1"/>
  <c r="A216"/>
  <c r="C216" s="1"/>
  <c r="B215"/>
  <c r="D215" s="1"/>
  <c r="A215"/>
  <c r="C215" s="1"/>
  <c r="B214"/>
  <c r="D214" s="1"/>
  <c r="A214"/>
  <c r="C214" s="1"/>
  <c r="B213"/>
  <c r="D213" s="1"/>
  <c r="A213"/>
  <c r="C213" s="1"/>
  <c r="B212"/>
  <c r="D212" s="1"/>
  <c r="A212"/>
  <c r="C212" s="1"/>
  <c r="B211"/>
  <c r="D211" s="1"/>
  <c r="A211"/>
  <c r="C211" s="1"/>
  <c r="B210"/>
  <c r="D210" s="1"/>
  <c r="A210"/>
  <c r="C210" s="1"/>
  <c r="B209"/>
  <c r="D209" s="1"/>
  <c r="A209"/>
  <c r="C209" s="1"/>
  <c r="B208"/>
  <c r="D208" s="1"/>
  <c r="A208"/>
  <c r="C208" s="1"/>
  <c r="B207"/>
  <c r="D207" s="1"/>
  <c r="A207"/>
  <c r="C207" s="1"/>
  <c r="B206"/>
  <c r="D206" s="1"/>
  <c r="A206"/>
  <c r="C206" s="1"/>
  <c r="B205"/>
  <c r="D205" s="1"/>
  <c r="A205"/>
  <c r="C205" s="1"/>
  <c r="B204"/>
  <c r="D204" s="1"/>
  <c r="A204"/>
  <c r="C204" s="1"/>
  <c r="B203"/>
  <c r="D203" s="1"/>
  <c r="A203"/>
  <c r="C203" s="1"/>
  <c r="B202"/>
  <c r="D202" s="1"/>
  <c r="A202"/>
  <c r="C202" s="1"/>
  <c r="B201"/>
  <c r="D201" s="1"/>
  <c r="A201"/>
  <c r="C201" s="1"/>
  <c r="B200"/>
  <c r="D200" s="1"/>
  <c r="A200"/>
  <c r="C200" s="1"/>
  <c r="B199"/>
  <c r="D199" s="1"/>
  <c r="A199"/>
  <c r="C199" s="1"/>
  <c r="B198"/>
  <c r="D198" s="1"/>
  <c r="A198"/>
  <c r="C198" s="1"/>
  <c r="B197"/>
  <c r="D197" s="1"/>
  <c r="A197"/>
  <c r="C197" s="1"/>
  <c r="B196"/>
  <c r="D196" s="1"/>
  <c r="A196"/>
  <c r="C196" s="1"/>
  <c r="B195"/>
  <c r="D195" s="1"/>
  <c r="A195"/>
  <c r="C195" s="1"/>
  <c r="B194"/>
  <c r="D194" s="1"/>
  <c r="A194"/>
  <c r="C194" s="1"/>
  <c r="B193"/>
  <c r="D193" s="1"/>
  <c r="A193"/>
  <c r="C193" s="1"/>
  <c r="B192"/>
  <c r="D192" s="1"/>
  <c r="A192"/>
  <c r="C192" s="1"/>
  <c r="B191"/>
  <c r="D191" s="1"/>
  <c r="A191"/>
  <c r="C191" s="1"/>
  <c r="B190"/>
  <c r="D190" s="1"/>
  <c r="A190"/>
  <c r="C190" s="1"/>
  <c r="B189"/>
  <c r="D189" s="1"/>
  <c r="A189"/>
  <c r="C189" s="1"/>
  <c r="B188"/>
  <c r="D188" s="1"/>
  <c r="A188"/>
  <c r="C188" s="1"/>
  <c r="B187"/>
  <c r="D187" s="1"/>
  <c r="A187"/>
  <c r="C187" s="1"/>
  <c r="B186"/>
  <c r="D186" s="1"/>
  <c r="A186"/>
  <c r="C186" s="1"/>
  <c r="B185"/>
  <c r="D185" s="1"/>
  <c r="A185"/>
  <c r="C185" s="1"/>
  <c r="B184"/>
  <c r="D184" s="1"/>
  <c r="A184"/>
  <c r="C184" s="1"/>
  <c r="B183"/>
  <c r="D183" s="1"/>
  <c r="A183"/>
  <c r="C183" s="1"/>
  <c r="B182"/>
  <c r="D182" s="1"/>
  <c r="A182"/>
  <c r="C182" s="1"/>
  <c r="B181"/>
  <c r="D181" s="1"/>
  <c r="A181"/>
  <c r="C181" s="1"/>
  <c r="B180"/>
  <c r="D180" s="1"/>
  <c r="A180"/>
  <c r="C180" s="1"/>
  <c r="B179"/>
  <c r="D179" s="1"/>
  <c r="A179"/>
  <c r="C179" s="1"/>
  <c r="B178"/>
  <c r="D178" s="1"/>
  <c r="A178"/>
  <c r="C178" s="1"/>
  <c r="B177"/>
  <c r="D177" s="1"/>
  <c r="A177"/>
  <c r="C177" s="1"/>
  <c r="B176"/>
  <c r="D176" s="1"/>
  <c r="A176"/>
  <c r="C176" s="1"/>
  <c r="B175"/>
  <c r="D175" s="1"/>
  <c r="A175"/>
  <c r="C175" s="1"/>
  <c r="B174"/>
  <c r="D174" s="1"/>
  <c r="A174"/>
  <c r="C174" s="1"/>
  <c r="B173"/>
  <c r="D173" s="1"/>
  <c r="A173"/>
  <c r="C173" s="1"/>
  <c r="B172"/>
  <c r="D172" s="1"/>
  <c r="A172"/>
  <c r="C172" s="1"/>
  <c r="B171"/>
  <c r="D171" s="1"/>
  <c r="A171"/>
  <c r="C171" s="1"/>
  <c r="B170"/>
  <c r="D170" s="1"/>
  <c r="A170"/>
  <c r="C170" s="1"/>
  <c r="B169"/>
  <c r="D169" s="1"/>
  <c r="A169"/>
  <c r="C169" s="1"/>
  <c r="B168"/>
  <c r="D168" s="1"/>
  <c r="A168"/>
  <c r="C168" s="1"/>
  <c r="B167"/>
  <c r="D167" s="1"/>
  <c r="A167"/>
  <c r="C167" s="1"/>
  <c r="B166"/>
  <c r="D166" s="1"/>
  <c r="A166"/>
  <c r="C166" s="1"/>
  <c r="B165"/>
  <c r="D165" s="1"/>
  <c r="A165"/>
  <c r="C165" s="1"/>
  <c r="B164"/>
  <c r="D164" s="1"/>
  <c r="A164"/>
  <c r="C164" s="1"/>
  <c r="B163"/>
  <c r="D163" s="1"/>
  <c r="A163"/>
  <c r="C163" s="1"/>
  <c r="B162"/>
  <c r="D162" s="1"/>
  <c r="A162"/>
  <c r="C162" s="1"/>
  <c r="B161"/>
  <c r="D161" s="1"/>
  <c r="A161"/>
  <c r="C161" s="1"/>
  <c r="B160"/>
  <c r="D160" s="1"/>
  <c r="A160"/>
  <c r="C160" s="1"/>
  <c r="B159"/>
  <c r="D159" s="1"/>
  <c r="A159"/>
  <c r="C159" s="1"/>
  <c r="B158"/>
  <c r="D158" s="1"/>
  <c r="A158"/>
  <c r="C158" s="1"/>
  <c r="B157"/>
  <c r="D157" s="1"/>
  <c r="A157"/>
  <c r="C157" s="1"/>
  <c r="B156"/>
  <c r="D156" s="1"/>
  <c r="A156"/>
  <c r="C156" s="1"/>
  <c r="B155"/>
  <c r="D155" s="1"/>
  <c r="A155"/>
  <c r="C155" s="1"/>
  <c r="B154"/>
  <c r="D154" s="1"/>
  <c r="A154"/>
  <c r="C154" s="1"/>
  <c r="B153"/>
  <c r="D153" s="1"/>
  <c r="A153"/>
  <c r="C153" s="1"/>
  <c r="B152"/>
  <c r="D152" s="1"/>
  <c r="A152"/>
  <c r="C152" s="1"/>
  <c r="B151"/>
  <c r="D151" s="1"/>
  <c r="A151"/>
  <c r="C151" s="1"/>
  <c r="B150"/>
  <c r="D150" s="1"/>
  <c r="A150"/>
  <c r="C150" s="1"/>
  <c r="B149"/>
  <c r="D149" s="1"/>
  <c r="A149"/>
  <c r="C149" s="1"/>
  <c r="B148"/>
  <c r="D148" s="1"/>
  <c r="A148"/>
  <c r="C148" s="1"/>
  <c r="B147"/>
  <c r="D147" s="1"/>
  <c r="A147"/>
  <c r="C147" s="1"/>
  <c r="B146"/>
  <c r="D146" s="1"/>
  <c r="A146"/>
  <c r="C146" s="1"/>
  <c r="B145"/>
  <c r="D145" s="1"/>
  <c r="A145"/>
  <c r="C145" s="1"/>
  <c r="B144"/>
  <c r="D144" s="1"/>
  <c r="A144"/>
  <c r="C144" s="1"/>
  <c r="B143"/>
  <c r="D143" s="1"/>
  <c r="A143"/>
  <c r="C143" s="1"/>
  <c r="B142"/>
  <c r="D142" s="1"/>
  <c r="A142"/>
  <c r="C142" s="1"/>
  <c r="B141"/>
  <c r="D141" s="1"/>
  <c r="A141"/>
  <c r="C141" s="1"/>
  <c r="B140"/>
  <c r="D140" s="1"/>
  <c r="A140"/>
  <c r="C140" s="1"/>
  <c r="B139"/>
  <c r="D139" s="1"/>
  <c r="A139"/>
  <c r="C139" s="1"/>
  <c r="B138"/>
  <c r="D138" s="1"/>
  <c r="A138"/>
  <c r="C138" s="1"/>
  <c r="B137"/>
  <c r="D137" s="1"/>
  <c r="A137"/>
  <c r="C137" s="1"/>
  <c r="B136"/>
  <c r="D136" s="1"/>
  <c r="A136"/>
  <c r="C136" s="1"/>
  <c r="B135"/>
  <c r="D135" s="1"/>
  <c r="A135"/>
  <c r="C135" s="1"/>
  <c r="B134"/>
  <c r="D134" s="1"/>
  <c r="A134"/>
  <c r="C134" s="1"/>
  <c r="B133"/>
  <c r="D133" s="1"/>
  <c r="A133"/>
  <c r="C133" s="1"/>
  <c r="B132"/>
  <c r="D132" s="1"/>
  <c r="A132"/>
  <c r="C132" s="1"/>
  <c r="B131"/>
  <c r="D131" s="1"/>
  <c r="A131"/>
  <c r="C131" s="1"/>
  <c r="B130"/>
  <c r="D130" s="1"/>
  <c r="A130"/>
  <c r="C130" s="1"/>
  <c r="B129"/>
  <c r="D129" s="1"/>
  <c r="A129"/>
  <c r="C129" s="1"/>
  <c r="B128"/>
  <c r="D128" s="1"/>
  <c r="A128"/>
  <c r="C128" s="1"/>
  <c r="B127"/>
  <c r="D127" s="1"/>
  <c r="A127"/>
  <c r="C127" s="1"/>
  <c r="B126"/>
  <c r="D126" s="1"/>
  <c r="A126"/>
  <c r="C126" s="1"/>
  <c r="B125"/>
  <c r="D125" s="1"/>
  <c r="A125"/>
  <c r="C125" s="1"/>
  <c r="B124"/>
  <c r="D124" s="1"/>
  <c r="A124"/>
  <c r="C124" s="1"/>
  <c r="B123"/>
  <c r="D123" s="1"/>
  <c r="A123"/>
  <c r="C123" s="1"/>
  <c r="B122"/>
  <c r="D122" s="1"/>
  <c r="A122"/>
  <c r="C122" s="1"/>
  <c r="B121"/>
  <c r="D121" s="1"/>
  <c r="A121"/>
  <c r="C121" s="1"/>
  <c r="B120"/>
  <c r="D120" s="1"/>
  <c r="A120"/>
  <c r="C120" s="1"/>
  <c r="B119"/>
  <c r="D119" s="1"/>
  <c r="A119"/>
  <c r="C119" s="1"/>
  <c r="B118"/>
  <c r="D118" s="1"/>
  <c r="A118"/>
  <c r="C118" s="1"/>
  <c r="B117"/>
  <c r="D117" s="1"/>
  <c r="A117"/>
  <c r="C117" s="1"/>
  <c r="B116"/>
  <c r="D116" s="1"/>
  <c r="A116"/>
  <c r="C116" s="1"/>
  <c r="B115"/>
  <c r="D115" s="1"/>
  <c r="A115"/>
  <c r="C115" s="1"/>
  <c r="B114"/>
  <c r="D114" s="1"/>
  <c r="A114"/>
  <c r="C114" s="1"/>
  <c r="B113"/>
  <c r="D113" s="1"/>
  <c r="A113"/>
  <c r="C113" s="1"/>
  <c r="B112"/>
  <c r="D112" s="1"/>
  <c r="A112"/>
  <c r="C112" s="1"/>
  <c r="B111"/>
  <c r="D111" s="1"/>
  <c r="A111"/>
  <c r="C111" s="1"/>
  <c r="B110"/>
  <c r="D110" s="1"/>
  <c r="A110"/>
  <c r="C110" s="1"/>
  <c r="B109"/>
  <c r="D109" s="1"/>
  <c r="A109"/>
  <c r="C109" s="1"/>
  <c r="B108"/>
  <c r="D108" s="1"/>
  <c r="A108"/>
  <c r="C108" s="1"/>
  <c r="B107"/>
  <c r="D107" s="1"/>
  <c r="A107"/>
  <c r="C107" s="1"/>
  <c r="B106"/>
  <c r="D106" s="1"/>
  <c r="A106"/>
  <c r="C106" s="1"/>
  <c r="B105"/>
  <c r="D105" s="1"/>
  <c r="A105"/>
  <c r="C105" s="1"/>
  <c r="B104"/>
  <c r="D104" s="1"/>
  <c r="A104"/>
  <c r="C104" s="1"/>
  <c r="B103"/>
  <c r="D103" s="1"/>
  <c r="A103"/>
  <c r="C103" s="1"/>
  <c r="B102"/>
  <c r="D102" s="1"/>
  <c r="A102"/>
  <c r="C102" s="1"/>
  <c r="B101"/>
  <c r="D101" s="1"/>
  <c r="A101"/>
  <c r="C101" s="1"/>
  <c r="B100"/>
  <c r="D100" s="1"/>
  <c r="A100"/>
  <c r="C100" s="1"/>
  <c r="B99"/>
  <c r="D99" s="1"/>
  <c r="A99"/>
  <c r="C99" s="1"/>
  <c r="B98"/>
  <c r="D98" s="1"/>
  <c r="A98"/>
  <c r="C98" s="1"/>
  <c r="B97"/>
  <c r="D97" s="1"/>
  <c r="A97"/>
  <c r="C97" s="1"/>
  <c r="B96"/>
  <c r="D96" s="1"/>
  <c r="A96"/>
  <c r="C96" s="1"/>
  <c r="B95"/>
  <c r="D95" s="1"/>
  <c r="A95"/>
  <c r="C95" s="1"/>
  <c r="B94"/>
  <c r="D94" s="1"/>
  <c r="A94"/>
  <c r="C94" s="1"/>
  <c r="B93"/>
  <c r="D93" s="1"/>
  <c r="A93"/>
  <c r="C93" s="1"/>
  <c r="B92"/>
  <c r="D92" s="1"/>
  <c r="A92"/>
  <c r="C92" s="1"/>
  <c r="B91"/>
  <c r="D91" s="1"/>
  <c r="A91"/>
  <c r="C91" s="1"/>
  <c r="B90"/>
  <c r="D90" s="1"/>
  <c r="A90"/>
  <c r="C90" s="1"/>
  <c r="B89"/>
  <c r="D89" s="1"/>
  <c r="A89"/>
  <c r="C89" s="1"/>
  <c r="B88"/>
  <c r="D88" s="1"/>
  <c r="A88"/>
  <c r="C88" s="1"/>
  <c r="B87"/>
  <c r="D87" s="1"/>
  <c r="A87"/>
  <c r="C87" s="1"/>
  <c r="B86"/>
  <c r="D86" s="1"/>
  <c r="A86"/>
  <c r="C86" s="1"/>
  <c r="B85"/>
  <c r="D85" s="1"/>
  <c r="A85"/>
  <c r="C85" s="1"/>
  <c r="B84"/>
  <c r="D84" s="1"/>
  <c r="A84"/>
  <c r="C84" s="1"/>
  <c r="B83"/>
  <c r="D83" s="1"/>
  <c r="A83"/>
  <c r="C83" s="1"/>
  <c r="B82"/>
  <c r="D82" s="1"/>
  <c r="A82"/>
  <c r="C82" s="1"/>
  <c r="B81"/>
  <c r="D81" s="1"/>
  <c r="A81"/>
  <c r="C81" s="1"/>
  <c r="B80"/>
  <c r="D80" s="1"/>
  <c r="A80"/>
  <c r="C80" s="1"/>
  <c r="B79"/>
  <c r="D79" s="1"/>
  <c r="A79"/>
  <c r="C79" s="1"/>
  <c r="B78"/>
  <c r="D78" s="1"/>
  <c r="A78"/>
  <c r="C78" s="1"/>
  <c r="B77"/>
  <c r="D77" s="1"/>
  <c r="A77"/>
  <c r="C77" s="1"/>
  <c r="B76"/>
  <c r="D76" s="1"/>
  <c r="A76"/>
  <c r="C76" s="1"/>
  <c r="B75"/>
  <c r="D75" s="1"/>
  <c r="A75"/>
  <c r="C75" s="1"/>
  <c r="B74"/>
  <c r="D74" s="1"/>
  <c r="A74"/>
  <c r="C74" s="1"/>
  <c r="B73"/>
  <c r="D73" s="1"/>
  <c r="A73"/>
  <c r="C73" s="1"/>
  <c r="B72"/>
  <c r="D72" s="1"/>
  <c r="A72"/>
  <c r="C72" s="1"/>
  <c r="B71"/>
  <c r="D71" s="1"/>
  <c r="A71"/>
  <c r="C71" s="1"/>
  <c r="B70"/>
  <c r="D70" s="1"/>
  <c r="A70"/>
  <c r="C70" s="1"/>
  <c r="B69"/>
  <c r="D69" s="1"/>
  <c r="A69"/>
  <c r="C69" s="1"/>
  <c r="B68"/>
  <c r="D68" s="1"/>
  <c r="A68"/>
  <c r="C68" s="1"/>
  <c r="B67"/>
  <c r="D67" s="1"/>
  <c r="A67"/>
  <c r="C67" s="1"/>
  <c r="B66"/>
  <c r="D66" s="1"/>
  <c r="A66"/>
  <c r="C66" s="1"/>
  <c r="B65"/>
  <c r="D65" s="1"/>
  <c r="A65"/>
  <c r="C65" s="1"/>
  <c r="B64"/>
  <c r="D64" s="1"/>
  <c r="A64"/>
  <c r="C64" s="1"/>
  <c r="A3"/>
  <c r="C3" s="1"/>
  <c r="B3"/>
  <c r="D3" s="1"/>
  <c r="A4"/>
  <c r="C4" s="1"/>
  <c r="B4"/>
  <c r="D4" s="1"/>
  <c r="A5"/>
  <c r="C5" s="1"/>
  <c r="B5"/>
  <c r="D5" s="1"/>
  <c r="A6"/>
  <c r="C6" s="1"/>
  <c r="B6"/>
  <c r="D6" s="1"/>
  <c r="A7"/>
  <c r="C7" s="1"/>
  <c r="B7"/>
  <c r="D7" s="1"/>
  <c r="A8"/>
  <c r="C8" s="1"/>
  <c r="B8"/>
  <c r="D8" s="1"/>
  <c r="A9"/>
  <c r="C9" s="1"/>
  <c r="B9"/>
  <c r="D9" s="1"/>
  <c r="A10"/>
  <c r="C10" s="1"/>
  <c r="B10"/>
  <c r="D10" s="1"/>
  <c r="A11"/>
  <c r="C11" s="1"/>
  <c r="B11"/>
  <c r="D11" s="1"/>
  <c r="A12"/>
  <c r="C12" s="1"/>
  <c r="B12"/>
  <c r="D12" s="1"/>
  <c r="A13"/>
  <c r="C13" s="1"/>
  <c r="B13"/>
  <c r="D13" s="1"/>
  <c r="A14"/>
  <c r="C14" s="1"/>
  <c r="B14"/>
  <c r="D14" s="1"/>
  <c r="A15"/>
  <c r="C15" s="1"/>
  <c r="B15"/>
  <c r="D15" s="1"/>
  <c r="A16"/>
  <c r="C16" s="1"/>
  <c r="B16"/>
  <c r="D16" s="1"/>
  <c r="A17"/>
  <c r="C17" s="1"/>
  <c r="B17"/>
  <c r="D17" s="1"/>
  <c r="A18"/>
  <c r="C18" s="1"/>
  <c r="B18"/>
  <c r="D18" s="1"/>
  <c r="A19"/>
  <c r="C19" s="1"/>
  <c r="B19"/>
  <c r="D19" s="1"/>
  <c r="A20"/>
  <c r="C20" s="1"/>
  <c r="B20"/>
  <c r="D20" s="1"/>
  <c r="A21"/>
  <c r="C21" s="1"/>
  <c r="B21"/>
  <c r="D21" s="1"/>
  <c r="A22"/>
  <c r="C22" s="1"/>
  <c r="B22"/>
  <c r="D22" s="1"/>
  <c r="A23"/>
  <c r="C23" s="1"/>
  <c r="B23"/>
  <c r="D23" s="1"/>
  <c r="A24"/>
  <c r="C24" s="1"/>
  <c r="B24"/>
  <c r="D24" s="1"/>
  <c r="A25"/>
  <c r="C25" s="1"/>
  <c r="B25"/>
  <c r="D25" s="1"/>
  <c r="A26"/>
  <c r="C26" s="1"/>
  <c r="B26"/>
  <c r="D26" s="1"/>
  <c r="A27"/>
  <c r="C27" s="1"/>
  <c r="B27"/>
  <c r="D27" s="1"/>
  <c r="A28"/>
  <c r="C28" s="1"/>
  <c r="B28"/>
  <c r="D28" s="1"/>
  <c r="A29"/>
  <c r="C29" s="1"/>
  <c r="B29"/>
  <c r="D29" s="1"/>
  <c r="A30"/>
  <c r="C30" s="1"/>
  <c r="B30"/>
  <c r="D30" s="1"/>
  <c r="A31"/>
  <c r="C31" s="1"/>
  <c r="B31"/>
  <c r="D31" s="1"/>
  <c r="A32"/>
  <c r="C32" s="1"/>
  <c r="B32"/>
  <c r="D32" s="1"/>
  <c r="A33"/>
  <c r="C33" s="1"/>
  <c r="B33"/>
  <c r="D33" s="1"/>
  <c r="A34"/>
  <c r="C34" s="1"/>
  <c r="B34"/>
  <c r="D34" s="1"/>
  <c r="A35"/>
  <c r="C35" s="1"/>
  <c r="B35"/>
  <c r="D35" s="1"/>
  <c r="A36"/>
  <c r="C36" s="1"/>
  <c r="B36"/>
  <c r="D36" s="1"/>
  <c r="A37"/>
  <c r="C37" s="1"/>
  <c r="B37"/>
  <c r="D37" s="1"/>
  <c r="A38"/>
  <c r="C38" s="1"/>
  <c r="B38"/>
  <c r="D38" s="1"/>
  <c r="A39"/>
  <c r="C39" s="1"/>
  <c r="B39"/>
  <c r="D39" s="1"/>
  <c r="A40"/>
  <c r="C40" s="1"/>
  <c r="B40"/>
  <c r="D40" s="1"/>
  <c r="A41"/>
  <c r="C41" s="1"/>
  <c r="B41"/>
  <c r="D41" s="1"/>
  <c r="A42"/>
  <c r="C42" s="1"/>
  <c r="B42"/>
  <c r="D42" s="1"/>
  <c r="A43"/>
  <c r="C43" s="1"/>
  <c r="B43"/>
  <c r="D43" s="1"/>
  <c r="A44"/>
  <c r="C44" s="1"/>
  <c r="B44"/>
  <c r="D44" s="1"/>
  <c r="A45"/>
  <c r="C45" s="1"/>
  <c r="B45"/>
  <c r="D45" s="1"/>
  <c r="A46"/>
  <c r="C46" s="1"/>
  <c r="B46"/>
  <c r="D46" s="1"/>
  <c r="A47"/>
  <c r="C47" s="1"/>
  <c r="B47"/>
  <c r="D47" s="1"/>
  <c r="A48"/>
  <c r="C48" s="1"/>
  <c r="B48"/>
  <c r="D48" s="1"/>
  <c r="A49"/>
  <c r="C49" s="1"/>
  <c r="B49"/>
  <c r="D49" s="1"/>
  <c r="A50"/>
  <c r="C50" s="1"/>
  <c r="B50"/>
  <c r="D50" s="1"/>
  <c r="A51"/>
  <c r="C51" s="1"/>
  <c r="B51"/>
  <c r="D51" s="1"/>
  <c r="A52"/>
  <c r="C52" s="1"/>
  <c r="B52"/>
  <c r="D52" s="1"/>
  <c r="A53"/>
  <c r="C53" s="1"/>
  <c r="B53"/>
  <c r="D53" s="1"/>
  <c r="A54"/>
  <c r="C54" s="1"/>
  <c r="B54"/>
  <c r="D54" s="1"/>
  <c r="A55"/>
  <c r="C55" s="1"/>
  <c r="B55"/>
  <c r="D55" s="1"/>
  <c r="A56"/>
  <c r="C56" s="1"/>
  <c r="B56"/>
  <c r="D56" s="1"/>
  <c r="A57"/>
  <c r="C57" s="1"/>
  <c r="B57"/>
  <c r="D57" s="1"/>
  <c r="A58"/>
  <c r="C58" s="1"/>
  <c r="B58"/>
  <c r="D58" s="1"/>
  <c r="A59"/>
  <c r="C59" s="1"/>
  <c r="B59"/>
  <c r="D59" s="1"/>
  <c r="A60"/>
  <c r="C60" s="1"/>
  <c r="B60"/>
  <c r="D60" s="1"/>
  <c r="A61"/>
  <c r="C61" s="1"/>
  <c r="B61"/>
  <c r="D61" s="1"/>
  <c r="A62"/>
  <c r="C62" s="1"/>
  <c r="B62"/>
  <c r="D62" s="1"/>
  <c r="A63"/>
  <c r="C63" s="1"/>
  <c r="B63"/>
  <c r="D63" s="1"/>
  <c r="B2"/>
  <c r="D2" s="1"/>
  <c r="AK20" i="1"/>
  <c r="N60"/>
  <c r="N75"/>
  <c r="K75"/>
  <c r="K60"/>
  <c r="K45"/>
  <c r="K32"/>
  <c r="K31"/>
  <c r="K16"/>
  <c r="K30"/>
  <c r="K15"/>
  <c r="H46"/>
  <c r="H31"/>
  <c r="I2" i="73"/>
  <c r="AE15" i="1" l="1"/>
  <c r="AK11"/>
  <c r="AK10"/>
  <c r="Y15"/>
  <c r="AA15"/>
  <c r="AK13"/>
  <c r="AJ15"/>
  <c r="AF15"/>
  <c r="AI15"/>
  <c r="AB15"/>
  <c r="AK14"/>
  <c r="AK12"/>
  <c r="AK9"/>
  <c r="AK8"/>
  <c r="AG15"/>
  <c r="AC15"/>
  <c r="AH15"/>
  <c r="AD15"/>
  <c r="Z15"/>
  <c r="AK7"/>
  <c r="E76" l="1"/>
  <c r="E62"/>
  <c r="E75"/>
  <c r="E61"/>
  <c r="E60"/>
  <c r="E47"/>
  <c r="E46"/>
  <c r="E32"/>
  <c r="E45"/>
  <c r="E31"/>
  <c r="E30"/>
  <c r="E15"/>
  <c r="B61"/>
  <c r="B47"/>
  <c r="B60"/>
  <c r="B46"/>
  <c r="B30"/>
  <c r="B45"/>
  <c r="C9" i="3"/>
  <c r="AK24" i="1"/>
  <c r="B61" i="3" l="1"/>
  <c r="B4" i="1" l="1"/>
  <c r="B12" i="10"/>
  <c r="T79" i="1"/>
  <c r="Q79"/>
  <c r="N79"/>
  <c r="K79"/>
  <c r="H79"/>
  <c r="E79"/>
  <c r="B79"/>
  <c r="T64"/>
  <c r="Q64"/>
  <c r="N64"/>
  <c r="K64"/>
  <c r="H64"/>
  <c r="E64"/>
  <c r="B64"/>
  <c r="T49"/>
  <c r="Q49"/>
  <c r="N49"/>
  <c r="K49"/>
  <c r="H49"/>
  <c r="E49"/>
  <c r="B49"/>
  <c r="T34"/>
  <c r="Q34"/>
  <c r="N34"/>
  <c r="K34"/>
  <c r="H34"/>
  <c r="E34"/>
  <c r="B34"/>
  <c r="T19"/>
  <c r="Q19"/>
  <c r="N19"/>
  <c r="K19"/>
  <c r="H19"/>
  <c r="E19"/>
  <c r="B19"/>
  <c r="T4"/>
  <c r="Q4"/>
  <c r="N4"/>
  <c r="K4"/>
  <c r="H4"/>
  <c r="E4"/>
  <c r="N7" i="2"/>
  <c r="P7" s="1"/>
  <c r="N8"/>
  <c r="P8" s="1"/>
  <c r="N9"/>
  <c r="P9" s="1"/>
  <c r="N10"/>
  <c r="P10" s="1"/>
  <c r="N11"/>
  <c r="P11" s="1"/>
  <c r="N12"/>
  <c r="P12" s="1"/>
  <c r="N13"/>
  <c r="P13" s="1"/>
  <c r="N14"/>
  <c r="P14" s="1"/>
  <c r="N15"/>
  <c r="P15" s="1"/>
  <c r="N16"/>
  <c r="P16" s="1"/>
  <c r="N17"/>
  <c r="P17" s="1"/>
  <c r="N6"/>
  <c r="P6" s="1"/>
  <c r="O6"/>
  <c r="I5924" i="73"/>
  <c r="I5930"/>
  <c r="I5732"/>
  <c r="I5425"/>
  <c r="I5766"/>
  <c r="I5519"/>
  <c r="I5452"/>
  <c r="I5822"/>
  <c r="I5874"/>
  <c r="I1387"/>
  <c r="I971"/>
  <c r="I2627"/>
  <c r="I3804"/>
  <c r="I4933"/>
  <c r="I5173"/>
  <c r="I5495"/>
  <c r="I5291"/>
  <c r="I5640"/>
  <c r="I4711"/>
  <c r="I5381"/>
  <c r="I4401"/>
  <c r="I5109"/>
  <c r="I3179"/>
  <c r="I2763"/>
  <c r="I4423"/>
  <c r="I5119"/>
  <c r="I2731"/>
  <c r="I2315"/>
  <c r="I5281"/>
  <c r="I5903"/>
  <c r="I5089"/>
  <c r="I5405"/>
  <c r="I4410"/>
  <c r="I5553"/>
  <c r="I5941"/>
  <c r="I4442"/>
  <c r="I5245"/>
  <c r="I2911"/>
  <c r="I2067"/>
  <c r="I3067"/>
  <c r="I5658"/>
  <c r="I4362"/>
  <c r="I3754"/>
  <c r="I4170"/>
  <c r="I3562"/>
  <c r="I5845"/>
  <c r="I3351"/>
  <c r="I5105"/>
  <c r="I5887"/>
  <c r="I4306"/>
  <c r="I2155"/>
  <c r="I1739"/>
  <c r="I4375"/>
  <c r="I5522"/>
  <c r="I1707"/>
  <c r="I1291"/>
  <c r="I3267"/>
  <c r="I5609"/>
  <c r="I5110"/>
  <c r="I5445"/>
  <c r="I5816"/>
  <c r="I5061"/>
  <c r="I5429"/>
  <c r="I4414"/>
  <c r="I3750"/>
  <c r="I4094"/>
  <c r="I4906"/>
  <c r="I5931"/>
  <c r="I3435"/>
  <c r="I3019"/>
  <c r="I5418"/>
  <c r="I4194"/>
  <c r="I4969"/>
  <c r="I5147"/>
  <c r="I5559"/>
  <c r="I4678"/>
  <c r="I5840"/>
  <c r="I4992"/>
  <c r="I5520"/>
  <c r="I4562"/>
  <c r="I4674"/>
  <c r="I2739"/>
  <c r="I4912"/>
  <c r="I2989"/>
  <c r="I5908"/>
  <c r="I4630"/>
  <c r="I4673"/>
  <c r="I4861"/>
  <c r="I5567"/>
  <c r="I5345"/>
  <c r="I5029"/>
  <c r="I4778"/>
  <c r="I5505"/>
  <c r="I2871"/>
  <c r="I5891"/>
  <c r="I5789"/>
  <c r="I5437"/>
  <c r="I5487"/>
  <c r="I5541"/>
  <c r="I4939"/>
  <c r="I3626"/>
  <c r="I4764"/>
  <c r="I4715"/>
  <c r="I4658"/>
  <c r="I3713"/>
  <c r="I4246"/>
  <c r="I3861"/>
  <c r="I5102"/>
  <c r="I2347"/>
  <c r="I5683"/>
  <c r="I3410"/>
  <c r="I3133"/>
  <c r="I5507"/>
  <c r="I5851"/>
  <c r="I5510"/>
  <c r="I5687"/>
  <c r="I5664"/>
  <c r="I3778"/>
  <c r="I3394"/>
  <c r="I5134"/>
  <c r="I3411"/>
  <c r="I4449"/>
  <c r="I3096"/>
  <c r="I5440"/>
  <c r="I5846"/>
  <c r="I1663"/>
  <c r="I5392"/>
  <c r="I5787"/>
  <c r="I2919"/>
  <c r="I5724"/>
  <c r="I5673"/>
  <c r="I3946"/>
  <c r="I4730"/>
  <c r="I4124"/>
  <c r="I2383"/>
  <c r="I3463"/>
  <c r="I4953"/>
  <c r="I2171"/>
  <c r="I4142"/>
  <c r="I5393"/>
  <c r="I2655"/>
  <c r="I2939"/>
  <c r="I3247"/>
  <c r="I2455"/>
  <c r="I4204"/>
  <c r="I4478"/>
  <c r="I4286"/>
  <c r="I4358"/>
  <c r="I3886"/>
  <c r="I5745"/>
  <c r="I5703"/>
  <c r="I4426"/>
  <c r="I4074"/>
  <c r="I1995"/>
  <c r="I3534"/>
  <c r="I5826"/>
  <c r="I4428"/>
  <c r="I3831"/>
  <c r="I5165"/>
  <c r="I4554"/>
  <c r="I4586"/>
  <c r="I4785"/>
  <c r="I2251"/>
  <c r="I4690"/>
  <c r="I4214"/>
  <c r="I5921"/>
  <c r="I1771"/>
  <c r="I3395"/>
  <c r="I4097"/>
  <c r="I1491"/>
  <c r="I1399"/>
  <c r="I1123"/>
  <c r="I3691"/>
  <c r="I4106"/>
  <c r="I5812"/>
  <c r="I5801"/>
  <c r="I5728"/>
  <c r="I3666"/>
  <c r="I1483"/>
  <c r="I4470"/>
  <c r="I4444"/>
  <c r="I3554"/>
  <c r="I1259"/>
  <c r="I4260"/>
  <c r="I1683"/>
  <c r="I5265"/>
  <c r="I4827"/>
  <c r="I4582"/>
  <c r="I5886"/>
  <c r="I5003"/>
  <c r="I2669"/>
  <c r="I5642"/>
  <c r="I5368"/>
  <c r="I4001"/>
  <c r="I4636"/>
  <c r="I4736"/>
  <c r="I4367"/>
  <c r="I2659"/>
  <c r="I2440"/>
  <c r="I1506"/>
  <c r="I1448"/>
  <c r="I3446"/>
  <c r="I3390"/>
  <c r="I3625"/>
  <c r="I5882"/>
  <c r="I4886"/>
  <c r="I3706"/>
  <c r="I5551"/>
  <c r="I2755"/>
  <c r="I5849"/>
  <c r="I3095"/>
  <c r="I3474"/>
  <c r="I5111"/>
  <c r="I987"/>
  <c r="I3893"/>
  <c r="I3149"/>
  <c r="I1362"/>
  <c r="I4833"/>
  <c r="I4046"/>
  <c r="I4492"/>
  <c r="I2535"/>
  <c r="I5263"/>
  <c r="I5344"/>
  <c r="I2715"/>
  <c r="I5458"/>
  <c r="I5596"/>
  <c r="I5323"/>
  <c r="I4114"/>
  <c r="I5347"/>
  <c r="I3037"/>
  <c r="I4290"/>
  <c r="I4289"/>
  <c r="I3746"/>
  <c r="I2275"/>
  <c r="I3080"/>
  <c r="I2994"/>
  <c r="I120"/>
  <c r="I5399"/>
  <c r="I4971"/>
  <c r="I4295"/>
  <c r="I5365"/>
  <c r="I5228"/>
  <c r="I3930"/>
  <c r="I3578"/>
  <c r="I5611"/>
  <c r="I5558"/>
  <c r="I3895"/>
  <c r="I4996"/>
  <c r="I5731"/>
  <c r="I5113"/>
  <c r="I4206"/>
  <c r="I2475"/>
  <c r="I5053"/>
  <c r="I5176"/>
  <c r="I5587"/>
  <c r="I3870"/>
  <c r="I5493"/>
  <c r="I5305"/>
  <c r="I5097"/>
  <c r="I5474"/>
  <c r="I5773"/>
  <c r="I5077"/>
  <c r="I5264"/>
  <c r="I5163"/>
  <c r="I5098"/>
  <c r="I2995"/>
  <c r="I2579"/>
  <c r="I3720"/>
  <c r="I3658"/>
  <c r="I5754"/>
  <c r="I5158"/>
  <c r="I5498"/>
  <c r="I4686"/>
  <c r="I5317"/>
  <c r="I5127"/>
  <c r="I5723"/>
  <c r="I5752"/>
  <c r="I4738"/>
  <c r="I4694"/>
  <c r="I4695"/>
  <c r="I1179"/>
  <c r="I5169"/>
  <c r="I4609"/>
  <c r="I4055"/>
  <c r="I4638"/>
  <c r="I3790"/>
  <c r="I4446"/>
  <c r="I3598"/>
  <c r="I5737"/>
  <c r="I3730"/>
  <c r="I5238"/>
  <c r="I3538"/>
  <c r="I5309"/>
  <c r="I4999"/>
  <c r="I4215"/>
  <c r="I5369"/>
  <c r="I5829"/>
  <c r="I5681"/>
  <c r="I5131"/>
  <c r="I5366"/>
  <c r="I4666"/>
  <c r="I5860"/>
  <c r="I5542"/>
  <c r="I5540"/>
  <c r="I5006"/>
  <c r="I4238"/>
  <c r="I3841"/>
  <c r="I3347"/>
  <c r="I979"/>
  <c r="I4891"/>
  <c r="I3315"/>
  <c r="I2899"/>
  <c r="I4874"/>
  <c r="I4896"/>
  <c r="I4682"/>
  <c r="I5552"/>
  <c r="I5321"/>
  <c r="I5839"/>
  <c r="I5502"/>
  <c r="I4062"/>
  <c r="I3646"/>
  <c r="I5786"/>
  <c r="I5354"/>
  <c r="I5155"/>
  <c r="I2567"/>
  <c r="I3734"/>
  <c r="I1691"/>
  <c r="I3690"/>
  <c r="I5781"/>
  <c r="I5361"/>
  <c r="I5525"/>
  <c r="I4977"/>
  <c r="I5488"/>
  <c r="I5481"/>
  <c r="I5583"/>
  <c r="I5257"/>
  <c r="I4869"/>
  <c r="I5902"/>
  <c r="I3622"/>
  <c r="I2787"/>
  <c r="I5233"/>
  <c r="I5570"/>
  <c r="I3761"/>
  <c r="I4716"/>
  <c r="I5185"/>
  <c r="I4993"/>
  <c r="I4845"/>
  <c r="I3978"/>
  <c r="I5700"/>
  <c r="I4835"/>
  <c r="I4734"/>
  <c r="I4921"/>
  <c r="I3399"/>
  <c r="I5181"/>
  <c r="I5589"/>
  <c r="I5413"/>
  <c r="I4234"/>
  <c r="I5459"/>
  <c r="I3969"/>
  <c r="I4902"/>
  <c r="I5535"/>
  <c r="I1831"/>
  <c r="I3379"/>
  <c r="I5178"/>
  <c r="I4322"/>
  <c r="I2743"/>
  <c r="I3491"/>
  <c r="I4577"/>
  <c r="I3283"/>
  <c r="I5280"/>
  <c r="I5740"/>
  <c r="I5823"/>
  <c r="I5409"/>
  <c r="I4218"/>
  <c r="I3091"/>
  <c r="I5741"/>
  <c r="I5514"/>
  <c r="I1151"/>
  <c r="I2867"/>
  <c r="I5794"/>
  <c r="I5620"/>
  <c r="I3628"/>
  <c r="I5341"/>
  <c r="I4250"/>
  <c r="I3383"/>
  <c r="I2887"/>
  <c r="I5262"/>
  <c r="I3822"/>
  <c r="I4877"/>
  <c r="I5329"/>
  <c r="I4556"/>
  <c r="I5877"/>
  <c r="I5063"/>
  <c r="I3160"/>
  <c r="I3916"/>
  <c r="I5397"/>
  <c r="I3847"/>
  <c r="I3639"/>
  <c r="I4061"/>
  <c r="I3279"/>
  <c r="I1675"/>
  <c r="I4126"/>
  <c r="I5704"/>
  <c r="I5033"/>
  <c r="I5275"/>
  <c r="I5088"/>
  <c r="I3532"/>
  <c r="I4010"/>
  <c r="I3633"/>
  <c r="I2411"/>
  <c r="I4382"/>
  <c r="I5676"/>
  <c r="I5115"/>
  <c r="I5855"/>
  <c r="I1659"/>
  <c r="I5573"/>
  <c r="I3953"/>
  <c r="I5738"/>
  <c r="I3802"/>
  <c r="I5584"/>
  <c r="I5215"/>
  <c r="I2915"/>
  <c r="I5205"/>
  <c r="I4247"/>
  <c r="I5419"/>
  <c r="I4147"/>
  <c r="I5593"/>
  <c r="I3637"/>
  <c r="I4431"/>
  <c r="I1827"/>
  <c r="I5892"/>
  <c r="I5377"/>
  <c r="I5057"/>
  <c r="I5623"/>
  <c r="I4370"/>
  <c r="I4670"/>
  <c r="I4659"/>
  <c r="I5209"/>
  <c r="I3762"/>
  <c r="I5844"/>
  <c r="I2279"/>
  <c r="I4794"/>
  <c r="I2727"/>
  <c r="I4759"/>
  <c r="I4054"/>
  <c r="I3918"/>
  <c r="I2631"/>
  <c r="I5512"/>
  <c r="I1435"/>
  <c r="I5824"/>
  <c r="I4748"/>
  <c r="I5630"/>
  <c r="I3898"/>
  <c r="I5084"/>
  <c r="I4509"/>
  <c r="I2930"/>
  <c r="I2888"/>
  <c r="I3482"/>
  <c r="I3425"/>
  <c r="I4904"/>
  <c r="I4491"/>
  <c r="I4110"/>
  <c r="I4928"/>
  <c r="I2131"/>
  <c r="I5480"/>
  <c r="I4032"/>
  <c r="I2443"/>
  <c r="I2557"/>
  <c r="I3032"/>
  <c r="I1375"/>
  <c r="I2435"/>
  <c r="I3856"/>
  <c r="I756"/>
  <c r="I5416"/>
  <c r="I1127"/>
  <c r="I4796"/>
  <c r="I5548"/>
  <c r="I4049"/>
  <c r="I4829"/>
  <c r="I3079"/>
  <c r="I5466"/>
  <c r="I3307"/>
  <c r="I3891"/>
  <c r="I1835"/>
  <c r="I3523"/>
  <c r="I3069"/>
  <c r="I2792"/>
  <c r="I2818"/>
  <c r="I664"/>
  <c r="I4"/>
  <c r="I5742"/>
  <c r="I2862"/>
  <c r="I5881"/>
  <c r="I5183"/>
  <c r="I5125"/>
  <c r="I4802"/>
  <c r="I4390"/>
  <c r="I4853"/>
  <c r="I2303"/>
  <c r="I5237"/>
  <c r="I1959"/>
  <c r="I1431"/>
  <c r="I1928"/>
  <c r="I1591"/>
  <c r="I5261"/>
  <c r="I4893"/>
  <c r="I4702"/>
  <c r="I3596"/>
  <c r="I1215"/>
  <c r="I1799"/>
  <c r="I5259"/>
  <c r="I2043"/>
  <c r="I5572"/>
  <c r="I5492"/>
  <c r="I5866"/>
  <c r="I5503"/>
  <c r="I5222"/>
  <c r="I5605"/>
  <c r="I5680"/>
  <c r="I5937"/>
  <c r="I4350"/>
  <c r="I4018"/>
  <c r="I5219"/>
  <c r="I3299"/>
  <c r="I4650"/>
  <c r="I5106"/>
  <c r="I5701"/>
  <c r="I5045"/>
  <c r="I5253"/>
  <c r="I5142"/>
  <c r="I5935"/>
  <c r="I4668"/>
  <c r="I5467"/>
  <c r="I5067"/>
  <c r="I4378"/>
  <c r="I3582"/>
  <c r="I3618"/>
  <c r="I5604"/>
  <c r="I5778"/>
  <c r="I4066"/>
  <c r="I4929"/>
  <c r="I5472"/>
  <c r="I5830"/>
  <c r="I5477"/>
  <c r="I5195"/>
  <c r="I5779"/>
  <c r="I5834"/>
  <c r="I4506"/>
  <c r="I5538"/>
  <c r="I4017"/>
  <c r="I3175"/>
  <c r="I3809"/>
  <c r="I4960"/>
  <c r="I3143"/>
  <c r="I4714"/>
  <c r="I3722"/>
  <c r="I4522"/>
  <c r="I5508"/>
  <c r="I5375"/>
  <c r="I5610"/>
  <c r="I5460"/>
  <c r="I5711"/>
  <c r="I5693"/>
  <c r="I4949"/>
  <c r="I5168"/>
  <c r="I5578"/>
  <c r="I5751"/>
  <c r="I3826"/>
  <c r="I4076"/>
  <c r="I5290"/>
  <c r="I4418"/>
  <c r="I4042"/>
  <c r="I5768"/>
  <c r="I5688"/>
  <c r="I5871"/>
  <c r="I5301"/>
  <c r="I5212"/>
  <c r="I3686"/>
  <c r="I4684"/>
  <c r="I5832"/>
  <c r="I4398"/>
  <c r="I5382"/>
  <c r="I5638"/>
  <c r="I4298"/>
  <c r="I4934"/>
  <c r="I5749"/>
  <c r="I5062"/>
  <c r="I5289"/>
  <c r="I4614"/>
  <c r="I4937"/>
  <c r="I4950"/>
  <c r="I4750"/>
  <c r="I4530"/>
  <c r="I3942"/>
  <c r="I2925"/>
  <c r="I4476"/>
  <c r="I5695"/>
  <c r="I4209"/>
  <c r="I4305"/>
  <c r="I2467"/>
  <c r="I5674"/>
  <c r="I5920"/>
  <c r="I5536"/>
  <c r="I5024"/>
  <c r="I3530"/>
  <c r="I4843"/>
  <c r="I4743"/>
  <c r="I5439"/>
  <c r="I5293"/>
  <c r="I4841"/>
  <c r="I5248"/>
  <c r="I5325"/>
  <c r="I4642"/>
  <c r="I3962"/>
  <c r="I5746"/>
  <c r="I1447"/>
  <c r="I1195"/>
  <c r="I3934"/>
  <c r="I3586"/>
  <c r="I3224"/>
  <c r="I5523"/>
  <c r="I1931"/>
  <c r="I2619"/>
  <c r="I2104"/>
  <c r="I3756"/>
  <c r="I3151"/>
  <c r="I4474"/>
  <c r="I4090"/>
  <c r="I4863"/>
  <c r="I5912"/>
  <c r="I4089"/>
  <c r="I4345"/>
  <c r="I5862"/>
  <c r="I5722"/>
  <c r="I4870"/>
  <c r="I5285"/>
  <c r="I3866"/>
  <c r="I4183"/>
  <c r="I5715"/>
  <c r="I5353"/>
  <c r="I4302"/>
  <c r="I4976"/>
  <c r="I2839"/>
  <c r="I5136"/>
  <c r="I3970"/>
  <c r="I5313"/>
  <c r="I3964"/>
  <c r="I5669"/>
  <c r="I2023"/>
  <c r="I2999"/>
  <c r="I5775"/>
  <c r="I5809"/>
  <c r="I4989"/>
  <c r="I1983"/>
  <c r="I3815"/>
  <c r="I452"/>
  <c r="I2091"/>
  <c r="I2907"/>
  <c r="I5326"/>
  <c r="I4984"/>
  <c r="I5247"/>
  <c r="I5868"/>
  <c r="I5403"/>
  <c r="I4618"/>
  <c r="I4394"/>
  <c r="I4821"/>
  <c r="I3858"/>
  <c r="I5513"/>
  <c r="I5390"/>
  <c r="I5880"/>
  <c r="I2331"/>
  <c r="I4973"/>
  <c r="I3975"/>
  <c r="I3719"/>
  <c r="I2667"/>
  <c r="I2711"/>
  <c r="I4172"/>
  <c r="I4373"/>
  <c r="I5675"/>
  <c r="I1355"/>
  <c r="I5580"/>
  <c r="I3543"/>
  <c r="I4460"/>
  <c r="I728"/>
  <c r="I4146"/>
  <c r="I1851"/>
  <c r="I5883"/>
  <c r="I5432"/>
  <c r="I5546"/>
  <c r="I5858"/>
  <c r="I1899"/>
  <c r="I3692"/>
  <c r="I3499"/>
  <c r="I3919"/>
  <c r="I4572"/>
  <c r="I5069"/>
  <c r="I4186"/>
  <c r="I5197"/>
  <c r="I5706"/>
  <c r="I1787"/>
  <c r="I4826"/>
  <c r="I4422"/>
  <c r="I5817"/>
  <c r="I1819"/>
  <c r="I5000"/>
  <c r="I4762"/>
  <c r="I3467"/>
  <c r="I4364"/>
  <c r="I4830"/>
  <c r="I5598"/>
  <c r="I5252"/>
  <c r="I4139"/>
  <c r="I2920"/>
  <c r="I1384"/>
  <c r="I1357"/>
  <c r="I468"/>
  <c r="I3262"/>
  <c r="I5626"/>
  <c r="I4226"/>
  <c r="I5292"/>
  <c r="I4396"/>
  <c r="I4772"/>
  <c r="I2859"/>
  <c r="I3827"/>
  <c r="I1051"/>
  <c r="I1943"/>
  <c r="I1203"/>
  <c r="I2351"/>
  <c r="I5022"/>
  <c r="I5769"/>
  <c r="I1727"/>
  <c r="I5221"/>
  <c r="I2059"/>
  <c r="I4945"/>
  <c r="I4514"/>
  <c r="I4518"/>
  <c r="I2547"/>
  <c r="I5884"/>
  <c r="I3330"/>
  <c r="I5807"/>
  <c r="I4417"/>
  <c r="I4065"/>
  <c r="I2267"/>
  <c r="I4374"/>
  <c r="I5494"/>
  <c r="I1565"/>
  <c r="I1522"/>
  <c r="I2002"/>
  <c r="I1944"/>
  <c r="I124"/>
  <c r="I2808"/>
  <c r="I4546"/>
  <c r="I5876"/>
  <c r="I4961"/>
  <c r="I3427"/>
  <c r="I2615"/>
  <c r="I5139"/>
  <c r="I4244"/>
  <c r="I2255"/>
  <c r="I1048"/>
  <c r="I504"/>
  <c r="I3842"/>
  <c r="I2591"/>
  <c r="I4071"/>
  <c r="I5756"/>
  <c r="I3894"/>
  <c r="I5879"/>
  <c r="I1939"/>
  <c r="I5804"/>
  <c r="I5177"/>
  <c r="I5919"/>
  <c r="I5296"/>
  <c r="I5651"/>
  <c r="I5013"/>
  <c r="I5791"/>
  <c r="I5120"/>
  <c r="I5020"/>
  <c r="I3266"/>
  <c r="I2712"/>
  <c r="I2776"/>
  <c r="I4850"/>
  <c r="I5648"/>
  <c r="I5072"/>
  <c r="I5456"/>
  <c r="I4622"/>
  <c r="I5560"/>
  <c r="I5070"/>
  <c r="I5694"/>
  <c r="I5624"/>
  <c r="I4981"/>
  <c r="I5785"/>
  <c r="I4724"/>
  <c r="I3487"/>
  <c r="I5091"/>
  <c r="I5947"/>
  <c r="I4836"/>
  <c r="I5051"/>
  <c r="I3758"/>
  <c r="I4798"/>
  <c r="I3566"/>
  <c r="I4346"/>
  <c r="I3714"/>
  <c r="I5770"/>
  <c r="I5936"/>
  <c r="I3697"/>
  <c r="I5461"/>
  <c r="I5117"/>
  <c r="I5566"/>
  <c r="I5201"/>
  <c r="I5005"/>
  <c r="I5046"/>
  <c r="I4813"/>
  <c r="I4602"/>
  <c r="I5759"/>
  <c r="I5465"/>
  <c r="I5041"/>
  <c r="I4978"/>
  <c r="I4274"/>
  <c r="I4544"/>
  <c r="I3805"/>
  <c r="I5406"/>
  <c r="I5939"/>
  <c r="I3748"/>
  <c r="I3138"/>
  <c r="I5796"/>
  <c r="I4482"/>
  <c r="I4098"/>
  <c r="I5904"/>
  <c r="I5193"/>
  <c r="I5712"/>
  <c r="I5318"/>
  <c r="I5268"/>
  <c r="I3614"/>
  <c r="I4727"/>
  <c r="I5298"/>
  <c r="I5854"/>
  <c r="I1255"/>
  <c r="I5303"/>
  <c r="I1019"/>
  <c r="I4130"/>
  <c r="I5668"/>
  <c r="I5297"/>
  <c r="I5476"/>
  <c r="I4913"/>
  <c r="I5065"/>
  <c r="I5387"/>
  <c r="I4816"/>
  <c r="I5129"/>
  <c r="I4231"/>
  <c r="I1131"/>
  <c r="I4583"/>
  <c r="I3638"/>
  <c r="I5780"/>
  <c r="I4412"/>
  <c r="I2527"/>
  <c r="I3767"/>
  <c r="I5200"/>
  <c r="I5600"/>
  <c r="I4270"/>
  <c r="I3786"/>
  <c r="I5659"/>
  <c r="I4941"/>
  <c r="I4542"/>
  <c r="I4742"/>
  <c r="I4832"/>
  <c r="I4258"/>
  <c r="I5800"/>
  <c r="I4706"/>
  <c r="I3994"/>
  <c r="I4524"/>
  <c r="I2343"/>
  <c r="I4268"/>
  <c r="I5949"/>
  <c r="I5765"/>
  <c r="I2963"/>
  <c r="I5350"/>
  <c r="I4657"/>
  <c r="I4956"/>
  <c r="I3378"/>
  <c r="I5544"/>
  <c r="I4825"/>
  <c r="I4538"/>
  <c r="I4154"/>
  <c r="I4892"/>
  <c r="I4615"/>
  <c r="I3507"/>
  <c r="I5897"/>
  <c r="I3927"/>
  <c r="I3559"/>
  <c r="I5730"/>
  <c r="I4909"/>
  <c r="I5940"/>
  <c r="I5430"/>
  <c r="I4875"/>
  <c r="I4957"/>
  <c r="I5241"/>
  <c r="I3227"/>
  <c r="I3825"/>
  <c r="I4014"/>
  <c r="I3986"/>
  <c r="I3794"/>
  <c r="I4118"/>
  <c r="I5385"/>
  <c r="I2803"/>
  <c r="I1471"/>
  <c r="I5900"/>
  <c r="I3403"/>
  <c r="I5708"/>
  <c r="I3111"/>
  <c r="I4593"/>
  <c r="I2013"/>
  <c r="I4178"/>
  <c r="I5607"/>
  <c r="I5383"/>
  <c r="I5042"/>
  <c r="I5276"/>
  <c r="I5788"/>
  <c r="I4087"/>
  <c r="I5034"/>
  <c r="I3818"/>
  <c r="I3415"/>
  <c r="I3926"/>
  <c r="I4190"/>
  <c r="I5417"/>
  <c r="I3873"/>
  <c r="I3339"/>
  <c r="I5928"/>
  <c r="I4901"/>
  <c r="I3594"/>
  <c r="I5240"/>
  <c r="I3495"/>
  <c r="I3674"/>
  <c r="I3617"/>
  <c r="I5925"/>
  <c r="I3954"/>
  <c r="I4807"/>
  <c r="I4911"/>
  <c r="I1107"/>
  <c r="I1367"/>
  <c r="I1091"/>
  <c r="I5114"/>
  <c r="I4458"/>
  <c r="I4266"/>
  <c r="I5631"/>
  <c r="I4817"/>
  <c r="I5848"/>
  <c r="I4588"/>
  <c r="I4242"/>
  <c r="I3083"/>
  <c r="I5225"/>
  <c r="I5645"/>
  <c r="I5277"/>
  <c r="I4923"/>
  <c r="I2407"/>
  <c r="I1767"/>
  <c r="I5320"/>
  <c r="I5545"/>
  <c r="I1383"/>
  <c r="I1803"/>
  <c r="I5283"/>
  <c r="I5484"/>
  <c r="I4654"/>
  <c r="I2423"/>
  <c r="I4693"/>
  <c r="I5398"/>
  <c r="I3938"/>
  <c r="I3497"/>
  <c r="I3035"/>
  <c r="I3112"/>
  <c r="I3026"/>
  <c r="I5047"/>
  <c r="I4587"/>
  <c r="I4494"/>
  <c r="I5509"/>
  <c r="I5075"/>
  <c r="I1451"/>
  <c r="I4786"/>
  <c r="I3610"/>
  <c r="I3131"/>
  <c r="I4182"/>
  <c r="I5613"/>
  <c r="I1559"/>
  <c r="I3320"/>
  <c r="I4068"/>
  <c r="I5270"/>
  <c r="I4806"/>
  <c r="I3914"/>
  <c r="I3511"/>
  <c r="I5744"/>
  <c r="I5455"/>
  <c r="I5815"/>
  <c r="I3902"/>
  <c r="I5798"/>
  <c r="I4406"/>
  <c r="I3602"/>
  <c r="I1419"/>
  <c r="I2107"/>
  <c r="I1645"/>
  <c r="I2675"/>
  <c r="I4326"/>
  <c r="I3751"/>
  <c r="I2243"/>
  <c r="I5515"/>
  <c r="I5422"/>
  <c r="I3667"/>
  <c r="I2914"/>
  <c r="I5837"/>
  <c r="I4162"/>
  <c r="I5426"/>
  <c r="I3959"/>
  <c r="I5592"/>
  <c r="I4924"/>
  <c r="I1711"/>
  <c r="I2975"/>
  <c r="I5074"/>
  <c r="I994"/>
  <c r="I5865"/>
  <c r="I2555"/>
  <c r="I5093"/>
  <c r="I5255"/>
  <c r="I4129"/>
  <c r="I1023"/>
  <c r="I4454"/>
  <c r="I4545"/>
  <c r="I4210"/>
  <c r="I4698"/>
  <c r="I1299"/>
  <c r="I2215"/>
  <c r="I112"/>
  <c r="I1067"/>
  <c r="I2847"/>
  <c r="I1007"/>
  <c r="I5671"/>
  <c r="I5486"/>
  <c r="I5400"/>
  <c r="I4767"/>
  <c r="I4453"/>
  <c r="I4174"/>
  <c r="I5014"/>
  <c r="I4327"/>
  <c r="I1035"/>
  <c r="I3475"/>
  <c r="I5206"/>
  <c r="I3784"/>
  <c r="I3031"/>
  <c r="I2589"/>
  <c r="I3979"/>
  <c r="I5825"/>
  <c r="I2573"/>
  <c r="I3834"/>
  <c r="I5030"/>
  <c r="I5453"/>
  <c r="I3010"/>
  <c r="I3612"/>
  <c r="I5334"/>
  <c r="I4766"/>
  <c r="I4944"/>
  <c r="I1147"/>
  <c r="I3043"/>
  <c r="I3650"/>
  <c r="I3309"/>
  <c r="I4459"/>
  <c r="I3156"/>
  <c r="I2840"/>
  <c r="I1315"/>
  <c r="I4552"/>
  <c r="I4495"/>
  <c r="I1976"/>
  <c r="I1917"/>
  <c r="I100"/>
  <c r="I3000"/>
  <c r="I4610"/>
  <c r="I4060"/>
  <c r="I3223"/>
  <c r="I5443"/>
  <c r="I1867"/>
  <c r="I4225"/>
  <c r="I989"/>
  <c r="I2491"/>
  <c r="I904"/>
  <c r="I1183"/>
  <c r="I4547"/>
  <c r="I4185"/>
  <c r="I2003"/>
  <c r="I1160"/>
  <c r="I432"/>
  <c r="I388"/>
  <c r="I3430"/>
  <c r="I3402"/>
  <c r="I3956"/>
  <c r="I5565"/>
  <c r="I3208"/>
  <c r="I2242"/>
  <c r="I116"/>
  <c r="I3576"/>
  <c r="I5612"/>
  <c r="I5217"/>
  <c r="I4230"/>
  <c r="I5922"/>
  <c r="I4887"/>
  <c r="I5504"/>
  <c r="I3171"/>
  <c r="I2431"/>
  <c r="I3325"/>
  <c r="I3468"/>
  <c r="I3021"/>
  <c r="I1331"/>
  <c r="I5597"/>
  <c r="I3630"/>
  <c r="I4652"/>
  <c r="I5141"/>
  <c r="I2403"/>
  <c r="I3421"/>
  <c r="I380"/>
  <c r="I5250"/>
  <c r="I2539"/>
  <c r="I3419"/>
  <c r="I1603"/>
  <c r="I1303"/>
  <c r="I3461"/>
  <c r="I3433"/>
  <c r="I4413"/>
  <c r="I400"/>
  <c r="I3740"/>
  <c r="I3903"/>
  <c r="I2892"/>
  <c r="I1871"/>
  <c r="I374"/>
  <c r="I5556"/>
  <c r="I5085"/>
  <c r="I1227"/>
  <c r="I3239"/>
  <c r="I4935"/>
  <c r="I2931"/>
  <c r="I5331"/>
  <c r="I5500"/>
  <c r="I3048"/>
  <c r="I616"/>
  <c r="I2447"/>
  <c r="I5043"/>
  <c r="I204"/>
  <c r="I1099"/>
  <c r="I1455"/>
  <c r="I456"/>
  <c r="I424"/>
  <c r="I3256"/>
  <c r="I4393"/>
  <c r="I4488"/>
  <c r="I5415"/>
  <c r="I1715"/>
  <c r="I1543"/>
  <c r="I4160"/>
  <c r="I3933"/>
  <c r="I928"/>
  <c r="I3892"/>
  <c r="I5885"/>
  <c r="I3485"/>
  <c r="I144"/>
  <c r="I764"/>
  <c r="I598"/>
  <c r="I5433"/>
  <c r="I5269"/>
  <c r="I3458"/>
  <c r="I3874"/>
  <c r="I2703"/>
  <c r="I5762"/>
  <c r="I1192"/>
  <c r="I3996"/>
  <c r="I3384"/>
  <c r="I1071"/>
  <c r="I3318"/>
  <c r="I4179"/>
  <c r="I706"/>
  <c r="I4573"/>
  <c r="I964"/>
  <c r="I4873"/>
  <c r="I3820"/>
  <c r="I3235"/>
  <c r="I5521"/>
  <c r="I5496"/>
  <c r="I1191"/>
  <c r="I4979"/>
  <c r="I3346"/>
  <c r="I1954"/>
  <c r="I1922"/>
  <c r="I896"/>
  <c r="I3931"/>
  <c r="I2635"/>
  <c r="I840"/>
  <c r="I208"/>
  <c r="I5662"/>
  <c r="I5473"/>
  <c r="I5636"/>
  <c r="I5489"/>
  <c r="I3698"/>
  <c r="I4203"/>
  <c r="I3878"/>
  <c r="I5532"/>
  <c r="I3549"/>
  <c r="I4925"/>
  <c r="I1243"/>
  <c r="I4040"/>
  <c r="I3853"/>
  <c r="I4624"/>
  <c r="I1832"/>
  <c r="I5750"/>
  <c r="I4623"/>
  <c r="I3016"/>
  <c r="I2973"/>
  <c r="I5890"/>
  <c r="I2109"/>
  <c r="I244"/>
  <c r="I3345"/>
  <c r="I4395"/>
  <c r="I2802"/>
  <c r="I3198"/>
  <c r="I4187"/>
  <c r="I257"/>
  <c r="I406"/>
  <c r="I470"/>
  <c r="I2726"/>
  <c r="I3373"/>
  <c r="I4604"/>
  <c r="I748"/>
  <c r="I5617"/>
  <c r="I2987"/>
  <c r="I5655"/>
  <c r="I5628"/>
  <c r="I2799"/>
  <c r="I5557"/>
  <c r="I3423"/>
  <c r="I5236"/>
  <c r="I4640"/>
  <c r="I3085"/>
  <c r="I2471"/>
  <c r="I4966"/>
  <c r="I4705"/>
  <c r="I2967"/>
  <c r="I1807"/>
  <c r="I3199"/>
  <c r="I1037"/>
  <c r="I4030"/>
  <c r="I5083"/>
  <c r="I760"/>
  <c r="I1474"/>
  <c r="I2611"/>
  <c r="I5194"/>
  <c r="I3920"/>
  <c r="I1584"/>
  <c r="I1548"/>
  <c r="I3570"/>
  <c r="I4294"/>
  <c r="I4722"/>
  <c r="I3212"/>
  <c r="I3159"/>
  <c r="I1327"/>
  <c r="I5899"/>
  <c r="I3118"/>
  <c r="I2041"/>
  <c r="I449"/>
  <c r="I3101"/>
  <c r="I5771"/>
  <c r="I1346"/>
  <c r="I2409"/>
  <c r="I2608"/>
  <c r="I2693"/>
  <c r="I1754"/>
  <c r="I1277"/>
  <c r="I3374"/>
  <c r="I1626"/>
  <c r="I822"/>
  <c r="I1722"/>
  <c r="I1828"/>
  <c r="I3368"/>
  <c r="I5735"/>
  <c r="I5889"/>
  <c r="I3889"/>
  <c r="I3833"/>
  <c r="I1250"/>
  <c r="I3471"/>
  <c r="I2891"/>
  <c r="I5692"/>
  <c r="I2599"/>
  <c r="I3303"/>
  <c r="I1672"/>
  <c r="I4145"/>
  <c r="I4023"/>
  <c r="I4752"/>
  <c r="I5774"/>
  <c r="I1704"/>
  <c r="I1592"/>
  <c r="I4612"/>
  <c r="I1752"/>
  <c r="I5229"/>
  <c r="I4746"/>
  <c r="I4311"/>
  <c r="I5568"/>
  <c r="I4012"/>
  <c r="I3966"/>
  <c r="I3063"/>
  <c r="I4567"/>
  <c r="I1551"/>
  <c r="I2546"/>
  <c r="I3052"/>
  <c r="I2578"/>
  <c r="I5157"/>
  <c r="I5049"/>
  <c r="I3854"/>
  <c r="I4987"/>
  <c r="I2459"/>
  <c r="I1779"/>
  <c r="I5190"/>
  <c r="I4318"/>
  <c r="I2487"/>
  <c r="I5126"/>
  <c r="I5564"/>
  <c r="I3027"/>
  <c r="I3777"/>
  <c r="I472"/>
  <c r="I5721"/>
  <c r="I1211"/>
  <c r="I1039"/>
  <c r="I4537"/>
  <c r="I4672"/>
  <c r="I4559"/>
  <c r="I2125"/>
  <c r="I192"/>
  <c r="I4982"/>
  <c r="I5227"/>
  <c r="I2507"/>
  <c r="I5447"/>
  <c r="I2283"/>
  <c r="I5055"/>
  <c r="I1743"/>
  <c r="I5847"/>
  <c r="I3571"/>
  <c r="I872"/>
  <c r="I440"/>
  <c r="I3340"/>
  <c r="I3799"/>
  <c r="I2984"/>
  <c r="I1992"/>
  <c r="I1949"/>
  <c r="I4416"/>
  <c r="I4189"/>
  <c r="I978"/>
  <c r="I1479"/>
  <c r="I1703"/>
  <c r="I3517"/>
  <c r="I2152"/>
  <c r="I4235"/>
  <c r="I605"/>
  <c r="I5599"/>
  <c r="I5333"/>
  <c r="I4629"/>
  <c r="I2151"/>
  <c r="I4856"/>
  <c r="I4991"/>
  <c r="I2696"/>
  <c r="I3459"/>
  <c r="I2248"/>
  <c r="I3412"/>
  <c r="I2936"/>
  <c r="I1661"/>
  <c r="I4291"/>
  <c r="I4175"/>
  <c r="I792"/>
  <c r="I92"/>
  <c r="I48"/>
  <c r="I2976"/>
  <c r="I3169"/>
  <c r="I5464"/>
  <c r="I4758"/>
  <c r="I1755"/>
  <c r="I1335"/>
  <c r="I1971"/>
  <c r="I1631"/>
  <c r="I5842"/>
  <c r="I2322"/>
  <c r="I3051"/>
  <c r="I1859"/>
  <c r="I3743"/>
  <c r="I4740"/>
  <c r="I3217"/>
  <c r="I5319"/>
  <c r="I5414"/>
  <c r="I1643"/>
  <c r="I3243"/>
  <c r="I3287"/>
  <c r="I4769"/>
  <c r="I3203"/>
  <c r="I3335"/>
  <c r="I368"/>
  <c r="I3921"/>
  <c r="I4741"/>
  <c r="I4111"/>
  <c r="I4376"/>
  <c r="I1515"/>
  <c r="I5273"/>
  <c r="I1175"/>
  <c r="I5938"/>
  <c r="I4621"/>
  <c r="I912"/>
  <c r="I5367"/>
  <c r="I1911"/>
  <c r="I5224"/>
  <c r="I5150"/>
  <c r="I4303"/>
  <c r="I4075"/>
  <c r="I956"/>
  <c r="I1671"/>
  <c r="I5184"/>
  <c r="I4332"/>
  <c r="I5256"/>
  <c r="I1117"/>
  <c r="I3645"/>
  <c r="I5932"/>
  <c r="I5021"/>
  <c r="I3053"/>
  <c r="I3155"/>
  <c r="I4689"/>
  <c r="I1323"/>
  <c r="I2728"/>
  <c r="I5099"/>
  <c r="I1519"/>
  <c r="I3213"/>
  <c r="I983"/>
  <c r="I4820"/>
  <c r="I3739"/>
  <c r="I2882"/>
  <c r="I4580"/>
  <c r="I4709"/>
  <c r="I5619"/>
  <c r="I2168"/>
  <c r="I128"/>
  <c r="I5153"/>
  <c r="I3550"/>
  <c r="I4548"/>
  <c r="I3107"/>
  <c r="I5395"/>
  <c r="I5244"/>
  <c r="I2263"/>
  <c r="I568"/>
  <c r="I4450"/>
  <c r="I3291"/>
  <c r="I248"/>
  <c r="I668"/>
  <c r="I1748"/>
  <c r="I4202"/>
  <c r="I5517"/>
  <c r="I5078"/>
  <c r="I3634"/>
  <c r="I5189"/>
  <c r="I5191"/>
  <c r="I4117"/>
  <c r="I5101"/>
  <c r="I1501"/>
  <c r="I1251"/>
  <c r="I1064"/>
  <c r="I3816"/>
  <c r="I2210"/>
  <c r="I4498"/>
  <c r="I4696"/>
  <c r="I4253"/>
  <c r="I3005"/>
  <c r="I1496"/>
  <c r="I2146"/>
  <c r="I272"/>
  <c r="I3733"/>
  <c r="I3682"/>
  <c r="I2523"/>
  <c r="I2685"/>
  <c r="I2957"/>
  <c r="I3012"/>
  <c r="I3274"/>
  <c r="I3388"/>
  <c r="I3422"/>
  <c r="I2075"/>
  <c r="I860"/>
  <c r="I4157"/>
  <c r="I5286"/>
  <c r="I4279"/>
  <c r="I1895"/>
  <c r="I5646"/>
  <c r="I136"/>
  <c r="I236"/>
  <c r="I1984"/>
  <c r="I3128"/>
  <c r="I4755"/>
  <c r="I4314"/>
  <c r="I1642"/>
  <c r="I5615"/>
  <c r="I3275"/>
  <c r="I2795"/>
  <c r="I2083"/>
  <c r="I4708"/>
  <c r="I3531"/>
  <c r="I1768"/>
  <c r="I2307"/>
  <c r="I936"/>
  <c r="I508"/>
  <c r="I1085"/>
  <c r="I2159"/>
  <c r="I2488"/>
  <c r="I2196"/>
  <c r="I1669"/>
  <c r="I2164"/>
  <c r="I4574"/>
  <c r="I3103"/>
  <c r="I4661"/>
  <c r="I3662"/>
  <c r="I1411"/>
  <c r="I5198"/>
  <c r="I1405"/>
  <c r="I3995"/>
  <c r="I573"/>
  <c r="I152"/>
  <c r="I4073"/>
  <c r="I5697"/>
  <c r="I459"/>
  <c r="I609"/>
  <c r="I673"/>
  <c r="I5873"/>
  <c r="I2184"/>
  <c r="I5639"/>
  <c r="I4069"/>
  <c r="I2353"/>
  <c r="I1344"/>
  <c r="I2453"/>
  <c r="I3771"/>
  <c r="I3647"/>
  <c r="I3779"/>
  <c r="I2566"/>
  <c r="I1199"/>
  <c r="I296"/>
  <c r="I3990"/>
  <c r="I1087"/>
  <c r="I5232"/>
  <c r="I1855"/>
  <c r="I1915"/>
  <c r="I2391"/>
  <c r="I2115"/>
  <c r="I5112"/>
  <c r="I4818"/>
  <c r="I5917"/>
  <c r="I5714"/>
  <c r="I948"/>
  <c r="I780"/>
  <c r="I4452"/>
  <c r="I4558"/>
  <c r="I5679"/>
  <c r="I5533"/>
  <c r="I3606"/>
  <c r="I5929"/>
  <c r="I5684"/>
  <c r="I4058"/>
  <c r="I4354"/>
  <c r="I24"/>
  <c r="I5054"/>
  <c r="I4669"/>
  <c r="I3006"/>
  <c r="I532"/>
  <c r="I5025"/>
  <c r="I5951"/>
  <c r="I3591"/>
  <c r="I2951"/>
  <c r="I3708"/>
  <c r="I5872"/>
  <c r="I2663"/>
  <c r="I3702"/>
  <c r="I4134"/>
  <c r="I4338"/>
  <c r="I3976"/>
  <c r="I5795"/>
  <c r="I1027"/>
  <c r="I5388"/>
  <c r="I3663"/>
  <c r="I880"/>
  <c r="I4857"/>
  <c r="I4407"/>
  <c r="I3724"/>
  <c r="I5103"/>
  <c r="I4409"/>
  <c r="I5056"/>
  <c r="I4316"/>
  <c r="I2923"/>
  <c r="I4513"/>
  <c r="I4822"/>
  <c r="I5204"/>
  <c r="I4310"/>
  <c r="I5376"/>
  <c r="I1421"/>
  <c r="I5424"/>
  <c r="I3426"/>
  <c r="I2765"/>
  <c r="I4353"/>
  <c r="I4391"/>
  <c r="I2706"/>
  <c r="I3055"/>
  <c r="I340"/>
  <c r="I320"/>
  <c r="I4425"/>
  <c r="I1587"/>
  <c r="I5076"/>
  <c r="I2301"/>
  <c r="I160"/>
  <c r="I5438"/>
  <c r="I1996"/>
  <c r="I5663"/>
  <c r="I4897"/>
  <c r="I2835"/>
  <c r="I3838"/>
  <c r="I5339"/>
  <c r="I3890"/>
  <c r="I1883"/>
  <c r="I3788"/>
  <c r="I5143"/>
  <c r="I2205"/>
  <c r="I2538"/>
  <c r="I1666"/>
  <c r="I4479"/>
  <c r="I2707"/>
  <c r="I4662"/>
  <c r="I1650"/>
  <c r="I1608"/>
  <c r="I2232"/>
  <c r="I1955"/>
  <c r="I3094"/>
  <c r="I5468"/>
  <c r="I2143"/>
  <c r="I3600"/>
  <c r="I3525"/>
  <c r="I2652"/>
  <c r="I2624"/>
  <c r="I1187"/>
  <c r="I2560"/>
  <c r="I3519"/>
  <c r="I3828"/>
  <c r="I2853"/>
  <c r="I2873"/>
  <c r="I5748"/>
  <c r="I5818"/>
  <c r="I5162"/>
  <c r="I4487"/>
  <c r="I4970"/>
  <c r="I3937"/>
  <c r="I3501"/>
  <c r="I4839"/>
  <c r="I1795"/>
  <c r="I5304"/>
  <c r="I596"/>
  <c r="I4643"/>
  <c r="I2824"/>
  <c r="I5040"/>
  <c r="I4193"/>
  <c r="I1063"/>
  <c r="I995"/>
  <c r="I2157"/>
  <c r="I3146"/>
  <c r="I5893"/>
  <c r="I1979"/>
  <c r="I1635"/>
  <c r="I5207"/>
  <c r="I1951"/>
  <c r="I1607"/>
  <c r="I2850"/>
  <c r="I620"/>
  <c r="I5012"/>
  <c r="I3528"/>
  <c r="I188"/>
  <c r="I5563"/>
  <c r="I2005"/>
  <c r="I5820"/>
  <c r="I5656"/>
  <c r="I3635"/>
  <c r="I3167"/>
  <c r="I4380"/>
  <c r="I5311"/>
  <c r="I1595"/>
  <c r="I4343"/>
  <c r="I4384"/>
  <c r="I1219"/>
  <c r="I1026"/>
  <c r="I2568"/>
  <c r="I228"/>
  <c r="I3437"/>
  <c r="I1487"/>
  <c r="I4665"/>
  <c r="I4608"/>
  <c r="I2200"/>
  <c r="I336"/>
  <c r="I3880"/>
  <c r="I3127"/>
  <c r="I2952"/>
  <c r="I2072"/>
  <c r="I2018"/>
  <c r="I5156"/>
  <c r="I5004"/>
  <c r="I4469"/>
  <c r="I3109"/>
  <c r="I2135"/>
  <c r="I808"/>
  <c r="I164"/>
  <c r="I716"/>
  <c r="I5828"/>
  <c r="I4865"/>
  <c r="I4905"/>
  <c r="I5530"/>
  <c r="I3980"/>
  <c r="I5340"/>
  <c r="I2626"/>
  <c r="I4964"/>
  <c r="I5698"/>
  <c r="I688"/>
  <c r="I5132"/>
  <c r="I1005"/>
  <c r="I5015"/>
  <c r="I4880"/>
  <c r="I4885"/>
  <c r="I3789"/>
  <c r="I3553"/>
  <c r="I3453"/>
  <c r="I5082"/>
  <c r="I2237"/>
  <c r="I276"/>
  <c r="I4625"/>
  <c r="I2845"/>
  <c r="I3254"/>
  <c r="I4894"/>
  <c r="I1550"/>
  <c r="I1749"/>
  <c r="I1834"/>
  <c r="I914"/>
  <c r="I2759"/>
  <c r="I3304"/>
  <c r="I768"/>
  <c r="I5915"/>
  <c r="I5916"/>
  <c r="I5772"/>
  <c r="I2691"/>
  <c r="I5641"/>
  <c r="I4725"/>
  <c r="I5747"/>
  <c r="I5026"/>
  <c r="I5160"/>
  <c r="I4603"/>
  <c r="I3544"/>
  <c r="I5576"/>
  <c r="I5104"/>
  <c r="I4570"/>
  <c r="I1563"/>
  <c r="I2991"/>
  <c r="I1837"/>
  <c r="I2179"/>
  <c r="I2947"/>
  <c r="I1679"/>
  <c r="I696"/>
  <c r="I3106"/>
  <c r="I3183"/>
  <c r="I3518"/>
  <c r="I2401"/>
  <c r="I2281"/>
  <c r="I790"/>
  <c r="I5808"/>
  <c r="I1307"/>
  <c r="I5167"/>
  <c r="I2651"/>
  <c r="I1407"/>
  <c r="I240"/>
  <c r="I5199"/>
  <c r="I1946"/>
  <c r="I3302"/>
  <c r="I5243"/>
  <c r="I4283"/>
  <c r="I5689"/>
  <c r="I3366"/>
  <c r="I3673"/>
  <c r="I3824"/>
  <c r="I4355"/>
  <c r="I4321"/>
  <c r="I5841"/>
  <c r="I1428"/>
  <c r="I1712"/>
  <c r="I1486"/>
  <c r="I1978"/>
  <c r="I2064"/>
  <c r="I3695"/>
  <c r="I1159"/>
  <c r="I4872"/>
  <c r="I3852"/>
  <c r="I5547"/>
  <c r="I2219"/>
  <c r="I4842"/>
  <c r="I4086"/>
  <c r="I3015"/>
  <c r="I2587"/>
  <c r="I2767"/>
  <c r="I2147"/>
  <c r="I4241"/>
  <c r="I1283"/>
  <c r="I392"/>
  <c r="I360"/>
  <c r="I3510"/>
  <c r="I3454"/>
  <c r="I5870"/>
  <c r="I5421"/>
  <c r="I5152"/>
  <c r="I5579"/>
  <c r="I5149"/>
  <c r="I3782"/>
  <c r="I1319"/>
  <c r="I4508"/>
  <c r="I3991"/>
  <c r="I3940"/>
  <c r="I4056"/>
  <c r="I1095"/>
  <c r="I4592"/>
  <c r="I2211"/>
  <c r="I5064"/>
  <c r="I5685"/>
  <c r="I5574"/>
  <c r="I2843"/>
  <c r="I5516"/>
  <c r="I5307"/>
  <c r="I4282"/>
  <c r="I1343"/>
  <c r="I4965"/>
  <c r="I5758"/>
  <c r="I3443"/>
  <c r="I5491"/>
  <c r="I1059"/>
  <c r="I5444"/>
  <c r="I4135"/>
  <c r="I4467"/>
  <c r="I5272"/>
  <c r="I4968"/>
  <c r="I1938"/>
  <c r="I1880"/>
  <c r="I76"/>
  <c r="I5312"/>
  <c r="I4997"/>
  <c r="I3738"/>
  <c r="I5637"/>
  <c r="I5411"/>
  <c r="I4828"/>
  <c r="I3644"/>
  <c r="I1463"/>
  <c r="I2223"/>
  <c r="I1351"/>
  <c r="I940"/>
  <c r="I784"/>
  <c r="I5562"/>
  <c r="I2519"/>
  <c r="I2119"/>
  <c r="I3416"/>
  <c r="I5338"/>
  <c r="I5187"/>
  <c r="I1544"/>
  <c r="I3326"/>
  <c r="I4985"/>
  <c r="I5282"/>
  <c r="I2178"/>
  <c r="I1101"/>
  <c r="I5705"/>
  <c r="I5948"/>
  <c r="I5720"/>
  <c r="I3251"/>
  <c r="I3585"/>
  <c r="I5702"/>
  <c r="I4158"/>
  <c r="I4864"/>
  <c r="I4782"/>
  <c r="I1459"/>
  <c r="I4083"/>
  <c r="I1503"/>
  <c r="I4647"/>
  <c r="I5271"/>
  <c r="I3123"/>
  <c r="I4334"/>
  <c r="I4092"/>
  <c r="I2327"/>
  <c r="I5945"/>
  <c r="I916"/>
  <c r="I884"/>
  <c r="I2123"/>
  <c r="I1879"/>
  <c r="I712"/>
  <c r="I680"/>
  <c r="I5327"/>
  <c r="I5175"/>
  <c r="I4555"/>
  <c r="I372"/>
  <c r="I5852"/>
  <c r="I1475"/>
  <c r="I3704"/>
  <c r="I740"/>
  <c r="I2294"/>
  <c r="I5588"/>
  <c r="I5861"/>
  <c r="I3139"/>
  <c r="I3480"/>
  <c r="I2783"/>
  <c r="I2515"/>
  <c r="I216"/>
  <c r="I3231"/>
  <c r="I648"/>
  <c r="I3087"/>
  <c r="I576"/>
  <c r="I4284"/>
  <c r="I2438"/>
  <c r="I2883"/>
  <c r="I5423"/>
  <c r="I3126"/>
  <c r="I3070"/>
  <c r="I1021"/>
  <c r="I1073"/>
  <c r="I1279"/>
  <c r="I1533"/>
  <c r="I1695"/>
  <c r="I1523"/>
  <c r="I3076"/>
  <c r="I2319"/>
  <c r="I1155"/>
  <c r="I4490"/>
  <c r="I5288"/>
  <c r="I5407"/>
  <c r="I4007"/>
  <c r="I4427"/>
  <c r="I5408"/>
  <c r="I5733"/>
  <c r="I5635"/>
  <c r="I4342"/>
  <c r="I3195"/>
  <c r="I2946"/>
  <c r="I2499"/>
  <c r="I5027"/>
  <c r="I3897"/>
  <c r="I5342"/>
  <c r="I3348"/>
  <c r="I973"/>
  <c r="I5442"/>
  <c r="I5362"/>
  <c r="I1339"/>
  <c r="I1207"/>
  <c r="I4651"/>
  <c r="I5235"/>
  <c r="I5595"/>
  <c r="I991"/>
  <c r="I5404"/>
  <c r="I5479"/>
  <c r="I3357"/>
  <c r="I3314"/>
  <c r="I5251"/>
  <c r="I5100"/>
  <c r="I4517"/>
  <c r="I420"/>
  <c r="I2563"/>
  <c r="I1507"/>
  <c r="I184"/>
  <c r="I2552"/>
  <c r="I2304"/>
  <c r="I5716"/>
  <c r="I5946"/>
  <c r="I3905"/>
  <c r="I2827"/>
  <c r="I3932"/>
  <c r="I3181"/>
  <c r="I5274"/>
  <c r="I3023"/>
  <c r="I4096"/>
  <c r="I644"/>
  <c r="I5821"/>
  <c r="I4227"/>
  <c r="I2929"/>
  <c r="I3564"/>
  <c r="I2525"/>
  <c r="I1618"/>
  <c r="I1560"/>
  <c r="I1853"/>
  <c r="I5838"/>
  <c r="I4883"/>
  <c r="I4854"/>
  <c r="I3382"/>
  <c r="I2770"/>
  <c r="I5707"/>
  <c r="I3292"/>
  <c r="I3744"/>
  <c r="I3972"/>
  <c r="I2458"/>
  <c r="I4648"/>
  <c r="I1757"/>
  <c r="I816"/>
  <c r="I4120"/>
  <c r="I4462"/>
  <c r="I2797"/>
  <c r="I5226"/>
  <c r="I1875"/>
  <c r="I1103"/>
  <c r="I2509"/>
  <c r="I3323"/>
  <c r="I4888"/>
  <c r="I3361"/>
  <c r="I3197"/>
  <c r="I1874"/>
  <c r="I4606"/>
  <c r="I4626"/>
  <c r="I2503"/>
  <c r="I1639"/>
  <c r="I1181"/>
  <c r="I812"/>
  <c r="I3147"/>
  <c r="I968"/>
  <c r="I548"/>
  <c r="I3397"/>
  <c r="I4770"/>
  <c r="I5118"/>
  <c r="I2750"/>
  <c r="I2486"/>
  <c r="I1342"/>
  <c r="I1467"/>
  <c r="I4917"/>
  <c r="I3655"/>
  <c r="I4605"/>
  <c r="I4536"/>
  <c r="I2909"/>
  <c r="I4473"/>
  <c r="I4088"/>
  <c r="I1370"/>
  <c r="I4774"/>
  <c r="I4765"/>
  <c r="I3450"/>
  <c r="I3765"/>
  <c r="I2069"/>
  <c r="I2154"/>
  <c r="I1216"/>
  <c r="I1824"/>
  <c r="I1218"/>
  <c r="I2082"/>
  <c r="I4372"/>
  <c r="I1120"/>
  <c r="I3286"/>
  <c r="I1685"/>
  <c r="I1469"/>
  <c r="I556"/>
  <c r="I3376"/>
  <c r="I3900"/>
  <c r="I328"/>
  <c r="I2943"/>
  <c r="I1292"/>
  <c r="I1492"/>
  <c r="I1577"/>
  <c r="I721"/>
  <c r="I857"/>
  <c r="I2328"/>
  <c r="I4278"/>
  <c r="I5441"/>
  <c r="I4330"/>
  <c r="I3355"/>
  <c r="I2959"/>
  <c r="I4876"/>
  <c r="I156"/>
  <c r="I3652"/>
  <c r="I3558"/>
  <c r="I1499"/>
  <c r="I3119"/>
  <c r="I1816"/>
  <c r="I1891"/>
  <c r="I5590"/>
  <c r="I4300"/>
  <c r="I1171"/>
  <c r="I2427"/>
  <c r="I1901"/>
  <c r="I1634"/>
  <c r="I4721"/>
  <c r="I2530"/>
  <c r="I500"/>
  <c r="I3333"/>
  <c r="I4177"/>
  <c r="I1720"/>
  <c r="I3907"/>
  <c r="I401"/>
  <c r="I4100"/>
  <c r="I5396"/>
  <c r="I5531"/>
  <c r="I5672"/>
  <c r="I4031"/>
  <c r="I3218"/>
  <c r="I5346"/>
  <c r="I5351"/>
  <c r="I1385"/>
  <c r="I4148"/>
  <c r="I3187"/>
  <c r="I1731"/>
  <c r="I3282"/>
  <c r="I4761"/>
  <c r="I5927"/>
  <c r="I493"/>
  <c r="I3121"/>
  <c r="I5856"/>
  <c r="I4775"/>
  <c r="I3065"/>
  <c r="I3668"/>
  <c r="I1193"/>
  <c r="I242"/>
  <c r="I3808"/>
  <c r="I2948"/>
  <c r="I2966"/>
  <c r="I3452"/>
  <c r="I2269"/>
  <c r="I1336"/>
  <c r="I3162"/>
  <c r="I3819"/>
  <c r="I4468"/>
  <c r="I4824"/>
  <c r="I2468"/>
  <c r="I1348"/>
  <c r="I3599"/>
  <c r="I2376"/>
  <c r="I3135"/>
  <c r="I5914"/>
  <c r="I2983"/>
  <c r="I5471"/>
  <c r="I5561"/>
  <c r="I104"/>
  <c r="I4272"/>
  <c r="I2239"/>
  <c r="I200"/>
  <c r="I5306"/>
  <c r="I2978"/>
  <c r="I2167"/>
  <c r="I5145"/>
  <c r="I5457"/>
  <c r="I4814"/>
  <c r="I4718"/>
  <c r="I3261"/>
  <c r="I1115"/>
  <c r="I3575"/>
  <c r="I2031"/>
  <c r="I4045"/>
  <c r="I5324"/>
  <c r="I2648"/>
  <c r="I5316"/>
  <c r="I715"/>
  <c r="I3338"/>
  <c r="I2261"/>
  <c r="I4082"/>
  <c r="I5081"/>
  <c r="I5784"/>
  <c r="I4107"/>
  <c r="I3496"/>
  <c r="I2015"/>
  <c r="I5330"/>
  <c r="I3152"/>
  <c r="I5363"/>
  <c r="I5322"/>
  <c r="I4357"/>
  <c r="I3999"/>
  <c r="I1314"/>
  <c r="I2689"/>
  <c r="I3242"/>
  <c r="I3603"/>
  <c r="I2582"/>
  <c r="I2749"/>
  <c r="I3034"/>
  <c r="I5087"/>
  <c r="I2908"/>
  <c r="I2644"/>
  <c r="I5374"/>
  <c r="I2045"/>
  <c r="I5814"/>
  <c r="I1869"/>
  <c r="I1003"/>
  <c r="I5799"/>
  <c r="I5172"/>
  <c r="I4757"/>
  <c r="I4656"/>
  <c r="I2876"/>
  <c r="I2990"/>
  <c r="I2780"/>
  <c r="I4710"/>
  <c r="I2231"/>
  <c r="I4320"/>
  <c r="I4849"/>
  <c r="I5727"/>
  <c r="I5776"/>
  <c r="I3117"/>
  <c r="I1074"/>
  <c r="I356"/>
  <c r="I1298"/>
  <c r="I4232"/>
  <c r="I2664"/>
  <c r="I1016"/>
  <c r="I5586"/>
  <c r="I2399"/>
  <c r="I5094"/>
  <c r="I4942"/>
  <c r="I5151"/>
  <c r="I3245"/>
  <c r="I1714"/>
  <c r="I4233"/>
  <c r="I5373"/>
  <c r="I2679"/>
  <c r="I1359"/>
  <c r="I1800"/>
  <c r="I3814"/>
  <c r="I3007"/>
  <c r="I1045"/>
  <c r="I935"/>
  <c r="I4143"/>
  <c r="I4808"/>
  <c r="I1547"/>
  <c r="I4252"/>
  <c r="I3910"/>
  <c r="I772"/>
  <c r="I5678"/>
  <c r="I1709"/>
  <c r="I1956"/>
  <c r="I1214"/>
  <c r="I3735"/>
  <c r="I4980"/>
  <c r="I1442"/>
  <c r="I273"/>
  <c r="I422"/>
  <c r="I486"/>
  <c r="I2024"/>
  <c r="I3447"/>
  <c r="I3028"/>
  <c r="I1436"/>
  <c r="I1721"/>
  <c r="I906"/>
  <c r="I1552"/>
  <c r="I1438"/>
  <c r="I1169"/>
  <c r="I3717"/>
  <c r="I2022"/>
  <c r="I2287"/>
  <c r="I3062"/>
  <c r="I3872"/>
  <c r="I4792"/>
  <c r="I1262"/>
  <c r="I2001"/>
  <c r="I4166"/>
  <c r="I4044"/>
  <c r="I1906"/>
  <c r="I3268"/>
  <c r="I4771"/>
  <c r="I5242"/>
  <c r="I3535"/>
  <c r="I865"/>
  <c r="I3936"/>
  <c r="I3556"/>
  <c r="I3120"/>
  <c r="I3929"/>
  <c r="I1654"/>
  <c r="I1854"/>
  <c r="I1940"/>
  <c r="I1001"/>
  <c r="I3836"/>
  <c r="I1490"/>
  <c r="I3356"/>
  <c r="I4916"/>
  <c r="I2988"/>
  <c r="I269"/>
  <c r="I689"/>
  <c r="I87"/>
  <c r="I864"/>
  <c r="I5299"/>
  <c r="I4932"/>
  <c r="I2317"/>
  <c r="I4543"/>
  <c r="I2489"/>
  <c r="I333"/>
  <c r="I837"/>
  <c r="I4959"/>
  <c r="I2562"/>
  <c r="I2306"/>
  <c r="I2643"/>
  <c r="I2541"/>
  <c r="I4483"/>
  <c r="I2410"/>
  <c r="I5148"/>
  <c r="I2349"/>
  <c r="I763"/>
  <c r="I4749"/>
  <c r="I1517"/>
  <c r="I2666"/>
  <c r="I3945"/>
  <c r="I361"/>
  <c r="I135"/>
  <c r="I832"/>
  <c r="I4936"/>
  <c r="I889"/>
  <c r="I2543"/>
  <c r="I4484"/>
  <c r="I1441"/>
  <c r="I1210"/>
  <c r="I4589"/>
  <c r="I4569"/>
  <c r="I1674"/>
  <c r="I4511"/>
  <c r="I3985"/>
  <c r="I694"/>
  <c r="I4229"/>
  <c r="I109"/>
  <c r="I3434"/>
  <c r="I4434"/>
  <c r="I4138"/>
  <c r="I3627"/>
  <c r="I3574"/>
  <c r="I4653"/>
  <c r="I5811"/>
  <c r="I4563"/>
  <c r="I3992"/>
  <c r="I225"/>
  <c r="I3678"/>
  <c r="I672"/>
  <c r="I2311"/>
  <c r="I3161"/>
  <c r="I3424"/>
  <c r="I3540"/>
  <c r="I3785"/>
  <c r="I2935"/>
  <c r="I1287"/>
  <c r="I2288"/>
  <c r="I1434"/>
  <c r="I4747"/>
  <c r="I2704"/>
  <c r="I3781"/>
  <c r="I2420"/>
  <c r="I1801"/>
  <c r="I1652"/>
  <c r="I4499"/>
  <c r="I3846"/>
  <c r="I3928"/>
  <c r="I3190"/>
  <c r="I670"/>
  <c r="I1364"/>
  <c r="I1379"/>
  <c r="I2466"/>
  <c r="I849"/>
  <c r="I5328"/>
  <c r="I3232"/>
  <c r="I2890"/>
  <c r="I2650"/>
  <c r="I2479"/>
  <c r="I416"/>
  <c r="I2764"/>
  <c r="I1910"/>
  <c r="I1464"/>
  <c r="I1100"/>
  <c r="I1745"/>
  <c r="I161"/>
  <c r="I229"/>
  <c r="I44"/>
  <c r="I3977"/>
  <c r="I217"/>
  <c r="I4339"/>
  <c r="I3022"/>
  <c r="I4504"/>
  <c r="I1260"/>
  <c r="I1742"/>
  <c r="I1134"/>
  <c r="I5864"/>
  <c r="I1373"/>
  <c r="I1974"/>
  <c r="I2260"/>
  <c r="I4776"/>
  <c r="I1332"/>
  <c r="I4265"/>
  <c r="I5761"/>
  <c r="I1919"/>
  <c r="I4507"/>
  <c r="I3503"/>
  <c r="I1261"/>
  <c r="I5529"/>
  <c r="I2460"/>
  <c r="I3616"/>
  <c r="I4163"/>
  <c r="I3241"/>
  <c r="I2402"/>
  <c r="I5308"/>
  <c r="I3736"/>
  <c r="I2177"/>
  <c r="I608"/>
  <c r="I2000"/>
  <c r="I2071"/>
  <c r="I2258"/>
  <c r="I2836"/>
  <c r="I1982"/>
  <c r="I3057"/>
  <c r="I1888"/>
  <c r="I505"/>
  <c r="I4095"/>
  <c r="I261"/>
  <c r="I5736"/>
  <c r="I5138"/>
  <c r="I1065"/>
  <c r="I1349"/>
  <c r="I4191"/>
  <c r="I227"/>
  <c r="I1744"/>
  <c r="I4846"/>
  <c r="I5923"/>
  <c r="I1356"/>
  <c r="I3439"/>
  <c r="I5294"/>
  <c r="I2139"/>
  <c r="I308"/>
  <c r="I2415"/>
  <c r="I621"/>
  <c r="I834"/>
  <c r="I5121"/>
  <c r="I450"/>
  <c r="I461"/>
  <c r="I4882"/>
  <c r="I435"/>
  <c r="I2971"/>
  <c r="I1313"/>
  <c r="I1030"/>
  <c r="I5666"/>
  <c r="I4340"/>
  <c r="I3597"/>
  <c r="I626"/>
  <c r="I41"/>
  <c r="I4208"/>
  <c r="I3947"/>
  <c r="I4787"/>
  <c r="I5170"/>
  <c r="I3025"/>
  <c r="I4735"/>
  <c r="I713"/>
  <c r="I249"/>
  <c r="I3787"/>
  <c r="I5035"/>
  <c r="I3277"/>
  <c r="I1044"/>
  <c r="I1753"/>
  <c r="I3973"/>
  <c r="I3002"/>
  <c r="I3045"/>
  <c r="I582"/>
  <c r="I2886"/>
  <c r="I377"/>
  <c r="I3068"/>
  <c r="I1190"/>
  <c r="I2006"/>
  <c r="I4525"/>
  <c r="I2172"/>
  <c r="I1646"/>
  <c r="I2617"/>
  <c r="I141"/>
  <c r="I1889"/>
  <c r="I253"/>
  <c r="I119"/>
  <c r="I239"/>
  <c r="I1791"/>
  <c r="I2063"/>
  <c r="I2816"/>
  <c r="I5287"/>
  <c r="I931"/>
  <c r="I4292"/>
  <c r="I4777"/>
  <c r="I4862"/>
  <c r="I643"/>
  <c r="I1066"/>
  <c r="I162"/>
  <c r="I4919"/>
  <c r="I2190"/>
  <c r="I1809"/>
  <c r="I147"/>
  <c r="I483"/>
  <c r="I481"/>
  <c r="I825"/>
  <c r="I5231"/>
  <c r="I2814"/>
  <c r="I5943"/>
  <c r="I5080"/>
  <c r="I3166"/>
  <c r="I310"/>
  <c r="I5234"/>
  <c r="I1805"/>
  <c r="I4783"/>
  <c r="I2702"/>
  <c r="I2511"/>
  <c r="I2114"/>
  <c r="I1408"/>
  <c r="I658"/>
  <c r="I1760"/>
  <c r="I3952"/>
  <c r="I3806"/>
  <c r="I3862"/>
  <c r="I5436"/>
  <c r="I267"/>
  <c r="I4639"/>
  <c r="I717"/>
  <c r="I4152"/>
  <c r="I2480"/>
  <c r="I1615"/>
  <c r="I5614"/>
  <c r="I2864"/>
  <c r="I3924"/>
  <c r="I1096"/>
  <c r="I2357"/>
  <c r="I2296"/>
  <c r="I2822"/>
  <c r="I2493"/>
  <c r="I2238"/>
  <c r="I779"/>
  <c r="I2156"/>
  <c r="I40"/>
  <c r="I2384"/>
  <c r="I1229"/>
  <c r="I2974"/>
  <c r="I534"/>
  <c r="I59"/>
  <c r="I1230"/>
  <c r="I282"/>
  <c r="I777"/>
  <c r="I155"/>
  <c r="I549"/>
  <c r="I543"/>
  <c r="I3539"/>
  <c r="I826"/>
  <c r="I3294"/>
  <c r="I2055"/>
  <c r="I1876"/>
  <c r="I3432"/>
  <c r="I1717"/>
  <c r="I4760"/>
  <c r="I138"/>
  <c r="I165"/>
  <c r="I524"/>
  <c r="I5435"/>
  <c r="I4819"/>
  <c r="I2754"/>
  <c r="I3075"/>
  <c r="I3505"/>
  <c r="I4797"/>
  <c r="I179"/>
  <c r="I38"/>
  <c r="I3860"/>
  <c r="I1778"/>
  <c r="I2419"/>
  <c r="I3811"/>
  <c r="I1105"/>
  <c r="I591"/>
  <c r="I1070"/>
  <c r="I451"/>
  <c r="I3963"/>
  <c r="I781"/>
  <c r="I85"/>
  <c r="I315"/>
  <c r="I5602"/>
  <c r="I4565"/>
  <c r="I3950"/>
  <c r="I4512"/>
  <c r="I4019"/>
  <c r="I3271"/>
  <c r="I4675"/>
  <c r="I3226"/>
  <c r="I4101"/>
  <c r="I2857"/>
  <c r="I4645"/>
  <c r="I5537"/>
  <c r="I1601"/>
  <c r="I3537"/>
  <c r="I4731"/>
  <c r="I2879"/>
  <c r="I5037"/>
  <c r="I3352"/>
  <c r="I4465"/>
  <c r="I5475"/>
  <c r="I3584"/>
  <c r="I4943"/>
  <c r="I3319"/>
  <c r="I2674"/>
  <c r="I5230"/>
  <c r="I3170"/>
  <c r="I2363"/>
  <c r="I3694"/>
  <c r="I4918"/>
  <c r="I5211"/>
  <c r="I1775"/>
  <c r="I1935"/>
  <c r="I4557"/>
  <c r="I5001"/>
  <c r="I5833"/>
  <c r="I2408"/>
  <c r="I1325"/>
  <c r="I3958"/>
  <c r="I1773"/>
  <c r="I722"/>
  <c r="I5220"/>
  <c r="I1112"/>
  <c r="I2968"/>
  <c r="I2823"/>
  <c r="I5216"/>
  <c r="I4685"/>
  <c r="I3202"/>
  <c r="I660"/>
  <c r="I4701"/>
  <c r="I2657"/>
  <c r="I2032"/>
  <c r="I761"/>
  <c r="I5284"/>
  <c r="I4159"/>
  <c r="I1378"/>
  <c r="I683"/>
  <c r="I833"/>
  <c r="I897"/>
  <c r="I5805"/>
  <c r="I2011"/>
  <c r="I2274"/>
  <c r="I3125"/>
  <c r="I3124"/>
  <c r="I650"/>
  <c r="I4248"/>
  <c r="I2173"/>
  <c r="I292"/>
  <c r="I3490"/>
  <c r="I4951"/>
  <c r="I2834"/>
  <c r="I1240"/>
  <c r="I3148"/>
  <c r="I4676"/>
  <c r="I5777"/>
  <c r="I477"/>
  <c r="I3078"/>
  <c r="I3569"/>
  <c r="I2087"/>
  <c r="I1667"/>
  <c r="I4430"/>
  <c r="I5632"/>
  <c r="I2811"/>
  <c r="I5434"/>
  <c r="I3798"/>
  <c r="I4632"/>
  <c r="I5888"/>
  <c r="I4561"/>
  <c r="I496"/>
  <c r="I5585"/>
  <c r="I5379"/>
  <c r="I4641"/>
  <c r="I4594"/>
  <c r="I2379"/>
  <c r="I1330"/>
  <c r="I1224"/>
  <c r="I1810"/>
  <c r="I4581"/>
  <c r="I88"/>
  <c r="I4131"/>
  <c r="I3222"/>
  <c r="I3408"/>
  <c r="I5364"/>
  <c r="I3040"/>
  <c r="I3265"/>
  <c r="I3180"/>
  <c r="I5485"/>
  <c r="I4254"/>
  <c r="I5608"/>
  <c r="I3229"/>
  <c r="I4438"/>
  <c r="I2183"/>
  <c r="I5913"/>
  <c r="I4472"/>
  <c r="I1129"/>
  <c r="I5279"/>
  <c r="I1295"/>
  <c r="I3508"/>
  <c r="I3448"/>
  <c r="I2417"/>
  <c r="I2645"/>
  <c r="I2758"/>
  <c r="I1764"/>
  <c r="I3797"/>
  <c r="I300"/>
  <c r="I5670"/>
  <c r="I4176"/>
  <c r="I3414"/>
  <c r="I373"/>
  <c r="I3723"/>
  <c r="I1624"/>
  <c r="I4940"/>
  <c r="I2097"/>
  <c r="I4360"/>
  <c r="I5343"/>
  <c r="I96"/>
  <c r="I1870"/>
  <c r="I1500"/>
  <c r="I1585"/>
  <c r="I727"/>
  <c r="I5356"/>
  <c r="I5123"/>
  <c r="I4790"/>
  <c r="I2559"/>
  <c r="I4526"/>
  <c r="I2571"/>
  <c r="I3718"/>
  <c r="I4078"/>
  <c r="I304"/>
  <c r="I3141"/>
  <c r="I4151"/>
  <c r="I1165"/>
  <c r="I5135"/>
  <c r="I3260"/>
  <c r="I5810"/>
  <c r="I4889"/>
  <c r="I999"/>
  <c r="I5550"/>
  <c r="I2195"/>
  <c r="I5657"/>
  <c r="I3298"/>
  <c r="I4122"/>
  <c r="I3755"/>
  <c r="I528"/>
  <c r="I3369"/>
  <c r="I4119"/>
  <c r="I2653"/>
  <c r="I2837"/>
  <c r="I1130"/>
  <c r="I4560"/>
  <c r="I5528"/>
  <c r="I2203"/>
  <c r="I4239"/>
  <c r="I3098"/>
  <c r="I1586"/>
  <c r="I3967"/>
  <c r="I5454"/>
  <c r="I2452"/>
  <c r="I1380"/>
  <c r="I2028"/>
  <c r="I4236"/>
  <c r="I2338"/>
  <c r="I4485"/>
  <c r="I3417"/>
  <c r="I3579"/>
  <c r="I3478"/>
  <c r="I2625"/>
  <c r="I2717"/>
  <c r="I3885"/>
  <c r="I321"/>
  <c r="I4664"/>
  <c r="I14"/>
  <c r="I863"/>
  <c r="I1766"/>
  <c r="I4077"/>
  <c r="I862"/>
  <c r="I2551"/>
  <c r="I4312"/>
  <c r="I2522"/>
  <c r="I2806"/>
  <c r="I1361"/>
  <c r="I281"/>
  <c r="I1611"/>
  <c r="I1811"/>
  <c r="I2819"/>
  <c r="I804"/>
  <c r="I4910"/>
  <c r="I4022"/>
  <c r="I3701"/>
  <c r="I685"/>
  <c r="I811"/>
  <c r="I4403"/>
  <c r="I2584"/>
  <c r="I640"/>
  <c r="I5686"/>
  <c r="I4420"/>
  <c r="I5032"/>
  <c r="I3533"/>
  <c r="I4471"/>
  <c r="I1549"/>
  <c r="I637"/>
  <c r="I850"/>
  <c r="I1894"/>
  <c r="I3696"/>
  <c r="I5107"/>
  <c r="I819"/>
  <c r="I158"/>
  <c r="I1724"/>
  <c r="I4955"/>
  <c r="I5898"/>
  <c r="I1612"/>
  <c r="I1897"/>
  <c r="I375"/>
  <c r="I2549"/>
  <c r="I3577"/>
  <c r="I2637"/>
  <c r="I2678"/>
  <c r="I5743"/>
  <c r="I2360"/>
  <c r="I1256"/>
  <c r="I4028"/>
  <c r="I797"/>
  <c r="I1699"/>
  <c r="I1052"/>
  <c r="I1337"/>
  <c r="I4324"/>
  <c r="I2553"/>
  <c r="I2540"/>
  <c r="I194"/>
  <c r="I3428"/>
  <c r="I3590"/>
  <c r="I4597"/>
  <c r="I859"/>
  <c r="I4093"/>
  <c r="I5719"/>
  <c r="I3308"/>
  <c r="I757"/>
  <c r="I4994"/>
  <c r="I2078"/>
  <c r="I3386"/>
  <c r="I280"/>
  <c r="I3728"/>
  <c r="I2182"/>
  <c r="I1329"/>
  <c r="I2700"/>
  <c r="I5428"/>
  <c r="I4550"/>
  <c r="I5594"/>
  <c r="I2786"/>
  <c r="I4387"/>
  <c r="I1987"/>
  <c r="I2029"/>
  <c r="I1688"/>
  <c r="I3481"/>
  <c r="I3896"/>
  <c r="I4962"/>
  <c r="I3840"/>
  <c r="I1843"/>
  <c r="I1664"/>
  <c r="I1862"/>
  <c r="I1948"/>
  <c r="I1009"/>
  <c r="I3948"/>
  <c r="I2312"/>
  <c r="I2688"/>
  <c r="I3194"/>
  <c r="I5699"/>
  <c r="I2705"/>
  <c r="I1878"/>
  <c r="I2505"/>
  <c r="I554"/>
  <c r="I2326"/>
  <c r="I2445"/>
  <c r="I4566"/>
  <c r="I1273"/>
  <c r="I557"/>
  <c r="I902"/>
  <c r="I1989"/>
  <c r="I1723"/>
  <c r="I5095"/>
  <c r="I1166"/>
  <c r="I3215"/>
  <c r="I4637"/>
  <c r="I1197"/>
  <c r="I2928"/>
  <c r="I3944"/>
  <c r="I4036"/>
  <c r="I3913"/>
  <c r="I5431"/>
  <c r="I4267"/>
  <c r="I1014"/>
  <c r="I270"/>
  <c r="I1916"/>
  <c r="I170"/>
  <c r="I852"/>
  <c r="I4501"/>
  <c r="I5449"/>
  <c r="I584"/>
  <c r="I3821"/>
  <c r="I1912"/>
  <c r="I1846"/>
  <c r="I231"/>
  <c r="I1546"/>
  <c r="I2662"/>
  <c r="I1847"/>
  <c r="I3876"/>
  <c r="I2801"/>
  <c r="I1877"/>
  <c r="I98"/>
  <c r="I4879"/>
  <c r="I5389"/>
  <c r="I4726"/>
  <c r="I1864"/>
  <c r="I4385"/>
  <c r="I1320"/>
  <c r="I2690"/>
  <c r="I788"/>
  <c r="I747"/>
  <c r="I2574"/>
  <c r="I4717"/>
  <c r="I3064"/>
  <c r="I1981"/>
  <c r="I1962"/>
  <c r="I2161"/>
  <c r="I2246"/>
  <c r="I1308"/>
  <c r="I2927"/>
  <c r="I3404"/>
  <c r="I4072"/>
  <c r="I5629"/>
  <c r="I1561"/>
  <c r="I2378"/>
  <c r="I2185"/>
  <c r="I2016"/>
  <c r="I495"/>
  <c r="I279"/>
  <c r="I4915"/>
  <c r="I1186"/>
  <c r="I1820"/>
  <c r="I967"/>
  <c r="I3621"/>
  <c r="I1844"/>
  <c r="I4922"/>
  <c r="I612"/>
  <c r="I3081"/>
  <c r="I3407"/>
  <c r="I3868"/>
  <c r="I4481"/>
  <c r="I1593"/>
  <c r="I196"/>
  <c r="I5506"/>
  <c r="I480"/>
  <c r="I3502"/>
  <c r="I5092"/>
  <c r="I3593"/>
  <c r="I710"/>
  <c r="I390"/>
  <c r="I810"/>
  <c r="I3033"/>
  <c r="I737"/>
  <c r="I1372"/>
  <c r="I172"/>
  <c r="I5182"/>
  <c r="I209"/>
  <c r="I746"/>
  <c r="I2942"/>
  <c r="I5360"/>
  <c r="I2019"/>
  <c r="I4677"/>
  <c r="I5394"/>
  <c r="I4590"/>
  <c r="I3707"/>
  <c r="I51"/>
  <c r="I2201"/>
  <c r="I4810"/>
  <c r="I4489"/>
  <c r="I64"/>
  <c r="I3685"/>
  <c r="I900"/>
  <c r="I32"/>
  <c r="I219"/>
  <c r="I1078"/>
  <c r="I1168"/>
  <c r="I731"/>
  <c r="I3589"/>
  <c r="I2265"/>
  <c r="I671"/>
  <c r="I26"/>
  <c r="I2136"/>
  <c r="I2730"/>
  <c r="I4003"/>
  <c r="I1076"/>
  <c r="I2742"/>
  <c r="I1174"/>
  <c r="I4344"/>
  <c r="I4831"/>
  <c r="I4663"/>
  <c r="I3177"/>
  <c r="I1094"/>
  <c r="I676"/>
  <c r="I3494"/>
  <c r="I4533"/>
  <c r="I809"/>
  <c r="I2680"/>
  <c r="I1173"/>
  <c r="I5469"/>
  <c r="I1932"/>
  <c r="I2142"/>
  <c r="I5813"/>
  <c r="I1020"/>
  <c r="I5159"/>
  <c r="I3466"/>
  <c r="I4259"/>
  <c r="I4127"/>
  <c r="I885"/>
  <c r="I878"/>
  <c r="I2413"/>
  <c r="I4756"/>
  <c r="I700"/>
  <c r="I1029"/>
  <c r="I1599"/>
  <c r="I1311"/>
  <c r="I1927"/>
  <c r="I529"/>
  <c r="I570"/>
  <c r="I2370"/>
  <c r="I3851"/>
  <c r="I214"/>
  <c r="I3321"/>
  <c r="I701"/>
  <c r="I5797"/>
  <c r="I2056"/>
  <c r="I3392"/>
  <c r="I4692"/>
  <c r="I536"/>
  <c r="I3377"/>
  <c r="I1306"/>
  <c r="I3801"/>
  <c r="I1304"/>
  <c r="I5420"/>
  <c r="I444"/>
  <c r="I4596"/>
  <c r="I1184"/>
  <c r="I3008"/>
  <c r="I3766"/>
  <c r="I2962"/>
  <c r="I1736"/>
  <c r="I2153"/>
  <c r="I4503"/>
  <c r="I4617"/>
  <c r="I277"/>
  <c r="I1146"/>
  <c r="I4895"/>
  <c r="I2162"/>
  <c r="I1242"/>
  <c r="I241"/>
  <c r="I911"/>
  <c r="I2025"/>
  <c r="I2554"/>
  <c r="I193"/>
  <c r="I2170"/>
  <c r="I1396"/>
  <c r="I3332"/>
  <c r="I2457"/>
  <c r="I2698"/>
  <c r="I2342"/>
  <c r="I339"/>
  <c r="I35"/>
  <c r="I3018"/>
  <c r="I5792"/>
  <c r="I454"/>
  <c r="I1930"/>
  <c r="I1478"/>
  <c r="I976"/>
  <c r="I4963"/>
  <c r="I3715"/>
  <c r="I2012"/>
  <c r="I3108"/>
  <c r="I5038"/>
  <c r="I1477"/>
  <c r="I1177"/>
  <c r="I3636"/>
  <c r="I5266"/>
  <c r="I1813"/>
  <c r="I425"/>
  <c r="I1617"/>
  <c r="I2474"/>
  <c r="I2585"/>
  <c r="I413"/>
  <c r="I625"/>
  <c r="I851"/>
  <c r="I307"/>
  <c r="I2426"/>
  <c r="I1622"/>
  <c r="I540"/>
  <c r="I2736"/>
  <c r="I3683"/>
  <c r="I4039"/>
  <c r="I5627"/>
  <c r="I1427"/>
  <c r="I1133"/>
  <c r="I1640"/>
  <c r="I1849"/>
  <c r="I2048"/>
  <c r="I2133"/>
  <c r="I1194"/>
  <c r="I1403"/>
  <c r="I4347"/>
  <c r="I3939"/>
  <c r="I5357"/>
  <c r="I5213"/>
  <c r="I3483"/>
  <c r="I5140"/>
  <c r="I348"/>
  <c r="I316"/>
  <c r="I5647"/>
  <c r="I3041"/>
  <c r="I3375"/>
  <c r="I4523"/>
  <c r="I4386"/>
  <c r="I5896"/>
  <c r="I3642"/>
  <c r="I4578"/>
  <c r="I2051"/>
  <c r="I5757"/>
  <c r="I1629"/>
  <c r="I5478"/>
  <c r="I3464"/>
  <c r="I2472"/>
  <c r="I460"/>
  <c r="I4184"/>
  <c r="I1437"/>
  <c r="I2450"/>
  <c r="I4047"/>
  <c r="I2784"/>
  <c r="I5446"/>
  <c r="I4262"/>
  <c r="I5448"/>
  <c r="I5734"/>
  <c r="I2695"/>
  <c r="I684"/>
  <c r="I3793"/>
  <c r="I5463"/>
  <c r="I1137"/>
  <c r="I566"/>
  <c r="I3941"/>
  <c r="I2392"/>
  <c r="I2141"/>
  <c r="I3844"/>
  <c r="I4205"/>
  <c r="I4584"/>
  <c r="I2897"/>
  <c r="I3269"/>
  <c r="I5036"/>
  <c r="I3462"/>
  <c r="I2345"/>
  <c r="I3413"/>
  <c r="I2756"/>
  <c r="I5819"/>
  <c r="I3817"/>
  <c r="I3620"/>
  <c r="I2531"/>
  <c r="I1389"/>
  <c r="I3220"/>
  <c r="I3488"/>
  <c r="I1541"/>
  <c r="I1740"/>
  <c r="I1825"/>
  <c r="I907"/>
  <c r="I4998"/>
  <c r="I2418"/>
  <c r="I3687"/>
  <c r="I5653"/>
  <c r="I3295"/>
  <c r="I2451"/>
  <c r="I4745"/>
  <c r="I2621"/>
  <c r="I1015"/>
  <c r="I4405"/>
  <c r="I5875"/>
  <c r="I168"/>
  <c r="I5154"/>
  <c r="I3504"/>
  <c r="I4927"/>
  <c r="I3745"/>
  <c r="I4899"/>
  <c r="I2775"/>
  <c r="I1986"/>
  <c r="I1090"/>
  <c r="I3780"/>
  <c r="I4161"/>
  <c r="I1647"/>
  <c r="I4008"/>
  <c r="I1122"/>
  <c r="I5539"/>
  <c r="I4753"/>
  <c r="I3747"/>
  <c r="I3493"/>
  <c r="I2321"/>
  <c r="I5616"/>
  <c r="I4780"/>
  <c r="I1975"/>
  <c r="I252"/>
  <c r="I2290"/>
  <c r="I4851"/>
  <c r="I1656"/>
  <c r="I1294"/>
  <c r="I1093"/>
  <c r="I1571"/>
  <c r="I4681"/>
  <c r="I3657"/>
  <c r="I466"/>
  <c r="I615"/>
  <c r="I679"/>
  <c r="I3651"/>
  <c r="I4687"/>
  <c r="I1128"/>
  <c r="I4371"/>
  <c r="I5575"/>
  <c r="I3832"/>
  <c r="I1089"/>
  <c r="I525"/>
  <c r="I3732"/>
  <c r="I5953"/>
  <c r="I4728"/>
  <c r="I1235"/>
  <c r="I5470"/>
  <c r="I5096"/>
  <c r="I4149"/>
  <c r="I1840"/>
  <c r="I2038"/>
  <c r="I2124"/>
  <c r="I1185"/>
  <c r="I2875"/>
  <c r="I4773"/>
  <c r="I4169"/>
  <c r="I5843"/>
  <c r="I4188"/>
  <c r="I5764"/>
  <c r="I4811"/>
  <c r="I5066"/>
  <c r="I3289"/>
  <c r="I4359"/>
  <c r="I3684"/>
  <c r="I1042"/>
  <c r="I212"/>
  <c r="I5643"/>
  <c r="I5944"/>
  <c r="I5950"/>
  <c r="I4167"/>
  <c r="I4986"/>
  <c r="I1960"/>
  <c r="I1247"/>
  <c r="I4510"/>
  <c r="I28"/>
  <c r="I1443"/>
  <c r="I2941"/>
  <c r="I3850"/>
  <c r="I2738"/>
  <c r="I2202"/>
  <c r="I754"/>
  <c r="I5526"/>
  <c r="I3660"/>
  <c r="I3774"/>
  <c r="I4646"/>
  <c r="I4585"/>
  <c r="I1947"/>
  <c r="I4005"/>
  <c r="I4352"/>
  <c r="I4369"/>
  <c r="I2128"/>
  <c r="I455"/>
  <c r="I2199"/>
  <c r="I3769"/>
  <c r="I4699"/>
  <c r="I690"/>
  <c r="I839"/>
  <c r="I903"/>
  <c r="I4447"/>
  <c r="I2760"/>
  <c r="I3961"/>
  <c r="I1636"/>
  <c r="I829"/>
  <c r="I501"/>
  <c r="I1340"/>
  <c r="I1006"/>
  <c r="I639"/>
  <c r="I1110"/>
  <c r="I4257"/>
  <c r="I4349"/>
  <c r="I3524"/>
  <c r="I4024"/>
  <c r="I1774"/>
  <c r="I323"/>
  <c r="I1489"/>
  <c r="I5524"/>
  <c r="I2354"/>
  <c r="I2264"/>
  <c r="I408"/>
  <c r="I4335"/>
  <c r="I4381"/>
  <c r="I1086"/>
  <c r="I594"/>
  <c r="I4440"/>
  <c r="I2895"/>
  <c r="I628"/>
  <c r="I2681"/>
  <c r="I5052"/>
  <c r="I5729"/>
  <c r="I2602"/>
  <c r="I1574"/>
  <c r="I1352"/>
  <c r="I2221"/>
  <c r="I4361"/>
  <c r="I4037"/>
  <c r="I2377"/>
  <c r="I23"/>
  <c r="I354"/>
  <c r="I1514"/>
  <c r="I3759"/>
  <c r="I2111"/>
  <c r="I4336"/>
  <c r="I3843"/>
  <c r="I4975"/>
  <c r="I666"/>
  <c r="I1312"/>
  <c r="I453"/>
  <c r="I5634"/>
  <c r="I3588"/>
  <c r="I2596"/>
  <c r="I4081"/>
  <c r="I3791"/>
  <c r="I5171"/>
  <c r="I2580"/>
  <c r="I488"/>
  <c r="I614"/>
  <c r="I827"/>
  <c r="I3623"/>
  <c r="I2346"/>
  <c r="I150"/>
  <c r="I3871"/>
  <c r="I2649"/>
  <c r="I3776"/>
  <c r="I4067"/>
  <c r="I2748"/>
  <c r="I3219"/>
  <c r="I1583"/>
  <c r="I3420"/>
  <c r="I619"/>
  <c r="I3030"/>
  <c r="I2441"/>
  <c r="I2640"/>
  <c r="I4026"/>
  <c r="I3803"/>
  <c r="I545"/>
  <c r="I758"/>
  <c r="I2842"/>
  <c r="I3273"/>
  <c r="I3922"/>
  <c r="I3059"/>
  <c r="I5581"/>
  <c r="I5863"/>
  <c r="I2671"/>
  <c r="I3290"/>
  <c r="I5116"/>
  <c r="I939"/>
  <c r="I5527"/>
  <c r="I1579"/>
  <c r="I1047"/>
  <c r="I1239"/>
  <c r="I3520"/>
  <c r="I4048"/>
  <c r="I4276"/>
  <c r="I2572"/>
  <c r="I5073"/>
  <c r="I2397"/>
  <c r="I2089"/>
  <c r="I2373"/>
  <c r="I2826"/>
  <c r="I2741"/>
  <c r="I2192"/>
  <c r="I2960"/>
  <c r="I2424"/>
  <c r="I1289"/>
  <c r="I2299"/>
  <c r="I4137"/>
  <c r="I5007"/>
  <c r="I4383"/>
  <c r="I1022"/>
  <c r="I2049"/>
  <c r="I3906"/>
  <c r="I5246"/>
  <c r="I699"/>
  <c r="I5901"/>
  <c r="I5086"/>
  <c r="I3563"/>
  <c r="I5783"/>
  <c r="I3568"/>
  <c r="I84"/>
  <c r="I2565"/>
  <c r="I2852"/>
  <c r="I1143"/>
  <c r="I854"/>
  <c r="I2790"/>
  <c r="I1750"/>
  <c r="I442"/>
  <c r="I3389"/>
  <c r="I2477"/>
  <c r="I2606"/>
  <c r="I2831"/>
  <c r="I2335"/>
  <c r="I919"/>
  <c r="I1909"/>
  <c r="I274"/>
  <c r="I4515"/>
  <c r="I665"/>
  <c r="I3363"/>
  <c r="I2386"/>
  <c r="I2174"/>
  <c r="I1321"/>
  <c r="I3172"/>
  <c r="I2390"/>
  <c r="I5008"/>
  <c r="I4599"/>
  <c r="I5633"/>
  <c r="I5483"/>
  <c r="I1266"/>
  <c r="I1997"/>
  <c r="I3664"/>
  <c r="I530"/>
  <c r="I379"/>
  <c r="I5180"/>
  <c r="I2520"/>
  <c r="I1651"/>
  <c r="I4180"/>
  <c r="I4733"/>
  <c r="I5164"/>
  <c r="I2821"/>
  <c r="I4002"/>
  <c r="I4815"/>
  <c r="I2636"/>
  <c r="I2945"/>
  <c r="I1660"/>
  <c r="I394"/>
  <c r="I2533"/>
  <c r="I2129"/>
  <c r="I2094"/>
  <c r="I75"/>
  <c r="I2339"/>
  <c r="I5569"/>
  <c r="I1264"/>
  <c r="I550"/>
  <c r="I1516"/>
  <c r="I2314"/>
  <c r="I1655"/>
  <c r="I2600"/>
  <c r="I1157"/>
  <c r="I3783"/>
  <c r="I288"/>
  <c r="I1784"/>
  <c r="I3477"/>
  <c r="I4754"/>
  <c r="I1271"/>
  <c r="I770"/>
  <c r="I4200"/>
  <c r="I2259"/>
  <c r="I663"/>
  <c r="I1838"/>
  <c r="I966"/>
  <c r="I2646"/>
  <c r="I4319"/>
  <c r="I1598"/>
  <c r="I702"/>
  <c r="I5911"/>
  <c r="I4432"/>
  <c r="I1450"/>
  <c r="I2169"/>
  <c r="I848"/>
  <c r="I166"/>
  <c r="I2856"/>
  <c r="I1036"/>
  <c r="I1759"/>
  <c r="I2958"/>
  <c r="I843"/>
  <c r="I503"/>
  <c r="I3654"/>
  <c r="I1710"/>
  <c r="I4551"/>
  <c r="I2278"/>
  <c r="I4920"/>
  <c r="I2732"/>
  <c r="I4150"/>
  <c r="I326"/>
  <c r="I597"/>
  <c r="I105"/>
  <c r="I838"/>
  <c r="I2603"/>
  <c r="I1476"/>
  <c r="I1226"/>
  <c r="I634"/>
  <c r="I3225"/>
  <c r="I3100"/>
  <c r="I592"/>
  <c r="I1857"/>
  <c r="I1885"/>
  <c r="I3716"/>
  <c r="I245"/>
  <c r="I954"/>
  <c r="I3726"/>
  <c r="I2595"/>
  <c r="I2207"/>
  <c r="I5717"/>
  <c r="I2428"/>
  <c r="I3845"/>
  <c r="I751"/>
  <c r="I5802"/>
  <c r="I1417"/>
  <c r="I1055"/>
  <c r="I2965"/>
  <c r="I2564"/>
  <c r="I899"/>
  <c r="I2932"/>
  <c r="I3342"/>
  <c r="I313"/>
  <c r="I4363"/>
  <c r="I3054"/>
  <c r="I3221"/>
  <c r="I610"/>
  <c r="I4859"/>
  <c r="I2061"/>
  <c r="I856"/>
  <c r="I950"/>
  <c r="I5836"/>
  <c r="I4397"/>
  <c r="I5859"/>
  <c r="I5208"/>
  <c r="I2937"/>
  <c r="I1032"/>
  <c r="I1209"/>
  <c r="I1493"/>
  <c r="I2026"/>
  <c r="I3960"/>
  <c r="I1212"/>
  <c r="I5952"/>
  <c r="I4900"/>
  <c r="I5582"/>
  <c r="I820"/>
  <c r="I1444"/>
  <c r="I5625"/>
  <c r="I2280"/>
  <c r="I1282"/>
  <c r="I2683"/>
  <c r="I4535"/>
  <c r="I1575"/>
  <c r="I2501"/>
  <c r="I3753"/>
  <c r="I5806"/>
  <c r="I1970"/>
  <c r="I4611"/>
  <c r="I1953"/>
  <c r="I5214"/>
  <c r="I255"/>
  <c r="I753"/>
  <c r="I2740"/>
  <c r="I1011"/>
  <c r="I4497"/>
  <c r="I4644"/>
  <c r="I3196"/>
  <c r="I4930"/>
  <c r="I4141"/>
  <c r="I4628"/>
  <c r="I397"/>
  <c r="I29"/>
  <c r="I254"/>
  <c r="I4564"/>
  <c r="I1702"/>
  <c r="I398"/>
  <c r="I1532"/>
  <c r="I3901"/>
  <c r="I4627"/>
  <c r="I2101"/>
  <c r="I586"/>
  <c r="I2828"/>
  <c r="I5755"/>
  <c r="I263"/>
  <c r="I2874"/>
  <c r="I3863"/>
  <c r="I3998"/>
  <c r="I3278"/>
  <c r="I2050"/>
  <c r="I2366"/>
  <c r="I2010"/>
  <c r="I2160"/>
  <c r="I1554"/>
  <c r="I3210"/>
  <c r="I434"/>
  <c r="I291"/>
  <c r="I113"/>
  <c r="I4199"/>
  <c r="I623"/>
  <c r="I3380"/>
  <c r="I4600"/>
  <c r="I1172"/>
  <c r="I2672"/>
  <c r="I311"/>
  <c r="I1050"/>
  <c r="I4451"/>
  <c r="I5739"/>
  <c r="I3061"/>
  <c r="I1670"/>
  <c r="I1963"/>
  <c r="I1923"/>
  <c r="I3284"/>
  <c r="I4616"/>
  <c r="I3877"/>
  <c r="I4408"/>
  <c r="I4635"/>
  <c r="I2708"/>
  <c r="I1511"/>
  <c r="I4788"/>
  <c r="I3391"/>
  <c r="I5249"/>
  <c r="I4273"/>
  <c r="I3676"/>
  <c r="I2861"/>
  <c r="I2575"/>
  <c r="I3317"/>
  <c r="I932"/>
  <c r="I4053"/>
  <c r="I2632"/>
  <c r="I5079"/>
  <c r="I3581"/>
  <c r="I4222"/>
  <c r="I5709"/>
  <c r="I4156"/>
  <c r="I5710"/>
  <c r="I2866"/>
  <c r="I1415"/>
  <c r="I4331"/>
  <c r="I2047"/>
  <c r="I3741"/>
  <c r="I2381"/>
  <c r="I4539"/>
  <c r="I1480"/>
  <c r="I5691"/>
  <c r="I337"/>
  <c r="I1223"/>
  <c r="I5905"/>
  <c r="I5174"/>
  <c r="I4809"/>
  <c r="I344"/>
  <c r="I876"/>
  <c r="I4263"/>
  <c r="I4527"/>
  <c r="I5058"/>
  <c r="I4280"/>
  <c r="I1102"/>
  <c r="I2387"/>
  <c r="I3883"/>
  <c r="I3619"/>
  <c r="I2118"/>
  <c r="I2318"/>
  <c r="I2404"/>
  <c r="I1465"/>
  <c r="I5254"/>
  <c r="I4348"/>
  <c r="I2854"/>
  <c r="I3238"/>
  <c r="I3640"/>
  <c r="I1988"/>
  <c r="I3336"/>
  <c r="I376"/>
  <c r="I1267"/>
  <c r="I5332"/>
  <c r="I4025"/>
  <c r="I1272"/>
  <c r="I384"/>
  <c r="I2893"/>
  <c r="I3943"/>
  <c r="I4269"/>
  <c r="I4768"/>
  <c r="I3982"/>
  <c r="I4697"/>
  <c r="I1751"/>
  <c r="I5909"/>
  <c r="I3548"/>
  <c r="I3431"/>
  <c r="I4881"/>
  <c r="I5622"/>
  <c r="I256"/>
  <c r="I1458"/>
  <c r="I3387"/>
  <c r="I5218"/>
  <c r="I412"/>
  <c r="I1410"/>
  <c r="I5555"/>
  <c r="I4006"/>
  <c r="I4847"/>
  <c r="I5835"/>
  <c r="I3259"/>
  <c r="I2687"/>
  <c r="I4264"/>
  <c r="I3810"/>
  <c r="I4207"/>
  <c r="I3280"/>
  <c r="I4220"/>
  <c r="I600"/>
  <c r="I5166"/>
  <c r="I3189"/>
  <c r="I4051"/>
  <c r="I2105"/>
  <c r="I4866"/>
  <c r="I5652"/>
  <c r="I2855"/>
  <c r="I3989"/>
  <c r="I2333"/>
  <c r="I1890"/>
  <c r="I5359"/>
  <c r="I1716"/>
  <c r="I1222"/>
  <c r="I2771"/>
  <c r="I3058"/>
  <c r="I1933"/>
  <c r="I1861"/>
  <c r="I2060"/>
  <c r="I2145"/>
  <c r="I1206"/>
  <c r="I4529"/>
  <c r="I1154"/>
  <c r="I1794"/>
  <c r="I2247"/>
  <c r="I409"/>
  <c r="I603"/>
  <c r="I4591"/>
  <c r="I5790"/>
  <c r="I1075"/>
  <c r="I4799"/>
  <c r="I4631"/>
  <c r="I5511"/>
  <c r="I268"/>
  <c r="I3997"/>
  <c r="I4079"/>
  <c r="I5603"/>
  <c r="I246"/>
  <c r="I140"/>
  <c r="I5926"/>
  <c r="I8"/>
  <c r="I3071"/>
  <c r="I5371"/>
  <c r="I4502"/>
  <c r="I3047"/>
  <c r="I4703"/>
  <c r="I3641"/>
  <c r="I68"/>
  <c r="I1735"/>
  <c r="I2098"/>
  <c r="I1106"/>
  <c r="I4983"/>
  <c r="I1170"/>
  <c r="I4871"/>
  <c r="I5355"/>
  <c r="I3710"/>
  <c r="I1535"/>
  <c r="I4737"/>
  <c r="I4633"/>
  <c r="I4441"/>
  <c r="I5028"/>
  <c r="I3699"/>
  <c r="I484"/>
  <c r="I1149"/>
  <c r="I2191"/>
  <c r="I4795"/>
  <c r="I871"/>
  <c r="I818"/>
  <c r="I1657"/>
  <c r="I5621"/>
  <c r="I4140"/>
  <c r="I3272"/>
  <c r="I436"/>
  <c r="I732"/>
  <c r="I4908"/>
  <c r="I2226"/>
  <c r="I1285"/>
  <c r="I2954"/>
  <c r="I1539"/>
  <c r="I4197"/>
  <c r="I3572"/>
  <c r="I2110"/>
  <c r="I2309"/>
  <c r="I2394"/>
  <c r="I1456"/>
  <c r="I4168"/>
  <c r="I5763"/>
  <c r="I5412"/>
  <c r="I385"/>
  <c r="I607"/>
  <c r="I869"/>
  <c r="I2286"/>
  <c r="I1028"/>
  <c r="I2478"/>
  <c r="I755"/>
  <c r="I1815"/>
  <c r="I1576"/>
  <c r="I2721"/>
  <c r="I1868"/>
  <c r="I1473"/>
  <c r="I1589"/>
  <c r="I4050"/>
  <c r="I4103"/>
  <c r="I4575"/>
  <c r="I5349"/>
  <c r="I4411"/>
  <c r="I1416"/>
  <c r="I2514"/>
  <c r="I3134"/>
  <c r="I2550"/>
  <c r="I1263"/>
  <c r="I3727"/>
  <c r="I3489"/>
  <c r="I5239"/>
  <c r="I498"/>
  <c r="I562"/>
  <c r="I3306"/>
  <c r="I1394"/>
  <c r="I5023"/>
  <c r="I786"/>
  <c r="I4256"/>
  <c r="I2497"/>
  <c r="I17"/>
  <c r="I57"/>
  <c r="I61"/>
  <c r="I4015"/>
  <c r="I181"/>
  <c r="I4858"/>
  <c r="I3084"/>
  <c r="I1812"/>
  <c r="I961"/>
  <c r="I1198"/>
  <c r="I517"/>
  <c r="I1031"/>
  <c r="I588"/>
  <c r="I2889"/>
  <c r="I4038"/>
  <c r="I5137"/>
  <c r="I3240"/>
  <c r="I2865"/>
  <c r="I4433"/>
  <c r="I364"/>
  <c r="I1252"/>
  <c r="I541"/>
  <c r="I4947"/>
  <c r="I1692"/>
  <c r="I247"/>
  <c r="I129"/>
  <c r="I355"/>
  <c r="I4946"/>
  <c r="I2778"/>
  <c r="I3472"/>
  <c r="I4415"/>
  <c r="I4351"/>
  <c r="I2033"/>
  <c r="I1018"/>
  <c r="I110"/>
  <c r="I2796"/>
  <c r="I94"/>
  <c r="I4435"/>
  <c r="I4164"/>
  <c r="I2268"/>
  <c r="I2350"/>
  <c r="I2981"/>
  <c r="I3150"/>
  <c r="I2483"/>
  <c r="I5713"/>
  <c r="I3512"/>
  <c r="I5401"/>
  <c r="I4613"/>
  <c r="I604"/>
  <c r="I870"/>
  <c r="I1121"/>
  <c r="I197"/>
  <c r="I2701"/>
  <c r="I3092"/>
  <c r="I5490"/>
  <c r="I342"/>
  <c r="I491"/>
  <c r="I555"/>
  <c r="I2992"/>
  <c r="I2103"/>
  <c r="I5386"/>
  <c r="I2986"/>
  <c r="I1990"/>
  <c r="I997"/>
  <c r="I2277"/>
  <c r="I895"/>
  <c r="I4607"/>
  <c r="I1388"/>
  <c r="I1409"/>
  <c r="I4421"/>
  <c r="I1414"/>
  <c r="I1358"/>
  <c r="I2581"/>
  <c r="I393"/>
  <c r="I1221"/>
  <c r="I4903"/>
  <c r="I448"/>
  <c r="I1365"/>
  <c r="I4519"/>
  <c r="I4011"/>
  <c r="I3580"/>
  <c r="I2289"/>
  <c r="I3191"/>
  <c r="I3460"/>
  <c r="I1400"/>
  <c r="I309"/>
  <c r="I2285"/>
  <c r="I363"/>
  <c r="I4844"/>
  <c r="I414"/>
  <c r="I3207"/>
  <c r="I908"/>
  <c r="I259"/>
  <c r="I3073"/>
  <c r="I148"/>
  <c r="I5315"/>
  <c r="I3693"/>
  <c r="I515"/>
  <c r="I3492"/>
  <c r="I1034"/>
  <c r="I3331"/>
  <c r="I1288"/>
  <c r="I2532"/>
  <c r="I2938"/>
  <c r="I3583"/>
  <c r="I617"/>
  <c r="I2027"/>
  <c r="I4620"/>
  <c r="I2699"/>
  <c r="I1213"/>
  <c r="I1309"/>
  <c r="I4568"/>
  <c r="I1746"/>
  <c r="I4243"/>
  <c r="I4219"/>
  <c r="I3211"/>
  <c r="I1693"/>
  <c r="I3440"/>
  <c r="I1406"/>
  <c r="I1605"/>
  <c r="I1690"/>
  <c r="I806"/>
  <c r="I3830"/>
  <c r="I4890"/>
  <c r="I3721"/>
  <c r="I4223"/>
  <c r="I2073"/>
  <c r="I1246"/>
  <c r="I1788"/>
  <c r="I2682"/>
  <c r="I5031"/>
  <c r="I218"/>
  <c r="I3003"/>
  <c r="I4834"/>
  <c r="I1621"/>
  <c r="I1905"/>
  <c r="I1616"/>
  <c r="I4400"/>
  <c r="I4317"/>
  <c r="I2744"/>
  <c r="I2745"/>
  <c r="I4366"/>
  <c r="I2733"/>
  <c r="I3362"/>
  <c r="I1368"/>
  <c r="I1797"/>
  <c r="I4112"/>
  <c r="I3988"/>
  <c r="I1000"/>
  <c r="I624"/>
  <c r="I599"/>
  <c r="I3514"/>
  <c r="I4553"/>
  <c r="I3385"/>
  <c r="I944"/>
  <c r="I1513"/>
  <c r="I1268"/>
  <c r="I1623"/>
  <c r="I56"/>
  <c r="I913"/>
  <c r="I3981"/>
  <c r="I2735"/>
  <c r="I1765"/>
  <c r="I2898"/>
  <c r="I4812"/>
  <c r="I3184"/>
  <c r="I3140"/>
  <c r="I630"/>
  <c r="I426"/>
  <c r="I5427"/>
  <c r="I4660"/>
  <c r="I5767"/>
  <c r="I535"/>
  <c r="I1328"/>
  <c r="I399"/>
  <c r="I3185"/>
  <c r="I802"/>
  <c r="I43"/>
  <c r="I475"/>
  <c r="I1420"/>
  <c r="I71"/>
  <c r="I3445"/>
  <c r="I1324"/>
  <c r="I2846"/>
  <c r="I4601"/>
  <c r="I27"/>
  <c r="I2697"/>
  <c r="I1274"/>
  <c r="I2463"/>
  <c r="I2561"/>
  <c r="I2956"/>
  <c r="I5210"/>
  <c r="I1836"/>
  <c r="I3912"/>
  <c r="I4445"/>
  <c r="I3017"/>
  <c r="I1942"/>
  <c r="I5314"/>
  <c r="I1481"/>
  <c r="I1540"/>
  <c r="I3835"/>
  <c r="I4595"/>
  <c r="I5878"/>
  <c r="I1665"/>
  <c r="I1205"/>
  <c r="I2677"/>
  <c r="I1965"/>
  <c r="I1494"/>
  <c r="I1505"/>
  <c r="I930"/>
  <c r="I645"/>
  <c r="I3442"/>
  <c r="I4102"/>
  <c r="I4516"/>
  <c r="I1350"/>
  <c r="I801"/>
  <c r="I5649"/>
  <c r="I3681"/>
  <c r="I2359"/>
  <c r="I2375"/>
  <c r="I742"/>
  <c r="I1730"/>
  <c r="I5462"/>
  <c r="I5108"/>
  <c r="I774"/>
  <c r="I1138"/>
  <c r="I1509"/>
  <c r="I4649"/>
  <c r="I5591"/>
  <c r="I2456"/>
  <c r="I331"/>
  <c r="I2297"/>
  <c r="I1402"/>
  <c r="I72"/>
  <c r="I2484"/>
  <c r="I855"/>
  <c r="I736"/>
  <c r="I1920"/>
  <c r="I2513"/>
  <c r="I1538"/>
  <c r="I2570"/>
  <c r="I3607"/>
  <c r="I749"/>
  <c r="I5402"/>
  <c r="I1300"/>
  <c r="I4958"/>
  <c r="I681"/>
  <c r="I3049"/>
  <c r="I352"/>
  <c r="I4108"/>
  <c r="I520"/>
  <c r="I3506"/>
  <c r="I149"/>
  <c r="I4224"/>
  <c r="I107"/>
  <c r="I1973"/>
  <c r="I1553"/>
  <c r="I303"/>
  <c r="I1687"/>
  <c r="I965"/>
  <c r="I778"/>
  <c r="I2334"/>
  <c r="I704"/>
  <c r="I3086"/>
  <c r="I662"/>
  <c r="I881"/>
  <c r="I2544"/>
  <c r="I2789"/>
  <c r="I803"/>
  <c r="I3679"/>
  <c r="I5019"/>
  <c r="I4500"/>
  <c r="I1432"/>
  <c r="I1613"/>
  <c r="I3725"/>
  <c r="I1726"/>
  <c r="I2229"/>
  <c r="I4990"/>
  <c r="I2773"/>
  <c r="I724"/>
  <c r="I3228"/>
  <c r="I2449"/>
  <c r="I3529"/>
  <c r="I5451"/>
  <c r="I1999"/>
  <c r="I3255"/>
  <c r="I516"/>
  <c r="I579"/>
  <c r="I798"/>
  <c r="I2485"/>
  <c r="I796"/>
  <c r="I5850"/>
  <c r="I1079"/>
  <c r="I2638"/>
  <c r="I4198"/>
  <c r="I1903"/>
  <c r="I4217"/>
  <c r="I2609"/>
  <c r="I4723"/>
  <c r="I2772"/>
  <c r="I3178"/>
  <c r="I2901"/>
  <c r="I892"/>
  <c r="I1594"/>
  <c r="I3341"/>
  <c r="I1393"/>
  <c r="I2536"/>
  <c r="I813"/>
  <c r="I2382"/>
  <c r="I974"/>
  <c r="I4404"/>
  <c r="I725"/>
  <c r="I5161"/>
  <c r="I1557"/>
  <c r="I5660"/>
  <c r="I2037"/>
  <c r="I3770"/>
  <c r="I3132"/>
  <c r="I171"/>
  <c r="I1269"/>
  <c r="I4213"/>
  <c r="I314"/>
  <c r="I1526"/>
  <c r="I5650"/>
  <c r="I2433"/>
  <c r="I1863"/>
  <c r="I3300"/>
  <c r="I5793"/>
  <c r="I2220"/>
  <c r="I5910"/>
  <c r="I3200"/>
  <c r="I2086"/>
  <c r="I3500"/>
  <c r="I5179"/>
  <c r="I2371"/>
  <c r="I4437"/>
  <c r="I1080"/>
  <c r="I1706"/>
  <c r="I3848"/>
  <c r="I2444"/>
  <c r="I215"/>
  <c r="I4789"/>
  <c r="I1725"/>
  <c r="I891"/>
  <c r="I1694"/>
  <c r="I62"/>
  <c r="I2092"/>
  <c r="I1637"/>
  <c r="I1056"/>
  <c r="I1333"/>
  <c r="I175"/>
  <c r="I652"/>
  <c r="I1118"/>
  <c r="I4598"/>
  <c r="I3165"/>
  <c r="I4800"/>
  <c r="I3077"/>
  <c r="I1485"/>
  <c r="I4004"/>
  <c r="I4455"/>
  <c r="I3381"/>
  <c r="I4805"/>
  <c r="I1677"/>
  <c r="I224"/>
  <c r="I2253"/>
  <c r="I2240"/>
  <c r="I1993"/>
  <c r="I74"/>
  <c r="I574"/>
  <c r="I1495"/>
  <c r="I3136"/>
  <c r="I1604"/>
  <c r="I985"/>
  <c r="I1153"/>
  <c r="I5499"/>
  <c r="I4531"/>
  <c r="I1188"/>
  <c r="I1398"/>
  <c r="I836"/>
  <c r="I1462"/>
  <c r="I3370"/>
  <c r="I3398"/>
  <c r="I345"/>
  <c r="I2039"/>
  <c r="I3418"/>
  <c r="I2880"/>
  <c r="I3879"/>
  <c r="I2912"/>
  <c r="I647"/>
  <c r="I202"/>
  <c r="I1317"/>
  <c r="I2197"/>
  <c r="I430"/>
  <c r="I1967"/>
  <c r="I905"/>
  <c r="I2070"/>
  <c r="I4974"/>
  <c r="I3192"/>
  <c r="I1733"/>
  <c r="I4655"/>
  <c r="I783"/>
  <c r="I2271"/>
  <c r="I2641"/>
  <c r="I938"/>
  <c r="I5128"/>
  <c r="I1424"/>
  <c r="I5682"/>
  <c r="I4313"/>
  <c r="I2500"/>
  <c r="I2214"/>
  <c r="I1228"/>
  <c r="I312"/>
  <c r="I2502"/>
  <c r="I3665"/>
  <c r="I4328"/>
  <c r="I642"/>
  <c r="I847"/>
  <c r="I3875"/>
  <c r="I707"/>
  <c r="I5549"/>
  <c r="I730"/>
  <c r="I1148"/>
  <c r="I5895"/>
  <c r="I1964"/>
  <c r="I3632"/>
  <c r="I5853"/>
  <c r="I2830"/>
  <c r="I7"/>
  <c r="I773"/>
  <c r="I1998"/>
  <c r="I1872"/>
  <c r="I943"/>
  <c r="I1817"/>
  <c r="I469"/>
  <c r="I5644"/>
  <c r="I1369"/>
  <c r="I3908"/>
  <c r="I1241"/>
  <c r="I4571"/>
  <c r="I2870"/>
  <c r="I2120"/>
  <c r="I3557"/>
  <c r="I3056"/>
  <c r="I4333"/>
  <c r="I1866"/>
  <c r="I1466"/>
  <c r="I3257"/>
  <c r="I828"/>
  <c r="I986"/>
  <c r="I1518"/>
  <c r="I1135"/>
  <c r="I1769"/>
  <c r="I641"/>
  <c r="I949"/>
  <c r="I1062"/>
  <c r="I1468"/>
  <c r="I1681"/>
  <c r="I776"/>
  <c r="I691"/>
  <c r="I3405"/>
  <c r="I1900"/>
  <c r="I2355"/>
  <c r="I1182"/>
  <c r="I5050"/>
  <c r="I2249"/>
  <c r="I3305"/>
  <c r="I2512"/>
  <c r="I2065"/>
  <c r="I1793"/>
  <c r="I4323"/>
  <c r="I3400"/>
  <c r="I4763"/>
  <c r="I5071"/>
  <c r="I1366"/>
  <c r="I2396"/>
  <c r="I5661"/>
  <c r="I5726"/>
  <c r="I5380"/>
  <c r="I875"/>
  <c r="I1072"/>
  <c r="I4000"/>
  <c r="I358"/>
  <c r="I3521"/>
  <c r="I5336"/>
  <c r="I2534"/>
  <c r="I1902"/>
  <c r="I324"/>
  <c r="I1830"/>
  <c r="I2138"/>
  <c r="I4475"/>
  <c r="I2977"/>
  <c r="I613"/>
  <c r="I403"/>
  <c r="I1004"/>
  <c r="I4914"/>
  <c r="I2904"/>
  <c r="I3865"/>
  <c r="I5665"/>
  <c r="I1236"/>
  <c r="I537"/>
  <c r="I2058"/>
  <c r="I2175"/>
  <c r="I3039"/>
  <c r="I5450"/>
  <c r="I1806"/>
  <c r="I3470"/>
  <c r="I1528"/>
  <c r="I1081"/>
  <c r="I2165"/>
  <c r="I1668"/>
  <c r="I5907"/>
  <c r="I5352"/>
  <c r="I3093"/>
  <c r="I3372"/>
  <c r="I4181"/>
  <c r="I3182"/>
  <c r="I1114"/>
  <c r="I2213"/>
  <c r="I2282"/>
  <c r="I1098"/>
  <c r="I3773"/>
  <c r="I544"/>
  <c r="I1566"/>
  <c r="I1781"/>
  <c r="I2014"/>
  <c r="I3560"/>
  <c r="I3631"/>
  <c r="I4041"/>
  <c r="I5601"/>
  <c r="I3915"/>
  <c r="I1961"/>
  <c r="I1248"/>
  <c r="I2709"/>
  <c r="I1060"/>
  <c r="I3949"/>
  <c r="I1502"/>
  <c r="I1980"/>
  <c r="I2108"/>
  <c r="I4099"/>
  <c r="I1823"/>
  <c r="I1163"/>
  <c r="I1158"/>
  <c r="I5039"/>
  <c r="I198"/>
  <c r="I5753"/>
  <c r="I996"/>
  <c r="I3176"/>
  <c r="I2352"/>
  <c r="I585"/>
  <c r="I3142"/>
  <c r="I3214"/>
  <c r="I2044"/>
  <c r="I1116"/>
  <c r="I4341"/>
  <c r="I1542"/>
  <c r="I2913"/>
  <c r="I347"/>
  <c r="I1644"/>
  <c r="I5554"/>
  <c r="I719"/>
  <c r="I2454"/>
  <c r="I3276"/>
  <c r="I5933"/>
  <c r="I3965"/>
  <c r="I687"/>
  <c r="I2057"/>
  <c r="I4195"/>
  <c r="I4463"/>
  <c r="I3951"/>
  <c r="I1111"/>
  <c r="I2506"/>
  <c r="I1058"/>
  <c r="I37"/>
  <c r="I3823"/>
  <c r="I3983"/>
  <c r="I2432"/>
  <c r="I1796"/>
  <c r="I2395"/>
  <c r="I4080"/>
  <c r="I4579"/>
  <c r="I2102"/>
  <c r="I1893"/>
  <c r="I4840"/>
  <c r="I3661"/>
  <c r="I47"/>
  <c r="I509"/>
  <c r="I1582"/>
  <c r="I2526"/>
  <c r="I1619"/>
  <c r="I4285"/>
  <c r="I5482"/>
  <c r="I205"/>
  <c r="I2877"/>
  <c r="I2208"/>
  <c r="I2385"/>
  <c r="I2980"/>
  <c r="I2556"/>
  <c r="I367"/>
  <c r="I2972"/>
  <c r="I143"/>
  <c r="I1270"/>
  <c r="I4456"/>
  <c r="I3281"/>
  <c r="I5534"/>
  <c r="I3367"/>
  <c r="I4448"/>
  <c r="I2815"/>
  <c r="I2150"/>
  <c r="I3669"/>
  <c r="I473"/>
  <c r="I636"/>
  <c r="I4109"/>
  <c r="I977"/>
  <c r="I4720"/>
  <c r="I1568"/>
  <c r="I2180"/>
  <c r="I286"/>
  <c r="I70"/>
  <c r="I963"/>
  <c r="I2148"/>
  <c r="I984"/>
  <c r="I2367"/>
  <c r="I4528"/>
  <c r="I4634"/>
  <c r="I2516"/>
  <c r="I3763"/>
  <c r="I937"/>
  <c r="I3144"/>
  <c r="I382"/>
  <c r="I19"/>
  <c r="I2613"/>
  <c r="I195"/>
  <c r="I4803"/>
  <c r="I782"/>
  <c r="I3613"/>
  <c r="I2825"/>
  <c r="I2809"/>
  <c r="I821"/>
  <c r="I2300"/>
  <c r="I1167"/>
  <c r="I547"/>
  <c r="I2245"/>
  <c r="I1140"/>
  <c r="I265"/>
  <c r="I4713"/>
  <c r="I3909"/>
  <c r="I743"/>
  <c r="I1776"/>
  <c r="I2718"/>
  <c r="I1737"/>
  <c r="I487"/>
  <c r="I5391"/>
  <c r="I3186"/>
  <c r="I1926"/>
  <c r="I4155"/>
  <c r="I251"/>
  <c r="I3527"/>
  <c r="I3882"/>
  <c r="I1371"/>
  <c r="I957"/>
  <c r="I4852"/>
  <c r="I189"/>
  <c r="I3204"/>
  <c r="I1452"/>
  <c r="I2729"/>
  <c r="I1732"/>
  <c r="I1310"/>
  <c r="I3153"/>
  <c r="I1145"/>
  <c r="I3236"/>
  <c r="I845"/>
  <c r="I1104"/>
  <c r="I1896"/>
  <c r="I2922"/>
  <c r="I4377"/>
  <c r="I2833"/>
  <c r="I3859"/>
  <c r="I2054"/>
  <c r="I359"/>
  <c r="I2997"/>
  <c r="I5577"/>
  <c r="I185"/>
  <c r="I2332"/>
  <c r="I127"/>
  <c r="I2844"/>
  <c r="I99"/>
  <c r="I771"/>
  <c r="I3677"/>
  <c r="I1446"/>
  <c r="I527"/>
  <c r="I4287"/>
  <c r="I3343"/>
  <c r="I2494"/>
  <c r="I2291"/>
  <c r="I2218"/>
  <c r="I533"/>
  <c r="I322"/>
  <c r="I2518"/>
  <c r="I1126"/>
  <c r="I327"/>
  <c r="I3884"/>
  <c r="I2894"/>
  <c r="I117"/>
  <c r="I210"/>
  <c r="I1785"/>
  <c r="I3444"/>
  <c r="I561"/>
  <c r="I867"/>
  <c r="I2998"/>
  <c r="I2324"/>
  <c r="I5501"/>
  <c r="I122"/>
  <c r="I3984"/>
  <c r="I4898"/>
  <c r="I3881"/>
  <c r="I2504"/>
  <c r="I3393"/>
  <c r="I2490"/>
  <c r="I1524"/>
  <c r="I2272"/>
  <c r="I2618"/>
  <c r="I2095"/>
  <c r="I766"/>
  <c r="I959"/>
  <c r="I2921"/>
  <c r="I5017"/>
  <c r="I1234"/>
  <c r="I102"/>
  <c r="I2524"/>
  <c r="I4309"/>
  <c r="I759"/>
  <c r="I4732"/>
  <c r="I89"/>
  <c r="I2594"/>
  <c r="I479"/>
  <c r="I285"/>
  <c r="I714"/>
  <c r="I2270"/>
  <c r="I5267"/>
  <c r="I482"/>
  <c r="I4926"/>
  <c r="I1845"/>
  <c r="I3301"/>
  <c r="I920"/>
  <c r="I2598"/>
  <c r="I988"/>
  <c r="I655"/>
  <c r="I4064"/>
  <c r="I1286"/>
  <c r="I3365"/>
  <c r="I1606"/>
  <c r="I4297"/>
  <c r="I2817"/>
  <c r="I66"/>
  <c r="I1208"/>
  <c r="I1109"/>
  <c r="I3270"/>
  <c r="I3675"/>
  <c r="I5196"/>
  <c r="I3288"/>
  <c r="I2985"/>
  <c r="I2851"/>
  <c r="I580"/>
  <c r="I5782"/>
  <c r="I2724"/>
  <c r="I3703"/>
  <c r="I58"/>
  <c r="I4744"/>
  <c r="I560"/>
  <c r="I3855"/>
  <c r="I1700"/>
  <c r="I2884"/>
  <c r="I4237"/>
  <c r="I1555"/>
  <c r="I3760"/>
  <c r="I791"/>
  <c r="I492"/>
  <c r="I3014"/>
  <c r="I2597"/>
  <c r="I909"/>
  <c r="I423"/>
  <c r="I12"/>
  <c r="I3396"/>
  <c r="I1741"/>
  <c r="I405"/>
  <c r="I2380"/>
  <c r="I73"/>
  <c r="I2905"/>
  <c r="I2964"/>
  <c r="I157"/>
  <c r="I1558"/>
  <c r="I2356"/>
  <c r="I2647"/>
  <c r="I2661"/>
  <c r="I3206"/>
  <c r="I667"/>
  <c r="I134"/>
  <c r="I4281"/>
  <c r="I3561"/>
  <c r="I2252"/>
  <c r="I1508"/>
  <c r="I5571"/>
  <c r="I1334"/>
  <c r="I2464"/>
  <c r="I2422"/>
  <c r="I2813"/>
  <c r="I1804"/>
  <c r="I992"/>
  <c r="I2614"/>
  <c r="I1536"/>
  <c r="I3258"/>
  <c r="I1258"/>
  <c r="I2106"/>
  <c r="I151"/>
  <c r="I830"/>
  <c r="I190"/>
  <c r="I4486"/>
  <c r="I4466"/>
  <c r="I3129"/>
  <c r="I4128"/>
  <c r="I4534"/>
  <c r="I2955"/>
  <c r="I1275"/>
  <c r="I708"/>
  <c r="I3252"/>
  <c r="I4779"/>
  <c r="I4683"/>
  <c r="I4293"/>
  <c r="I3168"/>
  <c r="I1232"/>
  <c r="I565"/>
  <c r="I63"/>
  <c r="I4823"/>
  <c r="I5934"/>
  <c r="I3436"/>
  <c r="I583"/>
  <c r="I1937"/>
  <c r="I1904"/>
  <c r="I2496"/>
  <c r="I1529"/>
  <c r="I2918"/>
  <c r="I3074"/>
  <c r="I1377"/>
  <c r="I1814"/>
  <c r="I33"/>
  <c r="I686"/>
  <c r="I4337"/>
  <c r="I5059"/>
  <c r="I853"/>
  <c r="I2781"/>
  <c r="I4461"/>
  <c r="I230"/>
  <c r="I622"/>
  <c r="I2302"/>
  <c r="I266"/>
  <c r="I739"/>
  <c r="I1401"/>
  <c r="I2804"/>
  <c r="I1013"/>
  <c r="I4477"/>
  <c r="I1762"/>
  <c r="I846"/>
  <c r="I3122"/>
  <c r="I5803"/>
  <c r="I3311"/>
  <c r="I2896"/>
  <c r="I3230"/>
  <c r="I794"/>
  <c r="I173"/>
  <c r="I1225"/>
  <c r="I199"/>
  <c r="I1354"/>
  <c r="I1564"/>
  <c r="I3649"/>
  <c r="I3565"/>
  <c r="I5725"/>
  <c r="I720"/>
  <c r="I3775"/>
  <c r="I5203"/>
  <c r="I762"/>
  <c r="I3042"/>
  <c r="I4261"/>
  <c r="I3629"/>
  <c r="I2774"/>
  <c r="I2132"/>
  <c r="I233"/>
  <c r="I101"/>
  <c r="I5543"/>
  <c r="I1196"/>
  <c r="I1245"/>
  <c r="I3615"/>
  <c r="I182"/>
  <c r="I497"/>
  <c r="I1132"/>
  <c r="I1376"/>
  <c r="I1363"/>
  <c r="I1418"/>
  <c r="I960"/>
  <c r="I2236"/>
  <c r="I2361"/>
  <c r="I1945"/>
  <c r="I894"/>
  <c r="I1641"/>
  <c r="I2216"/>
  <c r="I3609"/>
  <c r="I264"/>
  <c r="I4105"/>
  <c r="I4995"/>
  <c r="I3643"/>
  <c r="I2510"/>
  <c r="I3925"/>
  <c r="I918"/>
  <c r="I1850"/>
  <c r="I4837"/>
  <c r="I60"/>
  <c r="I2062"/>
  <c r="I1454"/>
  <c r="I2592"/>
  <c r="I1141"/>
  <c r="I2692"/>
  <c r="I447"/>
  <c r="I3164"/>
  <c r="I2052"/>
  <c r="I5827"/>
  <c r="I5358"/>
  <c r="I2222"/>
  <c r="I2130"/>
  <c r="I3545"/>
  <c r="I428"/>
  <c r="I2604"/>
  <c r="I2122"/>
  <c r="I271"/>
  <c r="I1530"/>
  <c r="I1620"/>
  <c r="I402"/>
  <c r="I2250"/>
  <c r="I711"/>
  <c r="I5869"/>
  <c r="I1786"/>
  <c r="I108"/>
  <c r="I1581"/>
  <c r="I1782"/>
  <c r="I1925"/>
  <c r="I3604"/>
  <c r="I2872"/>
  <c r="I2310"/>
  <c r="I2325"/>
  <c r="I915"/>
  <c r="I901"/>
  <c r="I2777"/>
  <c r="I2330"/>
  <c r="I1887"/>
  <c r="I2189"/>
  <c r="I476"/>
  <c r="I3209"/>
  <c r="I1957"/>
  <c r="I552"/>
  <c r="I1460"/>
  <c r="I2949"/>
  <c r="I223"/>
  <c r="I3849"/>
  <c r="I1010"/>
  <c r="I2719"/>
  <c r="I734"/>
  <c r="I467"/>
  <c r="I793"/>
  <c r="I3193"/>
  <c r="I2008"/>
  <c r="I1484"/>
  <c r="I752"/>
  <c r="I2020"/>
  <c r="I1924"/>
  <c r="I2469"/>
  <c r="I3709"/>
  <c r="I3656"/>
  <c r="I3349"/>
  <c r="I369"/>
  <c r="I1789"/>
  <c r="I3350"/>
  <c r="I2752"/>
  <c r="I1798"/>
  <c r="I3137"/>
  <c r="I2529"/>
  <c r="I2481"/>
  <c r="I744"/>
  <c r="I335"/>
  <c r="I1972"/>
  <c r="I1966"/>
  <c r="I1280"/>
  <c r="I131"/>
  <c r="I2800"/>
  <c r="I1600"/>
  <c r="I3249"/>
  <c r="I682"/>
  <c r="I883"/>
  <c r="I1305"/>
  <c r="I1249"/>
  <c r="I2040"/>
  <c r="I386"/>
  <c r="I1125"/>
  <c r="I1596"/>
  <c r="I2009"/>
  <c r="I4972"/>
  <c r="I587"/>
  <c r="I1301"/>
  <c r="I2112"/>
  <c r="I890"/>
  <c r="I879"/>
  <c r="I775"/>
  <c r="I5133"/>
  <c r="I353"/>
  <c r="I2569"/>
  <c r="I429"/>
  <c r="I1633"/>
  <c r="I538"/>
  <c r="I1497"/>
  <c r="I1525"/>
  <c r="I1898"/>
  <c r="I1189"/>
  <c r="I1097"/>
  <c r="I921"/>
  <c r="I3552"/>
  <c r="I3234"/>
  <c r="I4392"/>
  <c r="I4884"/>
  <c r="I465"/>
  <c r="I606"/>
  <c r="I1423"/>
  <c r="I972"/>
  <c r="I4751"/>
  <c r="I1531"/>
  <c r="I4838"/>
  <c r="I741"/>
  <c r="I3800"/>
  <c r="I1374"/>
  <c r="I1395"/>
  <c r="I126"/>
  <c r="I5302"/>
  <c r="I2233"/>
  <c r="I3567"/>
  <c r="I2313"/>
  <c r="I3205"/>
  <c r="I1968"/>
  <c r="I4201"/>
  <c r="I21"/>
  <c r="I5372"/>
  <c r="I2676"/>
  <c r="I511"/>
  <c r="I4860"/>
  <c r="I1281"/>
  <c r="I2670"/>
  <c r="I301"/>
  <c r="I2080"/>
  <c r="I927"/>
  <c r="I415"/>
  <c r="I1929"/>
  <c r="I3409"/>
  <c r="I1461"/>
  <c r="I4938"/>
  <c r="I1886"/>
  <c r="I1482"/>
  <c r="I3839"/>
  <c r="I2993"/>
  <c r="I1278"/>
  <c r="I1136"/>
  <c r="I4021"/>
  <c r="I1826"/>
  <c r="I2642"/>
  <c r="I4144"/>
  <c r="I4520"/>
  <c r="I2944"/>
  <c r="I371"/>
  <c r="I3592"/>
  <c r="I3297"/>
  <c r="I898"/>
  <c r="I2849"/>
  <c r="I2970"/>
  <c r="I2442"/>
  <c r="I3060"/>
  <c r="I4719"/>
  <c r="I318"/>
  <c r="I823"/>
  <c r="I419"/>
  <c r="I4791"/>
  <c r="I4496"/>
  <c r="I4211"/>
  <c r="I1678"/>
  <c r="I2316"/>
  <c r="I187"/>
  <c r="I3438"/>
  <c r="I698"/>
  <c r="I45"/>
  <c r="I3752"/>
  <c r="I877"/>
  <c r="I981"/>
  <c r="I186"/>
  <c r="I1180"/>
  <c r="I2121"/>
  <c r="I510"/>
  <c r="I1217"/>
  <c r="I993"/>
  <c r="I1573"/>
  <c r="I2924"/>
  <c r="I1958"/>
  <c r="I2495"/>
  <c r="I1176"/>
  <c r="I2163"/>
  <c r="I629"/>
  <c r="I4277"/>
  <c r="I2344"/>
  <c r="I427"/>
  <c r="I10"/>
  <c r="I1950"/>
  <c r="I2021"/>
  <c r="I20"/>
  <c r="I3406"/>
  <c r="I1429"/>
  <c r="I3711"/>
  <c r="I2256"/>
  <c r="I958"/>
  <c r="I4153"/>
  <c r="I2004"/>
  <c r="I807"/>
  <c r="I2295"/>
  <c r="I1041"/>
  <c r="I522"/>
  <c r="I18"/>
  <c r="I1527"/>
  <c r="I1201"/>
  <c r="I1265"/>
  <c r="I3624"/>
  <c r="I106"/>
  <c r="I633"/>
  <c r="I3313"/>
  <c r="I437"/>
  <c r="I5667"/>
  <c r="I1061"/>
  <c r="I3441"/>
  <c r="I1873"/>
  <c r="I2737"/>
  <c r="I294"/>
  <c r="I3700"/>
  <c r="I15"/>
  <c r="I4212"/>
  <c r="I1322"/>
  <c r="I1057"/>
  <c r="I319"/>
  <c r="I2950"/>
  <c r="I945"/>
  <c r="I861"/>
  <c r="I795"/>
  <c r="I738"/>
  <c r="I411"/>
  <c r="I2284"/>
  <c r="I5010"/>
  <c r="I3955"/>
  <c r="I3089"/>
  <c r="I3899"/>
  <c r="I4429"/>
  <c r="I4457"/>
  <c r="I577"/>
  <c r="I485"/>
  <c r="I325"/>
  <c r="I93"/>
  <c r="I3329"/>
  <c r="I97"/>
  <c r="I2838"/>
  <c r="I220"/>
  <c r="I2586"/>
  <c r="I4419"/>
  <c r="I1729"/>
  <c r="I5090"/>
  <c r="I2276"/>
  <c r="I675"/>
  <c r="I1658"/>
  <c r="I2545"/>
  <c r="I2372"/>
  <c r="I3097"/>
  <c r="I1316"/>
  <c r="I5016"/>
  <c r="I1969"/>
  <c r="I502"/>
  <c r="I365"/>
  <c r="I67"/>
  <c r="I1161"/>
  <c r="I5124"/>
  <c r="I4679"/>
  <c r="I934"/>
  <c r="I1708"/>
  <c r="I975"/>
  <c r="I1341"/>
  <c r="I4388"/>
  <c r="I2292"/>
  <c r="I4173"/>
  <c r="I81"/>
  <c r="I154"/>
  <c r="I446"/>
  <c r="I5300"/>
  <c r="I5518"/>
  <c r="I4165"/>
  <c r="I46"/>
  <c r="I3648"/>
  <c r="I297"/>
  <c r="I5348"/>
  <c r="I1758"/>
  <c r="I53"/>
  <c r="I237"/>
  <c r="I2492"/>
  <c r="I3498"/>
  <c r="I1719"/>
  <c r="I2034"/>
  <c r="I2722"/>
  <c r="I4091"/>
  <c r="I4365"/>
  <c r="I1520"/>
  <c r="I13"/>
  <c r="I1713"/>
  <c r="I5831"/>
  <c r="I3829"/>
  <c r="I2900"/>
  <c r="I78"/>
  <c r="I1237"/>
  <c r="I4619"/>
  <c r="I1858"/>
  <c r="I3316"/>
  <c r="I3522"/>
  <c r="I3250"/>
  <c r="I3013"/>
  <c r="I2117"/>
  <c r="I2358"/>
  <c r="I765"/>
  <c r="I5696"/>
  <c r="I5122"/>
  <c r="I5048"/>
  <c r="I1614"/>
  <c r="I5060"/>
  <c r="I611"/>
  <c r="I646"/>
  <c r="I4029"/>
  <c r="I5618"/>
  <c r="I4196"/>
  <c r="I2588"/>
  <c r="I3813"/>
  <c r="I3672"/>
  <c r="I2405"/>
  <c r="I703"/>
  <c r="I3608"/>
  <c r="I42"/>
  <c r="I1952"/>
  <c r="I572"/>
  <c r="I1276"/>
  <c r="I982"/>
  <c r="I1628"/>
  <c r="I1302"/>
  <c r="I3476"/>
  <c r="I1290"/>
  <c r="I3264"/>
  <c r="I4707"/>
  <c r="I2521"/>
  <c r="I2293"/>
  <c r="I1653"/>
  <c r="I4781"/>
  <c r="I2747"/>
  <c r="I4307"/>
  <c r="I1069"/>
  <c r="I882"/>
  <c r="I2630"/>
  <c r="I2017"/>
  <c r="I4967"/>
  <c r="I4013"/>
  <c r="I1728"/>
  <c r="I2144"/>
  <c r="I349"/>
  <c r="I2434"/>
  <c r="I139"/>
  <c r="I3807"/>
  <c r="I258"/>
  <c r="I1257"/>
  <c r="I350"/>
  <c r="I338"/>
  <c r="I1113"/>
  <c r="I3105"/>
  <c r="I2860"/>
  <c r="I3971"/>
  <c r="I3104"/>
  <c r="I5760"/>
  <c r="I1597"/>
  <c r="I2607"/>
  <c r="I5202"/>
  <c r="I3011"/>
  <c r="I5718"/>
  <c r="I1570"/>
  <c r="I3768"/>
  <c r="I1353"/>
  <c r="I2181"/>
  <c r="I2244"/>
  <c r="I2446"/>
  <c r="I3371"/>
  <c r="I3729"/>
  <c r="I4907"/>
  <c r="I2389"/>
  <c r="I674"/>
  <c r="I4878"/>
  <c r="I4988"/>
  <c r="I2610"/>
  <c r="I5009"/>
  <c r="I1178"/>
  <c r="I2476"/>
  <c r="I2042"/>
  <c r="I970"/>
  <c r="I2639"/>
  <c r="I4052"/>
  <c r="I3116"/>
  <c r="I4948"/>
  <c r="I4255"/>
  <c r="I3993"/>
  <c r="I3536"/>
  <c r="I866"/>
  <c r="I317"/>
  <c r="I1488"/>
  <c r="I2869"/>
  <c r="I2234"/>
  <c r="I103"/>
  <c r="I815"/>
  <c r="I1610"/>
  <c r="I1534"/>
  <c r="I4954"/>
  <c r="I115"/>
  <c r="I91"/>
  <c r="I2437"/>
  <c r="I283"/>
  <c r="I3157"/>
  <c r="I3110"/>
  <c r="I2186"/>
  <c r="I351"/>
  <c r="I693"/>
  <c r="I2369"/>
  <c r="I191"/>
  <c r="I1068"/>
  <c r="I4712"/>
  <c r="I4480"/>
  <c r="I1907"/>
  <c r="I4216"/>
  <c r="I1092"/>
  <c r="I4691"/>
  <c r="I1569"/>
  <c r="I2829"/>
  <c r="I3237"/>
  <c r="I2917"/>
  <c r="I1338"/>
  <c r="I9"/>
  <c r="I22"/>
  <c r="I211"/>
  <c r="I1457"/>
  <c r="I3473"/>
  <c r="I5942"/>
  <c r="I16"/>
  <c r="I343"/>
  <c r="I2465"/>
  <c r="I1425"/>
  <c r="I55"/>
  <c r="I3099"/>
  <c r="I4868"/>
  <c r="I3354"/>
  <c r="I2542"/>
  <c r="I4379"/>
  <c r="I3605"/>
  <c r="I3904"/>
  <c r="I1763"/>
  <c r="I2323"/>
  <c r="I3573"/>
  <c r="I2194"/>
  <c r="I111"/>
  <c r="I206"/>
  <c r="I5497"/>
  <c r="I769"/>
  <c r="I1994"/>
  <c r="I3542"/>
  <c r="I888"/>
  <c r="I2266"/>
  <c r="I3429"/>
  <c r="I31"/>
  <c r="I1284"/>
  <c r="I1233"/>
  <c r="I306"/>
  <c r="I445"/>
  <c r="I298"/>
  <c r="I1404"/>
  <c r="I4804"/>
  <c r="I817"/>
  <c r="I835"/>
  <c r="I2634"/>
  <c r="I4439"/>
  <c r="I3020"/>
  <c r="I5857"/>
  <c r="I858"/>
  <c r="I590"/>
  <c r="I2134"/>
  <c r="I2694"/>
  <c r="I990"/>
  <c r="I3009"/>
  <c r="I841"/>
  <c r="I86"/>
  <c r="I1231"/>
  <c r="I1053"/>
  <c r="I1697"/>
  <c r="I3541"/>
  <c r="I1818"/>
  <c r="I3888"/>
  <c r="I3130"/>
  <c r="I1698"/>
  <c r="I1682"/>
  <c r="I1390"/>
  <c r="I2768"/>
  <c r="I3285"/>
  <c r="I3328"/>
  <c r="I4009"/>
  <c r="I234"/>
  <c r="I1856"/>
  <c r="I2035"/>
  <c r="I77"/>
  <c r="I1921"/>
  <c r="I4020"/>
  <c r="I513"/>
  <c r="I729"/>
  <c r="I4104"/>
  <c r="I677"/>
  <c r="I1422"/>
  <c r="I695"/>
  <c r="I431"/>
  <c r="I3869"/>
  <c r="I3772"/>
  <c r="I1200"/>
  <c r="I5370"/>
  <c r="I1934"/>
  <c r="I159"/>
  <c r="I221"/>
  <c r="I387"/>
  <c r="I2127"/>
  <c r="I578"/>
  <c r="I329"/>
  <c r="I1347"/>
  <c r="I2794"/>
  <c r="I2053"/>
  <c r="I1941"/>
  <c r="I79"/>
  <c r="I2668"/>
  <c r="I2660"/>
  <c r="I5654"/>
  <c r="I2576"/>
  <c r="I2620"/>
  <c r="I1985"/>
  <c r="I4308"/>
  <c r="I3188"/>
  <c r="I2863"/>
  <c r="I3145"/>
  <c r="I404"/>
  <c r="I718"/>
  <c r="I1297"/>
  <c r="I293"/>
  <c r="I499"/>
  <c r="I1881"/>
  <c r="I457"/>
  <c r="I1504"/>
  <c r="I169"/>
  <c r="I1882"/>
  <c r="I489"/>
  <c r="I946"/>
  <c r="I2723"/>
  <c r="I471"/>
  <c r="I1472"/>
  <c r="I1318"/>
  <c r="I844"/>
  <c r="I1829"/>
  <c r="I893"/>
  <c r="I2257"/>
  <c r="I5410"/>
  <c r="I4700"/>
  <c r="I1705"/>
  <c r="I4855"/>
  <c r="I824"/>
  <c r="I3516"/>
  <c r="I69"/>
  <c r="I222"/>
  <c r="I3310"/>
  <c r="I1360"/>
  <c r="I2725"/>
  <c r="I305"/>
  <c r="I2176"/>
  <c r="I4931"/>
  <c r="I2605"/>
  <c r="I1822"/>
  <c r="I3796"/>
  <c r="I1012"/>
  <c r="I3364"/>
  <c r="I1453"/>
  <c r="I2126"/>
  <c r="I5867"/>
  <c r="I4035"/>
  <c r="I2198"/>
  <c r="I563"/>
  <c r="I4085"/>
  <c r="I3923"/>
  <c r="I1578"/>
  <c r="I118"/>
  <c r="I4296"/>
  <c r="I2068"/>
  <c r="I2686"/>
  <c r="I4171"/>
  <c r="I3173"/>
  <c r="I2753"/>
  <c r="I2769"/>
  <c r="I36"/>
  <c r="I542"/>
  <c r="I65"/>
  <c r="I595"/>
  <c r="I1470"/>
  <c r="I1761"/>
  <c r="I2558"/>
  <c r="I1433"/>
  <c r="I52"/>
  <c r="I926"/>
  <c r="I3358"/>
  <c r="I799"/>
  <c r="I1108"/>
  <c r="I4084"/>
  <c r="I3324"/>
  <c r="I2906"/>
  <c r="I4671"/>
  <c r="I3001"/>
  <c r="I4540"/>
  <c r="I4116"/>
  <c r="I3465"/>
  <c r="I3451"/>
  <c r="I581"/>
  <c r="I153"/>
  <c r="I507"/>
  <c r="I4033"/>
  <c r="I3201"/>
  <c r="I575"/>
  <c r="I4304"/>
  <c r="I1833"/>
  <c r="I462"/>
  <c r="I923"/>
  <c r="I2425"/>
  <c r="I410"/>
  <c r="I2046"/>
  <c r="I2934"/>
  <c r="I1512"/>
  <c r="I1202"/>
  <c r="I2462"/>
  <c r="I632"/>
  <c r="I1662"/>
  <c r="I458"/>
  <c r="I299"/>
  <c r="I3547"/>
  <c r="I207"/>
  <c r="I526"/>
  <c r="I295"/>
  <c r="I50"/>
  <c r="I553"/>
  <c r="I1852"/>
  <c r="I2076"/>
  <c r="I1392"/>
  <c r="I1002"/>
  <c r="I3653"/>
  <c r="I3082"/>
  <c r="I3611"/>
  <c r="I2528"/>
  <c r="I1449"/>
  <c r="I4356"/>
  <c r="I3867"/>
  <c r="I1426"/>
  <c r="I2149"/>
  <c r="I4132"/>
  <c r="I3072"/>
  <c r="I917"/>
  <c r="I2820"/>
  <c r="I201"/>
  <c r="I2436"/>
  <c r="I1701"/>
  <c r="I2406"/>
  <c r="I1204"/>
  <c r="I4464"/>
  <c r="I3312"/>
  <c r="I2204"/>
  <c r="I464"/>
  <c r="I5011"/>
  <c r="I2982"/>
  <c r="I4057"/>
  <c r="I5677"/>
  <c r="I163"/>
  <c r="I5278"/>
  <c r="I11"/>
  <c r="I785"/>
  <c r="I1892"/>
  <c r="I3158"/>
  <c r="I2788"/>
  <c r="I601"/>
  <c r="I6"/>
  <c r="I1345"/>
  <c r="I2881"/>
  <c r="I3253"/>
  <c r="I2414"/>
  <c r="I692"/>
  <c r="I3757"/>
  <c r="I1082"/>
  <c r="I3004"/>
  <c r="I2791"/>
  <c r="I4301"/>
  <c r="I2590"/>
  <c r="I1609"/>
  <c r="I3546"/>
  <c r="I2030"/>
  <c r="I5894"/>
  <c r="I1088"/>
  <c r="I2398"/>
  <c r="I396"/>
  <c r="I3479"/>
  <c r="I3455"/>
  <c r="I1747"/>
  <c r="I3595"/>
  <c r="I2337"/>
  <c r="I3712"/>
  <c r="I4016"/>
  <c r="I114"/>
  <c r="I2812"/>
  <c r="I2137"/>
  <c r="I661"/>
  <c r="I3036"/>
  <c r="I531"/>
  <c r="I2230"/>
  <c r="I1040"/>
  <c r="I3154"/>
  <c r="I443"/>
  <c r="I3911"/>
  <c r="I3174"/>
  <c r="I2228"/>
  <c r="I2188"/>
  <c r="I4493"/>
  <c r="I2320"/>
  <c r="I1397"/>
  <c r="I4063"/>
  <c r="I250"/>
  <c r="I3344"/>
  <c r="I1696"/>
  <c r="I2235"/>
  <c r="I145"/>
  <c r="I745"/>
  <c r="I3987"/>
  <c r="I262"/>
  <c r="I383"/>
  <c r="I814"/>
  <c r="I332"/>
  <c r="I4443"/>
  <c r="I656"/>
  <c r="I3088"/>
  <c r="I174"/>
  <c r="I235"/>
  <c r="I1152"/>
  <c r="I34"/>
  <c r="I1590"/>
  <c r="I370"/>
  <c r="I1381"/>
  <c r="I1412"/>
  <c r="I3337"/>
  <c r="I2623"/>
  <c r="I4136"/>
  <c r="I558"/>
  <c r="I697"/>
  <c r="I2969"/>
  <c r="I5384"/>
  <c r="I3680"/>
  <c r="I334"/>
  <c r="I3935"/>
  <c r="I2734"/>
  <c r="I494"/>
  <c r="I653"/>
  <c r="I260"/>
  <c r="I1326"/>
  <c r="I2388"/>
  <c r="I2548"/>
  <c r="I546"/>
  <c r="I1808"/>
  <c r="I4541"/>
  <c r="I941"/>
  <c r="I2810"/>
  <c r="I2099"/>
  <c r="I1839"/>
  <c r="I5018"/>
  <c r="I4027"/>
  <c r="I4505"/>
  <c r="I2933"/>
  <c r="I2074"/>
  <c r="I551"/>
  <c r="I2193"/>
  <c r="I5337"/>
  <c r="I929"/>
  <c r="I2212"/>
  <c r="I3360"/>
  <c r="I3216"/>
  <c r="I2393"/>
  <c r="I3334"/>
  <c r="I4249"/>
  <c r="I3293"/>
  <c r="I1783"/>
  <c r="I4251"/>
  <c r="I1842"/>
  <c r="I4121"/>
  <c r="I2940"/>
  <c r="I4368"/>
  <c r="I767"/>
  <c r="I3957"/>
  <c r="I1391"/>
  <c r="I441"/>
  <c r="I3792"/>
  <c r="I559"/>
  <c r="I2793"/>
  <c r="I638"/>
  <c r="I726"/>
  <c r="I243"/>
  <c r="I3689"/>
  <c r="I83"/>
  <c r="I539"/>
  <c r="I4070"/>
  <c r="I1043"/>
  <c r="I1139"/>
  <c r="I962"/>
  <c r="I2807"/>
  <c r="I1792"/>
  <c r="I1386"/>
  <c r="I275"/>
  <c r="I3968"/>
  <c r="I5258"/>
  <c r="I4952"/>
  <c r="I1162"/>
  <c r="I521"/>
  <c r="I969"/>
  <c r="I2805"/>
  <c r="I5378"/>
  <c r="I4688"/>
  <c r="I3551"/>
  <c r="I3327"/>
  <c r="I1445"/>
  <c r="I366"/>
  <c r="I2979"/>
  <c r="I512"/>
  <c r="I132"/>
  <c r="I3837"/>
  <c r="I3742"/>
  <c r="I4793"/>
  <c r="I3731"/>
  <c r="I3601"/>
  <c r="I2096"/>
  <c r="I952"/>
  <c r="I3764"/>
  <c r="I4521"/>
  <c r="I2926"/>
  <c r="I2628"/>
  <c r="I346"/>
  <c r="I474"/>
  <c r="I3102"/>
  <c r="I955"/>
  <c r="I2224"/>
  <c r="I3555"/>
  <c r="I1382"/>
  <c r="I1580"/>
  <c r="I2209"/>
  <c r="I523"/>
  <c r="I651"/>
  <c r="I1439"/>
  <c r="I635"/>
  <c r="I2713"/>
  <c r="I2336"/>
  <c r="I951"/>
  <c r="I2482"/>
  <c r="I3046"/>
  <c r="I3587"/>
  <c r="I3233"/>
  <c r="I2848"/>
  <c r="I4784"/>
  <c r="I5223"/>
  <c r="I569"/>
  <c r="I4704"/>
  <c r="I381"/>
  <c r="I5918"/>
  <c r="I5146"/>
  <c r="I490"/>
  <c r="I357"/>
  <c r="I1556"/>
  <c r="I2710"/>
  <c r="I302"/>
  <c r="I3513"/>
  <c r="I3688"/>
  <c r="I146"/>
  <c r="I3509"/>
  <c r="I389"/>
  <c r="I1025"/>
  <c r="I519"/>
  <c r="I30"/>
  <c r="I391"/>
  <c r="I130"/>
  <c r="I2298"/>
  <c r="I3857"/>
  <c r="I1649"/>
  <c r="I2365"/>
  <c r="I3469"/>
  <c r="I506"/>
  <c r="I3486"/>
  <c r="I925"/>
  <c r="I1119"/>
  <c r="I3296"/>
  <c r="I947"/>
  <c r="I4325"/>
  <c r="I1918"/>
  <c r="I5906"/>
  <c r="I2761"/>
  <c r="I5186"/>
  <c r="I567"/>
  <c r="I378"/>
  <c r="I418"/>
  <c r="I2412"/>
  <c r="I2782"/>
  <c r="I5606"/>
  <c r="I4288"/>
  <c r="I1908"/>
  <c r="I1150"/>
  <c r="I2508"/>
  <c r="I2473"/>
  <c r="I2225"/>
  <c r="I4034"/>
  <c r="I4245"/>
  <c r="I3449"/>
  <c r="I2665"/>
  <c r="I3705"/>
  <c r="I2593"/>
  <c r="I659"/>
  <c r="I362"/>
  <c r="I3795"/>
  <c r="I1602"/>
  <c r="I278"/>
  <c r="I2577"/>
  <c r="I4329"/>
  <c r="I2629"/>
  <c r="I1124"/>
  <c r="I842"/>
  <c r="I2085"/>
  <c r="I5"/>
  <c r="I1510"/>
  <c r="I5002"/>
  <c r="I4228"/>
  <c r="I2400"/>
  <c r="I2612"/>
  <c r="I705"/>
  <c r="I1686"/>
  <c r="I3484"/>
  <c r="I874"/>
  <c r="I564"/>
  <c r="I789"/>
  <c r="I4133"/>
  <c r="I4043"/>
  <c r="I1084"/>
  <c r="I669"/>
  <c r="I1860"/>
  <c r="I2720"/>
  <c r="I1296"/>
  <c r="I2684"/>
  <c r="I1991"/>
  <c r="I1648"/>
  <c r="I1498"/>
  <c r="I5192"/>
  <c r="I933"/>
  <c r="I2798"/>
  <c r="I571"/>
  <c r="I1821"/>
  <c r="I417"/>
  <c r="I49"/>
  <c r="I5335"/>
  <c r="I980"/>
  <c r="I4275"/>
  <c r="I1884"/>
  <c r="I1680"/>
  <c r="I4115"/>
  <c r="I750"/>
  <c r="I2364"/>
  <c r="I2348"/>
  <c r="I1049"/>
  <c r="I407"/>
  <c r="I2902"/>
  <c r="I2751"/>
  <c r="I4240"/>
  <c r="I2658"/>
  <c r="I709"/>
  <c r="I654"/>
  <c r="I2903"/>
  <c r="I3263"/>
  <c r="I2429"/>
  <c r="I3515"/>
  <c r="I1734"/>
  <c r="I1914"/>
  <c r="I831"/>
  <c r="I1430"/>
  <c r="I284"/>
  <c r="I514"/>
  <c r="I2953"/>
  <c r="I3670"/>
  <c r="I2439"/>
  <c r="I2961"/>
  <c r="I1802"/>
  <c r="I1164"/>
  <c r="I2140"/>
  <c r="I4221"/>
  <c r="I439"/>
  <c r="I2633"/>
  <c r="I1865"/>
  <c r="I887"/>
  <c r="I2762"/>
  <c r="I518"/>
  <c r="I3029"/>
  <c r="I1689"/>
  <c r="I3974"/>
  <c r="I2341"/>
  <c r="I3401"/>
  <c r="I4315"/>
  <c r="I226"/>
  <c r="I1913"/>
  <c r="I1545"/>
  <c r="I137"/>
  <c r="I3864"/>
  <c r="I2757"/>
  <c r="I5144"/>
  <c r="I4424"/>
  <c r="I3090"/>
  <c r="I1244"/>
  <c r="I1756"/>
  <c r="I1676"/>
  <c r="I4848"/>
  <c r="I2996"/>
  <c r="I4739"/>
  <c r="I1413"/>
  <c r="I2273"/>
  <c r="I1054"/>
  <c r="I1253"/>
  <c r="I618"/>
  <c r="I1588"/>
  <c r="I1780"/>
  <c r="I1772"/>
  <c r="I3050"/>
  <c r="I4271"/>
  <c r="I133"/>
  <c r="I998"/>
  <c r="I2254"/>
  <c r="I3737"/>
  <c r="I3024"/>
  <c r="I2785"/>
  <c r="I805"/>
  <c r="I1144"/>
  <c r="I463"/>
  <c r="I2498"/>
  <c r="I3163"/>
  <c r="I3322"/>
  <c r="I232"/>
  <c r="I3456"/>
  <c r="I787"/>
  <c r="I2654"/>
  <c r="I2368"/>
  <c r="I868"/>
  <c r="I2517"/>
  <c r="I1156"/>
  <c r="I1848"/>
  <c r="I2430"/>
  <c r="I3749"/>
  <c r="I4436"/>
  <c r="I1630"/>
  <c r="I167"/>
  <c r="I2878"/>
  <c r="I2187"/>
  <c r="I2036"/>
  <c r="I2079"/>
  <c r="I2158"/>
  <c r="I4113"/>
  <c r="I2868"/>
  <c r="I4123"/>
  <c r="I1738"/>
  <c r="I4576"/>
  <c r="I4059"/>
  <c r="I25"/>
  <c r="I3244"/>
  <c r="I178"/>
  <c r="I4532"/>
  <c r="I631"/>
  <c r="I183"/>
  <c r="I90"/>
  <c r="I2081"/>
  <c r="I4680"/>
  <c r="I678"/>
  <c r="I2088"/>
  <c r="I2374"/>
  <c r="I5260"/>
  <c r="I922"/>
  <c r="I800"/>
  <c r="I1046"/>
  <c r="I203"/>
  <c r="I1790"/>
  <c r="I287"/>
  <c r="I2779"/>
  <c r="I1562"/>
  <c r="I2910"/>
  <c r="I733"/>
  <c r="I4729"/>
  <c r="I2084"/>
  <c r="I2470"/>
  <c r="I2858"/>
  <c r="I3115"/>
  <c r="I1627"/>
  <c r="I3812"/>
  <c r="I2601"/>
  <c r="I2622"/>
  <c r="I4299"/>
  <c r="I886"/>
  <c r="I3066"/>
  <c r="I1572"/>
  <c r="I2166"/>
  <c r="I2308"/>
  <c r="I4192"/>
  <c r="I1638"/>
  <c r="I4549"/>
  <c r="I2716"/>
  <c r="I142"/>
  <c r="I657"/>
  <c r="I2007"/>
  <c r="I1777"/>
  <c r="I5068"/>
  <c r="I4667"/>
  <c r="I2090"/>
  <c r="I3659"/>
  <c r="I2206"/>
  <c r="I3246"/>
  <c r="I735"/>
  <c r="I2262"/>
  <c r="I2766"/>
  <c r="I1017"/>
  <c r="I2241"/>
  <c r="I942"/>
  <c r="I1142"/>
  <c r="I2217"/>
  <c r="I177"/>
  <c r="I953"/>
  <c r="I5690"/>
  <c r="I4867"/>
  <c r="I2616"/>
  <c r="I1038"/>
  <c r="I1684"/>
  <c r="I3113"/>
  <c r="I1718"/>
  <c r="I213"/>
  <c r="I433"/>
  <c r="I95"/>
  <c r="I3114"/>
  <c r="I123"/>
  <c r="I1673"/>
  <c r="I4801"/>
  <c r="I180"/>
  <c r="I54"/>
  <c r="I1567"/>
  <c r="I924"/>
  <c r="I2673"/>
  <c r="I2305"/>
  <c r="I4389"/>
  <c r="I1254"/>
  <c r="I1770"/>
  <c r="I1537"/>
  <c r="I125"/>
  <c r="I421"/>
  <c r="I2421"/>
  <c r="I289"/>
  <c r="I121"/>
  <c r="I873"/>
  <c r="I1238"/>
  <c r="I395"/>
  <c r="I39"/>
  <c r="I1440"/>
  <c r="I4402"/>
  <c r="I1293"/>
  <c r="I3353"/>
  <c r="I3038"/>
  <c r="I4125"/>
  <c r="I1220"/>
  <c r="I5188"/>
  <c r="I2416"/>
  <c r="I438"/>
  <c r="I290"/>
  <c r="I2116"/>
  <c r="I238"/>
  <c r="I1077"/>
  <c r="I3457"/>
  <c r="I589"/>
  <c r="I4399"/>
  <c r="I2100"/>
  <c r="I2329"/>
  <c r="I3671"/>
  <c r="I2832"/>
  <c r="I1841"/>
  <c r="I602"/>
  <c r="I2746"/>
  <c r="I1625"/>
  <c r="I3917"/>
  <c r="I1521"/>
  <c r="I2714"/>
  <c r="I3526"/>
  <c r="I910"/>
  <c r="I2077"/>
  <c r="I1024"/>
  <c r="I627"/>
  <c r="I2448"/>
  <c r="I5310"/>
  <c r="I5295"/>
  <c r="I1083"/>
  <c r="I2227"/>
  <c r="I176"/>
  <c r="I2841"/>
  <c r="I2537"/>
  <c r="I2461"/>
  <c r="I80"/>
  <c r="I82"/>
  <c r="I2340"/>
  <c r="I2066"/>
  <c r="I1936"/>
  <c r="I3044"/>
  <c r="I1008"/>
  <c r="I2885"/>
  <c r="I341"/>
  <c r="I2916"/>
  <c r="I593"/>
  <c r="I3359"/>
  <c r="I2093"/>
  <c r="I2113"/>
  <c r="I1033"/>
  <c r="I5130"/>
  <c r="I3887"/>
  <c r="I649"/>
  <c r="I3248"/>
  <c r="I723"/>
  <c r="I2362"/>
  <c r="I2583"/>
  <c r="I5044"/>
  <c r="I1632"/>
  <c r="I2656"/>
  <c r="I1977"/>
  <c r="I330"/>
  <c r="I478"/>
  <c r="F7" i="3" l="1"/>
  <c r="B3" i="10" l="1"/>
  <c r="B4"/>
  <c r="B5"/>
  <c r="B6"/>
  <c r="B7"/>
  <c r="B8"/>
  <c r="B2"/>
  <c r="B9"/>
  <c r="B10"/>
  <c r="B11"/>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3"/>
  <c r="C333" s="1"/>
  <c r="B334"/>
  <c r="C334" s="1"/>
  <c r="B335"/>
  <c r="B336"/>
  <c r="B337"/>
  <c r="B338"/>
  <c r="B339"/>
  <c r="B340"/>
  <c r="B341"/>
  <c r="B342"/>
  <c r="B343"/>
  <c r="B344"/>
  <c r="B345"/>
  <c r="B346"/>
  <c r="B347"/>
  <c r="B348"/>
  <c r="B349"/>
  <c r="B350"/>
  <c r="B351"/>
  <c r="B352"/>
  <c r="B353"/>
  <c r="B354"/>
  <c r="B355"/>
  <c r="B356"/>
  <c r="B357"/>
  <c r="B358"/>
  <c r="B359"/>
  <c r="B360"/>
  <c r="B361"/>
  <c r="B362"/>
  <c r="B363"/>
  <c r="B364"/>
  <c r="B365"/>
  <c r="B366"/>
  <c r="F3" i="3"/>
  <c r="F5"/>
  <c r="F6"/>
  <c r="F8"/>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4"/>
  <c r="C3"/>
  <c r="C11" i="10" l="1"/>
  <c r="D11" s="1"/>
  <c r="C3"/>
  <c r="D3" s="1"/>
  <c r="C18"/>
  <c r="D18" s="1"/>
  <c r="C7"/>
  <c r="D7" s="1"/>
  <c r="C8"/>
  <c r="D8" s="1"/>
  <c r="C4"/>
  <c r="D4" s="1"/>
  <c r="C14"/>
  <c r="D14" s="1"/>
  <c r="C365"/>
  <c r="D365" s="1"/>
  <c r="C17"/>
  <c r="D17" s="1"/>
  <c r="C13"/>
  <c r="D13" s="1"/>
  <c r="C9"/>
  <c r="D9" s="1"/>
  <c r="C6"/>
  <c r="D6" s="1"/>
  <c r="C364"/>
  <c r="D364" s="1"/>
  <c r="C16"/>
  <c r="D16" s="1"/>
  <c r="C12"/>
  <c r="D12" s="1"/>
  <c r="C2"/>
  <c r="D2" s="1"/>
  <c r="C5"/>
  <c r="D5" s="1"/>
  <c r="C19"/>
  <c r="D19" s="1"/>
  <c r="C363"/>
  <c r="D363" s="1"/>
  <c r="C15"/>
  <c r="D15" s="1"/>
  <c r="C366"/>
  <c r="D366" s="1"/>
  <c r="C10"/>
  <c r="D10" s="1"/>
  <c r="C357"/>
  <c r="D357" s="1"/>
  <c r="C349"/>
  <c r="D349" s="1"/>
  <c r="D333"/>
  <c r="C321"/>
  <c r="D321" s="1"/>
  <c r="C305"/>
  <c r="D305" s="1"/>
  <c r="C293"/>
  <c r="D293" s="1"/>
  <c r="C356"/>
  <c r="D356" s="1"/>
  <c r="C344"/>
  <c r="D344" s="1"/>
  <c r="C336"/>
  <c r="D336" s="1"/>
  <c r="C328"/>
  <c r="D328" s="1"/>
  <c r="C316"/>
  <c r="D316" s="1"/>
  <c r="C308"/>
  <c r="D308" s="1"/>
  <c r="C296"/>
  <c r="D296" s="1"/>
  <c r="C288"/>
  <c r="D288" s="1"/>
  <c r="C276"/>
  <c r="D276" s="1"/>
  <c r="C268"/>
  <c r="D268" s="1"/>
  <c r="C256"/>
  <c r="D256" s="1"/>
  <c r="C248"/>
  <c r="D248" s="1"/>
  <c r="C236"/>
  <c r="D236" s="1"/>
  <c r="C224"/>
  <c r="D224" s="1"/>
  <c r="C216"/>
  <c r="D216" s="1"/>
  <c r="C204"/>
  <c r="D204" s="1"/>
  <c r="C196"/>
  <c r="D196" s="1"/>
  <c r="C184"/>
  <c r="D184" s="1"/>
  <c r="C176"/>
  <c r="D176" s="1"/>
  <c r="C168"/>
  <c r="D168" s="1"/>
  <c r="C156"/>
  <c r="D156" s="1"/>
  <c r="C148"/>
  <c r="D148" s="1"/>
  <c r="C136"/>
  <c r="D136" s="1"/>
  <c r="C128"/>
  <c r="D128" s="1"/>
  <c r="C116"/>
  <c r="D116" s="1"/>
  <c r="C104"/>
  <c r="D104" s="1"/>
  <c r="C96"/>
  <c r="D96" s="1"/>
  <c r="C84"/>
  <c r="D84" s="1"/>
  <c r="C76"/>
  <c r="D76" s="1"/>
  <c r="C64"/>
  <c r="D64" s="1"/>
  <c r="C56"/>
  <c r="D56" s="1"/>
  <c r="C361"/>
  <c r="D361" s="1"/>
  <c r="C345"/>
  <c r="D345" s="1"/>
  <c r="C329"/>
  <c r="D329" s="1"/>
  <c r="C313"/>
  <c r="D313" s="1"/>
  <c r="C301"/>
  <c r="D301" s="1"/>
  <c r="C285"/>
  <c r="D285" s="1"/>
  <c r="C281"/>
  <c r="D281" s="1"/>
  <c r="C277"/>
  <c r="D277" s="1"/>
  <c r="C273"/>
  <c r="D273" s="1"/>
  <c r="C269"/>
  <c r="D269" s="1"/>
  <c r="C265"/>
  <c r="D265" s="1"/>
  <c r="C261"/>
  <c r="D261" s="1"/>
  <c r="C257"/>
  <c r="D257" s="1"/>
  <c r="C253"/>
  <c r="D253" s="1"/>
  <c r="C249"/>
  <c r="D249" s="1"/>
  <c r="C245"/>
  <c r="D245" s="1"/>
  <c r="C241"/>
  <c r="D241" s="1"/>
  <c r="C237"/>
  <c r="D237" s="1"/>
  <c r="C233"/>
  <c r="D233" s="1"/>
  <c r="C229"/>
  <c r="D229" s="1"/>
  <c r="C225"/>
  <c r="D225" s="1"/>
  <c r="C221"/>
  <c r="D221" s="1"/>
  <c r="C217"/>
  <c r="D217" s="1"/>
  <c r="C213"/>
  <c r="D213" s="1"/>
  <c r="C209"/>
  <c r="D209" s="1"/>
  <c r="C205"/>
  <c r="D205" s="1"/>
  <c r="C201"/>
  <c r="D201" s="1"/>
  <c r="C197"/>
  <c r="D197" s="1"/>
  <c r="C193"/>
  <c r="D193" s="1"/>
  <c r="C189"/>
  <c r="D189" s="1"/>
  <c r="C185"/>
  <c r="D185" s="1"/>
  <c r="C181"/>
  <c r="D181" s="1"/>
  <c r="C177"/>
  <c r="D177" s="1"/>
  <c r="C173"/>
  <c r="D173" s="1"/>
  <c r="C169"/>
  <c r="D169" s="1"/>
  <c r="C165"/>
  <c r="D165" s="1"/>
  <c r="C161"/>
  <c r="D161" s="1"/>
  <c r="C157"/>
  <c r="D157" s="1"/>
  <c r="C153"/>
  <c r="D153" s="1"/>
  <c r="C149"/>
  <c r="D149" s="1"/>
  <c r="C145"/>
  <c r="D145" s="1"/>
  <c r="C141"/>
  <c r="D141" s="1"/>
  <c r="C137"/>
  <c r="D137" s="1"/>
  <c r="C133"/>
  <c r="D133" s="1"/>
  <c r="C353"/>
  <c r="D353" s="1"/>
  <c r="C341"/>
  <c r="D341" s="1"/>
  <c r="C337"/>
  <c r="D337" s="1"/>
  <c r="C325"/>
  <c r="D325" s="1"/>
  <c r="C317"/>
  <c r="D317" s="1"/>
  <c r="C309"/>
  <c r="D309" s="1"/>
  <c r="C297"/>
  <c r="D297" s="1"/>
  <c r="C289"/>
  <c r="D289" s="1"/>
  <c r="C34"/>
  <c r="D34" s="1"/>
  <c r="C50"/>
  <c r="D50" s="1"/>
  <c r="C55"/>
  <c r="D55" s="1"/>
  <c r="C98"/>
  <c r="D98" s="1"/>
  <c r="C119"/>
  <c r="D119" s="1"/>
  <c r="C146"/>
  <c r="D146" s="1"/>
  <c r="C162"/>
  <c r="D162" s="1"/>
  <c r="C167"/>
  <c r="D167" s="1"/>
  <c r="C183"/>
  <c r="D183" s="1"/>
  <c r="C210"/>
  <c r="D210" s="1"/>
  <c r="C226"/>
  <c r="D226" s="1"/>
  <c r="C23"/>
  <c r="D23" s="1"/>
  <c r="C71"/>
  <c r="D71" s="1"/>
  <c r="C114"/>
  <c r="D114" s="1"/>
  <c r="C135"/>
  <c r="D135" s="1"/>
  <c r="C231"/>
  <c r="D231" s="1"/>
  <c r="C30"/>
  <c r="D30" s="1"/>
  <c r="C51"/>
  <c r="D51" s="1"/>
  <c r="C254"/>
  <c r="D254" s="1"/>
  <c r="C275"/>
  <c r="D275" s="1"/>
  <c r="C286"/>
  <c r="D286" s="1"/>
  <c r="C307"/>
  <c r="D307" s="1"/>
  <c r="C35"/>
  <c r="D35" s="1"/>
  <c r="C78"/>
  <c r="D78" s="1"/>
  <c r="C99"/>
  <c r="D99" s="1"/>
  <c r="C142"/>
  <c r="D142" s="1"/>
  <c r="C163"/>
  <c r="D163" s="1"/>
  <c r="C247"/>
  <c r="D247" s="1"/>
  <c r="C258"/>
  <c r="D258" s="1"/>
  <c r="C279"/>
  <c r="D279" s="1"/>
  <c r="C322"/>
  <c r="D322" s="1"/>
  <c r="C343"/>
  <c r="D343" s="1"/>
  <c r="C195"/>
  <c r="D195" s="1"/>
  <c r="C338"/>
  <c r="D338" s="1"/>
  <c r="C62"/>
  <c r="D62" s="1"/>
  <c r="C83"/>
  <c r="D83" s="1"/>
  <c r="C126"/>
  <c r="D126" s="1"/>
  <c r="C147"/>
  <c r="D147" s="1"/>
  <c r="C190"/>
  <c r="D190" s="1"/>
  <c r="C211"/>
  <c r="D211" s="1"/>
  <c r="C259"/>
  <c r="D259" s="1"/>
  <c r="C302"/>
  <c r="D302" s="1"/>
  <c r="C323"/>
  <c r="D323" s="1"/>
  <c r="C174"/>
  <c r="D174" s="1"/>
  <c r="C238"/>
  <c r="D238" s="1"/>
  <c r="C274"/>
  <c r="D274" s="1"/>
  <c r="C295"/>
  <c r="D295" s="1"/>
  <c r="C66"/>
  <c r="D66" s="1"/>
  <c r="C82"/>
  <c r="D82" s="1"/>
  <c r="C103"/>
  <c r="D103" s="1"/>
  <c r="C130"/>
  <c r="D130" s="1"/>
  <c r="C194"/>
  <c r="D194" s="1"/>
  <c r="C215"/>
  <c r="D215" s="1"/>
  <c r="C242"/>
  <c r="D242" s="1"/>
  <c r="C39"/>
  <c r="D39" s="1"/>
  <c r="C87"/>
  <c r="D87" s="1"/>
  <c r="C151"/>
  <c r="D151" s="1"/>
  <c r="C178"/>
  <c r="D178" s="1"/>
  <c r="C199"/>
  <c r="D199" s="1"/>
  <c r="C94"/>
  <c r="D94" s="1"/>
  <c r="C115"/>
  <c r="D115" s="1"/>
  <c r="C158"/>
  <c r="D158" s="1"/>
  <c r="C179"/>
  <c r="D179" s="1"/>
  <c r="C222"/>
  <c r="D222" s="1"/>
  <c r="C243"/>
  <c r="D243" s="1"/>
  <c r="C318"/>
  <c r="D318" s="1"/>
  <c r="C339"/>
  <c r="D339" s="1"/>
  <c r="C206"/>
  <c r="D206" s="1"/>
  <c r="C227"/>
  <c r="D227" s="1"/>
  <c r="C290"/>
  <c r="D290" s="1"/>
  <c r="C311"/>
  <c r="D311" s="1"/>
  <c r="C67"/>
  <c r="D67" s="1"/>
  <c r="C131"/>
  <c r="D131" s="1"/>
  <c r="C263"/>
  <c r="D263" s="1"/>
  <c r="C306"/>
  <c r="D306" s="1"/>
  <c r="C270"/>
  <c r="D270" s="1"/>
  <c r="C291"/>
  <c r="D291" s="1"/>
  <c r="D334"/>
  <c r="C46"/>
  <c r="D46" s="1"/>
  <c r="C110"/>
  <c r="D110" s="1"/>
  <c r="C327"/>
  <c r="D327" s="1"/>
  <c r="C360"/>
  <c r="D360" s="1"/>
  <c r="C352"/>
  <c r="D352" s="1"/>
  <c r="C348"/>
  <c r="D348" s="1"/>
  <c r="C340"/>
  <c r="D340" s="1"/>
  <c r="D332"/>
  <c r="C324"/>
  <c r="D324" s="1"/>
  <c r="C320"/>
  <c r="D320" s="1"/>
  <c r="C312"/>
  <c r="D312" s="1"/>
  <c r="C304"/>
  <c r="D304" s="1"/>
  <c r="C300"/>
  <c r="D300" s="1"/>
  <c r="C292"/>
  <c r="D292" s="1"/>
  <c r="C284"/>
  <c r="D284" s="1"/>
  <c r="C280"/>
  <c r="D280" s="1"/>
  <c r="C272"/>
  <c r="D272" s="1"/>
  <c r="C264"/>
  <c r="D264" s="1"/>
  <c r="C260"/>
  <c r="D260" s="1"/>
  <c r="C252"/>
  <c r="D252" s="1"/>
  <c r="C244"/>
  <c r="D244" s="1"/>
  <c r="C240"/>
  <c r="D240" s="1"/>
  <c r="C232"/>
  <c r="D232" s="1"/>
  <c r="C228"/>
  <c r="D228" s="1"/>
  <c r="C220"/>
  <c r="D220" s="1"/>
  <c r="C212"/>
  <c r="D212" s="1"/>
  <c r="C208"/>
  <c r="D208" s="1"/>
  <c r="C200"/>
  <c r="D200" s="1"/>
  <c r="C192"/>
  <c r="D192" s="1"/>
  <c r="C188"/>
  <c r="D188" s="1"/>
  <c r="C180"/>
  <c r="D180" s="1"/>
  <c r="C172"/>
  <c r="D172" s="1"/>
  <c r="C164"/>
  <c r="D164" s="1"/>
  <c r="C160"/>
  <c r="D160" s="1"/>
  <c r="C152"/>
  <c r="D152" s="1"/>
  <c r="C144"/>
  <c r="D144" s="1"/>
  <c r="C140"/>
  <c r="D140" s="1"/>
  <c r="C132"/>
  <c r="D132" s="1"/>
  <c r="C124"/>
  <c r="D124" s="1"/>
  <c r="C120"/>
  <c r="D120" s="1"/>
  <c r="C112"/>
  <c r="D112" s="1"/>
  <c r="C108"/>
  <c r="D108" s="1"/>
  <c r="C100"/>
  <c r="D100" s="1"/>
  <c r="C92"/>
  <c r="D92" s="1"/>
  <c r="C88"/>
  <c r="D88" s="1"/>
  <c r="C80"/>
  <c r="D80" s="1"/>
  <c r="C72"/>
  <c r="D72" s="1"/>
  <c r="C68"/>
  <c r="D68" s="1"/>
  <c r="C60"/>
  <c r="D60" s="1"/>
  <c r="C52"/>
  <c r="D52" s="1"/>
  <c r="C48"/>
  <c r="D48" s="1"/>
  <c r="C40"/>
  <c r="D40" s="1"/>
  <c r="C24"/>
  <c r="D24" s="1"/>
  <c r="C44"/>
  <c r="D44" s="1"/>
  <c r="C36"/>
  <c r="D36" s="1"/>
  <c r="C28"/>
  <c r="D28" s="1"/>
  <c r="C20"/>
  <c r="D20" s="1"/>
  <c r="C359"/>
  <c r="D359" s="1"/>
  <c r="C355"/>
  <c r="D355" s="1"/>
  <c r="C351"/>
  <c r="D351" s="1"/>
  <c r="C347"/>
  <c r="D347" s="1"/>
  <c r="C335"/>
  <c r="D335" s="1"/>
  <c r="C331"/>
  <c r="D331" s="1"/>
  <c r="C319"/>
  <c r="D319" s="1"/>
  <c r="C315"/>
  <c r="D315" s="1"/>
  <c r="C303"/>
  <c r="D303" s="1"/>
  <c r="C299"/>
  <c r="D299" s="1"/>
  <c r="C287"/>
  <c r="D287" s="1"/>
  <c r="C283"/>
  <c r="D283" s="1"/>
  <c r="C271"/>
  <c r="D271" s="1"/>
  <c r="C267"/>
  <c r="D267" s="1"/>
  <c r="C255"/>
  <c r="D255" s="1"/>
  <c r="C251"/>
  <c r="D251" s="1"/>
  <c r="C239"/>
  <c r="D239" s="1"/>
  <c r="C235"/>
  <c r="D235" s="1"/>
  <c r="C223"/>
  <c r="D223" s="1"/>
  <c r="C219"/>
  <c r="D219" s="1"/>
  <c r="C207"/>
  <c r="D207" s="1"/>
  <c r="C203"/>
  <c r="D203" s="1"/>
  <c r="C191"/>
  <c r="D191" s="1"/>
  <c r="C187"/>
  <c r="D187" s="1"/>
  <c r="C175"/>
  <c r="D175" s="1"/>
  <c r="C171"/>
  <c r="D171" s="1"/>
  <c r="C159"/>
  <c r="D159" s="1"/>
  <c r="C155"/>
  <c r="D155" s="1"/>
  <c r="C143"/>
  <c r="D143" s="1"/>
  <c r="C139"/>
  <c r="D139" s="1"/>
  <c r="C127"/>
  <c r="D127" s="1"/>
  <c r="C123"/>
  <c r="D123" s="1"/>
  <c r="C111"/>
  <c r="D111" s="1"/>
  <c r="C107"/>
  <c r="D107" s="1"/>
  <c r="C95"/>
  <c r="D95" s="1"/>
  <c r="C91"/>
  <c r="D91" s="1"/>
  <c r="C79"/>
  <c r="D79" s="1"/>
  <c r="C75"/>
  <c r="D75" s="1"/>
  <c r="C63"/>
  <c r="D63" s="1"/>
  <c r="C59"/>
  <c r="D59" s="1"/>
  <c r="C47"/>
  <c r="D47" s="1"/>
  <c r="C43"/>
  <c r="D43" s="1"/>
  <c r="C31"/>
  <c r="D31" s="1"/>
  <c r="C27"/>
  <c r="D27" s="1"/>
  <c r="C32"/>
  <c r="D32" s="1"/>
  <c r="C362"/>
  <c r="D362" s="1"/>
  <c r="C358"/>
  <c r="D358" s="1"/>
  <c r="C354"/>
  <c r="D354" s="1"/>
  <c r="C350"/>
  <c r="D350" s="1"/>
  <c r="C346"/>
  <c r="D346" s="1"/>
  <c r="C342"/>
  <c r="D342" s="1"/>
  <c r="C330"/>
  <c r="D330" s="1"/>
  <c r="C326"/>
  <c r="D326" s="1"/>
  <c r="C314"/>
  <c r="D314" s="1"/>
  <c r="C310"/>
  <c r="D310" s="1"/>
  <c r="C298"/>
  <c r="D298" s="1"/>
  <c r="C294"/>
  <c r="D294" s="1"/>
  <c r="C282"/>
  <c r="D282" s="1"/>
  <c r="C278"/>
  <c r="D278" s="1"/>
  <c r="C266"/>
  <c r="D266" s="1"/>
  <c r="C262"/>
  <c r="D262" s="1"/>
  <c r="C250"/>
  <c r="D250" s="1"/>
  <c r="C246"/>
  <c r="D246" s="1"/>
  <c r="C234"/>
  <c r="D234" s="1"/>
  <c r="C230"/>
  <c r="D230" s="1"/>
  <c r="C218"/>
  <c r="D218" s="1"/>
  <c r="C214"/>
  <c r="D214" s="1"/>
  <c r="C202"/>
  <c r="D202" s="1"/>
  <c r="C198"/>
  <c r="D198" s="1"/>
  <c r="C186"/>
  <c r="D186" s="1"/>
  <c r="C182"/>
  <c r="D182" s="1"/>
  <c r="C170"/>
  <c r="D170" s="1"/>
  <c r="C166"/>
  <c r="D166" s="1"/>
  <c r="C154"/>
  <c r="D154" s="1"/>
  <c r="C150"/>
  <c r="D150" s="1"/>
  <c r="C138"/>
  <c r="D138" s="1"/>
  <c r="C134"/>
  <c r="D134" s="1"/>
  <c r="C122"/>
  <c r="D122" s="1"/>
  <c r="C118"/>
  <c r="D118" s="1"/>
  <c r="C106"/>
  <c r="D106" s="1"/>
  <c r="C102"/>
  <c r="D102" s="1"/>
  <c r="C90"/>
  <c r="D90" s="1"/>
  <c r="C86"/>
  <c r="D86" s="1"/>
  <c r="C74"/>
  <c r="D74" s="1"/>
  <c r="C70"/>
  <c r="D70" s="1"/>
  <c r="C58"/>
  <c r="D58" s="1"/>
  <c r="C54"/>
  <c r="D54" s="1"/>
  <c r="C42"/>
  <c r="D42" s="1"/>
  <c r="C38"/>
  <c r="D38" s="1"/>
  <c r="C26"/>
  <c r="D26" s="1"/>
  <c r="C22"/>
  <c r="D22" s="1"/>
  <c r="C129"/>
  <c r="D129" s="1"/>
  <c r="C125"/>
  <c r="D125" s="1"/>
  <c r="C121"/>
  <c r="D121" s="1"/>
  <c r="C117"/>
  <c r="D117" s="1"/>
  <c r="C113"/>
  <c r="D113" s="1"/>
  <c r="C109"/>
  <c r="D109" s="1"/>
  <c r="C105"/>
  <c r="D105" s="1"/>
  <c r="C101"/>
  <c r="D101" s="1"/>
  <c r="C97"/>
  <c r="D97" s="1"/>
  <c r="C93"/>
  <c r="D93" s="1"/>
  <c r="C89"/>
  <c r="D89" s="1"/>
  <c r="C85"/>
  <c r="D85" s="1"/>
  <c r="C81"/>
  <c r="D81" s="1"/>
  <c r="C77"/>
  <c r="D77" s="1"/>
  <c r="C73"/>
  <c r="D73" s="1"/>
  <c r="C69"/>
  <c r="D69" s="1"/>
  <c r="C65"/>
  <c r="D65" s="1"/>
  <c r="C61"/>
  <c r="D61" s="1"/>
  <c r="C57"/>
  <c r="D57" s="1"/>
  <c r="C53"/>
  <c r="D53" s="1"/>
  <c r="C49"/>
  <c r="D49" s="1"/>
  <c r="C45"/>
  <c r="D45" s="1"/>
  <c r="C41"/>
  <c r="D41" s="1"/>
  <c r="C37"/>
  <c r="D37" s="1"/>
  <c r="C33"/>
  <c r="D33" s="1"/>
  <c r="C29"/>
  <c r="D29" s="1"/>
  <c r="C25"/>
  <c r="D25" s="1"/>
  <c r="C21"/>
  <c r="D21" s="1"/>
  <c r="J4" i="3" l="1"/>
  <c r="K4"/>
  <c r="J5"/>
  <c r="K5"/>
  <c r="J6"/>
  <c r="K6"/>
  <c r="J7"/>
  <c r="K7"/>
  <c r="J8"/>
  <c r="K8"/>
  <c r="J9"/>
  <c r="K9"/>
  <c r="J10"/>
  <c r="K10"/>
  <c r="J11"/>
  <c r="K11"/>
  <c r="J12"/>
  <c r="K12"/>
  <c r="J13"/>
  <c r="K13"/>
  <c r="J14"/>
  <c r="K14"/>
  <c r="J15"/>
  <c r="K15"/>
  <c r="J16"/>
  <c r="K16"/>
  <c r="J17"/>
  <c r="K17"/>
  <c r="J18"/>
  <c r="K18"/>
  <c r="J19"/>
  <c r="K19"/>
  <c r="J20"/>
  <c r="K20"/>
  <c r="J21"/>
  <c r="K21"/>
  <c r="J22"/>
  <c r="K22"/>
  <c r="J23"/>
  <c r="K23"/>
  <c r="J24"/>
  <c r="K24"/>
  <c r="J25"/>
  <c r="K25"/>
  <c r="J26"/>
  <c r="K26"/>
  <c r="J27"/>
  <c r="K27"/>
  <c r="J28"/>
  <c r="K28"/>
  <c r="J29"/>
  <c r="K29"/>
  <c r="J30"/>
  <c r="K30"/>
  <c r="J31"/>
  <c r="K31"/>
  <c r="J32"/>
  <c r="K32"/>
  <c r="J33"/>
  <c r="K33"/>
  <c r="J34"/>
  <c r="K34"/>
  <c r="J35"/>
  <c r="K35"/>
  <c r="J36"/>
  <c r="K36"/>
  <c r="J37"/>
  <c r="K37"/>
  <c r="J38"/>
  <c r="K38"/>
  <c r="J39"/>
  <c r="K39"/>
  <c r="J40"/>
  <c r="K40"/>
  <c r="J41"/>
  <c r="K41"/>
  <c r="J42"/>
  <c r="K42"/>
  <c r="J43"/>
  <c r="K43"/>
  <c r="J44"/>
  <c r="K44"/>
  <c r="J45"/>
  <c r="K45"/>
  <c r="J46"/>
  <c r="K46"/>
  <c r="J47"/>
  <c r="K47"/>
  <c r="J48"/>
  <c r="K48"/>
  <c r="J49"/>
  <c r="K49"/>
  <c r="K50"/>
  <c r="J51"/>
  <c r="K51"/>
  <c r="J52"/>
  <c r="K52"/>
  <c r="J53"/>
  <c r="K53"/>
  <c r="J54"/>
  <c r="K54"/>
  <c r="J55"/>
  <c r="K55"/>
  <c r="K3"/>
  <c r="J3"/>
  <c r="C4"/>
  <c r="D4"/>
  <c r="C5"/>
  <c r="D5"/>
  <c r="C6"/>
  <c r="D6"/>
  <c r="C7"/>
  <c r="D7"/>
  <c r="C8"/>
  <c r="D8"/>
  <c r="D9"/>
  <c r="C10"/>
  <c r="D10"/>
  <c r="C11"/>
  <c r="D11"/>
  <c r="C12"/>
  <c r="D12"/>
  <c r="C13"/>
  <c r="D13"/>
  <c r="C14"/>
  <c r="D14"/>
  <c r="C15"/>
  <c r="D15"/>
  <c r="C16"/>
  <c r="D16"/>
  <c r="C17"/>
  <c r="D17"/>
  <c r="C18"/>
  <c r="D18"/>
  <c r="C19"/>
  <c r="D19"/>
  <c r="C20"/>
  <c r="D20"/>
  <c r="C21"/>
  <c r="D21"/>
  <c r="C22"/>
  <c r="D22"/>
  <c r="C23"/>
  <c r="D23"/>
  <c r="C24"/>
  <c r="D24"/>
  <c r="C25"/>
  <c r="D25"/>
  <c r="C26"/>
  <c r="D26"/>
  <c r="C27"/>
  <c r="D27"/>
  <c r="C28"/>
  <c r="D28"/>
  <c r="C29"/>
  <c r="D29"/>
  <c r="C30"/>
  <c r="D30"/>
  <c r="C31"/>
  <c r="D31"/>
  <c r="C32"/>
  <c r="D32"/>
  <c r="C33"/>
  <c r="D33"/>
  <c r="C34"/>
  <c r="D34"/>
  <c r="C35"/>
  <c r="D35"/>
  <c r="C36"/>
  <c r="D36"/>
  <c r="C37"/>
  <c r="D37"/>
  <c r="C38"/>
  <c r="D38"/>
  <c r="C39"/>
  <c r="D39"/>
  <c r="C40"/>
  <c r="D40"/>
  <c r="C41"/>
  <c r="D41"/>
  <c r="C42"/>
  <c r="D42"/>
  <c r="C43"/>
  <c r="D43"/>
  <c r="C44"/>
  <c r="D44"/>
  <c r="C45"/>
  <c r="D45"/>
  <c r="C46"/>
  <c r="D46"/>
  <c r="C47"/>
  <c r="D47"/>
  <c r="C48"/>
  <c r="D48"/>
  <c r="C49"/>
  <c r="D49"/>
  <c r="C50"/>
  <c r="C51"/>
  <c r="D51"/>
  <c r="C52"/>
  <c r="D52"/>
  <c r="C53"/>
  <c r="D53"/>
  <c r="C54"/>
  <c r="D54"/>
  <c r="C55"/>
  <c r="D55"/>
  <c r="D3"/>
  <c r="O7" i="2"/>
  <c r="O8"/>
  <c r="O9"/>
  <c r="O10"/>
  <c r="O11"/>
  <c r="O12"/>
  <c r="O13"/>
  <c r="O14"/>
  <c r="O15"/>
  <c r="O16"/>
  <c r="O17"/>
  <c r="I66" i="3"/>
  <c r="B66"/>
  <c r="I65"/>
  <c r="B65"/>
  <c r="I64"/>
  <c r="B64"/>
  <c r="I63"/>
  <c r="B63"/>
  <c r="I62"/>
  <c r="B62"/>
  <c r="I61"/>
  <c r="I60"/>
  <c r="B60"/>
  <c r="I59"/>
  <c r="Q55"/>
  <c r="L55"/>
  <c r="E55"/>
  <c r="Q54"/>
  <c r="L54"/>
  <c r="E54"/>
  <c r="Q53"/>
  <c r="L53"/>
  <c r="E53"/>
  <c r="Q52"/>
  <c r="L52"/>
  <c r="E52"/>
  <c r="Q51"/>
  <c r="L51"/>
  <c r="E51"/>
  <c r="L50"/>
  <c r="E50"/>
  <c r="Q49"/>
  <c r="L49"/>
  <c r="E49"/>
  <c r="Q48"/>
  <c r="L48"/>
  <c r="E48"/>
  <c r="Q47"/>
  <c r="L47"/>
  <c r="E47"/>
  <c r="Q46"/>
  <c r="L46"/>
  <c r="E46"/>
  <c r="Q45"/>
  <c r="L45"/>
  <c r="E45"/>
  <c r="Q44"/>
  <c r="L44"/>
  <c r="E44"/>
  <c r="Q43"/>
  <c r="L43"/>
  <c r="E43"/>
  <c r="Q42"/>
  <c r="L42"/>
  <c r="E42"/>
  <c r="Q41"/>
  <c r="L41"/>
  <c r="E41"/>
  <c r="Q40"/>
  <c r="L40"/>
  <c r="E40"/>
  <c r="Q39"/>
  <c r="L39"/>
  <c r="E39"/>
  <c r="Q38"/>
  <c r="L38"/>
  <c r="E38"/>
  <c r="Q37"/>
  <c r="L37"/>
  <c r="E37"/>
  <c r="Q36"/>
  <c r="L36"/>
  <c r="E36"/>
  <c r="Q35"/>
  <c r="L35"/>
  <c r="E35"/>
  <c r="Q34"/>
  <c r="L34"/>
  <c r="E34"/>
  <c r="Q33"/>
  <c r="L33"/>
  <c r="E33"/>
  <c r="Q32"/>
  <c r="L32"/>
  <c r="E32"/>
  <c r="Q31"/>
  <c r="L31"/>
  <c r="E31"/>
  <c r="Q30"/>
  <c r="L30"/>
  <c r="E30"/>
  <c r="Q29"/>
  <c r="L29"/>
  <c r="E29"/>
  <c r="Q28"/>
  <c r="L28"/>
  <c r="E28"/>
  <c r="Q27"/>
  <c r="L27"/>
  <c r="E27"/>
  <c r="Q26"/>
  <c r="L26"/>
  <c r="E26"/>
  <c r="Q25"/>
  <c r="L25"/>
  <c r="E25"/>
  <c r="Q24"/>
  <c r="L24"/>
  <c r="E24"/>
  <c r="Q23"/>
  <c r="L23"/>
  <c r="E23"/>
  <c r="Q22"/>
  <c r="L22"/>
  <c r="E22"/>
  <c r="Q21"/>
  <c r="L21"/>
  <c r="E21"/>
  <c r="Q20"/>
  <c r="L20"/>
  <c r="E20"/>
  <c r="Q19"/>
  <c r="L19"/>
  <c r="E19"/>
  <c r="Q18"/>
  <c r="L18"/>
  <c r="E18"/>
  <c r="Q17"/>
  <c r="L17"/>
  <c r="E17"/>
  <c r="Q16"/>
  <c r="L16"/>
  <c r="E16"/>
  <c r="Q15"/>
  <c r="L15"/>
  <c r="E15"/>
  <c r="Q14"/>
  <c r="L14"/>
  <c r="E14"/>
  <c r="Q13"/>
  <c r="L13"/>
  <c r="E13"/>
  <c r="Q12"/>
  <c r="L12"/>
  <c r="E12"/>
  <c r="Q11"/>
  <c r="L11"/>
  <c r="E11"/>
  <c r="Q10"/>
  <c r="L10"/>
  <c r="E10"/>
  <c r="Q9"/>
  <c r="L9"/>
  <c r="E9"/>
  <c r="Q8"/>
  <c r="L8"/>
  <c r="E8"/>
  <c r="Q7"/>
  <c r="L7"/>
  <c r="E7"/>
  <c r="Q6"/>
  <c r="L6"/>
  <c r="E6"/>
  <c r="Q5"/>
  <c r="L5"/>
  <c r="E5"/>
  <c r="Q4"/>
  <c r="L4"/>
  <c r="E4"/>
  <c r="Q3"/>
  <c r="L3"/>
  <c r="E3"/>
  <c r="L65" l="1"/>
  <c r="L62"/>
  <c r="E63"/>
  <c r="E64"/>
  <c r="E61"/>
  <c r="L59"/>
  <c r="L63"/>
  <c r="L61"/>
  <c r="P62"/>
  <c r="L64"/>
  <c r="E66"/>
  <c r="L60"/>
  <c r="E62"/>
  <c r="E65"/>
  <c r="P65"/>
  <c r="L66"/>
  <c r="E60"/>
  <c r="P60"/>
  <c r="P64"/>
  <c r="P63"/>
  <c r="P66"/>
  <c r="P61"/>
  <c r="O63" l="1"/>
  <c r="Q63" s="1"/>
  <c r="O59"/>
  <c r="O65"/>
  <c r="Q65" s="1"/>
  <c r="O62"/>
  <c r="Q62" s="1"/>
  <c r="O61"/>
  <c r="Q61" s="1"/>
  <c r="O60"/>
  <c r="Q60" s="1"/>
  <c r="O64"/>
  <c r="Q64" s="1"/>
  <c r="O66"/>
  <c r="Q66" s="1"/>
</calcChain>
</file>

<file path=xl/sharedStrings.xml><?xml version="1.0" encoding="utf-8"?>
<sst xmlns="http://schemas.openxmlformats.org/spreadsheetml/2006/main" count="24951" uniqueCount="328">
  <si>
    <t>MONDAY</t>
  </si>
  <si>
    <t>TUESDAY</t>
  </si>
  <si>
    <t>WEDNESDAY</t>
  </si>
  <si>
    <t>S</t>
  </si>
  <si>
    <t>N</t>
  </si>
  <si>
    <t>M</t>
  </si>
  <si>
    <t>K</t>
  </si>
  <si>
    <t>J</t>
  </si>
  <si>
    <t>L</t>
  </si>
  <si>
    <t>O</t>
  </si>
  <si>
    <t>T</t>
  </si>
  <si>
    <t>On Call</t>
  </si>
  <si>
    <t xml:space="preserve"> </t>
  </si>
  <si>
    <t>Monday</t>
  </si>
  <si>
    <t>DOCTOR</t>
  </si>
  <si>
    <t>NOTE</t>
  </si>
  <si>
    <t>DR</t>
  </si>
  <si>
    <t>LOC</t>
  </si>
  <si>
    <t>G</t>
  </si>
  <si>
    <t>HPE1</t>
  </si>
  <si>
    <t>HPE2</t>
  </si>
  <si>
    <t>HPE3</t>
  </si>
  <si>
    <t>HPE4</t>
  </si>
  <si>
    <t>MRMC</t>
  </si>
  <si>
    <t>MSEC</t>
  </si>
  <si>
    <t>Locations</t>
  </si>
  <si>
    <t>Code</t>
  </si>
  <si>
    <t>Definition</t>
  </si>
  <si>
    <t>G Hospital</t>
  </si>
  <si>
    <t>MRMC Hospital</t>
  </si>
  <si>
    <t>HPE Center Room 1</t>
  </si>
  <si>
    <t>HPE Center Room 2</t>
  </si>
  <si>
    <t>HPE Center Room 3</t>
  </si>
  <si>
    <t>HPE Center Room 4</t>
  </si>
  <si>
    <t>MSEC Center</t>
  </si>
  <si>
    <t>Doctors</t>
  </si>
  <si>
    <t>Smith</t>
  </si>
  <si>
    <t>Neumann</t>
  </si>
  <si>
    <t>Macksood</t>
  </si>
  <si>
    <t>Korte</t>
  </si>
  <si>
    <t>Miller</t>
  </si>
  <si>
    <t>Landesman</t>
  </si>
  <si>
    <t>Minaudo</t>
  </si>
  <si>
    <t>Thigpin</t>
  </si>
  <si>
    <t>OFF</t>
  </si>
  <si>
    <t>Not Working</t>
  </si>
  <si>
    <t>Blank</t>
  </si>
  <si>
    <t>Month</t>
  </si>
  <si>
    <t>January</t>
  </si>
  <si>
    <t>Start</t>
  </si>
  <si>
    <t>End</t>
  </si>
  <si>
    <t>Count</t>
  </si>
  <si>
    <t>On-Call</t>
  </si>
  <si>
    <t>HOLIDAY</t>
  </si>
  <si>
    <t>DATE</t>
  </si>
  <si>
    <t>DAY</t>
  </si>
  <si>
    <t>DATES</t>
  </si>
  <si>
    <t>Days</t>
  </si>
  <si>
    <t>Mo</t>
  </si>
  <si>
    <t>MINAUDO</t>
  </si>
  <si>
    <t>NEW YEARS 2015</t>
  </si>
  <si>
    <t>Tu</t>
  </si>
  <si>
    <t>LANDESMAN</t>
  </si>
  <si>
    <t>MACKSOOD</t>
  </si>
  <si>
    <t>We</t>
  </si>
  <si>
    <t>SMITH</t>
  </si>
  <si>
    <t>Th</t>
  </si>
  <si>
    <t>KORTE</t>
  </si>
  <si>
    <t>THIGPIN</t>
  </si>
  <si>
    <t>Neu Off 1/19,KOD Off 1/28 to 2/1</t>
  </si>
  <si>
    <t>Fr</t>
  </si>
  <si>
    <t>NEUMANN</t>
  </si>
  <si>
    <t>Kod OFF 1/28-2/1</t>
  </si>
  <si>
    <t>Sa</t>
  </si>
  <si>
    <t>Su</t>
  </si>
  <si>
    <t>Presidents Day</t>
  </si>
  <si>
    <t>02/16/2015 Mon</t>
  </si>
  <si>
    <t>Miller 2/5 10am start</t>
  </si>
  <si>
    <t xml:space="preserve">Neu OFF 2/18-2/23 Conventin AOA </t>
  </si>
  <si>
    <t>Smith no call, Neumann 2/28-3/6 College Break</t>
  </si>
  <si>
    <t>Land Off 3/6 return 3/10, NEU Off 3/2-3/6 and 3/15, Smith no call March</t>
  </si>
  <si>
    <t>MILLER</t>
  </si>
  <si>
    <t>Land Off 3/6 return 3/10, NEU Off 3/2-3/6 and 3/15</t>
  </si>
  <si>
    <t xml:space="preserve">Land Off 3/20 retun 3/24, Smith no call </t>
  </si>
  <si>
    <t>Land Off 3/20 retun 3/24, Smith no call March</t>
  </si>
  <si>
    <t>Easter</t>
  </si>
  <si>
    <t>Spring Break 4/3-4/10</t>
  </si>
  <si>
    <t>smith baby end march/april</t>
  </si>
  <si>
    <t>Neu Off 4/30-May 3rd, Miller Off 4/30, 5/1, 5/2, 5/3, Min OFF DDW</t>
  </si>
  <si>
    <t>Land Off 5/15 return 5/21, DDW , Miller, Minaudo, OFF 5/15 return 5/19</t>
  </si>
  <si>
    <t>Memorial Day</t>
  </si>
  <si>
    <t>Lan Off 5/18, 5/19, 5/20</t>
  </si>
  <si>
    <t>Smith no call June</t>
  </si>
  <si>
    <t>July 4th</t>
  </si>
  <si>
    <t>07/04/2015 Saturday</t>
  </si>
  <si>
    <t>Neu Off 07/05-07/11, Smith no call July</t>
  </si>
  <si>
    <t>TOTAL DAYS</t>
  </si>
  <si>
    <t>Smith no call July</t>
  </si>
  <si>
    <t>Neu Off 8/7-8/16, Aug 27-31</t>
  </si>
  <si>
    <t>Neu Off 8/10-8/16</t>
  </si>
  <si>
    <t>Neu Off 8/27, 8/28, 8/29, 8/30, 8/31</t>
  </si>
  <si>
    <t>Labor Day</t>
  </si>
  <si>
    <t>09/07/2015 Mon</t>
  </si>
  <si>
    <t>Neu Off 8/31</t>
  </si>
  <si>
    <t>Land OFF 9/29 return 10/6</t>
  </si>
  <si>
    <t>Land OFF 9/29 return 10/6, Neu 10/1 &amp; 10/19  ACOI 9/30-10/4 Tampa Florida</t>
  </si>
  <si>
    <t>ACG 10/16-10/21 Hawaii</t>
  </si>
  <si>
    <t>Neu Off 10/19</t>
  </si>
  <si>
    <t>Halloween</t>
  </si>
  <si>
    <t>10/31/2015 Sat</t>
  </si>
  <si>
    <t>Neu Off 11/16, 11/17</t>
  </si>
  <si>
    <t>Thanksgiving</t>
  </si>
  <si>
    <t>Christmas 2015</t>
  </si>
  <si>
    <t>12/25/2015 Fri</t>
  </si>
  <si>
    <t>New Years Day 2016</t>
  </si>
  <si>
    <t xml:space="preserve"> DOCTOR</t>
  </si>
  <si>
    <t>WORKWEEKS*</t>
  </si>
  <si>
    <t>DAYS</t>
  </si>
  <si>
    <t>WEEKENDS*</t>
  </si>
  <si>
    <t>HOLIDAY DAYS</t>
  </si>
  <si>
    <t>NON-HOLIDAY DAYS</t>
  </si>
  <si>
    <t>February</t>
  </si>
  <si>
    <t>March</t>
  </si>
  <si>
    <t>April</t>
  </si>
  <si>
    <t>May</t>
  </si>
  <si>
    <t>June</t>
  </si>
  <si>
    <t>July</t>
  </si>
  <si>
    <t>August</t>
  </si>
  <si>
    <t>September</t>
  </si>
  <si>
    <t>October</t>
  </si>
  <si>
    <t>November</t>
  </si>
  <si>
    <t>December</t>
  </si>
  <si>
    <t>FirstDay</t>
  </si>
  <si>
    <t>Weekday</t>
  </si>
  <si>
    <t>Year:</t>
  </si>
  <si>
    <t>Loc_Code</t>
  </si>
  <si>
    <t>Doc_Code</t>
  </si>
  <si>
    <t>Wday_Code</t>
  </si>
  <si>
    <t>MoDay_Code</t>
  </si>
  <si>
    <t>ShortName</t>
  </si>
  <si>
    <t>LongName</t>
  </si>
  <si>
    <t>Sunday</t>
  </si>
  <si>
    <t>Tuesday</t>
  </si>
  <si>
    <t>Wednesday</t>
  </si>
  <si>
    <t>Thursday</t>
  </si>
  <si>
    <t>Friday</t>
  </si>
  <si>
    <t>Saturday</t>
  </si>
  <si>
    <t>MonthName</t>
  </si>
  <si>
    <t>Annual Corp Board Mtg 8am</t>
  </si>
  <si>
    <t>Cogdon Lecture Series</t>
  </si>
  <si>
    <t>Business Rules</t>
  </si>
  <si>
    <t>Journal Club</t>
  </si>
  <si>
    <t>G Post-Call</t>
  </si>
  <si>
    <t>G-PC</t>
  </si>
  <si>
    <t>Weekend</t>
  </si>
  <si>
    <t>WeekPart</t>
  </si>
  <si>
    <t>Workweek</t>
  </si>
  <si>
    <t>OnCallDoctor</t>
  </si>
  <si>
    <t>DoctorCode</t>
  </si>
  <si>
    <t>ON-CALL</t>
  </si>
  <si>
    <t>THURSDAY</t>
  </si>
  <si>
    <t>FRIDAY</t>
  </si>
  <si>
    <t>SATURDAY</t>
  </si>
  <si>
    <t>SUNDAY</t>
  </si>
  <si>
    <t>LastDay</t>
  </si>
  <si>
    <t>F</t>
  </si>
  <si>
    <t>Fellows</t>
  </si>
  <si>
    <t>Fel_Code</t>
  </si>
  <si>
    <t>Fain</t>
  </si>
  <si>
    <t>CF</t>
  </si>
  <si>
    <t>Wasserman</t>
  </si>
  <si>
    <t>SW</t>
  </si>
  <si>
    <t>Rodrigues</t>
  </si>
  <si>
    <t>RS</t>
  </si>
  <si>
    <t>Schreiber</t>
  </si>
  <si>
    <t>AS</t>
  </si>
  <si>
    <t>Loc_Name</t>
  </si>
  <si>
    <t>Doc_Name</t>
  </si>
  <si>
    <t>8:15AM</t>
  </si>
  <si>
    <t>OFFICE1</t>
  </si>
  <si>
    <t>OFFICE2</t>
  </si>
  <si>
    <t>Office2</t>
  </si>
  <si>
    <t>Office1</t>
  </si>
  <si>
    <t>First</t>
  </si>
  <si>
    <t>Second</t>
  </si>
  <si>
    <t>Third</t>
  </si>
  <si>
    <t>Fourth</t>
  </si>
  <si>
    <t>Every Month</t>
  </si>
  <si>
    <t>Yearly Frequency</t>
  </si>
  <si>
    <t>Monthly Frequency</t>
  </si>
  <si>
    <t>Every Dec</t>
  </si>
  <si>
    <t>Every Month except Jan and Jul</t>
  </si>
  <si>
    <t>Loc HPE4 Not Avail</t>
  </si>
  <si>
    <t>All Loc HPE start 8:30</t>
  </si>
  <si>
    <t>Every Feb, Apr, Jun, Aug</t>
  </si>
  <si>
    <t>FGA &amp; Billing Mtg 4pm</t>
  </si>
  <si>
    <t>Every Nov</t>
  </si>
  <si>
    <t>FGA Mtg 4pm</t>
  </si>
  <si>
    <t>Every Jan, Mar, May, Jul, Sep, Nov</t>
  </si>
  <si>
    <t>HPE MEC Mtg</t>
  </si>
  <si>
    <t>Every Feb, Apr, Jun, Aug, Oct, Dec</t>
  </si>
  <si>
    <t>HPE Board Mtg</t>
  </si>
  <si>
    <t>G Dept of Med Mtg 7:30</t>
  </si>
  <si>
    <t>Grand Total</t>
  </si>
  <si>
    <t>Fellow</t>
  </si>
  <si>
    <t>On-Call Days</t>
  </si>
  <si>
    <t>Morning Rpt 7-8, Start 8:30</t>
  </si>
  <si>
    <t>J=Accred Subcom 7-8, Start 8:15</t>
  </si>
  <si>
    <t>J=Admin Day 1:30</t>
  </si>
  <si>
    <t>Mar, Jun, Sep, Dec</t>
  </si>
  <si>
    <t>Month Total</t>
  </si>
  <si>
    <t>DR TOTAL</t>
  </si>
  <si>
    <t>GRP TOTAL</t>
  </si>
  <si>
    <t>Doctor</t>
  </si>
  <si>
    <t>Location</t>
  </si>
  <si>
    <t>$B$1:$B$92</t>
  </si>
  <si>
    <t>!</t>
  </si>
  <si>
    <t>$C$1:$C$92</t>
  </si>
  <si>
    <t>WeekdayDrRange</t>
  </si>
  <si>
    <t>WeekdayLocRange</t>
  </si>
  <si>
    <t>ConcatDrRange</t>
  </si>
  <si>
    <t>ConcatLocRange</t>
  </si>
  <si>
    <t>IndirectCount</t>
  </si>
  <si>
    <t>$E$1:$E$92</t>
  </si>
  <si>
    <t>$F$1:$F$92</t>
  </si>
  <si>
    <t>$H$1:$H$92</t>
  </si>
  <si>
    <t>$I$1:$I$92</t>
  </si>
  <si>
    <t>$K$1:$K$92</t>
  </si>
  <si>
    <t>$L$1:$L$92</t>
  </si>
  <si>
    <t>$N$1:$N$92</t>
  </si>
  <si>
    <t>$O$1:$O$92</t>
  </si>
  <si>
    <t>$Q$1:$Q$92</t>
  </si>
  <si>
    <t>$R$1:$R$92</t>
  </si>
  <si>
    <t>$T$1:$T$92</t>
  </si>
  <si>
    <t>$U$1:$U$92</t>
  </si>
  <si>
    <t>Fx_Code</t>
  </si>
  <si>
    <t>Indirect References</t>
  </si>
  <si>
    <t>WeekCategory</t>
  </si>
  <si>
    <t>Yearly Count</t>
  </si>
  <si>
    <t>Physician</t>
  </si>
  <si>
    <t>Row Labels</t>
  </si>
  <si>
    <t>Sum of IndirectCount</t>
  </si>
  <si>
    <t>GI Mtg 7:30, start 8:30</t>
  </si>
  <si>
    <t>J=GMEC 7-8</t>
  </si>
  <si>
    <t>J=Med Ed Prgm Dir 7-8</t>
  </si>
  <si>
    <t>(All)</t>
  </si>
  <si>
    <t>=DailyOnCall!$A$2:$A$366</t>
  </si>
  <si>
    <t>Dates</t>
  </si>
  <si>
    <t>=MonthTemplate!$B$3:$V$3,MonthTemplate!$B$18:$V$18,MonthTemplate!$B$33:$V$33,MonthTemplate!$B$48:$V$48,MonthTemplate!$B$63:$V$63,MonthTemplate!$B$78:$V$78</t>
  </si>
  <si>
    <t>=DefinitionArrays!$D$6:$E$13</t>
  </si>
  <si>
    <t>DoctorMonthData</t>
  </si>
  <si>
    <t>=MonthTemplate!#REF!</t>
  </si>
  <si>
    <t>Fel_Names</t>
  </si>
  <si>
    <t>=DefinitionArrays!$R$6:$R$10</t>
  </si>
  <si>
    <t>FellowMonthData</t>
  </si>
  <si>
    <t>=MonthTemplate!$AJ$19:$AK$23</t>
  </si>
  <si>
    <t>Fri4Mtg1</t>
  </si>
  <si>
    <t>=StandingMtgs!$G$14</t>
  </si>
  <si>
    <t>FriBox1</t>
  </si>
  <si>
    <t>=MonthTemplate!$N$3</t>
  </si>
  <si>
    <t>=DefinitionArrays!$U$6:$W$12</t>
  </si>
  <si>
    <t>=OFFSET(DefinitionArrays!$B$6,0,0,COUNTA(DefinitionArrays!$B:$B)-1,1)</t>
  </si>
  <si>
    <t>=DefinitionArrays!$L$6:$O$17</t>
  </si>
  <si>
    <t>Mon2Mtg1</t>
  </si>
  <si>
    <t>=StandingMtgs!$C$9</t>
  </si>
  <si>
    <t>Mon2Mtg2</t>
  </si>
  <si>
    <t>=StandingMtgs!$C$10</t>
  </si>
  <si>
    <t>Mon3Mtg1</t>
  </si>
  <si>
    <t>=StandingMtgs!$C$11</t>
  </si>
  <si>
    <t>Mon3Mtg2</t>
  </si>
  <si>
    <t>=StandingMtgs!$C$12</t>
  </si>
  <si>
    <t>Mon3Mtg3</t>
  </si>
  <si>
    <t>=StandingMtgs!$C$13</t>
  </si>
  <si>
    <t>MonBox1</t>
  </si>
  <si>
    <t>=MonthTemplate!$B$3</t>
  </si>
  <si>
    <t>=MonthTemplate!$B$1</t>
  </si>
  <si>
    <t>MonthCalendar</t>
  </si>
  <si>
    <t>=MonthTemplate!$A$1:$V$77</t>
  </si>
  <si>
    <t>Months</t>
  </si>
  <si>
    <t>=DefinitionArrays!$M$6:$M$17</t>
  </si>
  <si>
    <t>OnCall_Weekend_Array</t>
  </si>
  <si>
    <t>=OnCallSchedule!$M$3:$N$55</t>
  </si>
  <si>
    <t>OnCall_Workweek_Array</t>
  </si>
  <si>
    <t>=OnCallSchedule!$F$3:$G$55</t>
  </si>
  <si>
    <t>RawYearData</t>
  </si>
  <si>
    <t>=OFFSET(YearlyAnalysisData!$E$1,0,0,COUNTA(YearlyAnalysisData!$A:$A),COUNTA(YearlyAnalysisData!$2:$2)-4)</t>
  </si>
  <si>
    <t xml:space="preserve">=MonthTemplate!$C$7,MonthTemplate!$F$7,MonthTemplate!$I$7,MonthTemplate!$L$7,MonthTemplate!$O$7,MonthTemplate!$R$7,MonthTemplate!$U$7,MonthTemplate!$C$22,MonthTemplate!$F$22,MonthTemplate!$I$22,MonthTemplate!$L$22,MonthTemplate!$O$22 </t>
  </si>
  <si>
    <t>SatBox1</t>
  </si>
  <si>
    <t>=MonthTemplate!$Q$3</t>
  </si>
  <si>
    <t>Slicer_Month</t>
  </si>
  <si>
    <t>=""</t>
  </si>
  <si>
    <t>Slicer_Month1</t>
  </si>
  <si>
    <t>Slicer_WeekCategory</t>
  </si>
  <si>
    <t>Slicer_WeekCategory1</t>
  </si>
  <si>
    <t>Slicer_Weekday</t>
  </si>
  <si>
    <t>SunBox1</t>
  </si>
  <si>
    <t>=MonthTemplate!$T$3</t>
  </si>
  <si>
    <t>Thu1Mtg1</t>
  </si>
  <si>
    <t>=StandingMtgs!$F$3</t>
  </si>
  <si>
    <t>Thu1Mtg2</t>
  </si>
  <si>
    <t>=StandingMtgs!$F$4</t>
  </si>
  <si>
    <t>Thu2Mtg1</t>
  </si>
  <si>
    <t>=StandingMtgs!$F$6</t>
  </si>
  <si>
    <t>Thu4Mtg1</t>
  </si>
  <si>
    <t>=StandingMtgs!$F$14</t>
  </si>
  <si>
    <t>ThuBox1</t>
  </si>
  <si>
    <t>=MonthTemplate!$K$3</t>
  </si>
  <si>
    <t>Tue1Mtg1</t>
  </si>
  <si>
    <t>=StandingMtgs!$D$5</t>
  </si>
  <si>
    <t>Tue2Mtg1</t>
  </si>
  <si>
    <t>=StandingMtgs!$D$6</t>
  </si>
  <si>
    <t>Tue2Mtg2</t>
  </si>
  <si>
    <t>=StandingMtgs!$D$8</t>
  </si>
  <si>
    <t>Tue3Mtg1</t>
  </si>
  <si>
    <t>=StandingMtgs!$D$11</t>
  </si>
  <si>
    <t>Tue4Mtg1</t>
  </si>
  <si>
    <t>=StandingMtgs!$D$14</t>
  </si>
  <si>
    <t>Tue4Mtg2</t>
  </si>
  <si>
    <t>=StandingMtgs!$D$15</t>
  </si>
  <si>
    <t>TueBox1</t>
  </si>
  <si>
    <t>=MonthTemplate!$E$3</t>
  </si>
  <si>
    <t>=DefinitionArrays!$G$6:$J$12</t>
  </si>
  <si>
    <t>Wed2Mtg1</t>
  </si>
  <si>
    <t>=StandingMtgs!$E$6</t>
  </si>
  <si>
    <t>WedBox1</t>
  </si>
  <si>
    <t>=MonthTemplate!$H$3</t>
  </si>
  <si>
    <t>WeekDayNum</t>
  </si>
  <si>
    <t>=MonthTemplate!$B$2:$V$2</t>
  </si>
</sst>
</file>

<file path=xl/styles.xml><?xml version="1.0" encoding="utf-8"?>
<styleSheet xmlns="http://schemas.openxmlformats.org/spreadsheetml/2006/main">
  <numFmts count="2">
    <numFmt numFmtId="164" formatCode="m/d/yy;@"/>
    <numFmt numFmtId="165" formatCode="m/d/yyyy;@"/>
  </numFmts>
  <fonts count="47">
    <font>
      <sz val="11"/>
      <color theme="1"/>
      <name val="Calibri"/>
      <family val="2"/>
      <scheme val="minor"/>
    </font>
    <font>
      <i/>
      <sz val="11"/>
      <color rgb="FF7F7F7F"/>
      <name val="Calibri"/>
      <family val="2"/>
      <scheme val="minor"/>
    </font>
    <font>
      <b/>
      <sz val="11"/>
      <color theme="1"/>
      <name val="Calibri"/>
      <family val="2"/>
      <scheme val="minor"/>
    </font>
    <font>
      <b/>
      <sz val="12"/>
      <name val="Arial"/>
      <family val="2"/>
    </font>
    <font>
      <sz val="12"/>
      <name val="Arial"/>
      <family val="2"/>
    </font>
    <font>
      <b/>
      <sz val="10"/>
      <name val="Arial"/>
      <family val="2"/>
    </font>
    <font>
      <sz val="10"/>
      <name val="Arial"/>
      <family val="2"/>
    </font>
    <font>
      <b/>
      <sz val="12"/>
      <color rgb="FF009900"/>
      <name val="Arial"/>
      <family val="2"/>
    </font>
    <font>
      <i/>
      <sz val="11"/>
      <color theme="1"/>
      <name val="Calibri"/>
      <family val="2"/>
      <scheme val="minor"/>
    </font>
    <font>
      <sz val="12"/>
      <color theme="1"/>
      <name val="Calibri"/>
      <family val="2"/>
      <scheme val="minor"/>
    </font>
    <font>
      <b/>
      <sz val="14"/>
      <color theme="1"/>
      <name val="Calibri"/>
      <family val="2"/>
      <scheme val="minor"/>
    </font>
    <font>
      <b/>
      <sz val="9"/>
      <name val="Arial"/>
      <family val="2"/>
    </font>
    <font>
      <b/>
      <i/>
      <sz val="11"/>
      <name val="Calibri"/>
      <family val="2"/>
      <scheme val="minor"/>
    </font>
    <font>
      <sz val="11"/>
      <color indexed="62"/>
      <name val="Calibri"/>
      <family val="2"/>
    </font>
    <font>
      <sz val="12"/>
      <color theme="1" tint="0.499984740745262"/>
      <name val="Arial"/>
      <family val="2"/>
    </font>
    <font>
      <i/>
      <sz val="11"/>
      <color indexed="23"/>
      <name val="Calibri"/>
      <family val="2"/>
    </font>
    <font>
      <b/>
      <i/>
      <sz val="11"/>
      <color theme="0" tint="-0.499984740745262"/>
      <name val="Calibri"/>
      <family val="2"/>
    </font>
    <font>
      <b/>
      <i/>
      <sz val="11"/>
      <color theme="0" tint="-0.499984740745262"/>
      <name val="Calibri"/>
      <family val="2"/>
      <scheme val="minor"/>
    </font>
    <font>
      <sz val="9"/>
      <name val="Arial"/>
      <family val="2"/>
    </font>
    <font>
      <b/>
      <sz val="10"/>
      <color theme="1" tint="0.499984740745262"/>
      <name val="Arial"/>
      <family val="2"/>
    </font>
    <font>
      <b/>
      <sz val="12"/>
      <color theme="1" tint="0.499984740745262"/>
      <name val="Arial"/>
      <family val="2"/>
    </font>
    <font>
      <sz val="9"/>
      <color indexed="10"/>
      <name val="Arial"/>
      <family val="2"/>
    </font>
    <font>
      <b/>
      <i/>
      <sz val="11"/>
      <color rgb="FF7F7F7F"/>
      <name val="Calibri"/>
      <family val="2"/>
      <scheme val="minor"/>
    </font>
    <font>
      <sz val="12"/>
      <color indexed="10"/>
      <name val="Arial"/>
      <family val="2"/>
    </font>
    <font>
      <sz val="10"/>
      <color indexed="10"/>
      <name val="Arial"/>
      <family val="2"/>
    </font>
    <font>
      <b/>
      <sz val="24"/>
      <color theme="1"/>
      <name val="Calibri"/>
      <family val="2"/>
      <scheme val="minor"/>
    </font>
    <font>
      <b/>
      <sz val="12"/>
      <color theme="1"/>
      <name val="Calibri"/>
      <family val="2"/>
      <scheme val="minor"/>
    </font>
    <font>
      <sz val="10"/>
      <color theme="1"/>
      <name val="Calibri"/>
      <family val="2"/>
      <scheme val="minor"/>
    </font>
    <font>
      <sz val="10"/>
      <color theme="0" tint="-0.499984740745262"/>
      <name val="Calibri"/>
      <family val="2"/>
      <scheme val="minor"/>
    </font>
    <font>
      <sz val="10"/>
      <color theme="0" tint="-0.499984740745262"/>
      <name val="Arial"/>
      <family val="2"/>
    </font>
    <font>
      <b/>
      <i/>
      <sz val="12"/>
      <color theme="1"/>
      <name val="Calibri"/>
      <family val="2"/>
      <scheme val="minor"/>
    </font>
    <font>
      <sz val="9"/>
      <color theme="1"/>
      <name val="Calibri"/>
      <family val="2"/>
      <scheme val="minor"/>
    </font>
    <font>
      <b/>
      <sz val="14"/>
      <color theme="1"/>
      <name val="Arial"/>
      <family val="2"/>
    </font>
    <font>
      <b/>
      <sz val="11"/>
      <color rgb="FF7030A0"/>
      <name val="Calibri"/>
      <family val="2"/>
      <scheme val="minor"/>
    </font>
    <font>
      <b/>
      <sz val="11"/>
      <name val="Calibri"/>
      <family val="2"/>
      <scheme val="minor"/>
    </font>
    <font>
      <b/>
      <sz val="11"/>
      <color rgb="FF009900"/>
      <name val="Calibri"/>
      <family val="2"/>
      <scheme val="minor"/>
    </font>
    <font>
      <b/>
      <sz val="11"/>
      <color rgb="FF0000FF"/>
      <name val="Calibri"/>
      <family val="2"/>
      <scheme val="minor"/>
    </font>
    <font>
      <b/>
      <sz val="11"/>
      <color rgb="FF00B0F0"/>
      <name val="Calibri"/>
      <family val="2"/>
      <scheme val="minor"/>
    </font>
    <font>
      <b/>
      <sz val="11"/>
      <color rgb="FF663300"/>
      <name val="Calibri"/>
      <family val="2"/>
      <scheme val="minor"/>
    </font>
    <font>
      <b/>
      <sz val="11"/>
      <color rgb="FFFF0000"/>
      <name val="Calibri"/>
      <family val="2"/>
      <scheme val="minor"/>
    </font>
    <font>
      <sz val="11"/>
      <color rgb="FF3F3F76"/>
      <name val="Calibri"/>
      <family val="2"/>
      <scheme val="minor"/>
    </font>
    <font>
      <b/>
      <sz val="11"/>
      <color rgb="FF3F3F3F"/>
      <name val="Calibri"/>
      <family val="2"/>
      <scheme val="minor"/>
    </font>
    <font>
      <sz val="11"/>
      <color theme="0" tint="-0.499984740745262"/>
      <name val="Calibri"/>
      <family val="2"/>
      <scheme val="minor"/>
    </font>
    <font>
      <b/>
      <sz val="11"/>
      <name val="Arial"/>
      <family val="2"/>
    </font>
    <font>
      <sz val="10"/>
      <name val="Calibri"/>
      <family val="2"/>
      <scheme val="minor"/>
    </font>
    <font>
      <sz val="11"/>
      <color rgb="FF000000"/>
      <name val="Calibri"/>
      <family val="2"/>
      <scheme val="minor"/>
    </font>
    <font>
      <i/>
      <sz val="11"/>
      <color rgb="FF000000"/>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indexed="47"/>
      </patternFill>
    </fill>
    <fill>
      <patternFill patternType="solid">
        <fgColor rgb="FFFFCC99"/>
      </patternFill>
    </fill>
    <fill>
      <patternFill patternType="solid">
        <fgColor rgb="FFF2F2F2"/>
      </patternFill>
    </fill>
    <fill>
      <patternFill patternType="solid">
        <fgColor theme="4" tint="0.79998168889431442"/>
        <bgColor theme="4" tint="0.79998168889431442"/>
      </patternFill>
    </fill>
    <fill>
      <patternFill patternType="solid">
        <fgColor rgb="FFFFFF99"/>
        <bgColor indexed="64"/>
      </patternFill>
    </fill>
    <fill>
      <patternFill patternType="solid">
        <fgColor theme="0"/>
        <bgColor indexed="64"/>
      </patternFill>
    </fill>
    <fill>
      <patternFill patternType="solid">
        <fgColor rgb="FFFFFFCC"/>
        <bgColor indexed="64"/>
      </patternFill>
    </fill>
  </fills>
  <borders count="3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23"/>
      </left>
      <right style="thin">
        <color indexed="23"/>
      </right>
      <top style="thin">
        <color indexed="23"/>
      </top>
      <bottom style="thin">
        <color indexed="23"/>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thin">
        <color rgb="FF7F7F7F"/>
      </bottom>
      <diagonal/>
    </border>
    <border>
      <left style="medium">
        <color indexed="64"/>
      </left>
      <right/>
      <top style="thin">
        <color rgb="FF7F7F7F"/>
      </top>
      <bottom style="thin">
        <color rgb="FF7F7F7F"/>
      </bottom>
      <diagonal/>
    </border>
    <border>
      <left style="medium">
        <color indexed="64"/>
      </left>
      <right/>
      <top style="thin">
        <color rgb="FF7F7F7F"/>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rgb="FF7F7F7F"/>
      </top>
      <bottom style="medium">
        <color indexed="64"/>
      </bottom>
      <diagonal/>
    </border>
    <border>
      <left style="thin">
        <color indexed="64"/>
      </left>
      <right style="thin">
        <color indexed="64"/>
      </right>
      <top style="thin">
        <color rgb="FF7F7F7F"/>
      </top>
      <bottom style="thin">
        <color rgb="FF7F7F7F"/>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rgb="FF7F7F7F"/>
      </bottom>
      <diagonal/>
    </border>
    <border>
      <left style="thin">
        <color indexed="64"/>
      </left>
      <right style="thin">
        <color indexed="64"/>
      </right>
      <top/>
      <bottom style="thin">
        <color rgb="FF7F7F7F"/>
      </bottom>
      <diagonal/>
    </border>
    <border>
      <left/>
      <right style="medium">
        <color indexed="64"/>
      </right>
      <top/>
      <bottom style="thin">
        <color rgb="FF7F7F7F"/>
      </bottom>
      <diagonal/>
    </border>
  </borders>
  <cellStyleXfs count="7">
    <xf numFmtId="0" fontId="0" fillId="0" borderId="0"/>
    <xf numFmtId="0" fontId="1" fillId="0" borderId="0" applyNumberFormat="0" applyFill="0" applyBorder="0" applyAlignment="0" applyProtection="0"/>
    <xf numFmtId="0" fontId="6" fillId="0" borderId="0"/>
    <xf numFmtId="0" fontId="13" fillId="4" borderId="9" applyNumberFormat="0" applyAlignment="0" applyProtection="0"/>
    <xf numFmtId="0" fontId="15" fillId="0" borderId="0" applyNumberFormat="0" applyFill="0" applyBorder="0" applyAlignment="0" applyProtection="0"/>
    <xf numFmtId="0" fontId="40" fillId="5" borderId="10" applyNumberFormat="0" applyAlignment="0" applyProtection="0"/>
    <xf numFmtId="0" fontId="41" fillId="6" borderId="11" applyNumberFormat="0" applyAlignment="0" applyProtection="0"/>
  </cellStyleXfs>
  <cellXfs count="186">
    <xf numFmtId="0" fontId="0" fillId="0" borderId="0" xfId="0"/>
    <xf numFmtId="0" fontId="4" fillId="0" borderId="0" xfId="0" applyFont="1" applyFill="1"/>
    <xf numFmtId="0" fontId="0" fillId="0" borderId="0" xfId="0" applyFill="1"/>
    <xf numFmtId="0" fontId="5" fillId="0" borderId="0" xfId="0" applyFont="1"/>
    <xf numFmtId="0" fontId="5" fillId="0" borderId="0" xfId="0" applyFont="1" applyFill="1"/>
    <xf numFmtId="0" fontId="3" fillId="0" borderId="7" xfId="2" applyFont="1" applyFill="1" applyBorder="1"/>
    <xf numFmtId="0" fontId="3" fillId="0" borderId="7" xfId="2" applyFont="1" applyFill="1" applyBorder="1" applyAlignment="1">
      <alignment horizontal="left"/>
    </xf>
    <xf numFmtId="0" fontId="8" fillId="0" borderId="0" xfId="0" applyFont="1"/>
    <xf numFmtId="0" fontId="2" fillId="0" borderId="0" xfId="0" applyFont="1"/>
    <xf numFmtId="0" fontId="9" fillId="0" borderId="0" xfId="0" applyFont="1" applyFill="1" applyBorder="1"/>
    <xf numFmtId="0" fontId="5" fillId="3" borderId="0" xfId="2" applyFont="1" applyFill="1" applyBorder="1" applyAlignment="1">
      <alignment horizontal="center"/>
    </xf>
    <xf numFmtId="0" fontId="5" fillId="3" borderId="8" xfId="2" applyFont="1" applyFill="1" applyBorder="1" applyAlignment="1">
      <alignment horizontal="center"/>
    </xf>
    <xf numFmtId="0" fontId="11" fillId="3" borderId="7" xfId="2" applyFont="1" applyFill="1" applyBorder="1" applyAlignment="1">
      <alignment horizontal="left" wrapText="1"/>
    </xf>
    <xf numFmtId="164" fontId="11" fillId="3" borderId="0" xfId="2" applyNumberFormat="1" applyFont="1" applyFill="1" applyBorder="1" applyAlignment="1">
      <alignment horizontal="left" wrapText="1"/>
    </xf>
    <xf numFmtId="0" fontId="6" fillId="0" borderId="0" xfId="2" applyFill="1"/>
    <xf numFmtId="0" fontId="5" fillId="3" borderId="5" xfId="2" applyFont="1" applyFill="1" applyBorder="1" applyAlignment="1">
      <alignment horizontal="center"/>
    </xf>
    <xf numFmtId="0" fontId="5" fillId="3" borderId="6" xfId="2" applyFont="1" applyFill="1" applyBorder="1" applyAlignment="1">
      <alignment horizontal="center"/>
    </xf>
    <xf numFmtId="0" fontId="11" fillId="3" borderId="4" xfId="2" applyFont="1" applyFill="1" applyBorder="1" applyAlignment="1">
      <alignment horizontal="left"/>
    </xf>
    <xf numFmtId="0" fontId="6" fillId="3" borderId="5" xfId="2" applyFont="1" applyFill="1" applyBorder="1"/>
    <xf numFmtId="0" fontId="12" fillId="3" borderId="5" xfId="1" applyFont="1" applyFill="1" applyBorder="1"/>
    <xf numFmtId="165" fontId="4" fillId="0" borderId="0" xfId="2" applyNumberFormat="1" applyFont="1" applyFill="1" applyAlignment="1">
      <alignment horizontal="center"/>
    </xf>
    <xf numFmtId="0" fontId="5" fillId="0" borderId="0" xfId="0" applyFont="1" applyFill="1" applyAlignment="1">
      <alignment horizontal="center"/>
    </xf>
    <xf numFmtId="0" fontId="16" fillId="0" borderId="7" xfId="4" applyFont="1" applyFill="1" applyBorder="1" applyAlignment="1">
      <alignment horizontal="left"/>
    </xf>
    <xf numFmtId="14" fontId="16" fillId="0" borderId="0" xfId="4" applyNumberFormat="1" applyFont="1" applyFill="1" applyAlignment="1">
      <alignment horizontal="left"/>
    </xf>
    <xf numFmtId="0" fontId="17" fillId="0" borderId="0" xfId="1" applyFont="1" applyFill="1"/>
    <xf numFmtId="0" fontId="18" fillId="0" borderId="0" xfId="2" applyFont="1" applyFill="1"/>
    <xf numFmtId="165" fontId="4" fillId="0" borderId="0" xfId="2" quotePrefix="1" applyNumberFormat="1" applyFont="1" applyFill="1" applyAlignment="1">
      <alignment horizontal="center"/>
    </xf>
    <xf numFmtId="164" fontId="16" fillId="0" borderId="0" xfId="4" applyNumberFormat="1" applyFont="1" applyFill="1" applyAlignment="1">
      <alignment horizontal="left"/>
    </xf>
    <xf numFmtId="165" fontId="4" fillId="0" borderId="0" xfId="2" applyNumberFormat="1" applyFont="1" applyFill="1" applyAlignment="1">
      <alignment horizontal="center" wrapText="1"/>
    </xf>
    <xf numFmtId="0" fontId="16" fillId="0" borderId="0" xfId="4" applyFont="1" applyFill="1" applyAlignment="1">
      <alignment horizontal="left"/>
    </xf>
    <xf numFmtId="0" fontId="5" fillId="0" borderId="0" xfId="2" applyFont="1" applyFill="1" applyBorder="1" applyAlignment="1">
      <alignment horizontal="center"/>
    </xf>
    <xf numFmtId="165" fontId="4" fillId="0" borderId="0" xfId="2" applyNumberFormat="1" applyFont="1" applyFill="1" applyBorder="1" applyAlignment="1">
      <alignment horizontal="center"/>
    </xf>
    <xf numFmtId="0" fontId="7" fillId="0" borderId="0" xfId="2" applyFont="1" applyFill="1" applyAlignment="1">
      <alignment horizontal="center"/>
    </xf>
    <xf numFmtId="0" fontId="21" fillId="0" borderId="0" xfId="2" applyFont="1" applyFill="1" applyAlignment="1">
      <alignment horizontal="left"/>
    </xf>
    <xf numFmtId="14" fontId="21" fillId="0" borderId="0" xfId="2" applyNumberFormat="1" applyFont="1" applyFill="1" applyAlignment="1">
      <alignment horizontal="left"/>
    </xf>
    <xf numFmtId="0" fontId="22" fillId="0" borderId="0" xfId="1" applyFont="1" applyFill="1"/>
    <xf numFmtId="0" fontId="6" fillId="0" borderId="0" xfId="2" applyFill="1" applyAlignment="1">
      <alignment horizontal="center"/>
    </xf>
    <xf numFmtId="165" fontId="5" fillId="3" borderId="5" xfId="2" applyNumberFormat="1" applyFont="1" applyFill="1" applyBorder="1" applyAlignment="1">
      <alignment horizontal="center"/>
    </xf>
    <xf numFmtId="0" fontId="5" fillId="0" borderId="0" xfId="2" applyFont="1" applyFill="1" applyAlignment="1">
      <alignment horizontal="center"/>
    </xf>
    <xf numFmtId="0" fontId="5" fillId="0" borderId="0" xfId="2" applyFont="1" applyFill="1" applyAlignment="1">
      <alignment horizontal="left"/>
    </xf>
    <xf numFmtId="0" fontId="0" fillId="0" borderId="0" xfId="0" applyFill="1" applyAlignment="1"/>
    <xf numFmtId="0" fontId="22" fillId="0" borderId="0" xfId="1" applyFont="1" applyFill="1" applyAlignment="1">
      <alignment horizontal="center"/>
    </xf>
    <xf numFmtId="165" fontId="3" fillId="0" borderId="0" xfId="2" applyNumberFormat="1" applyFont="1" applyFill="1" applyAlignment="1">
      <alignment horizontal="center"/>
    </xf>
    <xf numFmtId="165" fontId="20" fillId="0" borderId="0" xfId="2" applyNumberFormat="1" applyFont="1" applyFill="1" applyAlignment="1">
      <alignment horizontal="center"/>
    </xf>
    <xf numFmtId="0" fontId="23" fillId="0" borderId="0" xfId="2" applyFont="1" applyFill="1" applyAlignment="1">
      <alignment horizontal="left"/>
    </xf>
    <xf numFmtId="14" fontId="23" fillId="0" borderId="0" xfId="2" applyNumberFormat="1" applyFont="1" applyFill="1" applyAlignment="1">
      <alignment horizontal="left"/>
    </xf>
    <xf numFmtId="165" fontId="5" fillId="0" borderId="0" xfId="2" applyNumberFormat="1" applyFont="1" applyFill="1" applyAlignment="1">
      <alignment horizontal="center"/>
    </xf>
    <xf numFmtId="0" fontId="6" fillId="0" borderId="0" xfId="2" applyFont="1" applyFill="1" applyAlignment="1">
      <alignment horizontal="left"/>
    </xf>
    <xf numFmtId="164" fontId="24" fillId="0" borderId="0" xfId="2" applyNumberFormat="1" applyFont="1" applyFill="1" applyAlignment="1">
      <alignment horizontal="left"/>
    </xf>
    <xf numFmtId="164" fontId="6" fillId="0" borderId="0" xfId="2" applyNumberFormat="1" applyFont="1" applyFill="1" applyAlignment="1">
      <alignment horizontal="left"/>
    </xf>
    <xf numFmtId="0" fontId="20" fillId="0" borderId="0" xfId="2" applyFont="1" applyFill="1" applyAlignment="1">
      <alignment horizontal="center"/>
    </xf>
    <xf numFmtId="165" fontId="19" fillId="0" borderId="0" xfId="2" applyNumberFormat="1" applyFont="1" applyFill="1" applyBorder="1"/>
    <xf numFmtId="0" fontId="6" fillId="0" borderId="0" xfId="2" applyFill="1" applyBorder="1"/>
    <xf numFmtId="0" fontId="14" fillId="0" borderId="0" xfId="2" applyNumberFormat="1" applyFont="1" applyFill="1" applyBorder="1" applyAlignment="1">
      <alignment horizontal="center"/>
    </xf>
    <xf numFmtId="165" fontId="6" fillId="0" borderId="0" xfId="2" applyNumberFormat="1" applyFill="1" applyBorder="1"/>
    <xf numFmtId="0" fontId="20" fillId="0" borderId="0" xfId="2" applyFont="1" applyFill="1" applyBorder="1" applyAlignment="1">
      <alignment horizontal="center"/>
    </xf>
    <xf numFmtId="0" fontId="0" fillId="0" borderId="0" xfId="0" applyAlignment="1">
      <alignment horizontal="left"/>
    </xf>
    <xf numFmtId="0" fontId="0" fillId="0" borderId="0" xfId="0" applyNumberFormat="1"/>
    <xf numFmtId="0" fontId="0" fillId="0" borderId="0" xfId="0" applyFont="1"/>
    <xf numFmtId="0" fontId="0" fillId="0" borderId="0" xfId="0" applyAlignment="1">
      <alignment horizontal="center"/>
    </xf>
    <xf numFmtId="0" fontId="5" fillId="0" borderId="0" xfId="0" applyFont="1" applyAlignment="1">
      <alignment horizontal="center"/>
    </xf>
    <xf numFmtId="0" fontId="10" fillId="0" borderId="1" xfId="0" applyFont="1" applyFill="1" applyBorder="1"/>
    <xf numFmtId="0" fontId="26" fillId="0" borderId="2" xfId="0" applyFont="1" applyFill="1" applyBorder="1"/>
    <xf numFmtId="0" fontId="27" fillId="0" borderId="8" xfId="0" applyFont="1" applyFill="1" applyBorder="1"/>
    <xf numFmtId="0" fontId="28" fillId="0" borderId="0" xfId="0" applyFont="1"/>
    <xf numFmtId="0" fontId="29" fillId="0" borderId="0" xfId="0" applyFont="1" applyFill="1"/>
    <xf numFmtId="0" fontId="27" fillId="0" borderId="3" xfId="0" applyFont="1" applyFill="1" applyBorder="1"/>
    <xf numFmtId="0" fontId="27" fillId="0" borderId="0" xfId="0" applyFont="1" applyFill="1"/>
    <xf numFmtId="0" fontId="30" fillId="0" borderId="0" xfId="0" applyFont="1"/>
    <xf numFmtId="165" fontId="5" fillId="0" borderId="0" xfId="2" applyNumberFormat="1" applyFont="1" applyFill="1" applyBorder="1" applyAlignment="1">
      <alignment horizontal="center"/>
    </xf>
    <xf numFmtId="0" fontId="6" fillId="3" borderId="5" xfId="2" applyFill="1" applyBorder="1" applyAlignment="1">
      <alignment horizontal="center"/>
    </xf>
    <xf numFmtId="2" fontId="0" fillId="0" borderId="0" xfId="0" applyNumberFormat="1"/>
    <xf numFmtId="0" fontId="2" fillId="0" borderId="0" xfId="0" applyFont="1" applyAlignment="1">
      <alignment horizontal="center"/>
    </xf>
    <xf numFmtId="0" fontId="31" fillId="0" borderId="0" xfId="0" applyFont="1"/>
    <xf numFmtId="0" fontId="18" fillId="0" borderId="0" xfId="0" applyFont="1" applyFill="1"/>
    <xf numFmtId="0" fontId="5" fillId="2" borderId="7" xfId="0" applyFont="1" applyFill="1" applyBorder="1" applyAlignment="1">
      <alignment horizontal="center"/>
    </xf>
    <xf numFmtId="0" fontId="5" fillId="2" borderId="0" xfId="0" applyFont="1" applyFill="1" applyBorder="1" applyAlignment="1">
      <alignment horizontal="center"/>
    </xf>
    <xf numFmtId="0" fontId="0" fillId="0" borderId="0" xfId="0" applyBorder="1"/>
    <xf numFmtId="0" fontId="0" fillId="0" borderId="0" xfId="0" applyFill="1" applyBorder="1"/>
    <xf numFmtId="0" fontId="3" fillId="0" borderId="7" xfId="0" applyFont="1" applyFill="1" applyBorder="1" applyAlignment="1">
      <alignment horizontal="left"/>
    </xf>
    <xf numFmtId="0" fontId="5" fillId="0" borderId="0" xfId="0" applyFont="1" applyFill="1" applyAlignment="1">
      <alignment horizontal="left"/>
    </xf>
    <xf numFmtId="0" fontId="0" fillId="0" borderId="0" xfId="0" applyFill="1" applyAlignment="1">
      <alignment horizontal="left"/>
    </xf>
    <xf numFmtId="0" fontId="41" fillId="6" borderId="11" xfId="6" applyAlignment="1">
      <alignment horizontal="center"/>
    </xf>
    <xf numFmtId="1" fontId="41" fillId="6" borderId="11" xfId="6" applyNumberFormat="1" applyAlignment="1">
      <alignment horizontal="center"/>
    </xf>
    <xf numFmtId="165" fontId="41" fillId="6" borderId="11" xfId="6" applyNumberFormat="1" applyAlignment="1">
      <alignment horizontal="center"/>
    </xf>
    <xf numFmtId="14" fontId="41" fillId="6" borderId="11" xfId="6" applyNumberFormat="1" applyAlignment="1">
      <alignment horizontal="left"/>
    </xf>
    <xf numFmtId="14" fontId="41" fillId="6" borderId="11" xfId="6" applyNumberFormat="1"/>
    <xf numFmtId="0" fontId="41" fillId="6" borderId="11" xfId="6"/>
    <xf numFmtId="14" fontId="40" fillId="5" borderId="10" xfId="5" applyNumberFormat="1"/>
    <xf numFmtId="0" fontId="2" fillId="0" borderId="12" xfId="0" applyFont="1" applyBorder="1"/>
    <xf numFmtId="0" fontId="2" fillId="0" borderId="14" xfId="0" applyFont="1" applyBorder="1"/>
    <xf numFmtId="0" fontId="0" fillId="0" borderId="15" xfId="0" applyFont="1" applyBorder="1"/>
    <xf numFmtId="0" fontId="0" fillId="0" borderId="16" xfId="0" applyBorder="1"/>
    <xf numFmtId="0" fontId="0" fillId="0" borderId="17" xfId="0" applyFont="1" applyBorder="1"/>
    <xf numFmtId="0" fontId="0" fillId="0" borderId="18" xfId="0" applyBorder="1"/>
    <xf numFmtId="0" fontId="0" fillId="0" borderId="21" xfId="0" applyBorder="1"/>
    <xf numFmtId="0" fontId="0" fillId="0" borderId="17" xfId="0" applyBorder="1"/>
    <xf numFmtId="0" fontId="0" fillId="0" borderId="22" xfId="0" applyBorder="1"/>
    <xf numFmtId="0" fontId="0" fillId="0" borderId="19" xfId="0" applyFont="1" applyBorder="1"/>
    <xf numFmtId="0" fontId="0" fillId="0" borderId="30" xfId="0" applyBorder="1"/>
    <xf numFmtId="0" fontId="2" fillId="0" borderId="13" xfId="0" applyFont="1" applyBorder="1" applyAlignment="1">
      <alignment horizontal="center"/>
    </xf>
    <xf numFmtId="0" fontId="2" fillId="0" borderId="14" xfId="0" applyFont="1" applyBorder="1" applyAlignment="1">
      <alignment horizontal="center"/>
    </xf>
    <xf numFmtId="0" fontId="27" fillId="0" borderId="2" xfId="0" applyFont="1" applyFill="1" applyBorder="1"/>
    <xf numFmtId="0" fontId="27" fillId="0" borderId="0" xfId="0" applyFont="1" applyFill="1" applyBorder="1"/>
    <xf numFmtId="0" fontId="4" fillId="0" borderId="0" xfId="0" applyFont="1" applyFill="1" applyAlignment="1">
      <alignment horizontal="center"/>
    </xf>
    <xf numFmtId="0" fontId="18" fillId="0" borderId="0" xfId="0" applyFont="1" applyFill="1" applyAlignment="1">
      <alignment horizontal="center"/>
    </xf>
    <xf numFmtId="0" fontId="29" fillId="0" borderId="0" xfId="0" applyFont="1" applyFill="1" applyAlignment="1">
      <alignment horizontal="center"/>
    </xf>
    <xf numFmtId="0" fontId="0" fillId="0" borderId="0" xfId="0" applyFill="1" applyAlignment="1">
      <alignment horizontal="center"/>
    </xf>
    <xf numFmtId="0" fontId="0" fillId="0" borderId="0" xfId="0" applyBorder="1" applyAlignment="1">
      <alignment horizontal="center"/>
    </xf>
    <xf numFmtId="0" fontId="0" fillId="0" borderId="0" xfId="0" applyFill="1" applyBorder="1" applyAlignment="1">
      <alignment horizontal="center"/>
    </xf>
    <xf numFmtId="0" fontId="19" fillId="0" borderId="0" xfId="2" applyFont="1" applyFill="1" applyBorder="1" applyAlignment="1">
      <alignment horizontal="right"/>
    </xf>
    <xf numFmtId="0" fontId="0" fillId="0" borderId="0" xfId="0" applyAlignment="1">
      <alignment horizontal="left"/>
    </xf>
    <xf numFmtId="0" fontId="0" fillId="0" borderId="0" xfId="0" pivotButton="1"/>
    <xf numFmtId="0" fontId="33" fillId="0" borderId="0" xfId="0" applyFont="1"/>
    <xf numFmtId="0" fontId="34" fillId="0" borderId="0" xfId="0" applyFont="1"/>
    <xf numFmtId="0" fontId="35" fillId="0" borderId="0" xfId="0" applyFont="1"/>
    <xf numFmtId="0" fontId="36" fillId="0" borderId="0" xfId="0" applyFont="1"/>
    <xf numFmtId="0" fontId="37" fillId="0" borderId="0" xfId="0" applyFont="1"/>
    <xf numFmtId="0" fontId="38" fillId="0" borderId="0" xfId="0" applyFont="1"/>
    <xf numFmtId="0" fontId="39" fillId="0" borderId="0" xfId="0" applyFont="1"/>
    <xf numFmtId="0" fontId="9" fillId="8" borderId="0" xfId="0" applyFont="1" applyFill="1" applyBorder="1"/>
    <xf numFmtId="0" fontId="27" fillId="8" borderId="8" xfId="0" applyFont="1" applyFill="1" applyBorder="1"/>
    <xf numFmtId="0" fontId="3" fillId="8" borderId="7" xfId="0" applyFont="1" applyFill="1" applyBorder="1" applyAlignment="1">
      <alignment horizontal="left"/>
    </xf>
    <xf numFmtId="0" fontId="27" fillId="8" borderId="0" xfId="0" applyFont="1" applyFill="1" applyBorder="1"/>
    <xf numFmtId="0" fontId="2" fillId="7" borderId="0" xfId="0" applyFont="1" applyFill="1" applyBorder="1"/>
    <xf numFmtId="0" fontId="0" fillId="0" borderId="0" xfId="0" applyFont="1" applyBorder="1"/>
    <xf numFmtId="0" fontId="0" fillId="0" borderId="26" xfId="0" applyFont="1" applyBorder="1"/>
    <xf numFmtId="0" fontId="0" fillId="0" borderId="20" xfId="0" applyFont="1" applyBorder="1"/>
    <xf numFmtId="0" fontId="40" fillId="5" borderId="26" xfId="5" applyFont="1" applyBorder="1"/>
    <xf numFmtId="0" fontId="0" fillId="0" borderId="21" xfId="0" applyFont="1" applyBorder="1"/>
    <xf numFmtId="0" fontId="0" fillId="0" borderId="27" xfId="0" applyFont="1" applyBorder="1"/>
    <xf numFmtId="0" fontId="40" fillId="5" borderId="27" xfId="5" applyFont="1" applyBorder="1"/>
    <xf numFmtId="0" fontId="0" fillId="0" borderId="16" xfId="0" applyFont="1" applyBorder="1"/>
    <xf numFmtId="0" fontId="40" fillId="5" borderId="30" xfId="5" applyFont="1" applyBorder="1"/>
    <xf numFmtId="0" fontId="0" fillId="0" borderId="22" xfId="0" applyFont="1" applyBorder="1"/>
    <xf numFmtId="0" fontId="0" fillId="0" borderId="30" xfId="0" applyFont="1" applyBorder="1"/>
    <xf numFmtId="0" fontId="0" fillId="0" borderId="18" xfId="0" applyFont="1" applyBorder="1"/>
    <xf numFmtId="0" fontId="40" fillId="5" borderId="31" xfId="5" applyFont="1" applyBorder="1"/>
    <xf numFmtId="0" fontId="40" fillId="5" borderId="29" xfId="5" applyFont="1" applyBorder="1"/>
    <xf numFmtId="0" fontId="40" fillId="5" borderId="24" xfId="5" applyFont="1" applyBorder="1"/>
    <xf numFmtId="0" fontId="40" fillId="5" borderId="25" xfId="5" applyFont="1" applyBorder="1"/>
    <xf numFmtId="0" fontId="40" fillId="5" borderId="23" xfId="5" applyFont="1" applyBorder="1"/>
    <xf numFmtId="0" fontId="40" fillId="5" borderId="32" xfId="5" applyFont="1" applyBorder="1"/>
    <xf numFmtId="0" fontId="40" fillId="5" borderId="33" xfId="5" applyFont="1" applyBorder="1"/>
    <xf numFmtId="0" fontId="40" fillId="5" borderId="28" xfId="5" applyFont="1" applyBorder="1"/>
    <xf numFmtId="0" fontId="2" fillId="9" borderId="0" xfId="0" applyFont="1" applyFill="1" applyAlignment="1">
      <alignment horizontal="left"/>
    </xf>
    <xf numFmtId="0" fontId="2" fillId="9" borderId="0" xfId="0" applyFont="1" applyFill="1" applyBorder="1"/>
    <xf numFmtId="0" fontId="2" fillId="7" borderId="0" xfId="0" applyFont="1" applyFill="1" applyBorder="1" applyAlignment="1">
      <alignment horizontal="center"/>
    </xf>
    <xf numFmtId="0" fontId="0" fillId="9" borderId="0" xfId="0" applyFill="1" applyAlignment="1">
      <alignment horizontal="center"/>
    </xf>
    <xf numFmtId="0" fontId="0" fillId="0" borderId="0" xfId="0" applyNumberFormat="1" applyAlignment="1">
      <alignment horizontal="center"/>
    </xf>
    <xf numFmtId="0" fontId="0" fillId="9" borderId="0" xfId="0" applyFill="1" applyBorder="1" applyAlignment="1">
      <alignment horizontal="center"/>
    </xf>
    <xf numFmtId="0" fontId="5" fillId="10" borderId="0" xfId="0" applyFont="1" applyFill="1" applyAlignment="1">
      <alignment horizontal="center"/>
    </xf>
    <xf numFmtId="0" fontId="2" fillId="10" borderId="0" xfId="0" applyNumberFormat="1" applyFont="1" applyFill="1" applyAlignment="1">
      <alignment horizontal="center"/>
    </xf>
    <xf numFmtId="0" fontId="2" fillId="10" borderId="0" xfId="0" applyNumberFormat="1" applyFont="1" applyFill="1"/>
    <xf numFmtId="0" fontId="2" fillId="10" borderId="0" xfId="0" applyFont="1" applyFill="1"/>
    <xf numFmtId="0" fontId="2" fillId="10" borderId="0" xfId="0" applyFont="1" applyFill="1" applyAlignment="1">
      <alignment horizontal="right"/>
    </xf>
    <xf numFmtId="0" fontId="2" fillId="7" borderId="0" xfId="0" applyFont="1" applyFill="1" applyBorder="1" applyAlignment="1">
      <alignment horizontal="left"/>
    </xf>
    <xf numFmtId="0" fontId="40" fillId="5" borderId="10" xfId="5"/>
    <xf numFmtId="0" fontId="5" fillId="10" borderId="0" xfId="0" applyFont="1" applyFill="1" applyAlignment="1">
      <alignment horizontal="left"/>
    </xf>
    <xf numFmtId="0" fontId="42" fillId="0" borderId="0" xfId="0" applyFont="1"/>
    <xf numFmtId="0" fontId="43" fillId="0" borderId="0" xfId="0" applyFont="1" applyFill="1" applyAlignment="1">
      <alignment horizontal="left"/>
    </xf>
    <xf numFmtId="0" fontId="44" fillId="0" borderId="8" xfId="0" applyFont="1" applyFill="1" applyBorder="1"/>
    <xf numFmtId="0" fontId="28" fillId="0" borderId="0" xfId="0" applyNumberFormat="1" applyFont="1" applyFill="1" applyAlignment="1"/>
    <xf numFmtId="14" fontId="28" fillId="0" borderId="0" xfId="0" applyNumberFormat="1" applyFont="1" applyFill="1" applyAlignment="1"/>
    <xf numFmtId="0" fontId="28" fillId="0" borderId="0" xfId="0" applyFont="1" applyFill="1" applyAlignment="1"/>
    <xf numFmtId="0" fontId="44" fillId="2" borderId="0" xfId="0" applyFont="1" applyFill="1" applyBorder="1" applyAlignment="1">
      <alignment horizontal="center"/>
    </xf>
    <xf numFmtId="0" fontId="44" fillId="2" borderId="8" xfId="0" applyFont="1" applyFill="1" applyBorder="1" applyAlignment="1">
      <alignment horizontal="center"/>
    </xf>
    <xf numFmtId="0" fontId="0" fillId="0" borderId="0" xfId="0" applyAlignment="1">
      <alignment horizontal="right"/>
    </xf>
    <xf numFmtId="0" fontId="0" fillId="0" borderId="0" xfId="0" applyBorder="1" applyAlignment="1">
      <alignment horizontal="left"/>
    </xf>
    <xf numFmtId="0" fontId="29" fillId="0" borderId="0" xfId="0" applyFont="1" applyFill="1" applyBorder="1" applyAlignment="1">
      <alignment horizontal="center"/>
    </xf>
    <xf numFmtId="0" fontId="5" fillId="0" borderId="0" xfId="0" applyFont="1" applyFill="1" applyBorder="1" applyAlignment="1">
      <alignment horizontal="center"/>
    </xf>
    <xf numFmtId="0" fontId="0" fillId="0" borderId="0" xfId="0" applyAlignment="1">
      <alignment horizontal="left"/>
    </xf>
    <xf numFmtId="0" fontId="0" fillId="0" borderId="0" xfId="0" applyAlignment="1">
      <alignment horizontal="left"/>
    </xf>
    <xf numFmtId="165" fontId="3" fillId="0" borderId="0" xfId="2" applyNumberFormat="1" applyFont="1" applyFill="1" applyAlignment="1">
      <alignment horizontal="center"/>
    </xf>
    <xf numFmtId="14" fontId="29" fillId="0" borderId="5" xfId="0" applyNumberFormat="1" applyFont="1" applyFill="1" applyBorder="1" applyAlignment="1">
      <alignment horizontal="center"/>
    </xf>
    <xf numFmtId="0" fontId="0" fillId="0" borderId="4" xfId="0" applyFill="1" applyBorder="1" applyAlignment="1">
      <alignment horizontal="left"/>
    </xf>
    <xf numFmtId="0" fontId="0" fillId="0" borderId="5" xfId="0" applyFill="1" applyBorder="1" applyAlignment="1">
      <alignment horizontal="left"/>
    </xf>
    <xf numFmtId="0" fontId="0" fillId="0" borderId="6" xfId="0" applyFill="1" applyBorder="1" applyAlignment="1">
      <alignment horizontal="left"/>
    </xf>
    <xf numFmtId="0" fontId="0" fillId="0" borderId="7" xfId="0" applyFill="1" applyBorder="1" applyAlignment="1">
      <alignment horizontal="left"/>
    </xf>
    <xf numFmtId="0" fontId="0" fillId="0" borderId="0" xfId="0" applyFill="1" applyBorder="1" applyAlignment="1">
      <alignment horizontal="left"/>
    </xf>
    <xf numFmtId="0" fontId="0" fillId="0" borderId="8" xfId="0" applyFill="1" applyBorder="1" applyAlignment="1">
      <alignment horizontal="left"/>
    </xf>
    <xf numFmtId="0" fontId="0" fillId="0" borderId="7" xfId="0" applyFont="1" applyFill="1" applyBorder="1" applyAlignment="1">
      <alignment horizontal="left"/>
    </xf>
    <xf numFmtId="0" fontId="0" fillId="0" borderId="0" xfId="0" applyFont="1" applyFill="1" applyBorder="1" applyAlignment="1">
      <alignment horizontal="left"/>
    </xf>
    <xf numFmtId="0" fontId="0" fillId="0" borderId="8" xfId="0" applyFont="1" applyFill="1" applyBorder="1" applyAlignment="1">
      <alignment horizontal="left"/>
    </xf>
    <xf numFmtId="0" fontId="32" fillId="0" borderId="0" xfId="0" applyNumberFormat="1" applyFont="1" applyAlignment="1">
      <alignment horizontal="center"/>
    </xf>
    <xf numFmtId="0" fontId="25" fillId="0" borderId="0" xfId="0" applyNumberFormat="1" applyFont="1" applyAlignment="1">
      <alignment horizontal="center"/>
    </xf>
  </cellXfs>
  <cellStyles count="7">
    <cellStyle name="Explanatory Text" xfId="1" builtinId="53"/>
    <cellStyle name="Explanatory Text 2" xfId="4"/>
    <cellStyle name="Input" xfId="5" builtinId="20"/>
    <cellStyle name="Input 2" xfId="3"/>
    <cellStyle name="Normal" xfId="0" builtinId="0"/>
    <cellStyle name="Normal 2" xfId="2"/>
    <cellStyle name="Output" xfId="6" builtinId="21"/>
  </cellStyles>
  <dxfs count="86">
    <dxf>
      <font>
        <color rgb="FFC00000"/>
      </font>
    </dxf>
    <dxf>
      <font>
        <color theme="9" tint="-0.24994659260841701"/>
      </font>
    </dxf>
    <dxf>
      <font>
        <color rgb="FF008000"/>
      </font>
    </dxf>
    <dxf>
      <font>
        <color rgb="FFFFC000"/>
      </font>
    </dxf>
    <dxf>
      <font>
        <color rgb="FF0000FF"/>
      </font>
    </dxf>
    <dxf>
      <font>
        <color rgb="FFFF33CC"/>
      </font>
    </dxf>
    <dxf>
      <font>
        <color rgb="FF00B0F0"/>
      </font>
    </dxf>
    <dxf>
      <font>
        <color rgb="FF7030A0"/>
      </font>
    </dxf>
    <dxf>
      <font>
        <color rgb="FFC00000"/>
      </font>
    </dxf>
    <dxf>
      <font>
        <color theme="9" tint="-0.24994659260841701"/>
      </font>
    </dxf>
    <dxf>
      <font>
        <color rgb="FF008000"/>
      </font>
    </dxf>
    <dxf>
      <font>
        <color rgb="FFFFC000"/>
      </font>
    </dxf>
    <dxf>
      <font>
        <color rgb="FF0000FF"/>
      </font>
    </dxf>
    <dxf>
      <font>
        <color rgb="FFFF33CC"/>
      </font>
    </dxf>
    <dxf>
      <font>
        <color rgb="FF00B0F0"/>
      </font>
    </dxf>
    <dxf>
      <font>
        <color rgb="FF7030A0"/>
      </font>
    </dxf>
    <dxf>
      <font>
        <color rgb="FFC00000"/>
      </font>
    </dxf>
    <dxf>
      <font>
        <color theme="9" tint="-0.24994659260841701"/>
      </font>
    </dxf>
    <dxf>
      <font>
        <color rgb="FF008000"/>
      </font>
    </dxf>
    <dxf>
      <font>
        <color rgb="FFFFC000"/>
      </font>
    </dxf>
    <dxf>
      <font>
        <color rgb="FF0000FF"/>
      </font>
    </dxf>
    <dxf>
      <font>
        <color rgb="FFFF33CC"/>
      </font>
    </dxf>
    <dxf>
      <font>
        <color rgb="FF00B0F0"/>
      </font>
    </dxf>
    <dxf>
      <font>
        <color rgb="FF7030A0"/>
      </font>
    </dxf>
    <dxf>
      <font>
        <color rgb="FFC00000"/>
      </font>
    </dxf>
    <dxf>
      <font>
        <color theme="9" tint="-0.24994659260841701"/>
      </font>
    </dxf>
    <dxf>
      <font>
        <color rgb="FF008000"/>
      </font>
    </dxf>
    <dxf>
      <font>
        <color rgb="FFFFC000"/>
      </font>
    </dxf>
    <dxf>
      <font>
        <color rgb="FF0000FF"/>
      </font>
    </dxf>
    <dxf>
      <font>
        <color rgb="FFFF33CC"/>
      </font>
    </dxf>
    <dxf>
      <font>
        <color rgb="FF00B0F0"/>
      </font>
    </dxf>
    <dxf>
      <font>
        <color rgb="FF7030A0"/>
      </font>
    </dxf>
    <dxf>
      <font>
        <color rgb="FFC00000"/>
      </font>
    </dxf>
    <dxf>
      <font>
        <color theme="9" tint="-0.24994659260841701"/>
      </font>
    </dxf>
    <dxf>
      <font>
        <color rgb="FF008000"/>
      </font>
    </dxf>
    <dxf>
      <font>
        <color rgb="FFFFC000"/>
      </font>
    </dxf>
    <dxf>
      <font>
        <color rgb="FF0000FF"/>
      </font>
    </dxf>
    <dxf>
      <font>
        <color rgb="FFFF33CC"/>
      </font>
    </dxf>
    <dxf>
      <font>
        <color rgb="FF00B0F0"/>
      </font>
    </dxf>
    <dxf>
      <font>
        <color rgb="FF7030A0"/>
      </font>
    </dxf>
    <dxf>
      <font>
        <color rgb="FFC00000"/>
      </font>
    </dxf>
    <dxf>
      <font>
        <color theme="9" tint="-0.24994659260841701"/>
      </font>
    </dxf>
    <dxf>
      <font>
        <color rgb="FF008000"/>
      </font>
    </dxf>
    <dxf>
      <font>
        <color rgb="FFFFC000"/>
      </font>
    </dxf>
    <dxf>
      <font>
        <color rgb="FF0000FF"/>
      </font>
    </dxf>
    <dxf>
      <font>
        <color rgb="FFFF33CC"/>
      </font>
    </dxf>
    <dxf>
      <font>
        <color rgb="FF00B0F0"/>
      </font>
    </dxf>
    <dxf>
      <font>
        <color rgb="FF7030A0"/>
      </font>
    </dxf>
    <dxf>
      <font>
        <color rgb="FFC00000"/>
      </font>
    </dxf>
    <dxf>
      <font>
        <color theme="9" tint="-0.24994659260841701"/>
      </font>
    </dxf>
    <dxf>
      <font>
        <color rgb="FF008000"/>
      </font>
    </dxf>
    <dxf>
      <font>
        <color rgb="FFFFC000"/>
      </font>
    </dxf>
    <dxf>
      <font>
        <color rgb="FF0000FF"/>
      </font>
    </dxf>
    <dxf>
      <font>
        <color rgb="FFFF33CC"/>
      </font>
    </dxf>
    <dxf>
      <font>
        <color rgb="FF00B0F0"/>
      </font>
    </dxf>
    <dxf>
      <font>
        <color rgb="FF7030A0"/>
      </font>
    </dxf>
    <dxf>
      <font>
        <color rgb="FFC00000"/>
      </font>
    </dxf>
    <dxf>
      <font>
        <color theme="9" tint="-0.24994659260841701"/>
      </font>
    </dxf>
    <dxf>
      <font>
        <color rgb="FF008000"/>
      </font>
    </dxf>
    <dxf>
      <font>
        <color rgb="FFFFC000"/>
      </font>
    </dxf>
    <dxf>
      <font>
        <color rgb="FF0000FF"/>
      </font>
    </dxf>
    <dxf>
      <font>
        <color rgb="FFFF33CC"/>
      </font>
    </dxf>
    <dxf>
      <font>
        <color rgb="FF00B0F0"/>
      </font>
    </dxf>
    <dxf>
      <font>
        <color rgb="FF7030A0"/>
      </font>
    </dxf>
    <dxf>
      <font>
        <b/>
        <i/>
      </font>
      <fill>
        <gradientFill degree="90">
          <stop position="0">
            <color theme="1" tint="0.49803155613879818"/>
          </stop>
          <stop position="1">
            <color theme="2"/>
          </stop>
        </gradientFill>
      </fill>
    </dxf>
    <dxf>
      <font>
        <b/>
        <i/>
      </font>
      <fill>
        <gradientFill degree="90">
          <stop position="0">
            <color theme="1" tint="0.49803155613879818"/>
          </stop>
          <stop position="1">
            <color theme="2"/>
          </stop>
        </gradientFill>
      </fill>
    </dxf>
    <dxf>
      <font>
        <color rgb="FFC00000"/>
      </font>
    </dxf>
    <dxf>
      <font>
        <color theme="5"/>
      </font>
    </dxf>
    <dxf>
      <font>
        <color rgb="FF008000"/>
      </font>
    </dxf>
    <dxf>
      <font>
        <color rgb="FFFFC000"/>
      </font>
    </dxf>
    <dxf>
      <font>
        <color rgb="FF0000FF"/>
      </font>
    </dxf>
    <dxf>
      <font>
        <color rgb="FFFF33CC"/>
      </font>
    </dxf>
    <dxf>
      <font>
        <color rgb="FF00B0F0"/>
      </font>
    </dxf>
    <dxf>
      <font>
        <color rgb="FF7030A0"/>
      </font>
    </dxf>
    <dxf>
      <font>
        <b/>
        <i val="0"/>
        <color rgb="FF663300"/>
      </font>
    </dxf>
    <dxf>
      <font>
        <b/>
        <i val="0"/>
        <color rgb="FF663300"/>
      </font>
    </dxf>
    <dxf>
      <font>
        <b/>
        <i val="0"/>
        <color rgb="FF0000FF"/>
      </font>
    </dxf>
    <dxf>
      <font>
        <b/>
        <i val="0"/>
        <color rgb="FF009900"/>
      </font>
    </dxf>
    <dxf>
      <font>
        <b/>
        <i val="0"/>
        <color rgb="FF009900"/>
      </font>
    </dxf>
    <dxf>
      <font>
        <b/>
        <i val="0"/>
        <color rgb="FF009900"/>
      </font>
    </dxf>
    <dxf>
      <font>
        <b/>
        <i val="0"/>
        <color rgb="FF009900"/>
      </font>
    </dxf>
    <dxf>
      <font>
        <b/>
        <i val="0"/>
        <color rgb="FF00B0F0"/>
      </font>
    </dxf>
    <dxf>
      <font>
        <b/>
        <i val="0"/>
        <color rgb="FFFF0000"/>
      </font>
    </dxf>
    <dxf>
      <font>
        <b/>
        <i val="0"/>
        <color rgb="FF7030A0"/>
      </font>
    </dxf>
    <dxf>
      <font>
        <b/>
        <i val="0"/>
        <color auto="1"/>
      </font>
    </dxf>
    <dxf>
      <font>
        <b/>
        <i val="0"/>
        <color auto="1"/>
      </font>
    </dxf>
  </dxfs>
  <tableStyles count="0" defaultTableStyle="TableStyleMedium2" defaultPivotStyle="PivotStyleLight16"/>
  <colors>
    <mruColors>
      <color rgb="FF663300"/>
      <color rgb="FF99FF99"/>
      <color rgb="FF008000"/>
      <color rgb="FF0000FF"/>
      <color rgb="FF66FF99"/>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26" Type="http://schemas.microsoft.com/office/2007/relationships/slicerCache" Target="slicerCaches/slicerCache4.xml"/><Relationship Id="rId3" Type="http://schemas.openxmlformats.org/officeDocument/2006/relationships/worksheet" Target="worksheets/sheet3.xml"/><Relationship Id="rId34" Type="http://schemas.openxmlformats.org/officeDocument/2006/relationships/customXml" Target="../customXml/item3.xml"/><Relationship Id="rId7" Type="http://schemas.openxmlformats.org/officeDocument/2006/relationships/worksheet" Target="worksheets/sheet7.xml"/><Relationship Id="rId25" Type="http://schemas.microsoft.com/office/2007/relationships/slicerCache" Target="slicerCaches/slicerCache3.xml"/><Relationship Id="rId33" Type="http://schemas.openxmlformats.org/officeDocument/2006/relationships/customXml" Target="../customXml/item2.xml"/><Relationship Id="rId2" Type="http://schemas.openxmlformats.org/officeDocument/2006/relationships/worksheet" Target="worksheets/sheet2.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24" Type="http://schemas.microsoft.com/office/2007/relationships/slicerCache" Target="slicerCaches/slicerCache2.xml"/><Relationship Id="rId32" Type="http://schemas.openxmlformats.org/officeDocument/2006/relationships/customXml" Target="../customXml/item1.xml"/><Relationship Id="rId5" Type="http://schemas.openxmlformats.org/officeDocument/2006/relationships/worksheet" Target="worksheets/sheet5.xml"/><Relationship Id="rId23" Type="http://schemas.microsoft.com/office/2007/relationships/slicerCache" Target="slicerCaches/slicerCache1.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pivotCacheDefinition" Target="pivotCache/pivotCacheDefinition1.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27" Type="http://schemas.microsoft.com/office/2007/relationships/slicerCache" Target="slicerCaches/slicerCache5.xml"/><Relationship Id="rId30" Type="http://schemas.openxmlformats.org/officeDocument/2006/relationships/sharedStrings" Target="sharedStrings.xml"/><Relationship Id="rId35"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On-Call</a:t>
            </a:r>
            <a:r>
              <a:rPr lang="en-US" baseline="0"/>
              <a:t> Count by Physician</a:t>
            </a:r>
            <a:endParaRPr lang="en-US"/>
          </a:p>
        </c:rich>
      </c:tx>
      <c:spPr>
        <a:noFill/>
        <a:ln>
          <a:noFill/>
        </a:ln>
        <a:effectLst/>
      </c:spPr>
    </c:title>
    <c:plotArea>
      <c:layout/>
      <c:barChart>
        <c:barDir val="col"/>
        <c:grouping val="stacked"/>
        <c:ser>
          <c:idx val="0"/>
          <c:order val="0"/>
          <c:tx>
            <c:strRef>
              <c:f>OnCallSchedule!$P$58</c:f>
              <c:strCache>
                <c:ptCount val="1"/>
                <c:pt idx="0">
                  <c:v>HOLIDAY DAYS</c:v>
                </c:pt>
              </c:strCache>
            </c:strRef>
          </c:tx>
          <c:spPr>
            <a:solidFill>
              <a:srgbClr val="C00000"/>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Val val="1"/>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OnCallSchedule!$H$59:$H$66</c:f>
              <c:strCache>
                <c:ptCount val="8"/>
                <c:pt idx="0">
                  <c:v>SMITH</c:v>
                </c:pt>
                <c:pt idx="1">
                  <c:v>NEUMANN</c:v>
                </c:pt>
                <c:pt idx="2">
                  <c:v>MACKSOOD</c:v>
                </c:pt>
                <c:pt idx="3">
                  <c:v>KORTE</c:v>
                </c:pt>
                <c:pt idx="4">
                  <c:v>MILLER</c:v>
                </c:pt>
                <c:pt idx="5">
                  <c:v>LANDESMAN</c:v>
                </c:pt>
                <c:pt idx="6">
                  <c:v>MINAUDO</c:v>
                </c:pt>
                <c:pt idx="7">
                  <c:v>THIGPIN</c:v>
                </c:pt>
              </c:strCache>
            </c:strRef>
          </c:cat>
          <c:val>
            <c:numRef>
              <c:f>OnCallSchedule!$P$59:$P$66</c:f>
              <c:numCache>
                <c:formatCode>General</c:formatCode>
                <c:ptCount val="8"/>
                <c:pt idx="0">
                  <c:v>1</c:v>
                </c:pt>
                <c:pt idx="1">
                  <c:v>2</c:v>
                </c:pt>
                <c:pt idx="2">
                  <c:v>1</c:v>
                </c:pt>
                <c:pt idx="3">
                  <c:v>0</c:v>
                </c:pt>
                <c:pt idx="4">
                  <c:v>1</c:v>
                </c:pt>
                <c:pt idx="5">
                  <c:v>2</c:v>
                </c:pt>
                <c:pt idx="6">
                  <c:v>2</c:v>
                </c:pt>
                <c:pt idx="7">
                  <c:v>1</c:v>
                </c:pt>
              </c:numCache>
            </c:numRef>
          </c:val>
        </c:ser>
        <c:ser>
          <c:idx val="1"/>
          <c:order val="1"/>
          <c:tx>
            <c:strRef>
              <c:f>OnCallSchedule!$Q$58</c:f>
              <c:strCache>
                <c:ptCount val="1"/>
                <c:pt idx="0">
                  <c:v>NON-HOLIDAY DAYS</c:v>
                </c:pt>
              </c:strCache>
            </c:strRef>
          </c:tx>
          <c:spPr>
            <a:solidFill>
              <a:schemeClr val="accent6"/>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Val val="1"/>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OnCallSchedule!$H$59:$H$66</c:f>
              <c:strCache>
                <c:ptCount val="8"/>
                <c:pt idx="0">
                  <c:v>SMITH</c:v>
                </c:pt>
                <c:pt idx="1">
                  <c:v>NEUMANN</c:v>
                </c:pt>
                <c:pt idx="2">
                  <c:v>MACKSOOD</c:v>
                </c:pt>
                <c:pt idx="3">
                  <c:v>KORTE</c:v>
                </c:pt>
                <c:pt idx="4">
                  <c:v>MILLER</c:v>
                </c:pt>
                <c:pt idx="5">
                  <c:v>LANDESMAN</c:v>
                </c:pt>
                <c:pt idx="6">
                  <c:v>MINAUDO</c:v>
                </c:pt>
                <c:pt idx="7">
                  <c:v>THIGPIN</c:v>
                </c:pt>
              </c:strCache>
            </c:strRef>
          </c:cat>
          <c:val>
            <c:numRef>
              <c:f>OnCallSchedule!$Q$59:$Q$66</c:f>
              <c:numCache>
                <c:formatCode>General</c:formatCode>
                <c:ptCount val="8"/>
                <c:pt idx="0">
                  <c:v>34</c:v>
                </c:pt>
                <c:pt idx="1">
                  <c:v>42</c:v>
                </c:pt>
                <c:pt idx="2">
                  <c:v>44</c:v>
                </c:pt>
                <c:pt idx="3">
                  <c:v>45</c:v>
                </c:pt>
                <c:pt idx="4">
                  <c:v>45</c:v>
                </c:pt>
                <c:pt idx="5">
                  <c:v>50</c:v>
                </c:pt>
                <c:pt idx="6">
                  <c:v>55</c:v>
                </c:pt>
                <c:pt idx="7">
                  <c:v>48</c:v>
                </c:pt>
              </c:numCache>
            </c:numRef>
          </c:val>
        </c:ser>
        <c:dLbls>
          <c:showVal val="1"/>
        </c:dLbls>
        <c:overlap val="100"/>
        <c:axId val="227644160"/>
        <c:axId val="227645696"/>
      </c:barChart>
      <c:catAx>
        <c:axId val="227644160"/>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645696"/>
        <c:crosses val="autoZero"/>
        <c:auto val="1"/>
        <c:lblAlgn val="ctr"/>
        <c:lblOffset val="100"/>
      </c:catAx>
      <c:valAx>
        <c:axId val="227645696"/>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644160"/>
        <c:crosses val="autoZero"/>
        <c:crossBetween val="between"/>
      </c:valAx>
      <c:spPr>
        <a:noFill/>
        <a:ln>
          <a:noFill/>
        </a:ln>
        <a:effectLst/>
      </c:spPr>
    </c:plotArea>
    <c:legend>
      <c:legendPos val="b"/>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Physician Assignment Analysis</a:t>
            </a:r>
          </a:p>
        </c:rich>
      </c:tx>
      <c:layout/>
      <c:spPr>
        <a:noFill/>
        <a:ln>
          <a:noFill/>
        </a:ln>
        <a:effectLst/>
      </c:spPr>
    </c:title>
    <c:plotArea>
      <c:layout/>
      <c:barChart>
        <c:barDir val="col"/>
        <c:grouping val="stacked"/>
        <c:ser>
          <c:idx val="0"/>
          <c:order val="0"/>
          <c:tx>
            <c:strRef>
              <c:f>MonthTemplate!$Y$6</c:f>
              <c:strCache>
                <c:ptCount val="1"/>
                <c:pt idx="0">
                  <c:v>G</c:v>
                </c:pt>
              </c:strCache>
            </c:strRef>
          </c:tx>
          <c:spPr>
            <a:solidFill>
              <a:schemeClr val="tx1"/>
            </a:solidFill>
            <a:ln>
              <a:noFill/>
            </a:ln>
            <a:effectLst/>
          </c:spPr>
          <c:cat>
            <c:strRef>
              <c:f>MonthTemplate!$X$7:$X$14</c:f>
              <c:strCache>
                <c:ptCount val="8"/>
                <c:pt idx="0">
                  <c:v>S</c:v>
                </c:pt>
                <c:pt idx="1">
                  <c:v>N</c:v>
                </c:pt>
                <c:pt idx="2">
                  <c:v>M</c:v>
                </c:pt>
                <c:pt idx="3">
                  <c:v>K</c:v>
                </c:pt>
                <c:pt idx="4">
                  <c:v>J</c:v>
                </c:pt>
                <c:pt idx="5">
                  <c:v>L</c:v>
                </c:pt>
                <c:pt idx="6">
                  <c:v>O</c:v>
                </c:pt>
                <c:pt idx="7">
                  <c:v>T</c:v>
                </c:pt>
              </c:strCache>
            </c:strRef>
          </c:cat>
          <c:val>
            <c:numRef>
              <c:f>MonthTemplate!$Y$7:$Y$14</c:f>
              <c:numCache>
                <c:formatCode>General</c:formatCode>
                <c:ptCount val="8"/>
                <c:pt idx="0">
                  <c:v>0</c:v>
                </c:pt>
                <c:pt idx="1">
                  <c:v>0</c:v>
                </c:pt>
                <c:pt idx="2">
                  <c:v>0</c:v>
                </c:pt>
                <c:pt idx="3">
                  <c:v>0</c:v>
                </c:pt>
                <c:pt idx="4">
                  <c:v>0</c:v>
                </c:pt>
                <c:pt idx="5">
                  <c:v>0</c:v>
                </c:pt>
                <c:pt idx="6">
                  <c:v>0</c:v>
                </c:pt>
                <c:pt idx="7">
                  <c:v>0</c:v>
                </c:pt>
              </c:numCache>
            </c:numRef>
          </c:val>
        </c:ser>
        <c:ser>
          <c:idx val="1"/>
          <c:order val="1"/>
          <c:tx>
            <c:strRef>
              <c:f>MonthTemplate!$Z$6</c:f>
              <c:strCache>
                <c:ptCount val="1"/>
                <c:pt idx="0">
                  <c:v>G-PC</c:v>
                </c:pt>
              </c:strCache>
            </c:strRef>
          </c:tx>
          <c:spPr>
            <a:solidFill>
              <a:schemeClr val="accent3"/>
            </a:solidFill>
            <a:ln>
              <a:noFill/>
            </a:ln>
            <a:effectLst/>
          </c:spPr>
          <c:cat>
            <c:strRef>
              <c:f>MonthTemplate!$X$7:$X$14</c:f>
              <c:strCache>
                <c:ptCount val="8"/>
                <c:pt idx="0">
                  <c:v>S</c:v>
                </c:pt>
                <c:pt idx="1">
                  <c:v>N</c:v>
                </c:pt>
                <c:pt idx="2">
                  <c:v>M</c:v>
                </c:pt>
                <c:pt idx="3">
                  <c:v>K</c:v>
                </c:pt>
                <c:pt idx="4">
                  <c:v>J</c:v>
                </c:pt>
                <c:pt idx="5">
                  <c:v>L</c:v>
                </c:pt>
                <c:pt idx="6">
                  <c:v>O</c:v>
                </c:pt>
                <c:pt idx="7">
                  <c:v>T</c:v>
                </c:pt>
              </c:strCache>
            </c:strRef>
          </c:cat>
          <c:val>
            <c:numRef>
              <c:f>MonthTemplate!$Z$7:$Z$14</c:f>
              <c:numCache>
                <c:formatCode>General</c:formatCode>
                <c:ptCount val="8"/>
                <c:pt idx="0">
                  <c:v>0</c:v>
                </c:pt>
                <c:pt idx="1">
                  <c:v>0</c:v>
                </c:pt>
                <c:pt idx="2">
                  <c:v>0</c:v>
                </c:pt>
                <c:pt idx="3">
                  <c:v>0</c:v>
                </c:pt>
                <c:pt idx="4">
                  <c:v>0</c:v>
                </c:pt>
                <c:pt idx="5">
                  <c:v>0</c:v>
                </c:pt>
                <c:pt idx="6">
                  <c:v>0</c:v>
                </c:pt>
                <c:pt idx="7">
                  <c:v>0</c:v>
                </c:pt>
              </c:numCache>
            </c:numRef>
          </c:val>
        </c:ser>
        <c:ser>
          <c:idx val="2"/>
          <c:order val="2"/>
          <c:tx>
            <c:strRef>
              <c:f>MonthTemplate!$AA$6</c:f>
              <c:strCache>
                <c:ptCount val="1"/>
                <c:pt idx="0">
                  <c:v>HPE1</c:v>
                </c:pt>
              </c:strCache>
            </c:strRef>
          </c:tx>
          <c:spPr>
            <a:solidFill>
              <a:srgbClr val="008000"/>
            </a:solidFill>
            <a:ln>
              <a:noFill/>
            </a:ln>
            <a:effectLst/>
          </c:spPr>
          <c:cat>
            <c:strRef>
              <c:f>MonthTemplate!$X$7:$X$14</c:f>
              <c:strCache>
                <c:ptCount val="8"/>
                <c:pt idx="0">
                  <c:v>S</c:v>
                </c:pt>
                <c:pt idx="1">
                  <c:v>N</c:v>
                </c:pt>
                <c:pt idx="2">
                  <c:v>M</c:v>
                </c:pt>
                <c:pt idx="3">
                  <c:v>K</c:v>
                </c:pt>
                <c:pt idx="4">
                  <c:v>J</c:v>
                </c:pt>
                <c:pt idx="5">
                  <c:v>L</c:v>
                </c:pt>
                <c:pt idx="6">
                  <c:v>O</c:v>
                </c:pt>
                <c:pt idx="7">
                  <c:v>T</c:v>
                </c:pt>
              </c:strCache>
            </c:strRef>
          </c:cat>
          <c:val>
            <c:numRef>
              <c:f>MonthTemplate!$AA$7:$AA$14</c:f>
              <c:numCache>
                <c:formatCode>General</c:formatCode>
                <c:ptCount val="8"/>
                <c:pt idx="0">
                  <c:v>0</c:v>
                </c:pt>
                <c:pt idx="1">
                  <c:v>0</c:v>
                </c:pt>
                <c:pt idx="2">
                  <c:v>0</c:v>
                </c:pt>
                <c:pt idx="3">
                  <c:v>0</c:v>
                </c:pt>
                <c:pt idx="4">
                  <c:v>0</c:v>
                </c:pt>
                <c:pt idx="5">
                  <c:v>0</c:v>
                </c:pt>
                <c:pt idx="6">
                  <c:v>0</c:v>
                </c:pt>
                <c:pt idx="7">
                  <c:v>0</c:v>
                </c:pt>
              </c:numCache>
            </c:numRef>
          </c:val>
        </c:ser>
        <c:ser>
          <c:idx val="3"/>
          <c:order val="3"/>
          <c:tx>
            <c:strRef>
              <c:f>MonthTemplate!$AB$6</c:f>
              <c:strCache>
                <c:ptCount val="1"/>
                <c:pt idx="0">
                  <c:v>HPE2</c:v>
                </c:pt>
              </c:strCache>
            </c:strRef>
          </c:tx>
          <c:spPr>
            <a:solidFill>
              <a:schemeClr val="accent6"/>
            </a:solidFill>
            <a:ln>
              <a:noFill/>
            </a:ln>
            <a:effectLst/>
          </c:spPr>
          <c:cat>
            <c:strRef>
              <c:f>MonthTemplate!$X$7:$X$14</c:f>
              <c:strCache>
                <c:ptCount val="8"/>
                <c:pt idx="0">
                  <c:v>S</c:v>
                </c:pt>
                <c:pt idx="1">
                  <c:v>N</c:v>
                </c:pt>
                <c:pt idx="2">
                  <c:v>M</c:v>
                </c:pt>
                <c:pt idx="3">
                  <c:v>K</c:v>
                </c:pt>
                <c:pt idx="4">
                  <c:v>J</c:v>
                </c:pt>
                <c:pt idx="5">
                  <c:v>L</c:v>
                </c:pt>
                <c:pt idx="6">
                  <c:v>O</c:v>
                </c:pt>
                <c:pt idx="7">
                  <c:v>T</c:v>
                </c:pt>
              </c:strCache>
            </c:strRef>
          </c:cat>
          <c:val>
            <c:numRef>
              <c:f>MonthTemplate!$AB$7:$AB$14</c:f>
              <c:numCache>
                <c:formatCode>General</c:formatCode>
                <c:ptCount val="8"/>
                <c:pt idx="0">
                  <c:v>0</c:v>
                </c:pt>
                <c:pt idx="1">
                  <c:v>0</c:v>
                </c:pt>
                <c:pt idx="2">
                  <c:v>0</c:v>
                </c:pt>
                <c:pt idx="3">
                  <c:v>0</c:v>
                </c:pt>
                <c:pt idx="4">
                  <c:v>0</c:v>
                </c:pt>
                <c:pt idx="5">
                  <c:v>0</c:v>
                </c:pt>
                <c:pt idx="6">
                  <c:v>0</c:v>
                </c:pt>
                <c:pt idx="7">
                  <c:v>0</c:v>
                </c:pt>
              </c:numCache>
            </c:numRef>
          </c:val>
        </c:ser>
        <c:ser>
          <c:idx val="4"/>
          <c:order val="4"/>
          <c:tx>
            <c:strRef>
              <c:f>MonthTemplate!$AC$6</c:f>
              <c:strCache>
                <c:ptCount val="1"/>
                <c:pt idx="0">
                  <c:v>HPE3</c:v>
                </c:pt>
              </c:strCache>
            </c:strRef>
          </c:tx>
          <c:spPr>
            <a:solidFill>
              <a:srgbClr val="92D050"/>
            </a:solidFill>
            <a:ln>
              <a:noFill/>
            </a:ln>
            <a:effectLst/>
          </c:spPr>
          <c:cat>
            <c:strRef>
              <c:f>MonthTemplate!$X$7:$X$14</c:f>
              <c:strCache>
                <c:ptCount val="8"/>
                <c:pt idx="0">
                  <c:v>S</c:v>
                </c:pt>
                <c:pt idx="1">
                  <c:v>N</c:v>
                </c:pt>
                <c:pt idx="2">
                  <c:v>M</c:v>
                </c:pt>
                <c:pt idx="3">
                  <c:v>K</c:v>
                </c:pt>
                <c:pt idx="4">
                  <c:v>J</c:v>
                </c:pt>
                <c:pt idx="5">
                  <c:v>L</c:v>
                </c:pt>
                <c:pt idx="6">
                  <c:v>O</c:v>
                </c:pt>
                <c:pt idx="7">
                  <c:v>T</c:v>
                </c:pt>
              </c:strCache>
            </c:strRef>
          </c:cat>
          <c:val>
            <c:numRef>
              <c:f>MonthTemplate!$AC$7:$AC$14</c:f>
              <c:numCache>
                <c:formatCode>General</c:formatCode>
                <c:ptCount val="8"/>
                <c:pt idx="0">
                  <c:v>0</c:v>
                </c:pt>
                <c:pt idx="1">
                  <c:v>0</c:v>
                </c:pt>
                <c:pt idx="2">
                  <c:v>0</c:v>
                </c:pt>
                <c:pt idx="3">
                  <c:v>0</c:v>
                </c:pt>
                <c:pt idx="4">
                  <c:v>0</c:v>
                </c:pt>
                <c:pt idx="5">
                  <c:v>0</c:v>
                </c:pt>
                <c:pt idx="6">
                  <c:v>0</c:v>
                </c:pt>
                <c:pt idx="7">
                  <c:v>0</c:v>
                </c:pt>
              </c:numCache>
            </c:numRef>
          </c:val>
        </c:ser>
        <c:ser>
          <c:idx val="5"/>
          <c:order val="5"/>
          <c:tx>
            <c:strRef>
              <c:f>MonthTemplate!$AD$6</c:f>
              <c:strCache>
                <c:ptCount val="1"/>
                <c:pt idx="0">
                  <c:v>HPE4</c:v>
                </c:pt>
              </c:strCache>
            </c:strRef>
          </c:tx>
          <c:spPr>
            <a:solidFill>
              <a:srgbClr val="99FF99"/>
            </a:solidFill>
            <a:ln>
              <a:noFill/>
            </a:ln>
            <a:effectLst/>
          </c:spPr>
          <c:cat>
            <c:strRef>
              <c:f>MonthTemplate!$X$7:$X$14</c:f>
              <c:strCache>
                <c:ptCount val="8"/>
                <c:pt idx="0">
                  <c:v>S</c:v>
                </c:pt>
                <c:pt idx="1">
                  <c:v>N</c:v>
                </c:pt>
                <c:pt idx="2">
                  <c:v>M</c:v>
                </c:pt>
                <c:pt idx="3">
                  <c:v>K</c:v>
                </c:pt>
                <c:pt idx="4">
                  <c:v>J</c:v>
                </c:pt>
                <c:pt idx="5">
                  <c:v>L</c:v>
                </c:pt>
                <c:pt idx="6">
                  <c:v>O</c:v>
                </c:pt>
                <c:pt idx="7">
                  <c:v>T</c:v>
                </c:pt>
              </c:strCache>
            </c:strRef>
          </c:cat>
          <c:val>
            <c:numRef>
              <c:f>MonthTemplate!$AD$7:$AD$14</c:f>
              <c:numCache>
                <c:formatCode>General</c:formatCode>
                <c:ptCount val="8"/>
                <c:pt idx="0">
                  <c:v>0</c:v>
                </c:pt>
                <c:pt idx="1">
                  <c:v>0</c:v>
                </c:pt>
                <c:pt idx="2">
                  <c:v>0</c:v>
                </c:pt>
                <c:pt idx="3">
                  <c:v>0</c:v>
                </c:pt>
                <c:pt idx="4">
                  <c:v>0</c:v>
                </c:pt>
                <c:pt idx="5">
                  <c:v>0</c:v>
                </c:pt>
                <c:pt idx="6">
                  <c:v>0</c:v>
                </c:pt>
                <c:pt idx="7">
                  <c:v>0</c:v>
                </c:pt>
              </c:numCache>
            </c:numRef>
          </c:val>
        </c:ser>
        <c:ser>
          <c:idx val="6"/>
          <c:order val="6"/>
          <c:tx>
            <c:strRef>
              <c:f>MonthTemplate!$AE$6</c:f>
              <c:strCache>
                <c:ptCount val="1"/>
                <c:pt idx="0">
                  <c:v>MRMC</c:v>
                </c:pt>
              </c:strCache>
            </c:strRef>
          </c:tx>
          <c:spPr>
            <a:solidFill>
              <a:schemeClr val="accent1">
                <a:lumMod val="60000"/>
              </a:schemeClr>
            </a:solidFill>
            <a:ln>
              <a:noFill/>
            </a:ln>
            <a:effectLst/>
          </c:spPr>
          <c:cat>
            <c:strRef>
              <c:f>MonthTemplate!$X$7:$X$14</c:f>
              <c:strCache>
                <c:ptCount val="8"/>
                <c:pt idx="0">
                  <c:v>S</c:v>
                </c:pt>
                <c:pt idx="1">
                  <c:v>N</c:v>
                </c:pt>
                <c:pt idx="2">
                  <c:v>M</c:v>
                </c:pt>
                <c:pt idx="3">
                  <c:v>K</c:v>
                </c:pt>
                <c:pt idx="4">
                  <c:v>J</c:v>
                </c:pt>
                <c:pt idx="5">
                  <c:v>L</c:v>
                </c:pt>
                <c:pt idx="6">
                  <c:v>O</c:v>
                </c:pt>
                <c:pt idx="7">
                  <c:v>T</c:v>
                </c:pt>
              </c:strCache>
            </c:strRef>
          </c:cat>
          <c:val>
            <c:numRef>
              <c:f>MonthTemplate!$AE$7:$AE$14</c:f>
              <c:numCache>
                <c:formatCode>General</c:formatCode>
                <c:ptCount val="8"/>
                <c:pt idx="0">
                  <c:v>0</c:v>
                </c:pt>
                <c:pt idx="1">
                  <c:v>0</c:v>
                </c:pt>
                <c:pt idx="2">
                  <c:v>0</c:v>
                </c:pt>
                <c:pt idx="3">
                  <c:v>0</c:v>
                </c:pt>
                <c:pt idx="4">
                  <c:v>0</c:v>
                </c:pt>
                <c:pt idx="5">
                  <c:v>0</c:v>
                </c:pt>
                <c:pt idx="6">
                  <c:v>0</c:v>
                </c:pt>
                <c:pt idx="7">
                  <c:v>0</c:v>
                </c:pt>
              </c:numCache>
            </c:numRef>
          </c:val>
        </c:ser>
        <c:ser>
          <c:idx val="7"/>
          <c:order val="7"/>
          <c:tx>
            <c:strRef>
              <c:f>MonthTemplate!$AF$6</c:f>
              <c:strCache>
                <c:ptCount val="1"/>
                <c:pt idx="0">
                  <c:v>MSEC</c:v>
                </c:pt>
              </c:strCache>
            </c:strRef>
          </c:tx>
          <c:spPr>
            <a:solidFill>
              <a:srgbClr val="00B0F0"/>
            </a:solidFill>
            <a:ln>
              <a:noFill/>
            </a:ln>
            <a:effectLst/>
          </c:spPr>
          <c:cat>
            <c:strRef>
              <c:f>MonthTemplate!$X$7:$X$14</c:f>
              <c:strCache>
                <c:ptCount val="8"/>
                <c:pt idx="0">
                  <c:v>S</c:v>
                </c:pt>
                <c:pt idx="1">
                  <c:v>N</c:v>
                </c:pt>
                <c:pt idx="2">
                  <c:v>M</c:v>
                </c:pt>
                <c:pt idx="3">
                  <c:v>K</c:v>
                </c:pt>
                <c:pt idx="4">
                  <c:v>J</c:v>
                </c:pt>
                <c:pt idx="5">
                  <c:v>L</c:v>
                </c:pt>
                <c:pt idx="6">
                  <c:v>O</c:v>
                </c:pt>
                <c:pt idx="7">
                  <c:v>T</c:v>
                </c:pt>
              </c:strCache>
            </c:strRef>
          </c:cat>
          <c:val>
            <c:numRef>
              <c:f>MonthTemplate!$AF$7:$AF$14</c:f>
              <c:numCache>
                <c:formatCode>General</c:formatCode>
                <c:ptCount val="8"/>
                <c:pt idx="0">
                  <c:v>0</c:v>
                </c:pt>
                <c:pt idx="1">
                  <c:v>0</c:v>
                </c:pt>
                <c:pt idx="2">
                  <c:v>0</c:v>
                </c:pt>
                <c:pt idx="3">
                  <c:v>0</c:v>
                </c:pt>
                <c:pt idx="4">
                  <c:v>0</c:v>
                </c:pt>
                <c:pt idx="5">
                  <c:v>0</c:v>
                </c:pt>
                <c:pt idx="6">
                  <c:v>0</c:v>
                </c:pt>
                <c:pt idx="7">
                  <c:v>0</c:v>
                </c:pt>
              </c:numCache>
            </c:numRef>
          </c:val>
        </c:ser>
        <c:ser>
          <c:idx val="8"/>
          <c:order val="8"/>
          <c:tx>
            <c:strRef>
              <c:f>MonthTemplate!$AG$6</c:f>
              <c:strCache>
                <c:ptCount val="1"/>
                <c:pt idx="0">
                  <c:v>OFF</c:v>
                </c:pt>
              </c:strCache>
            </c:strRef>
          </c:tx>
          <c:spPr>
            <a:solidFill>
              <a:srgbClr val="FF0000"/>
            </a:solidFill>
            <a:ln>
              <a:noFill/>
            </a:ln>
            <a:effectLst/>
          </c:spPr>
          <c:cat>
            <c:strRef>
              <c:f>MonthTemplate!$X$7:$X$14</c:f>
              <c:strCache>
                <c:ptCount val="8"/>
                <c:pt idx="0">
                  <c:v>S</c:v>
                </c:pt>
                <c:pt idx="1">
                  <c:v>N</c:v>
                </c:pt>
                <c:pt idx="2">
                  <c:v>M</c:v>
                </c:pt>
                <c:pt idx="3">
                  <c:v>K</c:v>
                </c:pt>
                <c:pt idx="4">
                  <c:v>J</c:v>
                </c:pt>
                <c:pt idx="5">
                  <c:v>L</c:v>
                </c:pt>
                <c:pt idx="6">
                  <c:v>O</c:v>
                </c:pt>
                <c:pt idx="7">
                  <c:v>T</c:v>
                </c:pt>
              </c:strCache>
            </c:strRef>
          </c:cat>
          <c:val>
            <c:numRef>
              <c:f>MonthTemplate!$AG$7:$AG$14</c:f>
              <c:numCache>
                <c:formatCode>General</c:formatCode>
                <c:ptCount val="8"/>
                <c:pt idx="0">
                  <c:v>0</c:v>
                </c:pt>
                <c:pt idx="1">
                  <c:v>0</c:v>
                </c:pt>
                <c:pt idx="2">
                  <c:v>0</c:v>
                </c:pt>
                <c:pt idx="3">
                  <c:v>0</c:v>
                </c:pt>
                <c:pt idx="4">
                  <c:v>0</c:v>
                </c:pt>
                <c:pt idx="5">
                  <c:v>0</c:v>
                </c:pt>
                <c:pt idx="6">
                  <c:v>0</c:v>
                </c:pt>
                <c:pt idx="7">
                  <c:v>0</c:v>
                </c:pt>
              </c:numCache>
            </c:numRef>
          </c:val>
        </c:ser>
        <c:ser>
          <c:idx val="9"/>
          <c:order val="9"/>
          <c:tx>
            <c:strRef>
              <c:f>MonthTemplate!$AH$6</c:f>
              <c:strCache>
                <c:ptCount val="1"/>
                <c:pt idx="0">
                  <c:v>OFFICE1</c:v>
                </c:pt>
              </c:strCache>
            </c:strRef>
          </c:tx>
          <c:spPr>
            <a:solidFill>
              <a:schemeClr val="accent4">
                <a:lumMod val="75000"/>
              </a:schemeClr>
            </a:solidFill>
            <a:ln>
              <a:noFill/>
            </a:ln>
            <a:effectLst/>
          </c:spPr>
          <c:cat>
            <c:strRef>
              <c:f>MonthTemplate!$X$7:$X$14</c:f>
              <c:strCache>
                <c:ptCount val="8"/>
                <c:pt idx="0">
                  <c:v>S</c:v>
                </c:pt>
                <c:pt idx="1">
                  <c:v>N</c:v>
                </c:pt>
                <c:pt idx="2">
                  <c:v>M</c:v>
                </c:pt>
                <c:pt idx="3">
                  <c:v>K</c:v>
                </c:pt>
                <c:pt idx="4">
                  <c:v>J</c:v>
                </c:pt>
                <c:pt idx="5">
                  <c:v>L</c:v>
                </c:pt>
                <c:pt idx="6">
                  <c:v>O</c:v>
                </c:pt>
                <c:pt idx="7">
                  <c:v>T</c:v>
                </c:pt>
              </c:strCache>
            </c:strRef>
          </c:cat>
          <c:val>
            <c:numRef>
              <c:f>MonthTemplate!$AH$7:$AH$14</c:f>
              <c:numCache>
                <c:formatCode>General</c:formatCode>
                <c:ptCount val="8"/>
                <c:pt idx="0">
                  <c:v>0</c:v>
                </c:pt>
                <c:pt idx="1">
                  <c:v>0</c:v>
                </c:pt>
                <c:pt idx="2">
                  <c:v>0</c:v>
                </c:pt>
                <c:pt idx="3">
                  <c:v>0</c:v>
                </c:pt>
                <c:pt idx="4">
                  <c:v>0</c:v>
                </c:pt>
                <c:pt idx="5">
                  <c:v>0</c:v>
                </c:pt>
                <c:pt idx="6">
                  <c:v>0</c:v>
                </c:pt>
                <c:pt idx="7">
                  <c:v>0</c:v>
                </c:pt>
              </c:numCache>
            </c:numRef>
          </c:val>
        </c:ser>
        <c:ser>
          <c:idx val="10"/>
          <c:order val="10"/>
          <c:tx>
            <c:strRef>
              <c:f>MonthTemplate!$AI$6</c:f>
              <c:strCache>
                <c:ptCount val="1"/>
                <c:pt idx="0">
                  <c:v>OFFICE2</c:v>
                </c:pt>
              </c:strCache>
            </c:strRef>
          </c:tx>
          <c:spPr>
            <a:solidFill>
              <a:schemeClr val="accent2"/>
            </a:solidFill>
            <a:ln>
              <a:noFill/>
            </a:ln>
            <a:effectLst/>
          </c:spPr>
          <c:cat>
            <c:strRef>
              <c:f>MonthTemplate!$X$7:$X$14</c:f>
              <c:strCache>
                <c:ptCount val="8"/>
                <c:pt idx="0">
                  <c:v>S</c:v>
                </c:pt>
                <c:pt idx="1">
                  <c:v>N</c:v>
                </c:pt>
                <c:pt idx="2">
                  <c:v>M</c:v>
                </c:pt>
                <c:pt idx="3">
                  <c:v>K</c:v>
                </c:pt>
                <c:pt idx="4">
                  <c:v>J</c:v>
                </c:pt>
                <c:pt idx="5">
                  <c:v>L</c:v>
                </c:pt>
                <c:pt idx="6">
                  <c:v>O</c:v>
                </c:pt>
                <c:pt idx="7">
                  <c:v>T</c:v>
                </c:pt>
              </c:strCache>
            </c:strRef>
          </c:cat>
          <c:val>
            <c:numRef>
              <c:f>MonthTemplate!$AI$7:$AI$14</c:f>
              <c:numCache>
                <c:formatCode>General</c:formatCode>
                <c:ptCount val="8"/>
                <c:pt idx="0">
                  <c:v>0</c:v>
                </c:pt>
                <c:pt idx="1">
                  <c:v>0</c:v>
                </c:pt>
                <c:pt idx="2">
                  <c:v>0</c:v>
                </c:pt>
                <c:pt idx="3">
                  <c:v>0</c:v>
                </c:pt>
                <c:pt idx="4">
                  <c:v>0</c:v>
                </c:pt>
                <c:pt idx="5">
                  <c:v>0</c:v>
                </c:pt>
                <c:pt idx="6">
                  <c:v>0</c:v>
                </c:pt>
                <c:pt idx="7">
                  <c:v>0</c:v>
                </c:pt>
              </c:numCache>
            </c:numRef>
          </c:val>
        </c:ser>
        <c:ser>
          <c:idx val="11"/>
          <c:order val="11"/>
          <c:tx>
            <c:strRef>
              <c:f>MonthTemplate!$AJ$6</c:f>
              <c:strCache>
                <c:ptCount val="1"/>
                <c:pt idx="0">
                  <c:v>ON-CALL</c:v>
                </c:pt>
              </c:strCache>
            </c:strRef>
          </c:tx>
          <c:spPr>
            <a:solidFill>
              <a:srgbClr val="7030A0"/>
            </a:solidFill>
            <a:ln>
              <a:noFill/>
            </a:ln>
            <a:effectLst/>
          </c:spPr>
          <c:cat>
            <c:strRef>
              <c:f>MonthTemplate!$X$7:$X$14</c:f>
              <c:strCache>
                <c:ptCount val="8"/>
                <c:pt idx="0">
                  <c:v>S</c:v>
                </c:pt>
                <c:pt idx="1">
                  <c:v>N</c:v>
                </c:pt>
                <c:pt idx="2">
                  <c:v>M</c:v>
                </c:pt>
                <c:pt idx="3">
                  <c:v>K</c:v>
                </c:pt>
                <c:pt idx="4">
                  <c:v>J</c:v>
                </c:pt>
                <c:pt idx="5">
                  <c:v>L</c:v>
                </c:pt>
                <c:pt idx="6">
                  <c:v>O</c:v>
                </c:pt>
                <c:pt idx="7">
                  <c:v>T</c:v>
                </c:pt>
              </c:strCache>
            </c:strRef>
          </c:cat>
          <c:val>
            <c:numRef>
              <c:f>MonthTemplate!$AJ$7:$AJ$14</c:f>
              <c:numCache>
                <c:formatCode>General</c:formatCode>
                <c:ptCount val="8"/>
                <c:pt idx="0">
                  <c:v>0</c:v>
                </c:pt>
                <c:pt idx="1">
                  <c:v>0</c:v>
                </c:pt>
                <c:pt idx="2">
                  <c:v>0</c:v>
                </c:pt>
                <c:pt idx="3">
                  <c:v>0</c:v>
                </c:pt>
                <c:pt idx="4">
                  <c:v>0</c:v>
                </c:pt>
                <c:pt idx="5">
                  <c:v>0</c:v>
                </c:pt>
                <c:pt idx="6">
                  <c:v>0</c:v>
                </c:pt>
                <c:pt idx="7">
                  <c:v>0</c:v>
                </c:pt>
              </c:numCache>
            </c:numRef>
          </c:val>
        </c:ser>
        <c:dLbls/>
        <c:gapWidth val="219"/>
        <c:overlap val="100"/>
        <c:axId val="69038848"/>
        <c:axId val="69040768"/>
      </c:barChart>
      <c:catAx>
        <c:axId val="69038848"/>
        <c:scaling>
          <c:orientation val="minMax"/>
        </c:scaling>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Physician</a:t>
                </a:r>
              </a:p>
            </c:rich>
          </c:tx>
          <c:layout/>
          <c:spPr>
            <a:noFill/>
            <a:ln>
              <a:noFill/>
            </a:ln>
            <a:effectLst/>
          </c:spPr>
        </c:title>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40768"/>
        <c:crosses val="autoZero"/>
        <c:auto val="1"/>
        <c:lblAlgn val="ctr"/>
        <c:lblOffset val="100"/>
      </c:catAx>
      <c:valAx>
        <c:axId val="69040768"/>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a:t>
                </a:r>
                <a:r>
                  <a:rPr lang="en-US" baseline="0"/>
                  <a:t> Count</a:t>
                </a:r>
                <a:endParaRPr lang="en-US"/>
              </a:p>
            </c:rich>
          </c:tx>
          <c:layout/>
          <c:spPr>
            <a:noFill/>
            <a:ln>
              <a:noFill/>
            </a:ln>
            <a:effectLst/>
          </c:spPr>
        </c:title>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38848"/>
        <c:crosses val="autoZero"/>
        <c:crossBetween val="between"/>
      </c:valAx>
      <c:spPr>
        <a:noFill/>
        <a:ln>
          <a:noFill/>
        </a:ln>
        <a:effectLst/>
      </c:spPr>
    </c:plotArea>
    <c:legend>
      <c:legendPos val="b"/>
      <c:layout/>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pivotSource>
    <c:name>[MIS546_PhysBlockSched_JainNowaczyk.xlsm]YrAnalysis1!PivotTable5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Yearly Physician Assignment Analysis</a:t>
            </a:r>
            <a:endParaRPr lang="en-US">
              <a:effectLst/>
            </a:endParaRPr>
          </a:p>
        </c:rich>
      </c:tx>
      <c:layout/>
      <c:spPr>
        <a:noFill/>
        <a:ln>
          <a:noFill/>
        </a:ln>
        <a:effectLst/>
      </c:spPr>
    </c:title>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tx1"/>
          </a:solidFill>
          <a:ln>
            <a:noFill/>
          </a:ln>
          <a:effectLst/>
        </c:spPr>
        <c:marker>
          <c:symbol val="none"/>
        </c:marker>
      </c:pivotFmt>
      <c:pivotFmt>
        <c:idx val="13"/>
        <c:spPr>
          <a:solidFill>
            <a:schemeClr val="accent3"/>
          </a:solidFill>
          <a:ln>
            <a:noFill/>
          </a:ln>
          <a:effectLst/>
        </c:spPr>
        <c:marker>
          <c:symbol val="none"/>
        </c:marker>
      </c:pivotFmt>
      <c:pivotFmt>
        <c:idx val="14"/>
        <c:spPr>
          <a:solidFill>
            <a:srgbClr val="008000"/>
          </a:solidFill>
          <a:ln>
            <a:noFill/>
          </a:ln>
          <a:effectLst/>
        </c:spPr>
        <c:marker>
          <c:symbol val="none"/>
        </c:marker>
      </c:pivotFmt>
      <c:pivotFmt>
        <c:idx val="15"/>
        <c:spPr>
          <a:solidFill>
            <a:srgbClr val="00B050"/>
          </a:solidFill>
          <a:ln>
            <a:noFill/>
          </a:ln>
          <a:effectLst/>
        </c:spPr>
        <c:marker>
          <c:symbol val="none"/>
        </c:marker>
      </c:pivotFmt>
      <c:pivotFmt>
        <c:idx val="16"/>
        <c:spPr>
          <a:solidFill>
            <a:srgbClr val="92D050"/>
          </a:solidFill>
          <a:ln>
            <a:noFill/>
          </a:ln>
          <a:effectLst/>
        </c:spPr>
        <c:marker>
          <c:symbol val="none"/>
        </c:marker>
      </c:pivotFmt>
      <c:pivotFmt>
        <c:idx val="17"/>
        <c:spPr>
          <a:solidFill>
            <a:srgbClr val="99FF99"/>
          </a:solidFill>
          <a:ln>
            <a:noFill/>
          </a:ln>
          <a:effectLst/>
        </c:spPr>
        <c:marker>
          <c:symbol val="none"/>
        </c:marker>
      </c:pivotFmt>
      <c:pivotFmt>
        <c:idx val="18"/>
        <c:spPr>
          <a:solidFill>
            <a:srgbClr val="00B0F0"/>
          </a:solidFill>
          <a:ln>
            <a:noFill/>
          </a:ln>
          <a:effectLst/>
        </c:spPr>
        <c:marker>
          <c:symbol val="none"/>
        </c:marker>
      </c:pivotFmt>
      <c:pivotFmt>
        <c:idx val="19"/>
        <c:spPr>
          <a:solidFill>
            <a:srgbClr val="0000FF"/>
          </a:solidFill>
          <a:ln>
            <a:noFill/>
          </a:ln>
          <a:effectLst/>
        </c:spPr>
        <c:marker>
          <c:symbol val="none"/>
        </c:marker>
      </c:pivotFmt>
      <c:pivotFmt>
        <c:idx val="20"/>
        <c:spPr>
          <a:solidFill>
            <a:srgbClr val="FF0000"/>
          </a:solidFill>
          <a:ln>
            <a:noFill/>
          </a:ln>
          <a:effectLst/>
        </c:spPr>
        <c:marker>
          <c:symbol val="none"/>
        </c:marker>
      </c:pivotFmt>
      <c:pivotFmt>
        <c:idx val="21"/>
        <c:spPr>
          <a:solidFill>
            <a:schemeClr val="accent4">
              <a:lumMod val="50000"/>
            </a:schemeClr>
          </a:solidFill>
          <a:ln>
            <a:noFill/>
          </a:ln>
          <a:effectLst/>
        </c:spPr>
        <c:marker>
          <c:symbol val="none"/>
        </c:marker>
      </c:pivotFmt>
      <c:pivotFmt>
        <c:idx val="22"/>
        <c:spPr>
          <a:solidFill>
            <a:schemeClr val="accent2"/>
          </a:solidFill>
          <a:ln>
            <a:noFill/>
          </a:ln>
          <a:effectLst/>
        </c:spPr>
        <c:marker>
          <c:symbol val="none"/>
        </c:marker>
      </c:pivotFmt>
      <c:pivotFmt>
        <c:idx val="23"/>
        <c:spPr>
          <a:solidFill>
            <a:srgbClr val="7030A0"/>
          </a:solidFill>
          <a:ln>
            <a:noFill/>
          </a:ln>
          <a:effectLst/>
        </c:spPr>
        <c:marker>
          <c:symbol val="none"/>
        </c:marker>
      </c:pivotFmt>
    </c:pivotFmts>
    <c:plotArea>
      <c:layout/>
      <c:barChart>
        <c:barDir val="col"/>
        <c:grouping val="stacked"/>
        <c:ser>
          <c:idx val="0"/>
          <c:order val="0"/>
          <c:tx>
            <c:strRef>
              <c:f>YrAnalysis1!$B$3:$B$4</c:f>
              <c:strCache>
                <c:ptCount val="1"/>
                <c:pt idx="0">
                  <c:v>G</c:v>
                </c:pt>
              </c:strCache>
            </c:strRef>
          </c:tx>
          <c:spPr>
            <a:solidFill>
              <a:schemeClr val="tx1"/>
            </a:solidFill>
            <a:ln>
              <a:noFill/>
            </a:ln>
            <a:effectLst/>
          </c:spPr>
          <c:cat>
            <c:strRef>
              <c:f>YrAnalysis1!$A$5:$A$13</c:f>
              <c:strCache>
                <c:ptCount val="8"/>
                <c:pt idx="0">
                  <c:v>S</c:v>
                </c:pt>
                <c:pt idx="1">
                  <c:v>N</c:v>
                </c:pt>
                <c:pt idx="2">
                  <c:v>M</c:v>
                </c:pt>
                <c:pt idx="3">
                  <c:v>K</c:v>
                </c:pt>
                <c:pt idx="4">
                  <c:v>J</c:v>
                </c:pt>
                <c:pt idx="5">
                  <c:v>L</c:v>
                </c:pt>
                <c:pt idx="6">
                  <c:v>O</c:v>
                </c:pt>
                <c:pt idx="7">
                  <c:v>T</c:v>
                </c:pt>
              </c:strCache>
            </c:strRef>
          </c:cat>
          <c:val>
            <c:numRef>
              <c:f>YrAnalysis1!$B$5:$B$13</c:f>
              <c:numCache>
                <c:formatCode>General</c:formatCode>
                <c:ptCount val="8"/>
                <c:pt idx="0">
                  <c:v>2</c:v>
                </c:pt>
                <c:pt idx="1">
                  <c:v>1</c:v>
                </c:pt>
                <c:pt idx="2">
                  <c:v>1</c:v>
                </c:pt>
                <c:pt idx="3">
                  <c:v>2</c:v>
                </c:pt>
                <c:pt idx="4">
                  <c:v>1</c:v>
                </c:pt>
                <c:pt idx="5">
                  <c:v>9</c:v>
                </c:pt>
                <c:pt idx="6">
                  <c:v>0</c:v>
                </c:pt>
                <c:pt idx="7">
                  <c:v>1</c:v>
                </c:pt>
              </c:numCache>
            </c:numRef>
          </c:val>
        </c:ser>
        <c:ser>
          <c:idx val="1"/>
          <c:order val="1"/>
          <c:tx>
            <c:strRef>
              <c:f>YrAnalysis1!$C$3:$C$4</c:f>
              <c:strCache>
                <c:ptCount val="1"/>
                <c:pt idx="0">
                  <c:v>G-PC</c:v>
                </c:pt>
              </c:strCache>
            </c:strRef>
          </c:tx>
          <c:spPr>
            <a:solidFill>
              <a:schemeClr val="accent3"/>
            </a:solidFill>
            <a:ln>
              <a:noFill/>
            </a:ln>
            <a:effectLst/>
          </c:spPr>
          <c:cat>
            <c:strRef>
              <c:f>YrAnalysis1!$A$5:$A$13</c:f>
              <c:strCache>
                <c:ptCount val="8"/>
                <c:pt idx="0">
                  <c:v>S</c:v>
                </c:pt>
                <c:pt idx="1">
                  <c:v>N</c:v>
                </c:pt>
                <c:pt idx="2">
                  <c:v>M</c:v>
                </c:pt>
                <c:pt idx="3">
                  <c:v>K</c:v>
                </c:pt>
                <c:pt idx="4">
                  <c:v>J</c:v>
                </c:pt>
                <c:pt idx="5">
                  <c:v>L</c:v>
                </c:pt>
                <c:pt idx="6">
                  <c:v>O</c:v>
                </c:pt>
                <c:pt idx="7">
                  <c:v>T</c:v>
                </c:pt>
              </c:strCache>
            </c:strRef>
          </c:cat>
          <c:val>
            <c:numRef>
              <c:f>YrAnalysis1!$C$5:$C$13</c:f>
              <c:numCache>
                <c:formatCode>General</c:formatCode>
                <c:ptCount val="8"/>
                <c:pt idx="0">
                  <c:v>1</c:v>
                </c:pt>
                <c:pt idx="1">
                  <c:v>0</c:v>
                </c:pt>
                <c:pt idx="2">
                  <c:v>1</c:v>
                </c:pt>
                <c:pt idx="3">
                  <c:v>0</c:v>
                </c:pt>
                <c:pt idx="4">
                  <c:v>0</c:v>
                </c:pt>
                <c:pt idx="5">
                  <c:v>0</c:v>
                </c:pt>
                <c:pt idx="6">
                  <c:v>2</c:v>
                </c:pt>
                <c:pt idx="7">
                  <c:v>0</c:v>
                </c:pt>
              </c:numCache>
            </c:numRef>
          </c:val>
        </c:ser>
        <c:ser>
          <c:idx val="2"/>
          <c:order val="2"/>
          <c:tx>
            <c:strRef>
              <c:f>YrAnalysis1!$D$3:$D$4</c:f>
              <c:strCache>
                <c:ptCount val="1"/>
                <c:pt idx="0">
                  <c:v>HPE1</c:v>
                </c:pt>
              </c:strCache>
            </c:strRef>
          </c:tx>
          <c:spPr>
            <a:solidFill>
              <a:srgbClr val="008000"/>
            </a:solidFill>
            <a:ln>
              <a:noFill/>
            </a:ln>
            <a:effectLst/>
          </c:spPr>
          <c:cat>
            <c:strRef>
              <c:f>YrAnalysis1!$A$5:$A$13</c:f>
              <c:strCache>
                <c:ptCount val="8"/>
                <c:pt idx="0">
                  <c:v>S</c:v>
                </c:pt>
                <c:pt idx="1">
                  <c:v>N</c:v>
                </c:pt>
                <c:pt idx="2">
                  <c:v>M</c:v>
                </c:pt>
                <c:pt idx="3">
                  <c:v>K</c:v>
                </c:pt>
                <c:pt idx="4">
                  <c:v>J</c:v>
                </c:pt>
                <c:pt idx="5">
                  <c:v>L</c:v>
                </c:pt>
                <c:pt idx="6">
                  <c:v>O</c:v>
                </c:pt>
                <c:pt idx="7">
                  <c:v>T</c:v>
                </c:pt>
              </c:strCache>
            </c:strRef>
          </c:cat>
          <c:val>
            <c:numRef>
              <c:f>YrAnalysis1!$D$5:$D$13</c:f>
              <c:numCache>
                <c:formatCode>General</c:formatCode>
                <c:ptCount val="8"/>
                <c:pt idx="0">
                  <c:v>6</c:v>
                </c:pt>
                <c:pt idx="1">
                  <c:v>5</c:v>
                </c:pt>
                <c:pt idx="2">
                  <c:v>4</c:v>
                </c:pt>
                <c:pt idx="3">
                  <c:v>1</c:v>
                </c:pt>
                <c:pt idx="4">
                  <c:v>0</c:v>
                </c:pt>
                <c:pt idx="5">
                  <c:v>0</c:v>
                </c:pt>
                <c:pt idx="6">
                  <c:v>0</c:v>
                </c:pt>
                <c:pt idx="7">
                  <c:v>0</c:v>
                </c:pt>
              </c:numCache>
            </c:numRef>
          </c:val>
        </c:ser>
        <c:ser>
          <c:idx val="3"/>
          <c:order val="3"/>
          <c:tx>
            <c:strRef>
              <c:f>YrAnalysis1!$E$3:$E$4</c:f>
              <c:strCache>
                <c:ptCount val="1"/>
                <c:pt idx="0">
                  <c:v>HPE2</c:v>
                </c:pt>
              </c:strCache>
            </c:strRef>
          </c:tx>
          <c:spPr>
            <a:solidFill>
              <a:srgbClr val="00B050"/>
            </a:solidFill>
            <a:ln>
              <a:noFill/>
            </a:ln>
            <a:effectLst/>
          </c:spPr>
          <c:cat>
            <c:strRef>
              <c:f>YrAnalysis1!$A$5:$A$13</c:f>
              <c:strCache>
                <c:ptCount val="8"/>
                <c:pt idx="0">
                  <c:v>S</c:v>
                </c:pt>
                <c:pt idx="1">
                  <c:v>N</c:v>
                </c:pt>
                <c:pt idx="2">
                  <c:v>M</c:v>
                </c:pt>
                <c:pt idx="3">
                  <c:v>K</c:v>
                </c:pt>
                <c:pt idx="4">
                  <c:v>J</c:v>
                </c:pt>
                <c:pt idx="5">
                  <c:v>L</c:v>
                </c:pt>
                <c:pt idx="6">
                  <c:v>O</c:v>
                </c:pt>
                <c:pt idx="7">
                  <c:v>T</c:v>
                </c:pt>
              </c:strCache>
            </c:strRef>
          </c:cat>
          <c:val>
            <c:numRef>
              <c:f>YrAnalysis1!$E$5:$E$13</c:f>
              <c:numCache>
                <c:formatCode>General</c:formatCode>
                <c:ptCount val="8"/>
                <c:pt idx="0">
                  <c:v>0</c:v>
                </c:pt>
                <c:pt idx="1">
                  <c:v>1</c:v>
                </c:pt>
                <c:pt idx="2">
                  <c:v>4</c:v>
                </c:pt>
                <c:pt idx="3">
                  <c:v>5</c:v>
                </c:pt>
                <c:pt idx="4">
                  <c:v>4</c:v>
                </c:pt>
                <c:pt idx="5">
                  <c:v>0</c:v>
                </c:pt>
                <c:pt idx="6">
                  <c:v>2</c:v>
                </c:pt>
                <c:pt idx="7">
                  <c:v>0</c:v>
                </c:pt>
              </c:numCache>
            </c:numRef>
          </c:val>
        </c:ser>
        <c:ser>
          <c:idx val="4"/>
          <c:order val="4"/>
          <c:tx>
            <c:strRef>
              <c:f>YrAnalysis1!$F$3:$F$4</c:f>
              <c:strCache>
                <c:ptCount val="1"/>
                <c:pt idx="0">
                  <c:v>HPE3</c:v>
                </c:pt>
              </c:strCache>
            </c:strRef>
          </c:tx>
          <c:spPr>
            <a:solidFill>
              <a:srgbClr val="92D050"/>
            </a:solidFill>
            <a:ln>
              <a:noFill/>
            </a:ln>
            <a:effectLst/>
          </c:spPr>
          <c:cat>
            <c:strRef>
              <c:f>YrAnalysis1!$A$5:$A$13</c:f>
              <c:strCache>
                <c:ptCount val="8"/>
                <c:pt idx="0">
                  <c:v>S</c:v>
                </c:pt>
                <c:pt idx="1">
                  <c:v>N</c:v>
                </c:pt>
                <c:pt idx="2">
                  <c:v>M</c:v>
                </c:pt>
                <c:pt idx="3">
                  <c:v>K</c:v>
                </c:pt>
                <c:pt idx="4">
                  <c:v>J</c:v>
                </c:pt>
                <c:pt idx="5">
                  <c:v>L</c:v>
                </c:pt>
                <c:pt idx="6">
                  <c:v>O</c:v>
                </c:pt>
                <c:pt idx="7">
                  <c:v>T</c:v>
                </c:pt>
              </c:strCache>
            </c:strRef>
          </c:cat>
          <c:val>
            <c:numRef>
              <c:f>YrAnalysis1!$F$5:$F$13</c:f>
              <c:numCache>
                <c:formatCode>General</c:formatCode>
                <c:ptCount val="8"/>
                <c:pt idx="0">
                  <c:v>0</c:v>
                </c:pt>
                <c:pt idx="1">
                  <c:v>0</c:v>
                </c:pt>
                <c:pt idx="2">
                  <c:v>0</c:v>
                </c:pt>
                <c:pt idx="3">
                  <c:v>1</c:v>
                </c:pt>
                <c:pt idx="4">
                  <c:v>3</c:v>
                </c:pt>
                <c:pt idx="5">
                  <c:v>0</c:v>
                </c:pt>
                <c:pt idx="6">
                  <c:v>5</c:v>
                </c:pt>
                <c:pt idx="7">
                  <c:v>5</c:v>
                </c:pt>
              </c:numCache>
            </c:numRef>
          </c:val>
        </c:ser>
        <c:ser>
          <c:idx val="5"/>
          <c:order val="5"/>
          <c:tx>
            <c:strRef>
              <c:f>YrAnalysis1!$G$3:$G$4</c:f>
              <c:strCache>
                <c:ptCount val="1"/>
                <c:pt idx="0">
                  <c:v>HPE4</c:v>
                </c:pt>
              </c:strCache>
            </c:strRef>
          </c:tx>
          <c:spPr>
            <a:solidFill>
              <a:srgbClr val="99FF99"/>
            </a:solidFill>
            <a:ln>
              <a:noFill/>
            </a:ln>
            <a:effectLst/>
          </c:spPr>
          <c:cat>
            <c:strRef>
              <c:f>YrAnalysis1!$A$5:$A$13</c:f>
              <c:strCache>
                <c:ptCount val="8"/>
                <c:pt idx="0">
                  <c:v>S</c:v>
                </c:pt>
                <c:pt idx="1">
                  <c:v>N</c:v>
                </c:pt>
                <c:pt idx="2">
                  <c:v>M</c:v>
                </c:pt>
                <c:pt idx="3">
                  <c:v>K</c:v>
                </c:pt>
                <c:pt idx="4">
                  <c:v>J</c:v>
                </c:pt>
                <c:pt idx="5">
                  <c:v>L</c:v>
                </c:pt>
                <c:pt idx="6">
                  <c:v>O</c:v>
                </c:pt>
                <c:pt idx="7">
                  <c:v>T</c:v>
                </c:pt>
              </c:strCache>
            </c:strRef>
          </c:cat>
          <c:val>
            <c:numRef>
              <c:f>YrAnalysis1!$G$5:$G$13</c:f>
              <c:numCache>
                <c:formatCode>General</c:formatCode>
                <c:ptCount val="8"/>
                <c:pt idx="0">
                  <c:v>0</c:v>
                </c:pt>
                <c:pt idx="1">
                  <c:v>0</c:v>
                </c:pt>
                <c:pt idx="2">
                  <c:v>0</c:v>
                </c:pt>
                <c:pt idx="3">
                  <c:v>0</c:v>
                </c:pt>
                <c:pt idx="4">
                  <c:v>0</c:v>
                </c:pt>
                <c:pt idx="5">
                  <c:v>0</c:v>
                </c:pt>
                <c:pt idx="6">
                  <c:v>2</c:v>
                </c:pt>
                <c:pt idx="7">
                  <c:v>6</c:v>
                </c:pt>
              </c:numCache>
            </c:numRef>
          </c:val>
        </c:ser>
        <c:ser>
          <c:idx val="6"/>
          <c:order val="6"/>
          <c:tx>
            <c:strRef>
              <c:f>YrAnalysis1!$H$3:$H$4</c:f>
              <c:strCache>
                <c:ptCount val="1"/>
                <c:pt idx="0">
                  <c:v>MRMC</c:v>
                </c:pt>
              </c:strCache>
            </c:strRef>
          </c:tx>
          <c:spPr>
            <a:solidFill>
              <a:srgbClr val="0000FF"/>
            </a:solidFill>
            <a:ln>
              <a:noFill/>
            </a:ln>
            <a:effectLst/>
          </c:spPr>
          <c:cat>
            <c:strRef>
              <c:f>YrAnalysis1!$A$5:$A$13</c:f>
              <c:strCache>
                <c:ptCount val="8"/>
                <c:pt idx="0">
                  <c:v>S</c:v>
                </c:pt>
                <c:pt idx="1">
                  <c:v>N</c:v>
                </c:pt>
                <c:pt idx="2">
                  <c:v>M</c:v>
                </c:pt>
                <c:pt idx="3">
                  <c:v>K</c:v>
                </c:pt>
                <c:pt idx="4">
                  <c:v>J</c:v>
                </c:pt>
                <c:pt idx="5">
                  <c:v>L</c:v>
                </c:pt>
                <c:pt idx="6">
                  <c:v>O</c:v>
                </c:pt>
                <c:pt idx="7">
                  <c:v>T</c:v>
                </c:pt>
              </c:strCache>
            </c:strRef>
          </c:cat>
          <c:val>
            <c:numRef>
              <c:f>YrAnalysis1!$H$5:$H$13</c:f>
              <c:numCache>
                <c:formatCode>General</c:formatCode>
                <c:ptCount val="8"/>
                <c:pt idx="0">
                  <c:v>0</c:v>
                </c:pt>
                <c:pt idx="1">
                  <c:v>0</c:v>
                </c:pt>
                <c:pt idx="2">
                  <c:v>0</c:v>
                </c:pt>
                <c:pt idx="3">
                  <c:v>0</c:v>
                </c:pt>
                <c:pt idx="4">
                  <c:v>0</c:v>
                </c:pt>
                <c:pt idx="5">
                  <c:v>0</c:v>
                </c:pt>
                <c:pt idx="6">
                  <c:v>0</c:v>
                </c:pt>
                <c:pt idx="7">
                  <c:v>0</c:v>
                </c:pt>
              </c:numCache>
            </c:numRef>
          </c:val>
        </c:ser>
        <c:ser>
          <c:idx val="7"/>
          <c:order val="7"/>
          <c:tx>
            <c:strRef>
              <c:f>YrAnalysis1!$I$3:$I$4</c:f>
              <c:strCache>
                <c:ptCount val="1"/>
                <c:pt idx="0">
                  <c:v>MSEC</c:v>
                </c:pt>
              </c:strCache>
            </c:strRef>
          </c:tx>
          <c:spPr>
            <a:solidFill>
              <a:srgbClr val="00B0F0"/>
            </a:solidFill>
            <a:ln>
              <a:noFill/>
            </a:ln>
            <a:effectLst/>
          </c:spPr>
          <c:cat>
            <c:strRef>
              <c:f>YrAnalysis1!$A$5:$A$13</c:f>
              <c:strCache>
                <c:ptCount val="8"/>
                <c:pt idx="0">
                  <c:v>S</c:v>
                </c:pt>
                <c:pt idx="1">
                  <c:v>N</c:v>
                </c:pt>
                <c:pt idx="2">
                  <c:v>M</c:v>
                </c:pt>
                <c:pt idx="3">
                  <c:v>K</c:v>
                </c:pt>
                <c:pt idx="4">
                  <c:v>J</c:v>
                </c:pt>
                <c:pt idx="5">
                  <c:v>L</c:v>
                </c:pt>
                <c:pt idx="6">
                  <c:v>O</c:v>
                </c:pt>
                <c:pt idx="7">
                  <c:v>T</c:v>
                </c:pt>
              </c:strCache>
            </c:strRef>
          </c:cat>
          <c:val>
            <c:numRef>
              <c:f>YrAnalysis1!$I$5:$I$13</c:f>
              <c:numCache>
                <c:formatCode>General</c:formatCode>
                <c:ptCount val="8"/>
                <c:pt idx="0">
                  <c:v>0</c:v>
                </c:pt>
                <c:pt idx="1">
                  <c:v>1</c:v>
                </c:pt>
                <c:pt idx="2">
                  <c:v>1</c:v>
                </c:pt>
                <c:pt idx="3">
                  <c:v>1</c:v>
                </c:pt>
                <c:pt idx="4">
                  <c:v>1</c:v>
                </c:pt>
                <c:pt idx="5">
                  <c:v>0</c:v>
                </c:pt>
                <c:pt idx="6">
                  <c:v>1</c:v>
                </c:pt>
                <c:pt idx="7">
                  <c:v>1</c:v>
                </c:pt>
              </c:numCache>
            </c:numRef>
          </c:val>
        </c:ser>
        <c:ser>
          <c:idx val="8"/>
          <c:order val="8"/>
          <c:tx>
            <c:strRef>
              <c:f>YrAnalysis1!$J$3:$J$4</c:f>
              <c:strCache>
                <c:ptCount val="1"/>
                <c:pt idx="0">
                  <c:v>OFF</c:v>
                </c:pt>
              </c:strCache>
            </c:strRef>
          </c:tx>
          <c:spPr>
            <a:solidFill>
              <a:srgbClr val="FF0000"/>
            </a:solidFill>
            <a:ln>
              <a:noFill/>
            </a:ln>
            <a:effectLst/>
          </c:spPr>
          <c:cat>
            <c:strRef>
              <c:f>YrAnalysis1!$A$5:$A$13</c:f>
              <c:strCache>
                <c:ptCount val="8"/>
                <c:pt idx="0">
                  <c:v>S</c:v>
                </c:pt>
                <c:pt idx="1">
                  <c:v>N</c:v>
                </c:pt>
                <c:pt idx="2">
                  <c:v>M</c:v>
                </c:pt>
                <c:pt idx="3">
                  <c:v>K</c:v>
                </c:pt>
                <c:pt idx="4">
                  <c:v>J</c:v>
                </c:pt>
                <c:pt idx="5">
                  <c:v>L</c:v>
                </c:pt>
                <c:pt idx="6">
                  <c:v>O</c:v>
                </c:pt>
                <c:pt idx="7">
                  <c:v>T</c:v>
                </c:pt>
              </c:strCache>
            </c:strRef>
          </c:cat>
          <c:val>
            <c:numRef>
              <c:f>YrAnalysis1!$J$5:$J$13</c:f>
              <c:numCache>
                <c:formatCode>General</c:formatCode>
                <c:ptCount val="8"/>
                <c:pt idx="0">
                  <c:v>1</c:v>
                </c:pt>
                <c:pt idx="1">
                  <c:v>2</c:v>
                </c:pt>
                <c:pt idx="2">
                  <c:v>2</c:v>
                </c:pt>
                <c:pt idx="3">
                  <c:v>3</c:v>
                </c:pt>
                <c:pt idx="4">
                  <c:v>1</c:v>
                </c:pt>
                <c:pt idx="5">
                  <c:v>1</c:v>
                </c:pt>
                <c:pt idx="6">
                  <c:v>0</c:v>
                </c:pt>
                <c:pt idx="7">
                  <c:v>1</c:v>
                </c:pt>
              </c:numCache>
            </c:numRef>
          </c:val>
        </c:ser>
        <c:ser>
          <c:idx val="9"/>
          <c:order val="9"/>
          <c:tx>
            <c:strRef>
              <c:f>YrAnalysis1!$K$3:$K$4</c:f>
              <c:strCache>
                <c:ptCount val="1"/>
                <c:pt idx="0">
                  <c:v>OFFICE1</c:v>
                </c:pt>
              </c:strCache>
            </c:strRef>
          </c:tx>
          <c:spPr>
            <a:solidFill>
              <a:schemeClr val="accent4">
                <a:lumMod val="50000"/>
              </a:schemeClr>
            </a:solidFill>
            <a:ln>
              <a:noFill/>
            </a:ln>
            <a:effectLst/>
          </c:spPr>
          <c:cat>
            <c:strRef>
              <c:f>YrAnalysis1!$A$5:$A$13</c:f>
              <c:strCache>
                <c:ptCount val="8"/>
                <c:pt idx="0">
                  <c:v>S</c:v>
                </c:pt>
                <c:pt idx="1">
                  <c:v>N</c:v>
                </c:pt>
                <c:pt idx="2">
                  <c:v>M</c:v>
                </c:pt>
                <c:pt idx="3">
                  <c:v>K</c:v>
                </c:pt>
                <c:pt idx="4">
                  <c:v>J</c:v>
                </c:pt>
                <c:pt idx="5">
                  <c:v>L</c:v>
                </c:pt>
                <c:pt idx="6">
                  <c:v>O</c:v>
                </c:pt>
                <c:pt idx="7">
                  <c:v>T</c:v>
                </c:pt>
              </c:strCache>
            </c:strRef>
          </c:cat>
          <c:val>
            <c:numRef>
              <c:f>YrAnalysis1!$K$5:$K$13</c:f>
              <c:numCache>
                <c:formatCode>General</c:formatCode>
                <c:ptCount val="8"/>
                <c:pt idx="0">
                  <c:v>3</c:v>
                </c:pt>
                <c:pt idx="1">
                  <c:v>3</c:v>
                </c:pt>
                <c:pt idx="2">
                  <c:v>4</c:v>
                </c:pt>
                <c:pt idx="3">
                  <c:v>3</c:v>
                </c:pt>
                <c:pt idx="4">
                  <c:v>3</c:v>
                </c:pt>
                <c:pt idx="5">
                  <c:v>0</c:v>
                </c:pt>
                <c:pt idx="6">
                  <c:v>0</c:v>
                </c:pt>
                <c:pt idx="7">
                  <c:v>0</c:v>
                </c:pt>
              </c:numCache>
            </c:numRef>
          </c:val>
        </c:ser>
        <c:ser>
          <c:idx val="10"/>
          <c:order val="10"/>
          <c:tx>
            <c:strRef>
              <c:f>YrAnalysis1!$L$3:$L$4</c:f>
              <c:strCache>
                <c:ptCount val="1"/>
                <c:pt idx="0">
                  <c:v>OFFICE2</c:v>
                </c:pt>
              </c:strCache>
            </c:strRef>
          </c:tx>
          <c:spPr>
            <a:solidFill>
              <a:schemeClr val="accent2"/>
            </a:solidFill>
            <a:ln>
              <a:noFill/>
            </a:ln>
            <a:effectLst/>
          </c:spPr>
          <c:cat>
            <c:strRef>
              <c:f>YrAnalysis1!$A$5:$A$13</c:f>
              <c:strCache>
                <c:ptCount val="8"/>
                <c:pt idx="0">
                  <c:v>S</c:v>
                </c:pt>
                <c:pt idx="1">
                  <c:v>N</c:v>
                </c:pt>
                <c:pt idx="2">
                  <c:v>M</c:v>
                </c:pt>
                <c:pt idx="3">
                  <c:v>K</c:v>
                </c:pt>
                <c:pt idx="4">
                  <c:v>J</c:v>
                </c:pt>
                <c:pt idx="5">
                  <c:v>L</c:v>
                </c:pt>
                <c:pt idx="6">
                  <c:v>O</c:v>
                </c:pt>
                <c:pt idx="7">
                  <c:v>T</c:v>
                </c:pt>
              </c:strCache>
            </c:strRef>
          </c:cat>
          <c:val>
            <c:numRef>
              <c:f>YrAnalysis1!$L$5:$L$13</c:f>
              <c:numCache>
                <c:formatCode>General</c:formatCode>
                <c:ptCount val="8"/>
                <c:pt idx="0">
                  <c:v>0</c:v>
                </c:pt>
                <c:pt idx="1">
                  <c:v>0</c:v>
                </c:pt>
                <c:pt idx="2">
                  <c:v>0</c:v>
                </c:pt>
                <c:pt idx="3">
                  <c:v>1</c:v>
                </c:pt>
                <c:pt idx="4">
                  <c:v>0</c:v>
                </c:pt>
                <c:pt idx="5">
                  <c:v>3</c:v>
                </c:pt>
                <c:pt idx="6">
                  <c:v>4</c:v>
                </c:pt>
                <c:pt idx="7">
                  <c:v>3</c:v>
                </c:pt>
              </c:numCache>
            </c:numRef>
          </c:val>
        </c:ser>
        <c:ser>
          <c:idx val="11"/>
          <c:order val="11"/>
          <c:tx>
            <c:strRef>
              <c:f>YrAnalysis1!$M$3:$M$4</c:f>
              <c:strCache>
                <c:ptCount val="1"/>
                <c:pt idx="0">
                  <c:v>ON-CALL</c:v>
                </c:pt>
              </c:strCache>
            </c:strRef>
          </c:tx>
          <c:spPr>
            <a:solidFill>
              <a:srgbClr val="7030A0"/>
            </a:solidFill>
            <a:ln>
              <a:noFill/>
            </a:ln>
            <a:effectLst/>
          </c:spPr>
          <c:cat>
            <c:strRef>
              <c:f>YrAnalysis1!$A$5:$A$13</c:f>
              <c:strCache>
                <c:ptCount val="8"/>
                <c:pt idx="0">
                  <c:v>S</c:v>
                </c:pt>
                <c:pt idx="1">
                  <c:v>N</c:v>
                </c:pt>
                <c:pt idx="2">
                  <c:v>M</c:v>
                </c:pt>
                <c:pt idx="3">
                  <c:v>K</c:v>
                </c:pt>
                <c:pt idx="4">
                  <c:v>J</c:v>
                </c:pt>
                <c:pt idx="5">
                  <c:v>L</c:v>
                </c:pt>
                <c:pt idx="6">
                  <c:v>O</c:v>
                </c:pt>
                <c:pt idx="7">
                  <c:v>T</c:v>
                </c:pt>
              </c:strCache>
            </c:strRef>
          </c:cat>
          <c:val>
            <c:numRef>
              <c:f>YrAnalysis1!$M$5:$M$13</c:f>
              <c:numCache>
                <c:formatCode>General</c:formatCode>
                <c:ptCount val="8"/>
                <c:pt idx="0">
                  <c:v>4</c:v>
                </c:pt>
                <c:pt idx="1">
                  <c:v>4</c:v>
                </c:pt>
                <c:pt idx="2">
                  <c:v>0</c:v>
                </c:pt>
                <c:pt idx="3">
                  <c:v>0</c:v>
                </c:pt>
                <c:pt idx="4">
                  <c:v>4</c:v>
                </c:pt>
                <c:pt idx="5">
                  <c:v>4</c:v>
                </c:pt>
                <c:pt idx="6">
                  <c:v>1</c:v>
                </c:pt>
                <c:pt idx="7">
                  <c:v>0</c:v>
                </c:pt>
              </c:numCache>
            </c:numRef>
          </c:val>
        </c:ser>
        <c:dLbls/>
        <c:gapWidth val="219"/>
        <c:overlap val="100"/>
        <c:axId val="72391296"/>
        <c:axId val="72557312"/>
      </c:barChart>
      <c:catAx>
        <c:axId val="72391296"/>
        <c:scaling>
          <c:orientation val="minMax"/>
        </c:scaling>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Physician</a:t>
                </a:r>
              </a:p>
            </c:rich>
          </c:tx>
          <c:layout/>
          <c:spPr>
            <a:noFill/>
            <a:ln>
              <a:noFill/>
            </a:ln>
            <a:effectLst/>
          </c:spPr>
        </c:title>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57312"/>
        <c:crosses val="autoZero"/>
        <c:auto val="1"/>
        <c:lblAlgn val="ctr"/>
        <c:lblOffset val="100"/>
      </c:catAx>
      <c:valAx>
        <c:axId val="72557312"/>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 Count</a:t>
                </a:r>
              </a:p>
            </c:rich>
          </c:tx>
          <c:layout/>
          <c:spPr>
            <a:noFill/>
            <a:ln>
              <a:noFill/>
            </a:ln>
            <a:effectLst/>
          </c:spPr>
        </c:title>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91296"/>
        <c:crosses val="autoZero"/>
        <c:crossBetween val="between"/>
      </c:valAx>
      <c:spPr>
        <a:noFill/>
        <a:ln>
          <a:noFill/>
        </a:ln>
        <a:effectLst/>
      </c:spPr>
    </c:plotArea>
    <c:legend>
      <c:legendPos val="r"/>
      <c:layout/>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lang val="en-US"/>
  <c:pivotSource>
    <c:name>[MIS546_PhysBlockSched_JainNowaczyk.xlsm]YrAnalysis2!PivotTable3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Physician</a:t>
            </a:r>
            <a:r>
              <a:rPr lang="en-US" baseline="0"/>
              <a:t> Schedule Mix</a:t>
            </a:r>
            <a:endParaRPr lang="en-US"/>
          </a:p>
        </c:rich>
      </c:tx>
      <c:layout/>
      <c:spPr>
        <a:noFill/>
        <a:ln>
          <a:noFill/>
        </a:ln>
        <a:effectLst/>
      </c:spPr>
    </c:title>
    <c:pivotFmts>
      <c:pivotFmt>
        <c:idx val="0"/>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Val val="1"/>
          <c:extLst>
            <c:ext xmlns:c15="http://schemas.microsoft.com/office/drawing/2012/chart" uri="{CE6537A1-D6FC-4f65-9D91-7224C49458BB}">
              <c15:layout/>
            </c:ext>
          </c:extLst>
        </c:dLbl>
      </c:pivotFmt>
      <c:pivotFmt>
        <c:idx val="1"/>
        <c:spPr>
          <a:solidFill>
            <a:schemeClr val="tx1"/>
          </a:solidFill>
          <a:ln>
            <a:noFill/>
          </a:ln>
          <a:effectLst/>
        </c:spPr>
      </c:pivotFmt>
      <c:pivotFmt>
        <c:idx val="2"/>
        <c:spPr>
          <a:solidFill>
            <a:schemeClr val="accent3"/>
          </a:solidFill>
          <a:ln>
            <a:noFill/>
          </a:ln>
          <a:effectLst/>
        </c:spPr>
      </c:pivotFmt>
      <c:pivotFmt>
        <c:idx val="3"/>
        <c:spPr>
          <a:solidFill>
            <a:srgbClr val="008000"/>
          </a:solidFill>
          <a:ln>
            <a:noFill/>
          </a:ln>
          <a:effectLst/>
        </c:spPr>
      </c:pivotFmt>
      <c:pivotFmt>
        <c:idx val="4"/>
        <c:spPr>
          <a:solidFill>
            <a:srgbClr val="00B050"/>
          </a:solidFill>
          <a:ln>
            <a:noFill/>
          </a:ln>
          <a:effectLst/>
        </c:spPr>
      </c:pivotFmt>
      <c:pivotFmt>
        <c:idx val="5"/>
        <c:spPr>
          <a:solidFill>
            <a:srgbClr val="92D050"/>
          </a:solidFill>
          <a:ln>
            <a:noFill/>
          </a:ln>
          <a:effectLst/>
        </c:spPr>
      </c:pivotFmt>
      <c:pivotFmt>
        <c:idx val="6"/>
        <c:spPr>
          <a:solidFill>
            <a:srgbClr val="99FF99"/>
          </a:solidFill>
          <a:ln>
            <a:noFill/>
          </a:ln>
          <a:effectLst/>
        </c:spPr>
      </c:pivotFmt>
      <c:pivotFmt>
        <c:idx val="7"/>
        <c:spPr>
          <a:solidFill>
            <a:srgbClr val="0070C0"/>
          </a:solidFill>
          <a:ln>
            <a:noFill/>
          </a:ln>
          <a:effectLst/>
        </c:spPr>
      </c:pivotFmt>
      <c:pivotFmt>
        <c:idx val="8"/>
        <c:spPr>
          <a:solidFill>
            <a:srgbClr val="00B0F0"/>
          </a:solidFill>
          <a:ln>
            <a:noFill/>
          </a:ln>
          <a:effectLst/>
        </c:spPr>
      </c:pivotFmt>
      <c:pivotFmt>
        <c:idx val="9"/>
        <c:spPr>
          <a:solidFill>
            <a:srgbClr val="FF0000"/>
          </a:solidFill>
          <a:ln>
            <a:noFill/>
          </a:ln>
          <a:effectLst/>
        </c:spPr>
      </c:pivotFmt>
      <c:pivotFmt>
        <c:idx val="10"/>
        <c:spPr>
          <a:solidFill>
            <a:schemeClr val="accent4">
              <a:lumMod val="50000"/>
            </a:schemeClr>
          </a:solidFill>
          <a:ln>
            <a:noFill/>
          </a:ln>
          <a:effectLst/>
        </c:spPr>
      </c:pivotFmt>
      <c:pivotFmt>
        <c:idx val="11"/>
        <c:spPr>
          <a:solidFill>
            <a:schemeClr val="accent2"/>
          </a:solidFill>
          <a:ln>
            <a:noFill/>
          </a:ln>
          <a:effectLst/>
        </c:spPr>
      </c:pivotFmt>
      <c:pivotFmt>
        <c:idx val="12"/>
        <c:spPr>
          <a:solidFill>
            <a:srgbClr val="7030A0"/>
          </a:solidFill>
          <a:ln>
            <a:noFill/>
          </a:ln>
          <a:effectLst/>
        </c:spPr>
      </c:pivotFmt>
    </c:pivotFmts>
    <c:plotArea>
      <c:layout/>
      <c:pieChart>
        <c:varyColors val="1"/>
        <c:ser>
          <c:idx val="0"/>
          <c:order val="0"/>
          <c:tx>
            <c:strRef>
              <c:f>YrAnalysis2!$B$5</c:f>
              <c:strCache>
                <c:ptCount val="1"/>
                <c:pt idx="0">
                  <c:v>Total</c:v>
                </c:pt>
              </c:strCache>
            </c:strRef>
          </c:tx>
          <c:dPt>
            <c:idx val="0"/>
            <c:spPr>
              <a:solidFill>
                <a:schemeClr val="tx1"/>
              </a:solidFill>
              <a:ln>
                <a:noFill/>
              </a:ln>
              <a:effectLst/>
            </c:spPr>
          </c:dPt>
          <c:dPt>
            <c:idx val="1"/>
            <c:spPr>
              <a:solidFill>
                <a:schemeClr val="accent3"/>
              </a:solidFill>
              <a:ln>
                <a:noFill/>
              </a:ln>
              <a:effectLst/>
            </c:spPr>
          </c:dPt>
          <c:dPt>
            <c:idx val="2"/>
            <c:spPr>
              <a:solidFill>
                <a:srgbClr val="008000"/>
              </a:solidFill>
              <a:ln>
                <a:noFill/>
              </a:ln>
              <a:effectLst/>
            </c:spPr>
          </c:dPt>
          <c:dPt>
            <c:idx val="3"/>
            <c:spPr>
              <a:solidFill>
                <a:srgbClr val="00B050"/>
              </a:solidFill>
              <a:ln>
                <a:noFill/>
              </a:ln>
              <a:effectLst/>
            </c:spPr>
          </c:dPt>
          <c:dPt>
            <c:idx val="4"/>
            <c:spPr>
              <a:solidFill>
                <a:srgbClr val="92D050"/>
              </a:solidFill>
              <a:ln>
                <a:noFill/>
              </a:ln>
              <a:effectLst/>
            </c:spPr>
          </c:dPt>
          <c:dPt>
            <c:idx val="5"/>
            <c:spPr>
              <a:solidFill>
                <a:srgbClr val="99FF99"/>
              </a:solidFill>
              <a:ln>
                <a:noFill/>
              </a:ln>
              <a:effectLst/>
            </c:spPr>
          </c:dPt>
          <c:dPt>
            <c:idx val="6"/>
            <c:spPr>
              <a:solidFill>
                <a:srgbClr val="0070C0"/>
              </a:solidFill>
              <a:ln>
                <a:noFill/>
              </a:ln>
              <a:effectLst/>
            </c:spPr>
          </c:dPt>
          <c:dPt>
            <c:idx val="7"/>
            <c:spPr>
              <a:solidFill>
                <a:srgbClr val="00B0F0"/>
              </a:solidFill>
              <a:ln>
                <a:noFill/>
              </a:ln>
              <a:effectLst/>
            </c:spPr>
          </c:dPt>
          <c:dPt>
            <c:idx val="8"/>
            <c:spPr>
              <a:solidFill>
                <a:srgbClr val="FF0000"/>
              </a:solidFill>
              <a:ln>
                <a:noFill/>
              </a:ln>
              <a:effectLst/>
            </c:spPr>
          </c:dPt>
          <c:dPt>
            <c:idx val="9"/>
            <c:spPr>
              <a:solidFill>
                <a:schemeClr val="accent4">
                  <a:lumMod val="50000"/>
                </a:schemeClr>
              </a:solidFill>
              <a:ln>
                <a:noFill/>
              </a:ln>
              <a:effectLst/>
            </c:spPr>
          </c:dPt>
          <c:dPt>
            <c:idx val="10"/>
            <c:spPr>
              <a:solidFill>
                <a:schemeClr val="accent2"/>
              </a:solidFill>
              <a:ln>
                <a:noFill/>
              </a:ln>
              <a:effectLst/>
            </c:spPr>
          </c:dPt>
          <c:dPt>
            <c:idx val="11"/>
            <c:spPr>
              <a:solidFill>
                <a:srgbClr val="7030A0"/>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Val val="1"/>
            <c:showLeaderLines val="1"/>
            <c:leaderLines>
              <c:spPr>
                <a:ln w="9525" cap="flat" cmpd="sng" algn="ctr">
                  <a:solidFill>
                    <a:schemeClr val="tx1">
                      <a:lumMod val="35000"/>
                      <a:lumOff val="65000"/>
                    </a:schemeClr>
                  </a:solidFill>
                  <a:round/>
                </a:ln>
                <a:effectLst/>
              </c:spPr>
            </c:leaderLines>
          </c:dLbls>
          <c:cat>
            <c:strRef>
              <c:f>YrAnalysis2!$A$6:$A$18</c:f>
              <c:strCache>
                <c:ptCount val="12"/>
                <c:pt idx="0">
                  <c:v>G</c:v>
                </c:pt>
                <c:pt idx="1">
                  <c:v>G-PC</c:v>
                </c:pt>
                <c:pt idx="2">
                  <c:v>HPE1</c:v>
                </c:pt>
                <c:pt idx="3">
                  <c:v>HPE2</c:v>
                </c:pt>
                <c:pt idx="4">
                  <c:v>HPE3</c:v>
                </c:pt>
                <c:pt idx="5">
                  <c:v>HPE4</c:v>
                </c:pt>
                <c:pt idx="6">
                  <c:v>MRMC</c:v>
                </c:pt>
                <c:pt idx="7">
                  <c:v>MSEC</c:v>
                </c:pt>
                <c:pt idx="8">
                  <c:v>OFF</c:v>
                </c:pt>
                <c:pt idx="9">
                  <c:v>OFFICE1</c:v>
                </c:pt>
                <c:pt idx="10">
                  <c:v>OFFICE2</c:v>
                </c:pt>
                <c:pt idx="11">
                  <c:v>ON-CALL</c:v>
                </c:pt>
              </c:strCache>
            </c:strRef>
          </c:cat>
          <c:val>
            <c:numRef>
              <c:f>YrAnalysis2!$B$6:$B$18</c:f>
              <c:numCache>
                <c:formatCode>General</c:formatCode>
                <c:ptCount val="12"/>
                <c:pt idx="0">
                  <c:v>17</c:v>
                </c:pt>
                <c:pt idx="1">
                  <c:v>4</c:v>
                </c:pt>
                <c:pt idx="2">
                  <c:v>16</c:v>
                </c:pt>
                <c:pt idx="3">
                  <c:v>16</c:v>
                </c:pt>
                <c:pt idx="4">
                  <c:v>14</c:v>
                </c:pt>
                <c:pt idx="5">
                  <c:v>8</c:v>
                </c:pt>
                <c:pt idx="6">
                  <c:v>0</c:v>
                </c:pt>
                <c:pt idx="7">
                  <c:v>6</c:v>
                </c:pt>
                <c:pt idx="8">
                  <c:v>11</c:v>
                </c:pt>
                <c:pt idx="9">
                  <c:v>16</c:v>
                </c:pt>
                <c:pt idx="10">
                  <c:v>11</c:v>
                </c:pt>
                <c:pt idx="11">
                  <c:v>17</c:v>
                </c:pt>
              </c:numCache>
            </c:numRef>
          </c:val>
        </c:ser>
        <c:dLbls>
          <c:showVal val="1"/>
        </c:dLbls>
        <c:firstSliceAng val="0"/>
      </c:pieChart>
      <c:spPr>
        <a:noFill/>
        <a:ln>
          <a:noFill/>
        </a:ln>
        <a:effectLst/>
      </c:spPr>
    </c:plotArea>
    <c:legend>
      <c:legendPos val="r"/>
      <c:layout/>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17</xdr:col>
      <xdr:colOff>152400</xdr:colOff>
      <xdr:row>57</xdr:row>
      <xdr:rowOff>23812</xdr:rowOff>
    </xdr:from>
    <xdr:to>
      <xdr:col>17</xdr:col>
      <xdr:colOff>4724400</xdr:colOff>
      <xdr:row>71</xdr:row>
      <xdr:rowOff>4762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23</xdr:col>
      <xdr:colOff>10506</xdr:colOff>
      <xdr:row>16</xdr:row>
      <xdr:rowOff>421</xdr:rowOff>
    </xdr:from>
    <xdr:to>
      <xdr:col>29</xdr:col>
      <xdr:colOff>588728</xdr:colOff>
      <xdr:row>37</xdr:row>
      <xdr:rowOff>172991</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15686</xdr:colOff>
      <xdr:row>0</xdr:row>
      <xdr:rowOff>11207</xdr:rowOff>
    </xdr:from>
    <xdr:to>
      <xdr:col>23</xdr:col>
      <xdr:colOff>11206</xdr:colOff>
      <xdr:row>21</xdr:row>
      <xdr:rowOff>168089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32806</xdr:colOff>
      <xdr:row>22</xdr:row>
      <xdr:rowOff>10493</xdr:rowOff>
    </xdr:from>
    <xdr:to>
      <xdr:col>23</xdr:col>
      <xdr:colOff>9526</xdr:colOff>
      <xdr:row>35</xdr:row>
      <xdr:rowOff>58118</xdr:rowOff>
    </xdr:to>
    <mc:AlternateContent xmlns:mc="http://schemas.openxmlformats.org/markup-compatibility/2006">
      <mc:Choice xmlns:a14="http://schemas.microsoft.com/office/drawing/2010/main" xmlns="" Requires="a14">
        <xdr:graphicFrame macro="">
          <xdr:nvGraphicFramePr>
            <xdr:cNvPr id="3" name="Weekday"/>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dr:sp macro="" textlink="">
          <xdr:nvSpPr>
            <xdr:cNvPr id="3" name="Rectangle 2"/>
            <xdr:cNvSpPr>
              <a:spLocks noTextEdit="1"/>
            </xdr:cNvSpPr>
          </xdr:nvSpPr>
          <xdr:spPr>
            <a:xfrm>
              <a:off x="10622365" y="4201493"/>
              <a:ext cx="179207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46913</xdr:colOff>
      <xdr:row>22</xdr:row>
      <xdr:rowOff>15637</xdr:rowOff>
    </xdr:from>
    <xdr:to>
      <xdr:col>17</xdr:col>
      <xdr:colOff>26401</xdr:colOff>
      <xdr:row>35</xdr:row>
      <xdr:rowOff>63262</xdr:rowOff>
    </xdr:to>
    <mc:AlternateContent xmlns:mc="http://schemas.openxmlformats.org/markup-compatibility/2006">
      <mc:Choice xmlns:a14="http://schemas.microsoft.com/office/drawing/2010/main" xmlns="" Requires="a14">
        <xdr:graphicFrame macro="">
          <xdr:nvGraphicFramePr>
            <xdr:cNvPr id="4"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4" name="Rectangle 3"/>
            <xdr:cNvSpPr>
              <a:spLocks noTextEdit="1"/>
            </xdr:cNvSpPr>
          </xdr:nvSpPr>
          <xdr:spPr>
            <a:xfrm>
              <a:off x="7005766" y="4206637"/>
              <a:ext cx="1794841"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39476</xdr:colOff>
      <xdr:row>22</xdr:row>
      <xdr:rowOff>18185</xdr:rowOff>
    </xdr:from>
    <xdr:to>
      <xdr:col>20</xdr:col>
      <xdr:colOff>16198</xdr:colOff>
      <xdr:row>35</xdr:row>
      <xdr:rowOff>65810</xdr:rowOff>
    </xdr:to>
    <mc:AlternateContent xmlns:mc="http://schemas.openxmlformats.org/markup-compatibility/2006">
      <mc:Choice xmlns:a14="http://schemas.microsoft.com/office/drawing/2010/main" xmlns="" Requires="a14">
        <xdr:graphicFrame macro="">
          <xdr:nvGraphicFramePr>
            <xdr:cNvPr id="5" name="WeekCategory"/>
            <xdr:cNvGraphicFramePr/>
          </xdr:nvGraphicFramePr>
          <xdr:xfrm>
            <a:off x="0" y="0"/>
            <a:ext cx="0" cy="0"/>
          </xdr:xfrm>
          <a:graphic>
            <a:graphicData uri="http://schemas.microsoft.com/office/drawing/2010/slicer">
              <sle:slicer xmlns:sle="http://schemas.microsoft.com/office/drawing/2010/slicer" name="WeekCategory"/>
            </a:graphicData>
          </a:graphic>
        </xdr:graphicFrame>
      </mc:Choice>
      <mc:Fallback>
        <xdr:sp macro="" textlink="">
          <xdr:nvSpPr>
            <xdr:cNvPr id="5" name="Rectangle 4"/>
            <xdr:cNvSpPr>
              <a:spLocks noTextEdit="1"/>
            </xdr:cNvSpPr>
          </xdr:nvSpPr>
          <xdr:spPr>
            <a:xfrm>
              <a:off x="8813682" y="4209185"/>
              <a:ext cx="179207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78440</xdr:colOff>
      <xdr:row>0</xdr:row>
      <xdr:rowOff>44823</xdr:rowOff>
    </xdr:from>
    <xdr:to>
      <xdr:col>25</xdr:col>
      <xdr:colOff>459440</xdr:colOff>
      <xdr:row>18</xdr:row>
      <xdr:rowOff>56029</xdr:rowOff>
    </xdr:to>
    <xdr:sp macro="" textlink="">
      <xdr:nvSpPr>
        <xdr:cNvPr id="6" name="TextBox 5"/>
        <xdr:cNvSpPr txBox="1"/>
      </xdr:nvSpPr>
      <xdr:spPr>
        <a:xfrm>
          <a:off x="12483352" y="44823"/>
          <a:ext cx="1591235" cy="34402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The</a:t>
          </a:r>
          <a:r>
            <a:rPr lang="en-US" sz="1100" i="1" baseline="0"/>
            <a:t> Yearly Physician Assignment Analysis will give you an interactive view of the yearly counts per physician per location. It also will allow you to dice the data with the below slicers: Month, WeekCategory, and Weekday; to answer more detailed questions. One of the limitations includes the user requirement of pressing the refresh button in order to analyze new data.</a:t>
          </a:r>
          <a:endParaRPr lang="en-US" sz="110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9525</xdr:colOff>
      <xdr:row>2</xdr:row>
      <xdr:rowOff>0</xdr:rowOff>
    </xdr:from>
    <xdr:to>
      <xdr:col>12</xdr:col>
      <xdr:colOff>9525</xdr:colOff>
      <xdr:row>23</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18490</xdr:colOff>
      <xdr:row>24</xdr:row>
      <xdr:rowOff>15689</xdr:rowOff>
    </xdr:from>
    <xdr:to>
      <xdr:col>6</xdr:col>
      <xdr:colOff>31937</xdr:colOff>
      <xdr:row>37</xdr:row>
      <xdr:rowOff>63314</xdr:rowOff>
    </xdr:to>
    <mc:AlternateContent xmlns:mc="http://schemas.openxmlformats.org/markup-compatibility/2006">
      <mc:Choice xmlns:a14="http://schemas.microsoft.com/office/drawing/2010/main" xmlns="" Requires="a14">
        <xdr:graphicFrame macro="">
          <xdr:nvGraphicFramePr>
            <xdr:cNvPr id="3"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dr:sp macro="" textlink="">
          <xdr:nvSpPr>
            <xdr:cNvPr id="3" name="Rectangle 2"/>
            <xdr:cNvSpPr>
              <a:spLocks noTextEdit="1"/>
            </xdr:cNvSpPr>
          </xdr:nvSpPr>
          <xdr:spPr>
            <a:xfrm>
              <a:off x="2842372" y="458768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46504</xdr:colOff>
      <xdr:row>24</xdr:row>
      <xdr:rowOff>21291</xdr:rowOff>
    </xdr:from>
    <xdr:to>
      <xdr:col>9</xdr:col>
      <xdr:colOff>59951</xdr:colOff>
      <xdr:row>37</xdr:row>
      <xdr:rowOff>68916</xdr:rowOff>
    </xdr:to>
    <mc:AlternateContent xmlns:mc="http://schemas.openxmlformats.org/markup-compatibility/2006">
      <mc:Choice xmlns:a14="http://schemas.microsoft.com/office/drawing/2010/main" xmlns="" Requires="a14">
        <xdr:graphicFrame macro="">
          <xdr:nvGraphicFramePr>
            <xdr:cNvPr id="4" name="WeekCategory 1"/>
            <xdr:cNvGraphicFramePr/>
          </xdr:nvGraphicFramePr>
          <xdr:xfrm>
            <a:off x="0" y="0"/>
            <a:ext cx="0" cy="0"/>
          </xdr:xfrm>
          <a:graphic>
            <a:graphicData uri="http://schemas.microsoft.com/office/drawing/2010/slicer">
              <sle:slicer xmlns:sle="http://schemas.microsoft.com/office/drawing/2010/slicer" name="WeekCategory 1"/>
            </a:graphicData>
          </a:graphic>
        </xdr:graphicFrame>
      </mc:Choice>
      <mc:Fallback>
        <xdr:sp macro="" textlink="">
          <xdr:nvSpPr>
            <xdr:cNvPr id="4" name="Rectangle 3"/>
            <xdr:cNvSpPr>
              <a:spLocks noTextEdit="1"/>
            </xdr:cNvSpPr>
          </xdr:nvSpPr>
          <xdr:spPr>
            <a:xfrm>
              <a:off x="4685739" y="459329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56030</xdr:colOff>
      <xdr:row>2</xdr:row>
      <xdr:rowOff>0</xdr:rowOff>
    </xdr:from>
    <xdr:to>
      <xdr:col>14</xdr:col>
      <xdr:colOff>437030</xdr:colOff>
      <xdr:row>20</xdr:row>
      <xdr:rowOff>11206</xdr:rowOff>
    </xdr:to>
    <xdr:sp macro="" textlink="">
      <xdr:nvSpPr>
        <xdr:cNvPr id="6" name="TextBox 5"/>
        <xdr:cNvSpPr txBox="1"/>
      </xdr:nvSpPr>
      <xdr:spPr>
        <a:xfrm>
          <a:off x="8325971" y="381000"/>
          <a:ext cx="1591235" cy="34402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The</a:t>
          </a:r>
          <a:r>
            <a:rPr lang="en-US" sz="1100" i="1" baseline="0"/>
            <a:t> Yearly Physician Schedule Mix Analysis will give you an interactive view of the yearly counts per physician per location. It also will allow you to dice the data with the below slicers: Month and WeekCategory; to answer more detailed questions. One of the limitations includes the user requirement of pressing the refresh button in order to analyze new data.</a:t>
          </a:r>
          <a:endParaRPr lang="en-US" sz="1100" i="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arah Nowaczyk" refreshedDate="41982.912539814817" createdVersion="5" refreshedVersion="5" minRefreshableVersion="3" recordCount="5952">
  <cacheSource type="worksheet">
    <worksheetSource name="RawYearData"/>
  </cacheSource>
  <cacheFields count="7">
    <cacheField name="Doctor" numFmtId="0">
      <sharedItems count="8">
        <s v="S"/>
        <s v="N"/>
        <s v="M"/>
        <s v="K"/>
        <s v="J"/>
        <s v="L"/>
        <s v="O"/>
        <s v="T"/>
      </sharedItems>
    </cacheField>
    <cacheField name="Month" numFmtId="0">
      <sharedItems count="12">
        <s v="January"/>
        <s v="February"/>
        <s v="March"/>
        <s v="April"/>
        <s v="May"/>
        <s v="June"/>
        <s v="July"/>
        <s v="August"/>
        <s v="September"/>
        <s v="October"/>
        <s v="November"/>
        <s v="December"/>
      </sharedItems>
    </cacheField>
    <cacheField name="Weekday" numFmtId="0">
      <sharedItems count="7">
        <s v="Monday"/>
        <s v="Tuesday"/>
        <s v="Wednesday"/>
        <s v="Thursday"/>
        <s v="Friday"/>
        <s v="Saturday"/>
        <s v="Sunday"/>
      </sharedItems>
    </cacheField>
    <cacheField name="Location" numFmtId="0">
      <sharedItems count="12">
        <s v="ON-CALL"/>
        <s v="G"/>
        <s v="G-PC"/>
        <s v="HPE1"/>
        <s v="HPE2"/>
        <s v="HPE3"/>
        <s v="HPE4"/>
        <s v="MRMC"/>
        <s v="MSEC"/>
        <s v="OFFICE1"/>
        <s v="OFFICE2"/>
        <s v="OFF"/>
      </sharedItems>
    </cacheField>
    <cacheField name="IndirectCount" numFmtId="0">
      <sharedItems containsSemiMixedTypes="0" containsString="0" containsNumber="1" containsInteger="1" minValue="0" maxValue="4"/>
    </cacheField>
    <cacheField name="WeekCategory" numFmtId="0">
      <sharedItems count="2">
        <s v="Workweek"/>
        <s v="Weekend"/>
      </sharedItems>
    </cacheField>
    <cacheField name="BookingPercent" numFmtId="0" formula="SUM(#NAME?) /COUNT(#NAME?)"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952">
  <r>
    <x v="0"/>
    <x v="0"/>
    <x v="0"/>
    <x v="0"/>
    <n v="1"/>
    <x v="0"/>
  </r>
  <r>
    <x v="0"/>
    <x v="0"/>
    <x v="0"/>
    <x v="1"/>
    <n v="0"/>
    <x v="0"/>
  </r>
  <r>
    <x v="0"/>
    <x v="0"/>
    <x v="0"/>
    <x v="2"/>
    <n v="1"/>
    <x v="0"/>
  </r>
  <r>
    <x v="0"/>
    <x v="0"/>
    <x v="0"/>
    <x v="3"/>
    <n v="2"/>
    <x v="0"/>
  </r>
  <r>
    <x v="0"/>
    <x v="0"/>
    <x v="0"/>
    <x v="4"/>
    <n v="0"/>
    <x v="0"/>
  </r>
  <r>
    <x v="0"/>
    <x v="0"/>
    <x v="0"/>
    <x v="5"/>
    <n v="0"/>
    <x v="0"/>
  </r>
  <r>
    <x v="0"/>
    <x v="0"/>
    <x v="0"/>
    <x v="6"/>
    <n v="0"/>
    <x v="0"/>
  </r>
  <r>
    <x v="0"/>
    <x v="0"/>
    <x v="0"/>
    <x v="7"/>
    <n v="0"/>
    <x v="0"/>
  </r>
  <r>
    <x v="0"/>
    <x v="0"/>
    <x v="0"/>
    <x v="8"/>
    <n v="0"/>
    <x v="0"/>
  </r>
  <r>
    <x v="0"/>
    <x v="0"/>
    <x v="0"/>
    <x v="9"/>
    <n v="0"/>
    <x v="0"/>
  </r>
  <r>
    <x v="0"/>
    <x v="0"/>
    <x v="0"/>
    <x v="10"/>
    <n v="0"/>
    <x v="0"/>
  </r>
  <r>
    <x v="0"/>
    <x v="0"/>
    <x v="0"/>
    <x v="11"/>
    <n v="0"/>
    <x v="0"/>
  </r>
  <r>
    <x v="0"/>
    <x v="0"/>
    <x v="1"/>
    <x v="0"/>
    <n v="1"/>
    <x v="0"/>
  </r>
  <r>
    <x v="0"/>
    <x v="0"/>
    <x v="1"/>
    <x v="1"/>
    <n v="0"/>
    <x v="0"/>
  </r>
  <r>
    <x v="0"/>
    <x v="0"/>
    <x v="1"/>
    <x v="2"/>
    <n v="0"/>
    <x v="0"/>
  </r>
  <r>
    <x v="0"/>
    <x v="0"/>
    <x v="1"/>
    <x v="3"/>
    <n v="0"/>
    <x v="0"/>
  </r>
  <r>
    <x v="0"/>
    <x v="0"/>
    <x v="1"/>
    <x v="4"/>
    <n v="0"/>
    <x v="0"/>
  </r>
  <r>
    <x v="0"/>
    <x v="0"/>
    <x v="1"/>
    <x v="5"/>
    <n v="0"/>
    <x v="0"/>
  </r>
  <r>
    <x v="0"/>
    <x v="0"/>
    <x v="1"/>
    <x v="6"/>
    <n v="0"/>
    <x v="0"/>
  </r>
  <r>
    <x v="0"/>
    <x v="0"/>
    <x v="1"/>
    <x v="7"/>
    <n v="0"/>
    <x v="0"/>
  </r>
  <r>
    <x v="0"/>
    <x v="0"/>
    <x v="1"/>
    <x v="8"/>
    <n v="0"/>
    <x v="0"/>
  </r>
  <r>
    <x v="0"/>
    <x v="0"/>
    <x v="1"/>
    <x v="9"/>
    <n v="3"/>
    <x v="0"/>
  </r>
  <r>
    <x v="0"/>
    <x v="0"/>
    <x v="1"/>
    <x v="10"/>
    <n v="0"/>
    <x v="0"/>
  </r>
  <r>
    <x v="0"/>
    <x v="0"/>
    <x v="1"/>
    <x v="11"/>
    <n v="0"/>
    <x v="0"/>
  </r>
  <r>
    <x v="0"/>
    <x v="0"/>
    <x v="2"/>
    <x v="0"/>
    <n v="1"/>
    <x v="0"/>
  </r>
  <r>
    <x v="0"/>
    <x v="0"/>
    <x v="2"/>
    <x v="1"/>
    <n v="1"/>
    <x v="0"/>
  </r>
  <r>
    <x v="0"/>
    <x v="0"/>
    <x v="2"/>
    <x v="2"/>
    <n v="0"/>
    <x v="0"/>
  </r>
  <r>
    <x v="0"/>
    <x v="0"/>
    <x v="2"/>
    <x v="3"/>
    <n v="2"/>
    <x v="0"/>
  </r>
  <r>
    <x v="0"/>
    <x v="0"/>
    <x v="2"/>
    <x v="4"/>
    <n v="0"/>
    <x v="0"/>
  </r>
  <r>
    <x v="0"/>
    <x v="0"/>
    <x v="2"/>
    <x v="5"/>
    <n v="0"/>
    <x v="0"/>
  </r>
  <r>
    <x v="0"/>
    <x v="0"/>
    <x v="2"/>
    <x v="6"/>
    <n v="0"/>
    <x v="0"/>
  </r>
  <r>
    <x v="0"/>
    <x v="0"/>
    <x v="2"/>
    <x v="7"/>
    <n v="0"/>
    <x v="0"/>
  </r>
  <r>
    <x v="0"/>
    <x v="0"/>
    <x v="2"/>
    <x v="8"/>
    <n v="0"/>
    <x v="0"/>
  </r>
  <r>
    <x v="0"/>
    <x v="0"/>
    <x v="2"/>
    <x v="9"/>
    <n v="0"/>
    <x v="0"/>
  </r>
  <r>
    <x v="0"/>
    <x v="0"/>
    <x v="2"/>
    <x v="10"/>
    <n v="0"/>
    <x v="0"/>
  </r>
  <r>
    <x v="0"/>
    <x v="0"/>
    <x v="2"/>
    <x v="11"/>
    <n v="0"/>
    <x v="0"/>
  </r>
  <r>
    <x v="0"/>
    <x v="0"/>
    <x v="3"/>
    <x v="0"/>
    <n v="1"/>
    <x v="0"/>
  </r>
  <r>
    <x v="0"/>
    <x v="0"/>
    <x v="3"/>
    <x v="1"/>
    <n v="1"/>
    <x v="0"/>
  </r>
  <r>
    <x v="0"/>
    <x v="0"/>
    <x v="3"/>
    <x v="2"/>
    <n v="0"/>
    <x v="0"/>
  </r>
  <r>
    <x v="0"/>
    <x v="0"/>
    <x v="3"/>
    <x v="3"/>
    <n v="2"/>
    <x v="0"/>
  </r>
  <r>
    <x v="0"/>
    <x v="0"/>
    <x v="3"/>
    <x v="4"/>
    <n v="0"/>
    <x v="0"/>
  </r>
  <r>
    <x v="0"/>
    <x v="0"/>
    <x v="3"/>
    <x v="5"/>
    <n v="0"/>
    <x v="0"/>
  </r>
  <r>
    <x v="0"/>
    <x v="0"/>
    <x v="3"/>
    <x v="6"/>
    <n v="0"/>
    <x v="0"/>
  </r>
  <r>
    <x v="0"/>
    <x v="0"/>
    <x v="3"/>
    <x v="7"/>
    <n v="0"/>
    <x v="0"/>
  </r>
  <r>
    <x v="0"/>
    <x v="0"/>
    <x v="3"/>
    <x v="8"/>
    <n v="0"/>
    <x v="0"/>
  </r>
  <r>
    <x v="0"/>
    <x v="0"/>
    <x v="3"/>
    <x v="9"/>
    <n v="0"/>
    <x v="0"/>
  </r>
  <r>
    <x v="0"/>
    <x v="0"/>
    <x v="3"/>
    <x v="10"/>
    <n v="0"/>
    <x v="0"/>
  </r>
  <r>
    <x v="0"/>
    <x v="0"/>
    <x v="3"/>
    <x v="11"/>
    <n v="1"/>
    <x v="0"/>
  </r>
  <r>
    <x v="0"/>
    <x v="0"/>
    <x v="4"/>
    <x v="0"/>
    <n v="1"/>
    <x v="1"/>
  </r>
  <r>
    <x v="0"/>
    <x v="0"/>
    <x v="4"/>
    <x v="1"/>
    <n v="0"/>
    <x v="1"/>
  </r>
  <r>
    <x v="0"/>
    <x v="0"/>
    <x v="4"/>
    <x v="2"/>
    <n v="0"/>
    <x v="1"/>
  </r>
  <r>
    <x v="0"/>
    <x v="0"/>
    <x v="4"/>
    <x v="3"/>
    <n v="2"/>
    <x v="1"/>
  </r>
  <r>
    <x v="0"/>
    <x v="0"/>
    <x v="4"/>
    <x v="4"/>
    <n v="0"/>
    <x v="1"/>
  </r>
  <r>
    <x v="0"/>
    <x v="0"/>
    <x v="4"/>
    <x v="5"/>
    <n v="0"/>
    <x v="1"/>
  </r>
  <r>
    <x v="0"/>
    <x v="0"/>
    <x v="4"/>
    <x v="6"/>
    <n v="0"/>
    <x v="1"/>
  </r>
  <r>
    <x v="0"/>
    <x v="0"/>
    <x v="4"/>
    <x v="7"/>
    <n v="0"/>
    <x v="1"/>
  </r>
  <r>
    <x v="0"/>
    <x v="0"/>
    <x v="4"/>
    <x v="8"/>
    <n v="0"/>
    <x v="1"/>
  </r>
  <r>
    <x v="0"/>
    <x v="0"/>
    <x v="4"/>
    <x v="9"/>
    <n v="0"/>
    <x v="1"/>
  </r>
  <r>
    <x v="0"/>
    <x v="0"/>
    <x v="4"/>
    <x v="10"/>
    <n v="0"/>
    <x v="1"/>
  </r>
  <r>
    <x v="0"/>
    <x v="0"/>
    <x v="4"/>
    <x v="11"/>
    <n v="1"/>
    <x v="1"/>
  </r>
  <r>
    <x v="0"/>
    <x v="0"/>
    <x v="5"/>
    <x v="0"/>
    <n v="1"/>
    <x v="1"/>
  </r>
  <r>
    <x v="0"/>
    <x v="0"/>
    <x v="6"/>
    <x v="0"/>
    <n v="1"/>
    <x v="1"/>
  </r>
  <r>
    <x v="0"/>
    <x v="1"/>
    <x v="0"/>
    <x v="0"/>
    <n v="0"/>
    <x v="0"/>
  </r>
  <r>
    <x v="0"/>
    <x v="1"/>
    <x v="0"/>
    <x v="1"/>
    <n v="0"/>
    <x v="0"/>
  </r>
  <r>
    <x v="0"/>
    <x v="1"/>
    <x v="0"/>
    <x v="2"/>
    <n v="0"/>
    <x v="0"/>
  </r>
  <r>
    <x v="0"/>
    <x v="1"/>
    <x v="0"/>
    <x v="3"/>
    <n v="0"/>
    <x v="0"/>
  </r>
  <r>
    <x v="0"/>
    <x v="1"/>
    <x v="0"/>
    <x v="4"/>
    <n v="0"/>
    <x v="0"/>
  </r>
  <r>
    <x v="0"/>
    <x v="1"/>
    <x v="0"/>
    <x v="5"/>
    <n v="0"/>
    <x v="0"/>
  </r>
  <r>
    <x v="0"/>
    <x v="1"/>
    <x v="0"/>
    <x v="6"/>
    <n v="0"/>
    <x v="0"/>
  </r>
  <r>
    <x v="0"/>
    <x v="1"/>
    <x v="0"/>
    <x v="7"/>
    <n v="0"/>
    <x v="0"/>
  </r>
  <r>
    <x v="0"/>
    <x v="1"/>
    <x v="0"/>
    <x v="8"/>
    <n v="0"/>
    <x v="0"/>
  </r>
  <r>
    <x v="0"/>
    <x v="1"/>
    <x v="0"/>
    <x v="9"/>
    <n v="0"/>
    <x v="0"/>
  </r>
  <r>
    <x v="0"/>
    <x v="1"/>
    <x v="0"/>
    <x v="10"/>
    <n v="0"/>
    <x v="0"/>
  </r>
  <r>
    <x v="0"/>
    <x v="1"/>
    <x v="0"/>
    <x v="11"/>
    <n v="0"/>
    <x v="0"/>
  </r>
  <r>
    <x v="0"/>
    <x v="1"/>
    <x v="1"/>
    <x v="0"/>
    <n v="0"/>
    <x v="0"/>
  </r>
  <r>
    <x v="0"/>
    <x v="1"/>
    <x v="1"/>
    <x v="1"/>
    <n v="0"/>
    <x v="0"/>
  </r>
  <r>
    <x v="0"/>
    <x v="1"/>
    <x v="1"/>
    <x v="2"/>
    <n v="0"/>
    <x v="0"/>
  </r>
  <r>
    <x v="0"/>
    <x v="1"/>
    <x v="1"/>
    <x v="3"/>
    <n v="0"/>
    <x v="0"/>
  </r>
  <r>
    <x v="0"/>
    <x v="1"/>
    <x v="1"/>
    <x v="4"/>
    <n v="0"/>
    <x v="0"/>
  </r>
  <r>
    <x v="0"/>
    <x v="1"/>
    <x v="1"/>
    <x v="5"/>
    <n v="0"/>
    <x v="0"/>
  </r>
  <r>
    <x v="0"/>
    <x v="1"/>
    <x v="1"/>
    <x v="6"/>
    <n v="0"/>
    <x v="0"/>
  </r>
  <r>
    <x v="0"/>
    <x v="1"/>
    <x v="1"/>
    <x v="7"/>
    <n v="0"/>
    <x v="0"/>
  </r>
  <r>
    <x v="0"/>
    <x v="1"/>
    <x v="1"/>
    <x v="8"/>
    <n v="0"/>
    <x v="0"/>
  </r>
  <r>
    <x v="0"/>
    <x v="1"/>
    <x v="1"/>
    <x v="9"/>
    <n v="0"/>
    <x v="0"/>
  </r>
  <r>
    <x v="0"/>
    <x v="1"/>
    <x v="1"/>
    <x v="10"/>
    <n v="0"/>
    <x v="0"/>
  </r>
  <r>
    <x v="0"/>
    <x v="1"/>
    <x v="1"/>
    <x v="11"/>
    <n v="0"/>
    <x v="0"/>
  </r>
  <r>
    <x v="0"/>
    <x v="1"/>
    <x v="2"/>
    <x v="0"/>
    <n v="0"/>
    <x v="0"/>
  </r>
  <r>
    <x v="0"/>
    <x v="1"/>
    <x v="2"/>
    <x v="1"/>
    <n v="0"/>
    <x v="0"/>
  </r>
  <r>
    <x v="0"/>
    <x v="1"/>
    <x v="2"/>
    <x v="2"/>
    <n v="0"/>
    <x v="0"/>
  </r>
  <r>
    <x v="0"/>
    <x v="1"/>
    <x v="2"/>
    <x v="3"/>
    <n v="0"/>
    <x v="0"/>
  </r>
  <r>
    <x v="0"/>
    <x v="1"/>
    <x v="2"/>
    <x v="4"/>
    <n v="0"/>
    <x v="0"/>
  </r>
  <r>
    <x v="0"/>
    <x v="1"/>
    <x v="2"/>
    <x v="5"/>
    <n v="0"/>
    <x v="0"/>
  </r>
  <r>
    <x v="0"/>
    <x v="1"/>
    <x v="2"/>
    <x v="6"/>
    <n v="0"/>
    <x v="0"/>
  </r>
  <r>
    <x v="0"/>
    <x v="1"/>
    <x v="2"/>
    <x v="7"/>
    <n v="0"/>
    <x v="0"/>
  </r>
  <r>
    <x v="0"/>
    <x v="1"/>
    <x v="2"/>
    <x v="8"/>
    <n v="0"/>
    <x v="0"/>
  </r>
  <r>
    <x v="0"/>
    <x v="1"/>
    <x v="2"/>
    <x v="9"/>
    <n v="0"/>
    <x v="0"/>
  </r>
  <r>
    <x v="0"/>
    <x v="1"/>
    <x v="2"/>
    <x v="10"/>
    <n v="0"/>
    <x v="0"/>
  </r>
  <r>
    <x v="0"/>
    <x v="1"/>
    <x v="2"/>
    <x v="11"/>
    <n v="0"/>
    <x v="0"/>
  </r>
  <r>
    <x v="0"/>
    <x v="1"/>
    <x v="3"/>
    <x v="0"/>
    <n v="0"/>
    <x v="0"/>
  </r>
  <r>
    <x v="0"/>
    <x v="1"/>
    <x v="3"/>
    <x v="1"/>
    <n v="0"/>
    <x v="0"/>
  </r>
  <r>
    <x v="0"/>
    <x v="1"/>
    <x v="3"/>
    <x v="2"/>
    <n v="0"/>
    <x v="0"/>
  </r>
  <r>
    <x v="0"/>
    <x v="1"/>
    <x v="3"/>
    <x v="3"/>
    <n v="0"/>
    <x v="0"/>
  </r>
  <r>
    <x v="0"/>
    <x v="1"/>
    <x v="3"/>
    <x v="4"/>
    <n v="0"/>
    <x v="0"/>
  </r>
  <r>
    <x v="0"/>
    <x v="1"/>
    <x v="3"/>
    <x v="5"/>
    <n v="0"/>
    <x v="0"/>
  </r>
  <r>
    <x v="0"/>
    <x v="1"/>
    <x v="3"/>
    <x v="6"/>
    <n v="0"/>
    <x v="0"/>
  </r>
  <r>
    <x v="0"/>
    <x v="1"/>
    <x v="3"/>
    <x v="7"/>
    <n v="0"/>
    <x v="0"/>
  </r>
  <r>
    <x v="0"/>
    <x v="1"/>
    <x v="3"/>
    <x v="8"/>
    <n v="0"/>
    <x v="0"/>
  </r>
  <r>
    <x v="0"/>
    <x v="1"/>
    <x v="3"/>
    <x v="9"/>
    <n v="0"/>
    <x v="0"/>
  </r>
  <r>
    <x v="0"/>
    <x v="1"/>
    <x v="3"/>
    <x v="10"/>
    <n v="0"/>
    <x v="0"/>
  </r>
  <r>
    <x v="0"/>
    <x v="1"/>
    <x v="3"/>
    <x v="11"/>
    <n v="0"/>
    <x v="0"/>
  </r>
  <r>
    <x v="0"/>
    <x v="1"/>
    <x v="4"/>
    <x v="0"/>
    <n v="1"/>
    <x v="1"/>
  </r>
  <r>
    <x v="0"/>
    <x v="1"/>
    <x v="4"/>
    <x v="1"/>
    <n v="0"/>
    <x v="1"/>
  </r>
  <r>
    <x v="0"/>
    <x v="1"/>
    <x v="4"/>
    <x v="2"/>
    <n v="0"/>
    <x v="1"/>
  </r>
  <r>
    <x v="0"/>
    <x v="1"/>
    <x v="4"/>
    <x v="3"/>
    <n v="0"/>
    <x v="1"/>
  </r>
  <r>
    <x v="0"/>
    <x v="1"/>
    <x v="4"/>
    <x v="4"/>
    <n v="0"/>
    <x v="1"/>
  </r>
  <r>
    <x v="0"/>
    <x v="1"/>
    <x v="4"/>
    <x v="5"/>
    <n v="0"/>
    <x v="1"/>
  </r>
  <r>
    <x v="0"/>
    <x v="1"/>
    <x v="4"/>
    <x v="6"/>
    <n v="0"/>
    <x v="1"/>
  </r>
  <r>
    <x v="0"/>
    <x v="1"/>
    <x v="4"/>
    <x v="7"/>
    <n v="0"/>
    <x v="1"/>
  </r>
  <r>
    <x v="0"/>
    <x v="1"/>
    <x v="4"/>
    <x v="8"/>
    <n v="0"/>
    <x v="1"/>
  </r>
  <r>
    <x v="0"/>
    <x v="1"/>
    <x v="4"/>
    <x v="9"/>
    <n v="0"/>
    <x v="1"/>
  </r>
  <r>
    <x v="0"/>
    <x v="1"/>
    <x v="4"/>
    <x v="10"/>
    <n v="0"/>
    <x v="1"/>
  </r>
  <r>
    <x v="0"/>
    <x v="1"/>
    <x v="4"/>
    <x v="11"/>
    <n v="0"/>
    <x v="1"/>
  </r>
  <r>
    <x v="0"/>
    <x v="1"/>
    <x v="5"/>
    <x v="0"/>
    <n v="1"/>
    <x v="1"/>
  </r>
  <r>
    <x v="0"/>
    <x v="1"/>
    <x v="6"/>
    <x v="0"/>
    <n v="1"/>
    <x v="1"/>
  </r>
  <r>
    <x v="0"/>
    <x v="2"/>
    <x v="0"/>
    <x v="0"/>
    <n v="0"/>
    <x v="0"/>
  </r>
  <r>
    <x v="0"/>
    <x v="2"/>
    <x v="0"/>
    <x v="1"/>
    <n v="0"/>
    <x v="0"/>
  </r>
  <r>
    <x v="0"/>
    <x v="2"/>
    <x v="0"/>
    <x v="2"/>
    <n v="0"/>
    <x v="0"/>
  </r>
  <r>
    <x v="0"/>
    <x v="2"/>
    <x v="0"/>
    <x v="3"/>
    <n v="0"/>
    <x v="0"/>
  </r>
  <r>
    <x v="0"/>
    <x v="2"/>
    <x v="0"/>
    <x v="4"/>
    <n v="0"/>
    <x v="0"/>
  </r>
  <r>
    <x v="0"/>
    <x v="2"/>
    <x v="0"/>
    <x v="5"/>
    <n v="0"/>
    <x v="0"/>
  </r>
  <r>
    <x v="0"/>
    <x v="2"/>
    <x v="0"/>
    <x v="6"/>
    <n v="0"/>
    <x v="0"/>
  </r>
  <r>
    <x v="0"/>
    <x v="2"/>
    <x v="0"/>
    <x v="7"/>
    <n v="0"/>
    <x v="0"/>
  </r>
  <r>
    <x v="0"/>
    <x v="2"/>
    <x v="0"/>
    <x v="8"/>
    <n v="0"/>
    <x v="0"/>
  </r>
  <r>
    <x v="0"/>
    <x v="2"/>
    <x v="0"/>
    <x v="9"/>
    <n v="0"/>
    <x v="0"/>
  </r>
  <r>
    <x v="0"/>
    <x v="2"/>
    <x v="0"/>
    <x v="10"/>
    <n v="0"/>
    <x v="0"/>
  </r>
  <r>
    <x v="0"/>
    <x v="2"/>
    <x v="0"/>
    <x v="11"/>
    <n v="0"/>
    <x v="0"/>
  </r>
  <r>
    <x v="0"/>
    <x v="2"/>
    <x v="1"/>
    <x v="0"/>
    <n v="0"/>
    <x v="0"/>
  </r>
  <r>
    <x v="0"/>
    <x v="2"/>
    <x v="1"/>
    <x v="1"/>
    <n v="0"/>
    <x v="0"/>
  </r>
  <r>
    <x v="0"/>
    <x v="2"/>
    <x v="1"/>
    <x v="2"/>
    <n v="0"/>
    <x v="0"/>
  </r>
  <r>
    <x v="0"/>
    <x v="2"/>
    <x v="1"/>
    <x v="3"/>
    <n v="0"/>
    <x v="0"/>
  </r>
  <r>
    <x v="0"/>
    <x v="2"/>
    <x v="1"/>
    <x v="4"/>
    <n v="0"/>
    <x v="0"/>
  </r>
  <r>
    <x v="0"/>
    <x v="2"/>
    <x v="1"/>
    <x v="5"/>
    <n v="0"/>
    <x v="0"/>
  </r>
  <r>
    <x v="0"/>
    <x v="2"/>
    <x v="1"/>
    <x v="6"/>
    <n v="0"/>
    <x v="0"/>
  </r>
  <r>
    <x v="0"/>
    <x v="2"/>
    <x v="1"/>
    <x v="7"/>
    <n v="0"/>
    <x v="0"/>
  </r>
  <r>
    <x v="0"/>
    <x v="2"/>
    <x v="1"/>
    <x v="8"/>
    <n v="0"/>
    <x v="0"/>
  </r>
  <r>
    <x v="0"/>
    <x v="2"/>
    <x v="1"/>
    <x v="9"/>
    <n v="0"/>
    <x v="0"/>
  </r>
  <r>
    <x v="0"/>
    <x v="2"/>
    <x v="1"/>
    <x v="10"/>
    <n v="0"/>
    <x v="0"/>
  </r>
  <r>
    <x v="0"/>
    <x v="2"/>
    <x v="1"/>
    <x v="11"/>
    <n v="0"/>
    <x v="0"/>
  </r>
  <r>
    <x v="0"/>
    <x v="2"/>
    <x v="2"/>
    <x v="0"/>
    <n v="0"/>
    <x v="0"/>
  </r>
  <r>
    <x v="0"/>
    <x v="2"/>
    <x v="2"/>
    <x v="1"/>
    <n v="0"/>
    <x v="0"/>
  </r>
  <r>
    <x v="0"/>
    <x v="2"/>
    <x v="2"/>
    <x v="2"/>
    <n v="0"/>
    <x v="0"/>
  </r>
  <r>
    <x v="0"/>
    <x v="2"/>
    <x v="2"/>
    <x v="3"/>
    <n v="0"/>
    <x v="0"/>
  </r>
  <r>
    <x v="0"/>
    <x v="2"/>
    <x v="2"/>
    <x v="4"/>
    <n v="0"/>
    <x v="0"/>
  </r>
  <r>
    <x v="0"/>
    <x v="2"/>
    <x v="2"/>
    <x v="5"/>
    <n v="0"/>
    <x v="0"/>
  </r>
  <r>
    <x v="0"/>
    <x v="2"/>
    <x v="2"/>
    <x v="6"/>
    <n v="0"/>
    <x v="0"/>
  </r>
  <r>
    <x v="0"/>
    <x v="2"/>
    <x v="2"/>
    <x v="7"/>
    <n v="0"/>
    <x v="0"/>
  </r>
  <r>
    <x v="0"/>
    <x v="2"/>
    <x v="2"/>
    <x v="8"/>
    <n v="0"/>
    <x v="0"/>
  </r>
  <r>
    <x v="0"/>
    <x v="2"/>
    <x v="2"/>
    <x v="9"/>
    <n v="0"/>
    <x v="0"/>
  </r>
  <r>
    <x v="0"/>
    <x v="2"/>
    <x v="2"/>
    <x v="10"/>
    <n v="0"/>
    <x v="0"/>
  </r>
  <r>
    <x v="0"/>
    <x v="2"/>
    <x v="2"/>
    <x v="11"/>
    <n v="0"/>
    <x v="0"/>
  </r>
  <r>
    <x v="0"/>
    <x v="2"/>
    <x v="3"/>
    <x v="0"/>
    <n v="0"/>
    <x v="0"/>
  </r>
  <r>
    <x v="0"/>
    <x v="2"/>
    <x v="3"/>
    <x v="1"/>
    <n v="0"/>
    <x v="0"/>
  </r>
  <r>
    <x v="0"/>
    <x v="2"/>
    <x v="3"/>
    <x v="2"/>
    <n v="0"/>
    <x v="0"/>
  </r>
  <r>
    <x v="0"/>
    <x v="2"/>
    <x v="3"/>
    <x v="3"/>
    <n v="0"/>
    <x v="0"/>
  </r>
  <r>
    <x v="0"/>
    <x v="2"/>
    <x v="3"/>
    <x v="4"/>
    <n v="0"/>
    <x v="0"/>
  </r>
  <r>
    <x v="0"/>
    <x v="2"/>
    <x v="3"/>
    <x v="5"/>
    <n v="0"/>
    <x v="0"/>
  </r>
  <r>
    <x v="0"/>
    <x v="2"/>
    <x v="3"/>
    <x v="6"/>
    <n v="0"/>
    <x v="0"/>
  </r>
  <r>
    <x v="0"/>
    <x v="2"/>
    <x v="3"/>
    <x v="7"/>
    <n v="0"/>
    <x v="0"/>
  </r>
  <r>
    <x v="0"/>
    <x v="2"/>
    <x v="3"/>
    <x v="8"/>
    <n v="0"/>
    <x v="0"/>
  </r>
  <r>
    <x v="0"/>
    <x v="2"/>
    <x v="3"/>
    <x v="9"/>
    <n v="0"/>
    <x v="0"/>
  </r>
  <r>
    <x v="0"/>
    <x v="2"/>
    <x v="3"/>
    <x v="10"/>
    <n v="0"/>
    <x v="0"/>
  </r>
  <r>
    <x v="0"/>
    <x v="2"/>
    <x v="3"/>
    <x v="11"/>
    <n v="0"/>
    <x v="0"/>
  </r>
  <r>
    <x v="0"/>
    <x v="2"/>
    <x v="4"/>
    <x v="0"/>
    <n v="0"/>
    <x v="1"/>
  </r>
  <r>
    <x v="0"/>
    <x v="2"/>
    <x v="4"/>
    <x v="1"/>
    <n v="0"/>
    <x v="1"/>
  </r>
  <r>
    <x v="0"/>
    <x v="2"/>
    <x v="4"/>
    <x v="2"/>
    <n v="0"/>
    <x v="1"/>
  </r>
  <r>
    <x v="0"/>
    <x v="2"/>
    <x v="4"/>
    <x v="3"/>
    <n v="0"/>
    <x v="1"/>
  </r>
  <r>
    <x v="0"/>
    <x v="2"/>
    <x v="4"/>
    <x v="4"/>
    <n v="0"/>
    <x v="1"/>
  </r>
  <r>
    <x v="0"/>
    <x v="2"/>
    <x v="4"/>
    <x v="5"/>
    <n v="0"/>
    <x v="1"/>
  </r>
  <r>
    <x v="0"/>
    <x v="2"/>
    <x v="4"/>
    <x v="6"/>
    <n v="0"/>
    <x v="1"/>
  </r>
  <r>
    <x v="0"/>
    <x v="2"/>
    <x v="4"/>
    <x v="7"/>
    <n v="0"/>
    <x v="1"/>
  </r>
  <r>
    <x v="0"/>
    <x v="2"/>
    <x v="4"/>
    <x v="8"/>
    <n v="0"/>
    <x v="1"/>
  </r>
  <r>
    <x v="0"/>
    <x v="2"/>
    <x v="4"/>
    <x v="9"/>
    <n v="0"/>
    <x v="1"/>
  </r>
  <r>
    <x v="0"/>
    <x v="2"/>
    <x v="4"/>
    <x v="10"/>
    <n v="0"/>
    <x v="1"/>
  </r>
  <r>
    <x v="0"/>
    <x v="2"/>
    <x v="4"/>
    <x v="11"/>
    <n v="0"/>
    <x v="1"/>
  </r>
  <r>
    <x v="0"/>
    <x v="2"/>
    <x v="5"/>
    <x v="0"/>
    <n v="0"/>
    <x v="1"/>
  </r>
  <r>
    <x v="0"/>
    <x v="2"/>
    <x v="6"/>
    <x v="0"/>
    <n v="0"/>
    <x v="1"/>
  </r>
  <r>
    <x v="0"/>
    <x v="3"/>
    <x v="0"/>
    <x v="0"/>
    <n v="0"/>
    <x v="0"/>
  </r>
  <r>
    <x v="0"/>
    <x v="3"/>
    <x v="0"/>
    <x v="1"/>
    <n v="0"/>
    <x v="0"/>
  </r>
  <r>
    <x v="0"/>
    <x v="3"/>
    <x v="0"/>
    <x v="2"/>
    <n v="0"/>
    <x v="0"/>
  </r>
  <r>
    <x v="0"/>
    <x v="3"/>
    <x v="0"/>
    <x v="3"/>
    <n v="0"/>
    <x v="0"/>
  </r>
  <r>
    <x v="0"/>
    <x v="3"/>
    <x v="0"/>
    <x v="4"/>
    <n v="0"/>
    <x v="0"/>
  </r>
  <r>
    <x v="0"/>
    <x v="3"/>
    <x v="0"/>
    <x v="5"/>
    <n v="0"/>
    <x v="0"/>
  </r>
  <r>
    <x v="0"/>
    <x v="3"/>
    <x v="0"/>
    <x v="6"/>
    <n v="0"/>
    <x v="0"/>
  </r>
  <r>
    <x v="0"/>
    <x v="3"/>
    <x v="0"/>
    <x v="7"/>
    <n v="0"/>
    <x v="0"/>
  </r>
  <r>
    <x v="0"/>
    <x v="3"/>
    <x v="0"/>
    <x v="8"/>
    <n v="0"/>
    <x v="0"/>
  </r>
  <r>
    <x v="0"/>
    <x v="3"/>
    <x v="0"/>
    <x v="9"/>
    <n v="0"/>
    <x v="0"/>
  </r>
  <r>
    <x v="0"/>
    <x v="3"/>
    <x v="0"/>
    <x v="10"/>
    <n v="0"/>
    <x v="0"/>
  </r>
  <r>
    <x v="0"/>
    <x v="3"/>
    <x v="0"/>
    <x v="11"/>
    <n v="0"/>
    <x v="0"/>
  </r>
  <r>
    <x v="0"/>
    <x v="3"/>
    <x v="1"/>
    <x v="0"/>
    <n v="0"/>
    <x v="0"/>
  </r>
  <r>
    <x v="0"/>
    <x v="3"/>
    <x v="1"/>
    <x v="1"/>
    <n v="0"/>
    <x v="0"/>
  </r>
  <r>
    <x v="0"/>
    <x v="3"/>
    <x v="1"/>
    <x v="2"/>
    <n v="0"/>
    <x v="0"/>
  </r>
  <r>
    <x v="0"/>
    <x v="3"/>
    <x v="1"/>
    <x v="3"/>
    <n v="0"/>
    <x v="0"/>
  </r>
  <r>
    <x v="0"/>
    <x v="3"/>
    <x v="1"/>
    <x v="4"/>
    <n v="0"/>
    <x v="0"/>
  </r>
  <r>
    <x v="0"/>
    <x v="3"/>
    <x v="1"/>
    <x v="5"/>
    <n v="0"/>
    <x v="0"/>
  </r>
  <r>
    <x v="0"/>
    <x v="3"/>
    <x v="1"/>
    <x v="6"/>
    <n v="0"/>
    <x v="0"/>
  </r>
  <r>
    <x v="0"/>
    <x v="3"/>
    <x v="1"/>
    <x v="7"/>
    <n v="0"/>
    <x v="0"/>
  </r>
  <r>
    <x v="0"/>
    <x v="3"/>
    <x v="1"/>
    <x v="8"/>
    <n v="0"/>
    <x v="0"/>
  </r>
  <r>
    <x v="0"/>
    <x v="3"/>
    <x v="1"/>
    <x v="9"/>
    <n v="0"/>
    <x v="0"/>
  </r>
  <r>
    <x v="0"/>
    <x v="3"/>
    <x v="1"/>
    <x v="10"/>
    <n v="0"/>
    <x v="0"/>
  </r>
  <r>
    <x v="0"/>
    <x v="3"/>
    <x v="1"/>
    <x v="11"/>
    <n v="0"/>
    <x v="0"/>
  </r>
  <r>
    <x v="0"/>
    <x v="3"/>
    <x v="2"/>
    <x v="0"/>
    <n v="0"/>
    <x v="0"/>
  </r>
  <r>
    <x v="0"/>
    <x v="3"/>
    <x v="2"/>
    <x v="1"/>
    <n v="0"/>
    <x v="0"/>
  </r>
  <r>
    <x v="0"/>
    <x v="3"/>
    <x v="2"/>
    <x v="2"/>
    <n v="0"/>
    <x v="0"/>
  </r>
  <r>
    <x v="0"/>
    <x v="3"/>
    <x v="2"/>
    <x v="3"/>
    <n v="0"/>
    <x v="0"/>
  </r>
  <r>
    <x v="0"/>
    <x v="3"/>
    <x v="2"/>
    <x v="4"/>
    <n v="0"/>
    <x v="0"/>
  </r>
  <r>
    <x v="0"/>
    <x v="3"/>
    <x v="2"/>
    <x v="5"/>
    <n v="0"/>
    <x v="0"/>
  </r>
  <r>
    <x v="0"/>
    <x v="3"/>
    <x v="2"/>
    <x v="6"/>
    <n v="0"/>
    <x v="0"/>
  </r>
  <r>
    <x v="0"/>
    <x v="3"/>
    <x v="2"/>
    <x v="7"/>
    <n v="0"/>
    <x v="0"/>
  </r>
  <r>
    <x v="0"/>
    <x v="3"/>
    <x v="2"/>
    <x v="8"/>
    <n v="0"/>
    <x v="0"/>
  </r>
  <r>
    <x v="0"/>
    <x v="3"/>
    <x v="2"/>
    <x v="9"/>
    <n v="0"/>
    <x v="0"/>
  </r>
  <r>
    <x v="0"/>
    <x v="3"/>
    <x v="2"/>
    <x v="10"/>
    <n v="0"/>
    <x v="0"/>
  </r>
  <r>
    <x v="0"/>
    <x v="3"/>
    <x v="2"/>
    <x v="11"/>
    <n v="0"/>
    <x v="0"/>
  </r>
  <r>
    <x v="0"/>
    <x v="3"/>
    <x v="3"/>
    <x v="0"/>
    <n v="0"/>
    <x v="0"/>
  </r>
  <r>
    <x v="0"/>
    <x v="3"/>
    <x v="3"/>
    <x v="1"/>
    <n v="0"/>
    <x v="0"/>
  </r>
  <r>
    <x v="0"/>
    <x v="3"/>
    <x v="3"/>
    <x v="2"/>
    <n v="0"/>
    <x v="0"/>
  </r>
  <r>
    <x v="0"/>
    <x v="3"/>
    <x v="3"/>
    <x v="3"/>
    <n v="0"/>
    <x v="0"/>
  </r>
  <r>
    <x v="0"/>
    <x v="3"/>
    <x v="3"/>
    <x v="4"/>
    <n v="0"/>
    <x v="0"/>
  </r>
  <r>
    <x v="0"/>
    <x v="3"/>
    <x v="3"/>
    <x v="5"/>
    <n v="0"/>
    <x v="0"/>
  </r>
  <r>
    <x v="0"/>
    <x v="3"/>
    <x v="3"/>
    <x v="6"/>
    <n v="0"/>
    <x v="0"/>
  </r>
  <r>
    <x v="0"/>
    <x v="3"/>
    <x v="3"/>
    <x v="7"/>
    <n v="0"/>
    <x v="0"/>
  </r>
  <r>
    <x v="0"/>
    <x v="3"/>
    <x v="3"/>
    <x v="8"/>
    <n v="0"/>
    <x v="0"/>
  </r>
  <r>
    <x v="0"/>
    <x v="3"/>
    <x v="3"/>
    <x v="9"/>
    <n v="0"/>
    <x v="0"/>
  </r>
  <r>
    <x v="0"/>
    <x v="3"/>
    <x v="3"/>
    <x v="10"/>
    <n v="0"/>
    <x v="0"/>
  </r>
  <r>
    <x v="0"/>
    <x v="3"/>
    <x v="3"/>
    <x v="11"/>
    <n v="0"/>
    <x v="0"/>
  </r>
  <r>
    <x v="0"/>
    <x v="3"/>
    <x v="4"/>
    <x v="0"/>
    <n v="0"/>
    <x v="1"/>
  </r>
  <r>
    <x v="0"/>
    <x v="3"/>
    <x v="4"/>
    <x v="1"/>
    <n v="0"/>
    <x v="1"/>
  </r>
  <r>
    <x v="0"/>
    <x v="3"/>
    <x v="4"/>
    <x v="2"/>
    <n v="0"/>
    <x v="1"/>
  </r>
  <r>
    <x v="0"/>
    <x v="3"/>
    <x v="4"/>
    <x v="3"/>
    <n v="0"/>
    <x v="1"/>
  </r>
  <r>
    <x v="0"/>
    <x v="3"/>
    <x v="4"/>
    <x v="4"/>
    <n v="0"/>
    <x v="1"/>
  </r>
  <r>
    <x v="0"/>
    <x v="3"/>
    <x v="4"/>
    <x v="5"/>
    <n v="0"/>
    <x v="1"/>
  </r>
  <r>
    <x v="0"/>
    <x v="3"/>
    <x v="4"/>
    <x v="6"/>
    <n v="0"/>
    <x v="1"/>
  </r>
  <r>
    <x v="0"/>
    <x v="3"/>
    <x v="4"/>
    <x v="7"/>
    <n v="0"/>
    <x v="1"/>
  </r>
  <r>
    <x v="0"/>
    <x v="3"/>
    <x v="4"/>
    <x v="8"/>
    <n v="0"/>
    <x v="1"/>
  </r>
  <r>
    <x v="0"/>
    <x v="3"/>
    <x v="4"/>
    <x v="9"/>
    <n v="0"/>
    <x v="1"/>
  </r>
  <r>
    <x v="0"/>
    <x v="3"/>
    <x v="4"/>
    <x v="10"/>
    <n v="0"/>
    <x v="1"/>
  </r>
  <r>
    <x v="0"/>
    <x v="3"/>
    <x v="4"/>
    <x v="11"/>
    <n v="0"/>
    <x v="1"/>
  </r>
  <r>
    <x v="0"/>
    <x v="3"/>
    <x v="5"/>
    <x v="0"/>
    <n v="0"/>
    <x v="1"/>
  </r>
  <r>
    <x v="0"/>
    <x v="3"/>
    <x v="6"/>
    <x v="0"/>
    <n v="0"/>
    <x v="1"/>
  </r>
  <r>
    <x v="0"/>
    <x v="4"/>
    <x v="0"/>
    <x v="0"/>
    <n v="1"/>
    <x v="0"/>
  </r>
  <r>
    <x v="0"/>
    <x v="4"/>
    <x v="0"/>
    <x v="1"/>
    <n v="0"/>
    <x v="0"/>
  </r>
  <r>
    <x v="0"/>
    <x v="4"/>
    <x v="0"/>
    <x v="2"/>
    <n v="0"/>
    <x v="0"/>
  </r>
  <r>
    <x v="0"/>
    <x v="4"/>
    <x v="0"/>
    <x v="3"/>
    <n v="0"/>
    <x v="0"/>
  </r>
  <r>
    <x v="0"/>
    <x v="4"/>
    <x v="0"/>
    <x v="4"/>
    <n v="0"/>
    <x v="0"/>
  </r>
  <r>
    <x v="0"/>
    <x v="4"/>
    <x v="0"/>
    <x v="5"/>
    <n v="0"/>
    <x v="0"/>
  </r>
  <r>
    <x v="0"/>
    <x v="4"/>
    <x v="0"/>
    <x v="6"/>
    <n v="0"/>
    <x v="0"/>
  </r>
  <r>
    <x v="0"/>
    <x v="4"/>
    <x v="0"/>
    <x v="7"/>
    <n v="0"/>
    <x v="0"/>
  </r>
  <r>
    <x v="0"/>
    <x v="4"/>
    <x v="0"/>
    <x v="8"/>
    <n v="0"/>
    <x v="0"/>
  </r>
  <r>
    <x v="0"/>
    <x v="4"/>
    <x v="0"/>
    <x v="9"/>
    <n v="0"/>
    <x v="0"/>
  </r>
  <r>
    <x v="0"/>
    <x v="4"/>
    <x v="0"/>
    <x v="10"/>
    <n v="0"/>
    <x v="0"/>
  </r>
  <r>
    <x v="0"/>
    <x v="4"/>
    <x v="0"/>
    <x v="11"/>
    <n v="0"/>
    <x v="0"/>
  </r>
  <r>
    <x v="0"/>
    <x v="4"/>
    <x v="1"/>
    <x v="0"/>
    <n v="1"/>
    <x v="0"/>
  </r>
  <r>
    <x v="0"/>
    <x v="4"/>
    <x v="1"/>
    <x v="1"/>
    <n v="0"/>
    <x v="0"/>
  </r>
  <r>
    <x v="0"/>
    <x v="4"/>
    <x v="1"/>
    <x v="2"/>
    <n v="0"/>
    <x v="0"/>
  </r>
  <r>
    <x v="0"/>
    <x v="4"/>
    <x v="1"/>
    <x v="3"/>
    <n v="0"/>
    <x v="0"/>
  </r>
  <r>
    <x v="0"/>
    <x v="4"/>
    <x v="1"/>
    <x v="4"/>
    <n v="0"/>
    <x v="0"/>
  </r>
  <r>
    <x v="0"/>
    <x v="4"/>
    <x v="1"/>
    <x v="5"/>
    <n v="0"/>
    <x v="0"/>
  </r>
  <r>
    <x v="0"/>
    <x v="4"/>
    <x v="1"/>
    <x v="6"/>
    <n v="0"/>
    <x v="0"/>
  </r>
  <r>
    <x v="0"/>
    <x v="4"/>
    <x v="1"/>
    <x v="7"/>
    <n v="0"/>
    <x v="0"/>
  </r>
  <r>
    <x v="0"/>
    <x v="4"/>
    <x v="1"/>
    <x v="8"/>
    <n v="0"/>
    <x v="0"/>
  </r>
  <r>
    <x v="0"/>
    <x v="4"/>
    <x v="1"/>
    <x v="9"/>
    <n v="0"/>
    <x v="0"/>
  </r>
  <r>
    <x v="0"/>
    <x v="4"/>
    <x v="1"/>
    <x v="10"/>
    <n v="0"/>
    <x v="0"/>
  </r>
  <r>
    <x v="0"/>
    <x v="4"/>
    <x v="1"/>
    <x v="11"/>
    <n v="0"/>
    <x v="0"/>
  </r>
  <r>
    <x v="0"/>
    <x v="4"/>
    <x v="2"/>
    <x v="0"/>
    <n v="1"/>
    <x v="0"/>
  </r>
  <r>
    <x v="0"/>
    <x v="4"/>
    <x v="2"/>
    <x v="1"/>
    <n v="0"/>
    <x v="0"/>
  </r>
  <r>
    <x v="0"/>
    <x v="4"/>
    <x v="2"/>
    <x v="2"/>
    <n v="0"/>
    <x v="0"/>
  </r>
  <r>
    <x v="0"/>
    <x v="4"/>
    <x v="2"/>
    <x v="3"/>
    <n v="0"/>
    <x v="0"/>
  </r>
  <r>
    <x v="0"/>
    <x v="4"/>
    <x v="2"/>
    <x v="4"/>
    <n v="0"/>
    <x v="0"/>
  </r>
  <r>
    <x v="0"/>
    <x v="4"/>
    <x v="2"/>
    <x v="5"/>
    <n v="0"/>
    <x v="0"/>
  </r>
  <r>
    <x v="0"/>
    <x v="4"/>
    <x v="2"/>
    <x v="6"/>
    <n v="0"/>
    <x v="0"/>
  </r>
  <r>
    <x v="0"/>
    <x v="4"/>
    <x v="2"/>
    <x v="7"/>
    <n v="0"/>
    <x v="0"/>
  </r>
  <r>
    <x v="0"/>
    <x v="4"/>
    <x v="2"/>
    <x v="8"/>
    <n v="0"/>
    <x v="0"/>
  </r>
  <r>
    <x v="0"/>
    <x v="4"/>
    <x v="2"/>
    <x v="9"/>
    <n v="0"/>
    <x v="0"/>
  </r>
  <r>
    <x v="0"/>
    <x v="4"/>
    <x v="2"/>
    <x v="10"/>
    <n v="0"/>
    <x v="0"/>
  </r>
  <r>
    <x v="0"/>
    <x v="4"/>
    <x v="2"/>
    <x v="11"/>
    <n v="0"/>
    <x v="0"/>
  </r>
  <r>
    <x v="0"/>
    <x v="4"/>
    <x v="3"/>
    <x v="0"/>
    <n v="1"/>
    <x v="0"/>
  </r>
  <r>
    <x v="0"/>
    <x v="4"/>
    <x v="3"/>
    <x v="1"/>
    <n v="0"/>
    <x v="0"/>
  </r>
  <r>
    <x v="0"/>
    <x v="4"/>
    <x v="3"/>
    <x v="2"/>
    <n v="0"/>
    <x v="0"/>
  </r>
  <r>
    <x v="0"/>
    <x v="4"/>
    <x v="3"/>
    <x v="3"/>
    <n v="0"/>
    <x v="0"/>
  </r>
  <r>
    <x v="0"/>
    <x v="4"/>
    <x v="3"/>
    <x v="4"/>
    <n v="0"/>
    <x v="0"/>
  </r>
  <r>
    <x v="0"/>
    <x v="4"/>
    <x v="3"/>
    <x v="5"/>
    <n v="0"/>
    <x v="0"/>
  </r>
  <r>
    <x v="0"/>
    <x v="4"/>
    <x v="3"/>
    <x v="6"/>
    <n v="0"/>
    <x v="0"/>
  </r>
  <r>
    <x v="0"/>
    <x v="4"/>
    <x v="3"/>
    <x v="7"/>
    <n v="0"/>
    <x v="0"/>
  </r>
  <r>
    <x v="0"/>
    <x v="4"/>
    <x v="3"/>
    <x v="8"/>
    <n v="0"/>
    <x v="0"/>
  </r>
  <r>
    <x v="0"/>
    <x v="4"/>
    <x v="3"/>
    <x v="9"/>
    <n v="0"/>
    <x v="0"/>
  </r>
  <r>
    <x v="0"/>
    <x v="4"/>
    <x v="3"/>
    <x v="10"/>
    <n v="0"/>
    <x v="0"/>
  </r>
  <r>
    <x v="0"/>
    <x v="4"/>
    <x v="3"/>
    <x v="11"/>
    <n v="0"/>
    <x v="0"/>
  </r>
  <r>
    <x v="0"/>
    <x v="4"/>
    <x v="4"/>
    <x v="0"/>
    <n v="1"/>
    <x v="1"/>
  </r>
  <r>
    <x v="0"/>
    <x v="4"/>
    <x v="4"/>
    <x v="1"/>
    <n v="0"/>
    <x v="1"/>
  </r>
  <r>
    <x v="0"/>
    <x v="4"/>
    <x v="4"/>
    <x v="2"/>
    <n v="0"/>
    <x v="1"/>
  </r>
  <r>
    <x v="0"/>
    <x v="4"/>
    <x v="4"/>
    <x v="3"/>
    <n v="0"/>
    <x v="1"/>
  </r>
  <r>
    <x v="0"/>
    <x v="4"/>
    <x v="4"/>
    <x v="4"/>
    <n v="0"/>
    <x v="1"/>
  </r>
  <r>
    <x v="0"/>
    <x v="4"/>
    <x v="4"/>
    <x v="5"/>
    <n v="0"/>
    <x v="1"/>
  </r>
  <r>
    <x v="0"/>
    <x v="4"/>
    <x v="4"/>
    <x v="6"/>
    <n v="0"/>
    <x v="1"/>
  </r>
  <r>
    <x v="0"/>
    <x v="4"/>
    <x v="4"/>
    <x v="7"/>
    <n v="0"/>
    <x v="1"/>
  </r>
  <r>
    <x v="0"/>
    <x v="4"/>
    <x v="4"/>
    <x v="8"/>
    <n v="0"/>
    <x v="1"/>
  </r>
  <r>
    <x v="0"/>
    <x v="4"/>
    <x v="4"/>
    <x v="9"/>
    <n v="0"/>
    <x v="1"/>
  </r>
  <r>
    <x v="0"/>
    <x v="4"/>
    <x v="4"/>
    <x v="10"/>
    <n v="0"/>
    <x v="1"/>
  </r>
  <r>
    <x v="0"/>
    <x v="4"/>
    <x v="4"/>
    <x v="11"/>
    <n v="0"/>
    <x v="1"/>
  </r>
  <r>
    <x v="0"/>
    <x v="4"/>
    <x v="5"/>
    <x v="0"/>
    <n v="1"/>
    <x v="1"/>
  </r>
  <r>
    <x v="0"/>
    <x v="4"/>
    <x v="6"/>
    <x v="0"/>
    <n v="1"/>
    <x v="1"/>
  </r>
  <r>
    <x v="0"/>
    <x v="5"/>
    <x v="0"/>
    <x v="0"/>
    <n v="0"/>
    <x v="0"/>
  </r>
  <r>
    <x v="0"/>
    <x v="5"/>
    <x v="0"/>
    <x v="1"/>
    <n v="0"/>
    <x v="0"/>
  </r>
  <r>
    <x v="0"/>
    <x v="5"/>
    <x v="0"/>
    <x v="2"/>
    <n v="0"/>
    <x v="0"/>
  </r>
  <r>
    <x v="0"/>
    <x v="5"/>
    <x v="0"/>
    <x v="3"/>
    <n v="0"/>
    <x v="0"/>
  </r>
  <r>
    <x v="0"/>
    <x v="5"/>
    <x v="0"/>
    <x v="4"/>
    <n v="0"/>
    <x v="0"/>
  </r>
  <r>
    <x v="0"/>
    <x v="5"/>
    <x v="0"/>
    <x v="5"/>
    <n v="0"/>
    <x v="0"/>
  </r>
  <r>
    <x v="0"/>
    <x v="5"/>
    <x v="0"/>
    <x v="6"/>
    <n v="0"/>
    <x v="0"/>
  </r>
  <r>
    <x v="0"/>
    <x v="5"/>
    <x v="0"/>
    <x v="7"/>
    <n v="0"/>
    <x v="0"/>
  </r>
  <r>
    <x v="0"/>
    <x v="5"/>
    <x v="0"/>
    <x v="8"/>
    <n v="0"/>
    <x v="0"/>
  </r>
  <r>
    <x v="0"/>
    <x v="5"/>
    <x v="0"/>
    <x v="9"/>
    <n v="0"/>
    <x v="0"/>
  </r>
  <r>
    <x v="0"/>
    <x v="5"/>
    <x v="0"/>
    <x v="10"/>
    <n v="0"/>
    <x v="0"/>
  </r>
  <r>
    <x v="0"/>
    <x v="5"/>
    <x v="0"/>
    <x v="11"/>
    <n v="0"/>
    <x v="0"/>
  </r>
  <r>
    <x v="0"/>
    <x v="5"/>
    <x v="1"/>
    <x v="0"/>
    <n v="0"/>
    <x v="0"/>
  </r>
  <r>
    <x v="0"/>
    <x v="5"/>
    <x v="1"/>
    <x v="1"/>
    <n v="0"/>
    <x v="0"/>
  </r>
  <r>
    <x v="0"/>
    <x v="5"/>
    <x v="1"/>
    <x v="2"/>
    <n v="0"/>
    <x v="0"/>
  </r>
  <r>
    <x v="0"/>
    <x v="5"/>
    <x v="1"/>
    <x v="3"/>
    <n v="0"/>
    <x v="0"/>
  </r>
  <r>
    <x v="0"/>
    <x v="5"/>
    <x v="1"/>
    <x v="4"/>
    <n v="0"/>
    <x v="0"/>
  </r>
  <r>
    <x v="0"/>
    <x v="5"/>
    <x v="1"/>
    <x v="5"/>
    <n v="0"/>
    <x v="0"/>
  </r>
  <r>
    <x v="0"/>
    <x v="5"/>
    <x v="1"/>
    <x v="6"/>
    <n v="0"/>
    <x v="0"/>
  </r>
  <r>
    <x v="0"/>
    <x v="5"/>
    <x v="1"/>
    <x v="7"/>
    <n v="0"/>
    <x v="0"/>
  </r>
  <r>
    <x v="0"/>
    <x v="5"/>
    <x v="1"/>
    <x v="8"/>
    <n v="0"/>
    <x v="0"/>
  </r>
  <r>
    <x v="0"/>
    <x v="5"/>
    <x v="1"/>
    <x v="9"/>
    <n v="0"/>
    <x v="0"/>
  </r>
  <r>
    <x v="0"/>
    <x v="5"/>
    <x v="1"/>
    <x v="10"/>
    <n v="0"/>
    <x v="0"/>
  </r>
  <r>
    <x v="0"/>
    <x v="5"/>
    <x v="1"/>
    <x v="11"/>
    <n v="0"/>
    <x v="0"/>
  </r>
  <r>
    <x v="0"/>
    <x v="5"/>
    <x v="2"/>
    <x v="0"/>
    <n v="0"/>
    <x v="0"/>
  </r>
  <r>
    <x v="0"/>
    <x v="5"/>
    <x v="2"/>
    <x v="1"/>
    <n v="0"/>
    <x v="0"/>
  </r>
  <r>
    <x v="0"/>
    <x v="5"/>
    <x v="2"/>
    <x v="2"/>
    <n v="0"/>
    <x v="0"/>
  </r>
  <r>
    <x v="0"/>
    <x v="5"/>
    <x v="2"/>
    <x v="3"/>
    <n v="0"/>
    <x v="0"/>
  </r>
  <r>
    <x v="0"/>
    <x v="5"/>
    <x v="2"/>
    <x v="4"/>
    <n v="0"/>
    <x v="0"/>
  </r>
  <r>
    <x v="0"/>
    <x v="5"/>
    <x v="2"/>
    <x v="5"/>
    <n v="0"/>
    <x v="0"/>
  </r>
  <r>
    <x v="0"/>
    <x v="5"/>
    <x v="2"/>
    <x v="6"/>
    <n v="0"/>
    <x v="0"/>
  </r>
  <r>
    <x v="0"/>
    <x v="5"/>
    <x v="2"/>
    <x v="7"/>
    <n v="0"/>
    <x v="0"/>
  </r>
  <r>
    <x v="0"/>
    <x v="5"/>
    <x v="2"/>
    <x v="8"/>
    <n v="0"/>
    <x v="0"/>
  </r>
  <r>
    <x v="0"/>
    <x v="5"/>
    <x v="2"/>
    <x v="9"/>
    <n v="0"/>
    <x v="0"/>
  </r>
  <r>
    <x v="0"/>
    <x v="5"/>
    <x v="2"/>
    <x v="10"/>
    <n v="0"/>
    <x v="0"/>
  </r>
  <r>
    <x v="0"/>
    <x v="5"/>
    <x v="2"/>
    <x v="11"/>
    <n v="0"/>
    <x v="0"/>
  </r>
  <r>
    <x v="0"/>
    <x v="5"/>
    <x v="3"/>
    <x v="0"/>
    <n v="0"/>
    <x v="0"/>
  </r>
  <r>
    <x v="0"/>
    <x v="5"/>
    <x v="3"/>
    <x v="1"/>
    <n v="0"/>
    <x v="0"/>
  </r>
  <r>
    <x v="0"/>
    <x v="5"/>
    <x v="3"/>
    <x v="2"/>
    <n v="0"/>
    <x v="0"/>
  </r>
  <r>
    <x v="0"/>
    <x v="5"/>
    <x v="3"/>
    <x v="3"/>
    <n v="0"/>
    <x v="0"/>
  </r>
  <r>
    <x v="0"/>
    <x v="5"/>
    <x v="3"/>
    <x v="4"/>
    <n v="0"/>
    <x v="0"/>
  </r>
  <r>
    <x v="0"/>
    <x v="5"/>
    <x v="3"/>
    <x v="5"/>
    <n v="0"/>
    <x v="0"/>
  </r>
  <r>
    <x v="0"/>
    <x v="5"/>
    <x v="3"/>
    <x v="6"/>
    <n v="0"/>
    <x v="0"/>
  </r>
  <r>
    <x v="0"/>
    <x v="5"/>
    <x v="3"/>
    <x v="7"/>
    <n v="0"/>
    <x v="0"/>
  </r>
  <r>
    <x v="0"/>
    <x v="5"/>
    <x v="3"/>
    <x v="8"/>
    <n v="0"/>
    <x v="0"/>
  </r>
  <r>
    <x v="0"/>
    <x v="5"/>
    <x v="3"/>
    <x v="9"/>
    <n v="0"/>
    <x v="0"/>
  </r>
  <r>
    <x v="0"/>
    <x v="5"/>
    <x v="3"/>
    <x v="10"/>
    <n v="0"/>
    <x v="0"/>
  </r>
  <r>
    <x v="0"/>
    <x v="5"/>
    <x v="3"/>
    <x v="11"/>
    <n v="0"/>
    <x v="0"/>
  </r>
  <r>
    <x v="0"/>
    <x v="5"/>
    <x v="4"/>
    <x v="0"/>
    <n v="0"/>
    <x v="1"/>
  </r>
  <r>
    <x v="0"/>
    <x v="5"/>
    <x v="4"/>
    <x v="1"/>
    <n v="0"/>
    <x v="1"/>
  </r>
  <r>
    <x v="0"/>
    <x v="5"/>
    <x v="4"/>
    <x v="2"/>
    <n v="0"/>
    <x v="1"/>
  </r>
  <r>
    <x v="0"/>
    <x v="5"/>
    <x v="4"/>
    <x v="3"/>
    <n v="0"/>
    <x v="1"/>
  </r>
  <r>
    <x v="0"/>
    <x v="5"/>
    <x v="4"/>
    <x v="4"/>
    <n v="0"/>
    <x v="1"/>
  </r>
  <r>
    <x v="0"/>
    <x v="5"/>
    <x v="4"/>
    <x v="5"/>
    <n v="0"/>
    <x v="1"/>
  </r>
  <r>
    <x v="0"/>
    <x v="5"/>
    <x v="4"/>
    <x v="6"/>
    <n v="0"/>
    <x v="1"/>
  </r>
  <r>
    <x v="0"/>
    <x v="5"/>
    <x v="4"/>
    <x v="7"/>
    <n v="0"/>
    <x v="1"/>
  </r>
  <r>
    <x v="0"/>
    <x v="5"/>
    <x v="4"/>
    <x v="8"/>
    <n v="0"/>
    <x v="1"/>
  </r>
  <r>
    <x v="0"/>
    <x v="5"/>
    <x v="4"/>
    <x v="9"/>
    <n v="0"/>
    <x v="1"/>
  </r>
  <r>
    <x v="0"/>
    <x v="5"/>
    <x v="4"/>
    <x v="10"/>
    <n v="0"/>
    <x v="1"/>
  </r>
  <r>
    <x v="0"/>
    <x v="5"/>
    <x v="4"/>
    <x v="11"/>
    <n v="0"/>
    <x v="1"/>
  </r>
  <r>
    <x v="0"/>
    <x v="5"/>
    <x v="5"/>
    <x v="0"/>
    <n v="0"/>
    <x v="1"/>
  </r>
  <r>
    <x v="0"/>
    <x v="5"/>
    <x v="6"/>
    <x v="0"/>
    <n v="0"/>
    <x v="1"/>
  </r>
  <r>
    <x v="0"/>
    <x v="6"/>
    <x v="0"/>
    <x v="0"/>
    <n v="0"/>
    <x v="0"/>
  </r>
  <r>
    <x v="0"/>
    <x v="6"/>
    <x v="0"/>
    <x v="1"/>
    <n v="0"/>
    <x v="0"/>
  </r>
  <r>
    <x v="0"/>
    <x v="6"/>
    <x v="0"/>
    <x v="2"/>
    <n v="0"/>
    <x v="0"/>
  </r>
  <r>
    <x v="0"/>
    <x v="6"/>
    <x v="0"/>
    <x v="3"/>
    <n v="0"/>
    <x v="0"/>
  </r>
  <r>
    <x v="0"/>
    <x v="6"/>
    <x v="0"/>
    <x v="4"/>
    <n v="0"/>
    <x v="0"/>
  </r>
  <r>
    <x v="0"/>
    <x v="6"/>
    <x v="0"/>
    <x v="5"/>
    <n v="0"/>
    <x v="0"/>
  </r>
  <r>
    <x v="0"/>
    <x v="6"/>
    <x v="0"/>
    <x v="6"/>
    <n v="0"/>
    <x v="0"/>
  </r>
  <r>
    <x v="0"/>
    <x v="6"/>
    <x v="0"/>
    <x v="7"/>
    <n v="0"/>
    <x v="0"/>
  </r>
  <r>
    <x v="0"/>
    <x v="6"/>
    <x v="0"/>
    <x v="8"/>
    <n v="0"/>
    <x v="0"/>
  </r>
  <r>
    <x v="0"/>
    <x v="6"/>
    <x v="0"/>
    <x v="9"/>
    <n v="0"/>
    <x v="0"/>
  </r>
  <r>
    <x v="0"/>
    <x v="6"/>
    <x v="0"/>
    <x v="10"/>
    <n v="0"/>
    <x v="0"/>
  </r>
  <r>
    <x v="0"/>
    <x v="6"/>
    <x v="0"/>
    <x v="11"/>
    <n v="0"/>
    <x v="0"/>
  </r>
  <r>
    <x v="0"/>
    <x v="6"/>
    <x v="1"/>
    <x v="0"/>
    <n v="0"/>
    <x v="0"/>
  </r>
  <r>
    <x v="0"/>
    <x v="6"/>
    <x v="1"/>
    <x v="1"/>
    <n v="0"/>
    <x v="0"/>
  </r>
  <r>
    <x v="0"/>
    <x v="6"/>
    <x v="1"/>
    <x v="2"/>
    <n v="0"/>
    <x v="0"/>
  </r>
  <r>
    <x v="0"/>
    <x v="6"/>
    <x v="1"/>
    <x v="3"/>
    <n v="0"/>
    <x v="0"/>
  </r>
  <r>
    <x v="0"/>
    <x v="6"/>
    <x v="1"/>
    <x v="4"/>
    <n v="0"/>
    <x v="0"/>
  </r>
  <r>
    <x v="0"/>
    <x v="6"/>
    <x v="1"/>
    <x v="5"/>
    <n v="0"/>
    <x v="0"/>
  </r>
  <r>
    <x v="0"/>
    <x v="6"/>
    <x v="1"/>
    <x v="6"/>
    <n v="0"/>
    <x v="0"/>
  </r>
  <r>
    <x v="0"/>
    <x v="6"/>
    <x v="1"/>
    <x v="7"/>
    <n v="0"/>
    <x v="0"/>
  </r>
  <r>
    <x v="0"/>
    <x v="6"/>
    <x v="1"/>
    <x v="8"/>
    <n v="0"/>
    <x v="0"/>
  </r>
  <r>
    <x v="0"/>
    <x v="6"/>
    <x v="1"/>
    <x v="9"/>
    <n v="0"/>
    <x v="0"/>
  </r>
  <r>
    <x v="0"/>
    <x v="6"/>
    <x v="1"/>
    <x v="10"/>
    <n v="0"/>
    <x v="0"/>
  </r>
  <r>
    <x v="0"/>
    <x v="6"/>
    <x v="1"/>
    <x v="11"/>
    <n v="0"/>
    <x v="0"/>
  </r>
  <r>
    <x v="0"/>
    <x v="6"/>
    <x v="2"/>
    <x v="0"/>
    <n v="0"/>
    <x v="0"/>
  </r>
  <r>
    <x v="0"/>
    <x v="6"/>
    <x v="2"/>
    <x v="1"/>
    <n v="0"/>
    <x v="0"/>
  </r>
  <r>
    <x v="0"/>
    <x v="6"/>
    <x v="2"/>
    <x v="2"/>
    <n v="0"/>
    <x v="0"/>
  </r>
  <r>
    <x v="0"/>
    <x v="6"/>
    <x v="2"/>
    <x v="3"/>
    <n v="0"/>
    <x v="0"/>
  </r>
  <r>
    <x v="0"/>
    <x v="6"/>
    <x v="2"/>
    <x v="4"/>
    <n v="0"/>
    <x v="0"/>
  </r>
  <r>
    <x v="0"/>
    <x v="6"/>
    <x v="2"/>
    <x v="5"/>
    <n v="0"/>
    <x v="0"/>
  </r>
  <r>
    <x v="0"/>
    <x v="6"/>
    <x v="2"/>
    <x v="6"/>
    <n v="0"/>
    <x v="0"/>
  </r>
  <r>
    <x v="0"/>
    <x v="6"/>
    <x v="2"/>
    <x v="7"/>
    <n v="0"/>
    <x v="0"/>
  </r>
  <r>
    <x v="0"/>
    <x v="6"/>
    <x v="2"/>
    <x v="8"/>
    <n v="0"/>
    <x v="0"/>
  </r>
  <r>
    <x v="0"/>
    <x v="6"/>
    <x v="2"/>
    <x v="9"/>
    <n v="0"/>
    <x v="0"/>
  </r>
  <r>
    <x v="0"/>
    <x v="6"/>
    <x v="2"/>
    <x v="10"/>
    <n v="0"/>
    <x v="0"/>
  </r>
  <r>
    <x v="0"/>
    <x v="6"/>
    <x v="2"/>
    <x v="11"/>
    <n v="0"/>
    <x v="0"/>
  </r>
  <r>
    <x v="0"/>
    <x v="6"/>
    <x v="3"/>
    <x v="0"/>
    <n v="0"/>
    <x v="0"/>
  </r>
  <r>
    <x v="0"/>
    <x v="6"/>
    <x v="3"/>
    <x v="1"/>
    <n v="0"/>
    <x v="0"/>
  </r>
  <r>
    <x v="0"/>
    <x v="6"/>
    <x v="3"/>
    <x v="2"/>
    <n v="0"/>
    <x v="0"/>
  </r>
  <r>
    <x v="0"/>
    <x v="6"/>
    <x v="3"/>
    <x v="3"/>
    <n v="0"/>
    <x v="0"/>
  </r>
  <r>
    <x v="0"/>
    <x v="6"/>
    <x v="3"/>
    <x v="4"/>
    <n v="0"/>
    <x v="0"/>
  </r>
  <r>
    <x v="0"/>
    <x v="6"/>
    <x v="3"/>
    <x v="5"/>
    <n v="0"/>
    <x v="0"/>
  </r>
  <r>
    <x v="0"/>
    <x v="6"/>
    <x v="3"/>
    <x v="6"/>
    <n v="0"/>
    <x v="0"/>
  </r>
  <r>
    <x v="0"/>
    <x v="6"/>
    <x v="3"/>
    <x v="7"/>
    <n v="0"/>
    <x v="0"/>
  </r>
  <r>
    <x v="0"/>
    <x v="6"/>
    <x v="3"/>
    <x v="8"/>
    <n v="0"/>
    <x v="0"/>
  </r>
  <r>
    <x v="0"/>
    <x v="6"/>
    <x v="3"/>
    <x v="9"/>
    <n v="0"/>
    <x v="0"/>
  </r>
  <r>
    <x v="0"/>
    <x v="6"/>
    <x v="3"/>
    <x v="10"/>
    <n v="0"/>
    <x v="0"/>
  </r>
  <r>
    <x v="0"/>
    <x v="6"/>
    <x v="3"/>
    <x v="11"/>
    <n v="0"/>
    <x v="0"/>
  </r>
  <r>
    <x v="0"/>
    <x v="6"/>
    <x v="4"/>
    <x v="0"/>
    <n v="0"/>
    <x v="1"/>
  </r>
  <r>
    <x v="0"/>
    <x v="6"/>
    <x v="4"/>
    <x v="1"/>
    <n v="0"/>
    <x v="1"/>
  </r>
  <r>
    <x v="0"/>
    <x v="6"/>
    <x v="4"/>
    <x v="2"/>
    <n v="0"/>
    <x v="1"/>
  </r>
  <r>
    <x v="0"/>
    <x v="6"/>
    <x v="4"/>
    <x v="3"/>
    <n v="0"/>
    <x v="1"/>
  </r>
  <r>
    <x v="0"/>
    <x v="6"/>
    <x v="4"/>
    <x v="4"/>
    <n v="0"/>
    <x v="1"/>
  </r>
  <r>
    <x v="0"/>
    <x v="6"/>
    <x v="4"/>
    <x v="5"/>
    <n v="0"/>
    <x v="1"/>
  </r>
  <r>
    <x v="0"/>
    <x v="6"/>
    <x v="4"/>
    <x v="6"/>
    <n v="0"/>
    <x v="1"/>
  </r>
  <r>
    <x v="0"/>
    <x v="6"/>
    <x v="4"/>
    <x v="7"/>
    <n v="0"/>
    <x v="1"/>
  </r>
  <r>
    <x v="0"/>
    <x v="6"/>
    <x v="4"/>
    <x v="8"/>
    <n v="0"/>
    <x v="1"/>
  </r>
  <r>
    <x v="0"/>
    <x v="6"/>
    <x v="4"/>
    <x v="9"/>
    <n v="0"/>
    <x v="1"/>
  </r>
  <r>
    <x v="0"/>
    <x v="6"/>
    <x v="4"/>
    <x v="10"/>
    <n v="0"/>
    <x v="1"/>
  </r>
  <r>
    <x v="0"/>
    <x v="6"/>
    <x v="4"/>
    <x v="11"/>
    <n v="0"/>
    <x v="1"/>
  </r>
  <r>
    <x v="0"/>
    <x v="6"/>
    <x v="5"/>
    <x v="0"/>
    <n v="0"/>
    <x v="1"/>
  </r>
  <r>
    <x v="0"/>
    <x v="6"/>
    <x v="6"/>
    <x v="0"/>
    <n v="0"/>
    <x v="1"/>
  </r>
  <r>
    <x v="0"/>
    <x v="7"/>
    <x v="0"/>
    <x v="0"/>
    <n v="1"/>
    <x v="0"/>
  </r>
  <r>
    <x v="0"/>
    <x v="7"/>
    <x v="0"/>
    <x v="1"/>
    <n v="0"/>
    <x v="0"/>
  </r>
  <r>
    <x v="0"/>
    <x v="7"/>
    <x v="0"/>
    <x v="2"/>
    <n v="0"/>
    <x v="0"/>
  </r>
  <r>
    <x v="0"/>
    <x v="7"/>
    <x v="0"/>
    <x v="3"/>
    <n v="0"/>
    <x v="0"/>
  </r>
  <r>
    <x v="0"/>
    <x v="7"/>
    <x v="0"/>
    <x v="4"/>
    <n v="0"/>
    <x v="0"/>
  </r>
  <r>
    <x v="0"/>
    <x v="7"/>
    <x v="0"/>
    <x v="5"/>
    <n v="0"/>
    <x v="0"/>
  </r>
  <r>
    <x v="0"/>
    <x v="7"/>
    <x v="0"/>
    <x v="6"/>
    <n v="0"/>
    <x v="0"/>
  </r>
  <r>
    <x v="0"/>
    <x v="7"/>
    <x v="0"/>
    <x v="7"/>
    <n v="0"/>
    <x v="0"/>
  </r>
  <r>
    <x v="0"/>
    <x v="7"/>
    <x v="0"/>
    <x v="8"/>
    <n v="0"/>
    <x v="0"/>
  </r>
  <r>
    <x v="0"/>
    <x v="7"/>
    <x v="0"/>
    <x v="9"/>
    <n v="0"/>
    <x v="0"/>
  </r>
  <r>
    <x v="0"/>
    <x v="7"/>
    <x v="0"/>
    <x v="10"/>
    <n v="0"/>
    <x v="0"/>
  </r>
  <r>
    <x v="0"/>
    <x v="7"/>
    <x v="0"/>
    <x v="11"/>
    <n v="0"/>
    <x v="0"/>
  </r>
  <r>
    <x v="0"/>
    <x v="7"/>
    <x v="1"/>
    <x v="0"/>
    <n v="1"/>
    <x v="0"/>
  </r>
  <r>
    <x v="0"/>
    <x v="7"/>
    <x v="1"/>
    <x v="1"/>
    <n v="0"/>
    <x v="0"/>
  </r>
  <r>
    <x v="0"/>
    <x v="7"/>
    <x v="1"/>
    <x v="2"/>
    <n v="0"/>
    <x v="0"/>
  </r>
  <r>
    <x v="0"/>
    <x v="7"/>
    <x v="1"/>
    <x v="3"/>
    <n v="0"/>
    <x v="0"/>
  </r>
  <r>
    <x v="0"/>
    <x v="7"/>
    <x v="1"/>
    <x v="4"/>
    <n v="0"/>
    <x v="0"/>
  </r>
  <r>
    <x v="0"/>
    <x v="7"/>
    <x v="1"/>
    <x v="5"/>
    <n v="0"/>
    <x v="0"/>
  </r>
  <r>
    <x v="0"/>
    <x v="7"/>
    <x v="1"/>
    <x v="6"/>
    <n v="0"/>
    <x v="0"/>
  </r>
  <r>
    <x v="0"/>
    <x v="7"/>
    <x v="1"/>
    <x v="7"/>
    <n v="0"/>
    <x v="0"/>
  </r>
  <r>
    <x v="0"/>
    <x v="7"/>
    <x v="1"/>
    <x v="8"/>
    <n v="0"/>
    <x v="0"/>
  </r>
  <r>
    <x v="0"/>
    <x v="7"/>
    <x v="1"/>
    <x v="9"/>
    <n v="0"/>
    <x v="0"/>
  </r>
  <r>
    <x v="0"/>
    <x v="7"/>
    <x v="1"/>
    <x v="10"/>
    <n v="0"/>
    <x v="0"/>
  </r>
  <r>
    <x v="0"/>
    <x v="7"/>
    <x v="1"/>
    <x v="11"/>
    <n v="0"/>
    <x v="0"/>
  </r>
  <r>
    <x v="0"/>
    <x v="7"/>
    <x v="2"/>
    <x v="0"/>
    <n v="1"/>
    <x v="0"/>
  </r>
  <r>
    <x v="0"/>
    <x v="7"/>
    <x v="2"/>
    <x v="1"/>
    <n v="0"/>
    <x v="0"/>
  </r>
  <r>
    <x v="0"/>
    <x v="7"/>
    <x v="2"/>
    <x v="2"/>
    <n v="0"/>
    <x v="0"/>
  </r>
  <r>
    <x v="0"/>
    <x v="7"/>
    <x v="2"/>
    <x v="3"/>
    <n v="0"/>
    <x v="0"/>
  </r>
  <r>
    <x v="0"/>
    <x v="7"/>
    <x v="2"/>
    <x v="4"/>
    <n v="0"/>
    <x v="0"/>
  </r>
  <r>
    <x v="0"/>
    <x v="7"/>
    <x v="2"/>
    <x v="5"/>
    <n v="0"/>
    <x v="0"/>
  </r>
  <r>
    <x v="0"/>
    <x v="7"/>
    <x v="2"/>
    <x v="6"/>
    <n v="0"/>
    <x v="0"/>
  </r>
  <r>
    <x v="0"/>
    <x v="7"/>
    <x v="2"/>
    <x v="7"/>
    <n v="0"/>
    <x v="0"/>
  </r>
  <r>
    <x v="0"/>
    <x v="7"/>
    <x v="2"/>
    <x v="8"/>
    <n v="0"/>
    <x v="0"/>
  </r>
  <r>
    <x v="0"/>
    <x v="7"/>
    <x v="2"/>
    <x v="9"/>
    <n v="0"/>
    <x v="0"/>
  </r>
  <r>
    <x v="0"/>
    <x v="7"/>
    <x v="2"/>
    <x v="10"/>
    <n v="0"/>
    <x v="0"/>
  </r>
  <r>
    <x v="0"/>
    <x v="7"/>
    <x v="2"/>
    <x v="11"/>
    <n v="0"/>
    <x v="0"/>
  </r>
  <r>
    <x v="0"/>
    <x v="7"/>
    <x v="3"/>
    <x v="0"/>
    <n v="1"/>
    <x v="0"/>
  </r>
  <r>
    <x v="0"/>
    <x v="7"/>
    <x v="3"/>
    <x v="1"/>
    <n v="0"/>
    <x v="0"/>
  </r>
  <r>
    <x v="0"/>
    <x v="7"/>
    <x v="3"/>
    <x v="2"/>
    <n v="0"/>
    <x v="0"/>
  </r>
  <r>
    <x v="0"/>
    <x v="7"/>
    <x v="3"/>
    <x v="3"/>
    <n v="0"/>
    <x v="0"/>
  </r>
  <r>
    <x v="0"/>
    <x v="7"/>
    <x v="3"/>
    <x v="4"/>
    <n v="0"/>
    <x v="0"/>
  </r>
  <r>
    <x v="0"/>
    <x v="7"/>
    <x v="3"/>
    <x v="5"/>
    <n v="0"/>
    <x v="0"/>
  </r>
  <r>
    <x v="0"/>
    <x v="7"/>
    <x v="3"/>
    <x v="6"/>
    <n v="0"/>
    <x v="0"/>
  </r>
  <r>
    <x v="0"/>
    <x v="7"/>
    <x v="3"/>
    <x v="7"/>
    <n v="0"/>
    <x v="0"/>
  </r>
  <r>
    <x v="0"/>
    <x v="7"/>
    <x v="3"/>
    <x v="8"/>
    <n v="0"/>
    <x v="0"/>
  </r>
  <r>
    <x v="0"/>
    <x v="7"/>
    <x v="3"/>
    <x v="9"/>
    <n v="0"/>
    <x v="0"/>
  </r>
  <r>
    <x v="0"/>
    <x v="7"/>
    <x v="3"/>
    <x v="10"/>
    <n v="0"/>
    <x v="0"/>
  </r>
  <r>
    <x v="0"/>
    <x v="7"/>
    <x v="3"/>
    <x v="11"/>
    <n v="0"/>
    <x v="0"/>
  </r>
  <r>
    <x v="0"/>
    <x v="7"/>
    <x v="4"/>
    <x v="0"/>
    <n v="1"/>
    <x v="1"/>
  </r>
  <r>
    <x v="0"/>
    <x v="7"/>
    <x v="4"/>
    <x v="1"/>
    <n v="0"/>
    <x v="1"/>
  </r>
  <r>
    <x v="0"/>
    <x v="7"/>
    <x v="4"/>
    <x v="2"/>
    <n v="0"/>
    <x v="1"/>
  </r>
  <r>
    <x v="0"/>
    <x v="7"/>
    <x v="4"/>
    <x v="3"/>
    <n v="0"/>
    <x v="1"/>
  </r>
  <r>
    <x v="0"/>
    <x v="7"/>
    <x v="4"/>
    <x v="4"/>
    <n v="0"/>
    <x v="1"/>
  </r>
  <r>
    <x v="0"/>
    <x v="7"/>
    <x v="4"/>
    <x v="5"/>
    <n v="0"/>
    <x v="1"/>
  </r>
  <r>
    <x v="0"/>
    <x v="7"/>
    <x v="4"/>
    <x v="6"/>
    <n v="0"/>
    <x v="1"/>
  </r>
  <r>
    <x v="0"/>
    <x v="7"/>
    <x v="4"/>
    <x v="7"/>
    <n v="0"/>
    <x v="1"/>
  </r>
  <r>
    <x v="0"/>
    <x v="7"/>
    <x v="4"/>
    <x v="8"/>
    <n v="0"/>
    <x v="1"/>
  </r>
  <r>
    <x v="0"/>
    <x v="7"/>
    <x v="4"/>
    <x v="9"/>
    <n v="0"/>
    <x v="1"/>
  </r>
  <r>
    <x v="0"/>
    <x v="7"/>
    <x v="4"/>
    <x v="10"/>
    <n v="0"/>
    <x v="1"/>
  </r>
  <r>
    <x v="0"/>
    <x v="7"/>
    <x v="4"/>
    <x v="11"/>
    <n v="0"/>
    <x v="1"/>
  </r>
  <r>
    <x v="0"/>
    <x v="7"/>
    <x v="5"/>
    <x v="0"/>
    <n v="1"/>
    <x v="1"/>
  </r>
  <r>
    <x v="0"/>
    <x v="7"/>
    <x v="6"/>
    <x v="0"/>
    <n v="1"/>
    <x v="1"/>
  </r>
  <r>
    <x v="0"/>
    <x v="8"/>
    <x v="0"/>
    <x v="0"/>
    <n v="0"/>
    <x v="0"/>
  </r>
  <r>
    <x v="0"/>
    <x v="8"/>
    <x v="0"/>
    <x v="1"/>
    <n v="0"/>
    <x v="0"/>
  </r>
  <r>
    <x v="0"/>
    <x v="8"/>
    <x v="0"/>
    <x v="2"/>
    <n v="0"/>
    <x v="0"/>
  </r>
  <r>
    <x v="0"/>
    <x v="8"/>
    <x v="0"/>
    <x v="3"/>
    <n v="0"/>
    <x v="0"/>
  </r>
  <r>
    <x v="0"/>
    <x v="8"/>
    <x v="0"/>
    <x v="4"/>
    <n v="0"/>
    <x v="0"/>
  </r>
  <r>
    <x v="0"/>
    <x v="8"/>
    <x v="0"/>
    <x v="5"/>
    <n v="0"/>
    <x v="0"/>
  </r>
  <r>
    <x v="0"/>
    <x v="8"/>
    <x v="0"/>
    <x v="6"/>
    <n v="0"/>
    <x v="0"/>
  </r>
  <r>
    <x v="0"/>
    <x v="8"/>
    <x v="0"/>
    <x v="7"/>
    <n v="0"/>
    <x v="0"/>
  </r>
  <r>
    <x v="0"/>
    <x v="8"/>
    <x v="0"/>
    <x v="8"/>
    <n v="0"/>
    <x v="0"/>
  </r>
  <r>
    <x v="0"/>
    <x v="8"/>
    <x v="0"/>
    <x v="9"/>
    <n v="0"/>
    <x v="0"/>
  </r>
  <r>
    <x v="0"/>
    <x v="8"/>
    <x v="0"/>
    <x v="10"/>
    <n v="0"/>
    <x v="0"/>
  </r>
  <r>
    <x v="0"/>
    <x v="8"/>
    <x v="0"/>
    <x v="11"/>
    <n v="0"/>
    <x v="0"/>
  </r>
  <r>
    <x v="0"/>
    <x v="8"/>
    <x v="1"/>
    <x v="0"/>
    <n v="0"/>
    <x v="0"/>
  </r>
  <r>
    <x v="0"/>
    <x v="8"/>
    <x v="1"/>
    <x v="1"/>
    <n v="0"/>
    <x v="0"/>
  </r>
  <r>
    <x v="0"/>
    <x v="8"/>
    <x v="1"/>
    <x v="2"/>
    <n v="0"/>
    <x v="0"/>
  </r>
  <r>
    <x v="0"/>
    <x v="8"/>
    <x v="1"/>
    <x v="3"/>
    <n v="0"/>
    <x v="0"/>
  </r>
  <r>
    <x v="0"/>
    <x v="8"/>
    <x v="1"/>
    <x v="4"/>
    <n v="0"/>
    <x v="0"/>
  </r>
  <r>
    <x v="0"/>
    <x v="8"/>
    <x v="1"/>
    <x v="5"/>
    <n v="0"/>
    <x v="0"/>
  </r>
  <r>
    <x v="0"/>
    <x v="8"/>
    <x v="1"/>
    <x v="6"/>
    <n v="0"/>
    <x v="0"/>
  </r>
  <r>
    <x v="0"/>
    <x v="8"/>
    <x v="1"/>
    <x v="7"/>
    <n v="0"/>
    <x v="0"/>
  </r>
  <r>
    <x v="0"/>
    <x v="8"/>
    <x v="1"/>
    <x v="8"/>
    <n v="0"/>
    <x v="0"/>
  </r>
  <r>
    <x v="0"/>
    <x v="8"/>
    <x v="1"/>
    <x v="9"/>
    <n v="0"/>
    <x v="0"/>
  </r>
  <r>
    <x v="0"/>
    <x v="8"/>
    <x v="1"/>
    <x v="10"/>
    <n v="0"/>
    <x v="0"/>
  </r>
  <r>
    <x v="0"/>
    <x v="8"/>
    <x v="1"/>
    <x v="11"/>
    <n v="0"/>
    <x v="0"/>
  </r>
  <r>
    <x v="0"/>
    <x v="8"/>
    <x v="2"/>
    <x v="0"/>
    <n v="0"/>
    <x v="0"/>
  </r>
  <r>
    <x v="0"/>
    <x v="8"/>
    <x v="2"/>
    <x v="1"/>
    <n v="0"/>
    <x v="0"/>
  </r>
  <r>
    <x v="0"/>
    <x v="8"/>
    <x v="2"/>
    <x v="2"/>
    <n v="0"/>
    <x v="0"/>
  </r>
  <r>
    <x v="0"/>
    <x v="8"/>
    <x v="2"/>
    <x v="3"/>
    <n v="0"/>
    <x v="0"/>
  </r>
  <r>
    <x v="0"/>
    <x v="8"/>
    <x v="2"/>
    <x v="4"/>
    <n v="0"/>
    <x v="0"/>
  </r>
  <r>
    <x v="0"/>
    <x v="8"/>
    <x v="2"/>
    <x v="5"/>
    <n v="0"/>
    <x v="0"/>
  </r>
  <r>
    <x v="0"/>
    <x v="8"/>
    <x v="2"/>
    <x v="6"/>
    <n v="0"/>
    <x v="0"/>
  </r>
  <r>
    <x v="0"/>
    <x v="8"/>
    <x v="2"/>
    <x v="7"/>
    <n v="0"/>
    <x v="0"/>
  </r>
  <r>
    <x v="0"/>
    <x v="8"/>
    <x v="2"/>
    <x v="8"/>
    <n v="0"/>
    <x v="0"/>
  </r>
  <r>
    <x v="0"/>
    <x v="8"/>
    <x v="2"/>
    <x v="9"/>
    <n v="0"/>
    <x v="0"/>
  </r>
  <r>
    <x v="0"/>
    <x v="8"/>
    <x v="2"/>
    <x v="10"/>
    <n v="0"/>
    <x v="0"/>
  </r>
  <r>
    <x v="0"/>
    <x v="8"/>
    <x v="2"/>
    <x v="11"/>
    <n v="0"/>
    <x v="0"/>
  </r>
  <r>
    <x v="0"/>
    <x v="8"/>
    <x v="3"/>
    <x v="0"/>
    <n v="0"/>
    <x v="0"/>
  </r>
  <r>
    <x v="0"/>
    <x v="8"/>
    <x v="3"/>
    <x v="1"/>
    <n v="0"/>
    <x v="0"/>
  </r>
  <r>
    <x v="0"/>
    <x v="8"/>
    <x v="3"/>
    <x v="2"/>
    <n v="0"/>
    <x v="0"/>
  </r>
  <r>
    <x v="0"/>
    <x v="8"/>
    <x v="3"/>
    <x v="3"/>
    <n v="0"/>
    <x v="0"/>
  </r>
  <r>
    <x v="0"/>
    <x v="8"/>
    <x v="3"/>
    <x v="4"/>
    <n v="0"/>
    <x v="0"/>
  </r>
  <r>
    <x v="0"/>
    <x v="8"/>
    <x v="3"/>
    <x v="5"/>
    <n v="0"/>
    <x v="0"/>
  </r>
  <r>
    <x v="0"/>
    <x v="8"/>
    <x v="3"/>
    <x v="6"/>
    <n v="0"/>
    <x v="0"/>
  </r>
  <r>
    <x v="0"/>
    <x v="8"/>
    <x v="3"/>
    <x v="7"/>
    <n v="0"/>
    <x v="0"/>
  </r>
  <r>
    <x v="0"/>
    <x v="8"/>
    <x v="3"/>
    <x v="8"/>
    <n v="0"/>
    <x v="0"/>
  </r>
  <r>
    <x v="0"/>
    <x v="8"/>
    <x v="3"/>
    <x v="9"/>
    <n v="0"/>
    <x v="0"/>
  </r>
  <r>
    <x v="0"/>
    <x v="8"/>
    <x v="3"/>
    <x v="10"/>
    <n v="0"/>
    <x v="0"/>
  </r>
  <r>
    <x v="0"/>
    <x v="8"/>
    <x v="3"/>
    <x v="11"/>
    <n v="0"/>
    <x v="0"/>
  </r>
  <r>
    <x v="0"/>
    <x v="8"/>
    <x v="4"/>
    <x v="0"/>
    <n v="0"/>
    <x v="1"/>
  </r>
  <r>
    <x v="0"/>
    <x v="8"/>
    <x v="4"/>
    <x v="1"/>
    <n v="0"/>
    <x v="1"/>
  </r>
  <r>
    <x v="0"/>
    <x v="8"/>
    <x v="4"/>
    <x v="2"/>
    <n v="0"/>
    <x v="1"/>
  </r>
  <r>
    <x v="0"/>
    <x v="8"/>
    <x v="4"/>
    <x v="3"/>
    <n v="0"/>
    <x v="1"/>
  </r>
  <r>
    <x v="0"/>
    <x v="8"/>
    <x v="4"/>
    <x v="4"/>
    <n v="0"/>
    <x v="1"/>
  </r>
  <r>
    <x v="0"/>
    <x v="8"/>
    <x v="4"/>
    <x v="5"/>
    <n v="0"/>
    <x v="1"/>
  </r>
  <r>
    <x v="0"/>
    <x v="8"/>
    <x v="4"/>
    <x v="6"/>
    <n v="0"/>
    <x v="1"/>
  </r>
  <r>
    <x v="0"/>
    <x v="8"/>
    <x v="4"/>
    <x v="7"/>
    <n v="0"/>
    <x v="1"/>
  </r>
  <r>
    <x v="0"/>
    <x v="8"/>
    <x v="4"/>
    <x v="8"/>
    <n v="0"/>
    <x v="1"/>
  </r>
  <r>
    <x v="0"/>
    <x v="8"/>
    <x v="4"/>
    <x v="9"/>
    <n v="0"/>
    <x v="1"/>
  </r>
  <r>
    <x v="0"/>
    <x v="8"/>
    <x v="4"/>
    <x v="10"/>
    <n v="0"/>
    <x v="1"/>
  </r>
  <r>
    <x v="0"/>
    <x v="8"/>
    <x v="4"/>
    <x v="11"/>
    <n v="0"/>
    <x v="1"/>
  </r>
  <r>
    <x v="0"/>
    <x v="8"/>
    <x v="5"/>
    <x v="0"/>
    <n v="0"/>
    <x v="1"/>
  </r>
  <r>
    <x v="0"/>
    <x v="8"/>
    <x v="6"/>
    <x v="0"/>
    <n v="0"/>
    <x v="1"/>
  </r>
  <r>
    <x v="0"/>
    <x v="9"/>
    <x v="0"/>
    <x v="0"/>
    <n v="0"/>
    <x v="0"/>
  </r>
  <r>
    <x v="0"/>
    <x v="9"/>
    <x v="0"/>
    <x v="1"/>
    <n v="0"/>
    <x v="0"/>
  </r>
  <r>
    <x v="0"/>
    <x v="9"/>
    <x v="0"/>
    <x v="2"/>
    <n v="0"/>
    <x v="0"/>
  </r>
  <r>
    <x v="0"/>
    <x v="9"/>
    <x v="0"/>
    <x v="3"/>
    <n v="0"/>
    <x v="0"/>
  </r>
  <r>
    <x v="0"/>
    <x v="9"/>
    <x v="0"/>
    <x v="4"/>
    <n v="0"/>
    <x v="0"/>
  </r>
  <r>
    <x v="0"/>
    <x v="9"/>
    <x v="0"/>
    <x v="5"/>
    <n v="0"/>
    <x v="0"/>
  </r>
  <r>
    <x v="0"/>
    <x v="9"/>
    <x v="0"/>
    <x v="6"/>
    <n v="0"/>
    <x v="0"/>
  </r>
  <r>
    <x v="0"/>
    <x v="9"/>
    <x v="0"/>
    <x v="7"/>
    <n v="0"/>
    <x v="0"/>
  </r>
  <r>
    <x v="0"/>
    <x v="9"/>
    <x v="0"/>
    <x v="8"/>
    <n v="0"/>
    <x v="0"/>
  </r>
  <r>
    <x v="0"/>
    <x v="9"/>
    <x v="0"/>
    <x v="9"/>
    <n v="0"/>
    <x v="0"/>
  </r>
  <r>
    <x v="0"/>
    <x v="9"/>
    <x v="0"/>
    <x v="10"/>
    <n v="0"/>
    <x v="0"/>
  </r>
  <r>
    <x v="0"/>
    <x v="9"/>
    <x v="0"/>
    <x v="11"/>
    <n v="0"/>
    <x v="0"/>
  </r>
  <r>
    <x v="0"/>
    <x v="9"/>
    <x v="1"/>
    <x v="0"/>
    <n v="0"/>
    <x v="0"/>
  </r>
  <r>
    <x v="0"/>
    <x v="9"/>
    <x v="1"/>
    <x v="1"/>
    <n v="0"/>
    <x v="0"/>
  </r>
  <r>
    <x v="0"/>
    <x v="9"/>
    <x v="1"/>
    <x v="2"/>
    <n v="0"/>
    <x v="0"/>
  </r>
  <r>
    <x v="0"/>
    <x v="9"/>
    <x v="1"/>
    <x v="3"/>
    <n v="0"/>
    <x v="0"/>
  </r>
  <r>
    <x v="0"/>
    <x v="9"/>
    <x v="1"/>
    <x v="4"/>
    <n v="0"/>
    <x v="0"/>
  </r>
  <r>
    <x v="0"/>
    <x v="9"/>
    <x v="1"/>
    <x v="5"/>
    <n v="0"/>
    <x v="0"/>
  </r>
  <r>
    <x v="0"/>
    <x v="9"/>
    <x v="1"/>
    <x v="6"/>
    <n v="0"/>
    <x v="0"/>
  </r>
  <r>
    <x v="0"/>
    <x v="9"/>
    <x v="1"/>
    <x v="7"/>
    <n v="0"/>
    <x v="0"/>
  </r>
  <r>
    <x v="0"/>
    <x v="9"/>
    <x v="1"/>
    <x v="8"/>
    <n v="0"/>
    <x v="0"/>
  </r>
  <r>
    <x v="0"/>
    <x v="9"/>
    <x v="1"/>
    <x v="9"/>
    <n v="0"/>
    <x v="0"/>
  </r>
  <r>
    <x v="0"/>
    <x v="9"/>
    <x v="1"/>
    <x v="10"/>
    <n v="0"/>
    <x v="0"/>
  </r>
  <r>
    <x v="0"/>
    <x v="9"/>
    <x v="1"/>
    <x v="11"/>
    <n v="0"/>
    <x v="0"/>
  </r>
  <r>
    <x v="0"/>
    <x v="9"/>
    <x v="2"/>
    <x v="0"/>
    <n v="0"/>
    <x v="0"/>
  </r>
  <r>
    <x v="0"/>
    <x v="9"/>
    <x v="2"/>
    <x v="1"/>
    <n v="0"/>
    <x v="0"/>
  </r>
  <r>
    <x v="0"/>
    <x v="9"/>
    <x v="2"/>
    <x v="2"/>
    <n v="0"/>
    <x v="0"/>
  </r>
  <r>
    <x v="0"/>
    <x v="9"/>
    <x v="2"/>
    <x v="3"/>
    <n v="0"/>
    <x v="0"/>
  </r>
  <r>
    <x v="0"/>
    <x v="9"/>
    <x v="2"/>
    <x v="4"/>
    <n v="0"/>
    <x v="0"/>
  </r>
  <r>
    <x v="0"/>
    <x v="9"/>
    <x v="2"/>
    <x v="5"/>
    <n v="0"/>
    <x v="0"/>
  </r>
  <r>
    <x v="0"/>
    <x v="9"/>
    <x v="2"/>
    <x v="6"/>
    <n v="0"/>
    <x v="0"/>
  </r>
  <r>
    <x v="0"/>
    <x v="9"/>
    <x v="2"/>
    <x v="7"/>
    <n v="0"/>
    <x v="0"/>
  </r>
  <r>
    <x v="0"/>
    <x v="9"/>
    <x v="2"/>
    <x v="8"/>
    <n v="0"/>
    <x v="0"/>
  </r>
  <r>
    <x v="0"/>
    <x v="9"/>
    <x v="2"/>
    <x v="9"/>
    <n v="0"/>
    <x v="0"/>
  </r>
  <r>
    <x v="0"/>
    <x v="9"/>
    <x v="2"/>
    <x v="10"/>
    <n v="0"/>
    <x v="0"/>
  </r>
  <r>
    <x v="0"/>
    <x v="9"/>
    <x v="2"/>
    <x v="11"/>
    <n v="0"/>
    <x v="0"/>
  </r>
  <r>
    <x v="0"/>
    <x v="9"/>
    <x v="3"/>
    <x v="0"/>
    <n v="0"/>
    <x v="0"/>
  </r>
  <r>
    <x v="0"/>
    <x v="9"/>
    <x v="3"/>
    <x v="1"/>
    <n v="0"/>
    <x v="0"/>
  </r>
  <r>
    <x v="0"/>
    <x v="9"/>
    <x v="3"/>
    <x v="2"/>
    <n v="0"/>
    <x v="0"/>
  </r>
  <r>
    <x v="0"/>
    <x v="9"/>
    <x v="3"/>
    <x v="3"/>
    <n v="0"/>
    <x v="0"/>
  </r>
  <r>
    <x v="0"/>
    <x v="9"/>
    <x v="3"/>
    <x v="4"/>
    <n v="0"/>
    <x v="0"/>
  </r>
  <r>
    <x v="0"/>
    <x v="9"/>
    <x v="3"/>
    <x v="5"/>
    <n v="0"/>
    <x v="0"/>
  </r>
  <r>
    <x v="0"/>
    <x v="9"/>
    <x v="3"/>
    <x v="6"/>
    <n v="0"/>
    <x v="0"/>
  </r>
  <r>
    <x v="0"/>
    <x v="9"/>
    <x v="3"/>
    <x v="7"/>
    <n v="0"/>
    <x v="0"/>
  </r>
  <r>
    <x v="0"/>
    <x v="9"/>
    <x v="3"/>
    <x v="8"/>
    <n v="0"/>
    <x v="0"/>
  </r>
  <r>
    <x v="0"/>
    <x v="9"/>
    <x v="3"/>
    <x v="9"/>
    <n v="0"/>
    <x v="0"/>
  </r>
  <r>
    <x v="0"/>
    <x v="9"/>
    <x v="3"/>
    <x v="10"/>
    <n v="0"/>
    <x v="0"/>
  </r>
  <r>
    <x v="0"/>
    <x v="9"/>
    <x v="3"/>
    <x v="11"/>
    <n v="0"/>
    <x v="0"/>
  </r>
  <r>
    <x v="0"/>
    <x v="9"/>
    <x v="4"/>
    <x v="0"/>
    <n v="1"/>
    <x v="1"/>
  </r>
  <r>
    <x v="0"/>
    <x v="9"/>
    <x v="4"/>
    <x v="1"/>
    <n v="0"/>
    <x v="1"/>
  </r>
  <r>
    <x v="0"/>
    <x v="9"/>
    <x v="4"/>
    <x v="2"/>
    <n v="0"/>
    <x v="1"/>
  </r>
  <r>
    <x v="0"/>
    <x v="9"/>
    <x v="4"/>
    <x v="3"/>
    <n v="0"/>
    <x v="1"/>
  </r>
  <r>
    <x v="0"/>
    <x v="9"/>
    <x v="4"/>
    <x v="4"/>
    <n v="0"/>
    <x v="1"/>
  </r>
  <r>
    <x v="0"/>
    <x v="9"/>
    <x v="4"/>
    <x v="5"/>
    <n v="0"/>
    <x v="1"/>
  </r>
  <r>
    <x v="0"/>
    <x v="9"/>
    <x v="4"/>
    <x v="6"/>
    <n v="0"/>
    <x v="1"/>
  </r>
  <r>
    <x v="0"/>
    <x v="9"/>
    <x v="4"/>
    <x v="7"/>
    <n v="0"/>
    <x v="1"/>
  </r>
  <r>
    <x v="0"/>
    <x v="9"/>
    <x v="4"/>
    <x v="8"/>
    <n v="0"/>
    <x v="1"/>
  </r>
  <r>
    <x v="0"/>
    <x v="9"/>
    <x v="4"/>
    <x v="9"/>
    <n v="0"/>
    <x v="1"/>
  </r>
  <r>
    <x v="0"/>
    <x v="9"/>
    <x v="4"/>
    <x v="10"/>
    <n v="0"/>
    <x v="1"/>
  </r>
  <r>
    <x v="0"/>
    <x v="9"/>
    <x v="4"/>
    <x v="11"/>
    <n v="0"/>
    <x v="1"/>
  </r>
  <r>
    <x v="0"/>
    <x v="9"/>
    <x v="5"/>
    <x v="0"/>
    <n v="1"/>
    <x v="1"/>
  </r>
  <r>
    <x v="0"/>
    <x v="9"/>
    <x v="6"/>
    <x v="0"/>
    <n v="1"/>
    <x v="1"/>
  </r>
  <r>
    <x v="0"/>
    <x v="10"/>
    <x v="0"/>
    <x v="0"/>
    <n v="1"/>
    <x v="0"/>
  </r>
  <r>
    <x v="0"/>
    <x v="10"/>
    <x v="0"/>
    <x v="1"/>
    <n v="0"/>
    <x v="0"/>
  </r>
  <r>
    <x v="0"/>
    <x v="10"/>
    <x v="0"/>
    <x v="2"/>
    <n v="0"/>
    <x v="0"/>
  </r>
  <r>
    <x v="0"/>
    <x v="10"/>
    <x v="0"/>
    <x v="3"/>
    <n v="0"/>
    <x v="0"/>
  </r>
  <r>
    <x v="0"/>
    <x v="10"/>
    <x v="0"/>
    <x v="4"/>
    <n v="0"/>
    <x v="0"/>
  </r>
  <r>
    <x v="0"/>
    <x v="10"/>
    <x v="0"/>
    <x v="5"/>
    <n v="0"/>
    <x v="0"/>
  </r>
  <r>
    <x v="0"/>
    <x v="10"/>
    <x v="0"/>
    <x v="6"/>
    <n v="0"/>
    <x v="0"/>
  </r>
  <r>
    <x v="0"/>
    <x v="10"/>
    <x v="0"/>
    <x v="7"/>
    <n v="0"/>
    <x v="0"/>
  </r>
  <r>
    <x v="0"/>
    <x v="10"/>
    <x v="0"/>
    <x v="8"/>
    <n v="0"/>
    <x v="0"/>
  </r>
  <r>
    <x v="0"/>
    <x v="10"/>
    <x v="0"/>
    <x v="9"/>
    <n v="0"/>
    <x v="0"/>
  </r>
  <r>
    <x v="0"/>
    <x v="10"/>
    <x v="0"/>
    <x v="10"/>
    <n v="0"/>
    <x v="0"/>
  </r>
  <r>
    <x v="0"/>
    <x v="10"/>
    <x v="0"/>
    <x v="11"/>
    <n v="0"/>
    <x v="0"/>
  </r>
  <r>
    <x v="0"/>
    <x v="10"/>
    <x v="1"/>
    <x v="0"/>
    <n v="1"/>
    <x v="0"/>
  </r>
  <r>
    <x v="0"/>
    <x v="10"/>
    <x v="1"/>
    <x v="1"/>
    <n v="0"/>
    <x v="0"/>
  </r>
  <r>
    <x v="0"/>
    <x v="10"/>
    <x v="1"/>
    <x v="2"/>
    <n v="0"/>
    <x v="0"/>
  </r>
  <r>
    <x v="0"/>
    <x v="10"/>
    <x v="1"/>
    <x v="3"/>
    <n v="0"/>
    <x v="0"/>
  </r>
  <r>
    <x v="0"/>
    <x v="10"/>
    <x v="1"/>
    <x v="4"/>
    <n v="0"/>
    <x v="0"/>
  </r>
  <r>
    <x v="0"/>
    <x v="10"/>
    <x v="1"/>
    <x v="5"/>
    <n v="0"/>
    <x v="0"/>
  </r>
  <r>
    <x v="0"/>
    <x v="10"/>
    <x v="1"/>
    <x v="6"/>
    <n v="0"/>
    <x v="0"/>
  </r>
  <r>
    <x v="0"/>
    <x v="10"/>
    <x v="1"/>
    <x v="7"/>
    <n v="0"/>
    <x v="0"/>
  </r>
  <r>
    <x v="0"/>
    <x v="10"/>
    <x v="1"/>
    <x v="8"/>
    <n v="0"/>
    <x v="0"/>
  </r>
  <r>
    <x v="0"/>
    <x v="10"/>
    <x v="1"/>
    <x v="9"/>
    <n v="0"/>
    <x v="0"/>
  </r>
  <r>
    <x v="0"/>
    <x v="10"/>
    <x v="1"/>
    <x v="10"/>
    <n v="0"/>
    <x v="0"/>
  </r>
  <r>
    <x v="0"/>
    <x v="10"/>
    <x v="1"/>
    <x v="11"/>
    <n v="0"/>
    <x v="0"/>
  </r>
  <r>
    <x v="0"/>
    <x v="10"/>
    <x v="2"/>
    <x v="0"/>
    <n v="1"/>
    <x v="0"/>
  </r>
  <r>
    <x v="0"/>
    <x v="10"/>
    <x v="2"/>
    <x v="1"/>
    <n v="0"/>
    <x v="0"/>
  </r>
  <r>
    <x v="0"/>
    <x v="10"/>
    <x v="2"/>
    <x v="2"/>
    <n v="0"/>
    <x v="0"/>
  </r>
  <r>
    <x v="0"/>
    <x v="10"/>
    <x v="2"/>
    <x v="3"/>
    <n v="0"/>
    <x v="0"/>
  </r>
  <r>
    <x v="0"/>
    <x v="10"/>
    <x v="2"/>
    <x v="4"/>
    <n v="0"/>
    <x v="0"/>
  </r>
  <r>
    <x v="0"/>
    <x v="10"/>
    <x v="2"/>
    <x v="5"/>
    <n v="0"/>
    <x v="0"/>
  </r>
  <r>
    <x v="0"/>
    <x v="10"/>
    <x v="2"/>
    <x v="6"/>
    <n v="0"/>
    <x v="0"/>
  </r>
  <r>
    <x v="0"/>
    <x v="10"/>
    <x v="2"/>
    <x v="7"/>
    <n v="0"/>
    <x v="0"/>
  </r>
  <r>
    <x v="0"/>
    <x v="10"/>
    <x v="2"/>
    <x v="8"/>
    <n v="0"/>
    <x v="0"/>
  </r>
  <r>
    <x v="0"/>
    <x v="10"/>
    <x v="2"/>
    <x v="9"/>
    <n v="0"/>
    <x v="0"/>
  </r>
  <r>
    <x v="0"/>
    <x v="10"/>
    <x v="2"/>
    <x v="10"/>
    <n v="0"/>
    <x v="0"/>
  </r>
  <r>
    <x v="0"/>
    <x v="10"/>
    <x v="2"/>
    <x v="11"/>
    <n v="0"/>
    <x v="0"/>
  </r>
  <r>
    <x v="0"/>
    <x v="10"/>
    <x v="3"/>
    <x v="0"/>
    <n v="1"/>
    <x v="0"/>
  </r>
  <r>
    <x v="0"/>
    <x v="10"/>
    <x v="3"/>
    <x v="1"/>
    <n v="0"/>
    <x v="0"/>
  </r>
  <r>
    <x v="0"/>
    <x v="10"/>
    <x v="3"/>
    <x v="2"/>
    <n v="0"/>
    <x v="0"/>
  </r>
  <r>
    <x v="0"/>
    <x v="10"/>
    <x v="3"/>
    <x v="3"/>
    <n v="0"/>
    <x v="0"/>
  </r>
  <r>
    <x v="0"/>
    <x v="10"/>
    <x v="3"/>
    <x v="4"/>
    <n v="0"/>
    <x v="0"/>
  </r>
  <r>
    <x v="0"/>
    <x v="10"/>
    <x v="3"/>
    <x v="5"/>
    <n v="0"/>
    <x v="0"/>
  </r>
  <r>
    <x v="0"/>
    <x v="10"/>
    <x v="3"/>
    <x v="6"/>
    <n v="0"/>
    <x v="0"/>
  </r>
  <r>
    <x v="0"/>
    <x v="10"/>
    <x v="3"/>
    <x v="7"/>
    <n v="0"/>
    <x v="0"/>
  </r>
  <r>
    <x v="0"/>
    <x v="10"/>
    <x v="3"/>
    <x v="8"/>
    <n v="0"/>
    <x v="0"/>
  </r>
  <r>
    <x v="0"/>
    <x v="10"/>
    <x v="3"/>
    <x v="9"/>
    <n v="0"/>
    <x v="0"/>
  </r>
  <r>
    <x v="0"/>
    <x v="10"/>
    <x v="3"/>
    <x v="10"/>
    <n v="0"/>
    <x v="0"/>
  </r>
  <r>
    <x v="0"/>
    <x v="10"/>
    <x v="3"/>
    <x v="11"/>
    <n v="0"/>
    <x v="0"/>
  </r>
  <r>
    <x v="0"/>
    <x v="10"/>
    <x v="4"/>
    <x v="0"/>
    <n v="0"/>
    <x v="1"/>
  </r>
  <r>
    <x v="0"/>
    <x v="10"/>
    <x v="4"/>
    <x v="1"/>
    <n v="0"/>
    <x v="1"/>
  </r>
  <r>
    <x v="0"/>
    <x v="10"/>
    <x v="4"/>
    <x v="2"/>
    <n v="0"/>
    <x v="1"/>
  </r>
  <r>
    <x v="0"/>
    <x v="10"/>
    <x v="4"/>
    <x v="3"/>
    <n v="0"/>
    <x v="1"/>
  </r>
  <r>
    <x v="0"/>
    <x v="10"/>
    <x v="4"/>
    <x v="4"/>
    <n v="0"/>
    <x v="1"/>
  </r>
  <r>
    <x v="0"/>
    <x v="10"/>
    <x v="4"/>
    <x v="5"/>
    <n v="0"/>
    <x v="1"/>
  </r>
  <r>
    <x v="0"/>
    <x v="10"/>
    <x v="4"/>
    <x v="6"/>
    <n v="0"/>
    <x v="1"/>
  </r>
  <r>
    <x v="0"/>
    <x v="10"/>
    <x v="4"/>
    <x v="7"/>
    <n v="0"/>
    <x v="1"/>
  </r>
  <r>
    <x v="0"/>
    <x v="10"/>
    <x v="4"/>
    <x v="8"/>
    <n v="0"/>
    <x v="1"/>
  </r>
  <r>
    <x v="0"/>
    <x v="10"/>
    <x v="4"/>
    <x v="9"/>
    <n v="0"/>
    <x v="1"/>
  </r>
  <r>
    <x v="0"/>
    <x v="10"/>
    <x v="4"/>
    <x v="10"/>
    <n v="0"/>
    <x v="1"/>
  </r>
  <r>
    <x v="0"/>
    <x v="10"/>
    <x v="4"/>
    <x v="11"/>
    <n v="0"/>
    <x v="1"/>
  </r>
  <r>
    <x v="0"/>
    <x v="10"/>
    <x v="5"/>
    <x v="0"/>
    <n v="0"/>
    <x v="1"/>
  </r>
  <r>
    <x v="0"/>
    <x v="10"/>
    <x v="6"/>
    <x v="0"/>
    <n v="0"/>
    <x v="1"/>
  </r>
  <r>
    <x v="0"/>
    <x v="11"/>
    <x v="0"/>
    <x v="0"/>
    <n v="0"/>
    <x v="0"/>
  </r>
  <r>
    <x v="0"/>
    <x v="11"/>
    <x v="0"/>
    <x v="1"/>
    <n v="0"/>
    <x v="0"/>
  </r>
  <r>
    <x v="0"/>
    <x v="11"/>
    <x v="0"/>
    <x v="2"/>
    <n v="0"/>
    <x v="0"/>
  </r>
  <r>
    <x v="0"/>
    <x v="11"/>
    <x v="0"/>
    <x v="3"/>
    <n v="0"/>
    <x v="0"/>
  </r>
  <r>
    <x v="0"/>
    <x v="11"/>
    <x v="0"/>
    <x v="4"/>
    <n v="0"/>
    <x v="0"/>
  </r>
  <r>
    <x v="0"/>
    <x v="11"/>
    <x v="0"/>
    <x v="5"/>
    <n v="0"/>
    <x v="0"/>
  </r>
  <r>
    <x v="0"/>
    <x v="11"/>
    <x v="0"/>
    <x v="6"/>
    <n v="0"/>
    <x v="0"/>
  </r>
  <r>
    <x v="0"/>
    <x v="11"/>
    <x v="0"/>
    <x v="7"/>
    <n v="0"/>
    <x v="0"/>
  </r>
  <r>
    <x v="0"/>
    <x v="11"/>
    <x v="0"/>
    <x v="8"/>
    <n v="0"/>
    <x v="0"/>
  </r>
  <r>
    <x v="0"/>
    <x v="11"/>
    <x v="0"/>
    <x v="9"/>
    <n v="0"/>
    <x v="0"/>
  </r>
  <r>
    <x v="0"/>
    <x v="11"/>
    <x v="0"/>
    <x v="10"/>
    <n v="0"/>
    <x v="0"/>
  </r>
  <r>
    <x v="0"/>
    <x v="11"/>
    <x v="0"/>
    <x v="11"/>
    <n v="0"/>
    <x v="0"/>
  </r>
  <r>
    <x v="0"/>
    <x v="11"/>
    <x v="1"/>
    <x v="0"/>
    <n v="0"/>
    <x v="0"/>
  </r>
  <r>
    <x v="0"/>
    <x v="11"/>
    <x v="1"/>
    <x v="1"/>
    <n v="0"/>
    <x v="0"/>
  </r>
  <r>
    <x v="0"/>
    <x v="11"/>
    <x v="1"/>
    <x v="2"/>
    <n v="0"/>
    <x v="0"/>
  </r>
  <r>
    <x v="0"/>
    <x v="11"/>
    <x v="1"/>
    <x v="3"/>
    <n v="0"/>
    <x v="0"/>
  </r>
  <r>
    <x v="0"/>
    <x v="11"/>
    <x v="1"/>
    <x v="4"/>
    <n v="0"/>
    <x v="0"/>
  </r>
  <r>
    <x v="0"/>
    <x v="11"/>
    <x v="1"/>
    <x v="5"/>
    <n v="0"/>
    <x v="0"/>
  </r>
  <r>
    <x v="0"/>
    <x v="11"/>
    <x v="1"/>
    <x v="6"/>
    <n v="0"/>
    <x v="0"/>
  </r>
  <r>
    <x v="0"/>
    <x v="11"/>
    <x v="1"/>
    <x v="7"/>
    <n v="0"/>
    <x v="0"/>
  </r>
  <r>
    <x v="0"/>
    <x v="11"/>
    <x v="1"/>
    <x v="8"/>
    <n v="0"/>
    <x v="0"/>
  </r>
  <r>
    <x v="0"/>
    <x v="11"/>
    <x v="1"/>
    <x v="9"/>
    <n v="0"/>
    <x v="0"/>
  </r>
  <r>
    <x v="0"/>
    <x v="11"/>
    <x v="1"/>
    <x v="10"/>
    <n v="0"/>
    <x v="0"/>
  </r>
  <r>
    <x v="0"/>
    <x v="11"/>
    <x v="1"/>
    <x v="11"/>
    <n v="0"/>
    <x v="0"/>
  </r>
  <r>
    <x v="0"/>
    <x v="11"/>
    <x v="2"/>
    <x v="0"/>
    <n v="0"/>
    <x v="0"/>
  </r>
  <r>
    <x v="0"/>
    <x v="11"/>
    <x v="2"/>
    <x v="1"/>
    <n v="0"/>
    <x v="0"/>
  </r>
  <r>
    <x v="0"/>
    <x v="11"/>
    <x v="2"/>
    <x v="2"/>
    <n v="0"/>
    <x v="0"/>
  </r>
  <r>
    <x v="0"/>
    <x v="11"/>
    <x v="2"/>
    <x v="3"/>
    <n v="0"/>
    <x v="0"/>
  </r>
  <r>
    <x v="0"/>
    <x v="11"/>
    <x v="2"/>
    <x v="4"/>
    <n v="0"/>
    <x v="0"/>
  </r>
  <r>
    <x v="0"/>
    <x v="11"/>
    <x v="2"/>
    <x v="5"/>
    <n v="0"/>
    <x v="0"/>
  </r>
  <r>
    <x v="0"/>
    <x v="11"/>
    <x v="2"/>
    <x v="6"/>
    <n v="0"/>
    <x v="0"/>
  </r>
  <r>
    <x v="0"/>
    <x v="11"/>
    <x v="2"/>
    <x v="7"/>
    <n v="0"/>
    <x v="0"/>
  </r>
  <r>
    <x v="0"/>
    <x v="11"/>
    <x v="2"/>
    <x v="8"/>
    <n v="0"/>
    <x v="0"/>
  </r>
  <r>
    <x v="0"/>
    <x v="11"/>
    <x v="2"/>
    <x v="9"/>
    <n v="0"/>
    <x v="0"/>
  </r>
  <r>
    <x v="0"/>
    <x v="11"/>
    <x v="2"/>
    <x v="10"/>
    <n v="0"/>
    <x v="0"/>
  </r>
  <r>
    <x v="0"/>
    <x v="11"/>
    <x v="2"/>
    <x v="11"/>
    <n v="0"/>
    <x v="0"/>
  </r>
  <r>
    <x v="0"/>
    <x v="11"/>
    <x v="3"/>
    <x v="0"/>
    <n v="0"/>
    <x v="0"/>
  </r>
  <r>
    <x v="0"/>
    <x v="11"/>
    <x v="3"/>
    <x v="1"/>
    <n v="0"/>
    <x v="0"/>
  </r>
  <r>
    <x v="0"/>
    <x v="11"/>
    <x v="3"/>
    <x v="2"/>
    <n v="0"/>
    <x v="0"/>
  </r>
  <r>
    <x v="0"/>
    <x v="11"/>
    <x v="3"/>
    <x v="3"/>
    <n v="0"/>
    <x v="0"/>
  </r>
  <r>
    <x v="0"/>
    <x v="11"/>
    <x v="3"/>
    <x v="4"/>
    <n v="0"/>
    <x v="0"/>
  </r>
  <r>
    <x v="0"/>
    <x v="11"/>
    <x v="3"/>
    <x v="5"/>
    <n v="0"/>
    <x v="0"/>
  </r>
  <r>
    <x v="0"/>
    <x v="11"/>
    <x v="3"/>
    <x v="6"/>
    <n v="0"/>
    <x v="0"/>
  </r>
  <r>
    <x v="0"/>
    <x v="11"/>
    <x v="3"/>
    <x v="7"/>
    <n v="0"/>
    <x v="0"/>
  </r>
  <r>
    <x v="0"/>
    <x v="11"/>
    <x v="3"/>
    <x v="8"/>
    <n v="0"/>
    <x v="0"/>
  </r>
  <r>
    <x v="0"/>
    <x v="11"/>
    <x v="3"/>
    <x v="9"/>
    <n v="0"/>
    <x v="0"/>
  </r>
  <r>
    <x v="0"/>
    <x v="11"/>
    <x v="3"/>
    <x v="10"/>
    <n v="0"/>
    <x v="0"/>
  </r>
  <r>
    <x v="0"/>
    <x v="11"/>
    <x v="3"/>
    <x v="11"/>
    <n v="0"/>
    <x v="0"/>
  </r>
  <r>
    <x v="0"/>
    <x v="11"/>
    <x v="4"/>
    <x v="0"/>
    <n v="0"/>
    <x v="1"/>
  </r>
  <r>
    <x v="0"/>
    <x v="11"/>
    <x v="4"/>
    <x v="1"/>
    <n v="0"/>
    <x v="1"/>
  </r>
  <r>
    <x v="0"/>
    <x v="11"/>
    <x v="4"/>
    <x v="2"/>
    <n v="0"/>
    <x v="1"/>
  </r>
  <r>
    <x v="0"/>
    <x v="11"/>
    <x v="4"/>
    <x v="3"/>
    <n v="0"/>
    <x v="1"/>
  </r>
  <r>
    <x v="0"/>
    <x v="11"/>
    <x v="4"/>
    <x v="4"/>
    <n v="0"/>
    <x v="1"/>
  </r>
  <r>
    <x v="0"/>
    <x v="11"/>
    <x v="4"/>
    <x v="5"/>
    <n v="0"/>
    <x v="1"/>
  </r>
  <r>
    <x v="0"/>
    <x v="11"/>
    <x v="4"/>
    <x v="6"/>
    <n v="0"/>
    <x v="1"/>
  </r>
  <r>
    <x v="0"/>
    <x v="11"/>
    <x v="4"/>
    <x v="7"/>
    <n v="0"/>
    <x v="1"/>
  </r>
  <r>
    <x v="0"/>
    <x v="11"/>
    <x v="4"/>
    <x v="8"/>
    <n v="0"/>
    <x v="1"/>
  </r>
  <r>
    <x v="0"/>
    <x v="11"/>
    <x v="4"/>
    <x v="9"/>
    <n v="0"/>
    <x v="1"/>
  </r>
  <r>
    <x v="0"/>
    <x v="11"/>
    <x v="4"/>
    <x v="10"/>
    <n v="0"/>
    <x v="1"/>
  </r>
  <r>
    <x v="0"/>
    <x v="11"/>
    <x v="4"/>
    <x v="11"/>
    <n v="0"/>
    <x v="1"/>
  </r>
  <r>
    <x v="0"/>
    <x v="11"/>
    <x v="5"/>
    <x v="0"/>
    <n v="0"/>
    <x v="1"/>
  </r>
  <r>
    <x v="0"/>
    <x v="11"/>
    <x v="6"/>
    <x v="0"/>
    <n v="0"/>
    <x v="1"/>
  </r>
  <r>
    <x v="1"/>
    <x v="0"/>
    <x v="0"/>
    <x v="0"/>
    <n v="1"/>
    <x v="0"/>
  </r>
  <r>
    <x v="1"/>
    <x v="0"/>
    <x v="0"/>
    <x v="1"/>
    <n v="0"/>
    <x v="0"/>
  </r>
  <r>
    <x v="1"/>
    <x v="0"/>
    <x v="0"/>
    <x v="2"/>
    <n v="0"/>
    <x v="0"/>
  </r>
  <r>
    <x v="1"/>
    <x v="0"/>
    <x v="0"/>
    <x v="3"/>
    <n v="1"/>
    <x v="0"/>
  </r>
  <r>
    <x v="1"/>
    <x v="0"/>
    <x v="0"/>
    <x v="4"/>
    <n v="0"/>
    <x v="0"/>
  </r>
  <r>
    <x v="1"/>
    <x v="0"/>
    <x v="0"/>
    <x v="5"/>
    <n v="0"/>
    <x v="0"/>
  </r>
  <r>
    <x v="1"/>
    <x v="0"/>
    <x v="0"/>
    <x v="6"/>
    <n v="0"/>
    <x v="0"/>
  </r>
  <r>
    <x v="1"/>
    <x v="0"/>
    <x v="0"/>
    <x v="7"/>
    <n v="0"/>
    <x v="0"/>
  </r>
  <r>
    <x v="1"/>
    <x v="0"/>
    <x v="0"/>
    <x v="8"/>
    <n v="0"/>
    <x v="0"/>
  </r>
  <r>
    <x v="1"/>
    <x v="0"/>
    <x v="0"/>
    <x v="9"/>
    <n v="1"/>
    <x v="0"/>
  </r>
  <r>
    <x v="1"/>
    <x v="0"/>
    <x v="0"/>
    <x v="10"/>
    <n v="0"/>
    <x v="0"/>
  </r>
  <r>
    <x v="1"/>
    <x v="0"/>
    <x v="0"/>
    <x v="11"/>
    <n v="1"/>
    <x v="0"/>
  </r>
  <r>
    <x v="1"/>
    <x v="0"/>
    <x v="1"/>
    <x v="0"/>
    <n v="1"/>
    <x v="0"/>
  </r>
  <r>
    <x v="1"/>
    <x v="0"/>
    <x v="1"/>
    <x v="1"/>
    <n v="0"/>
    <x v="0"/>
  </r>
  <r>
    <x v="1"/>
    <x v="0"/>
    <x v="1"/>
    <x v="2"/>
    <n v="0"/>
    <x v="0"/>
  </r>
  <r>
    <x v="1"/>
    <x v="0"/>
    <x v="1"/>
    <x v="3"/>
    <n v="2"/>
    <x v="0"/>
  </r>
  <r>
    <x v="1"/>
    <x v="0"/>
    <x v="1"/>
    <x v="4"/>
    <n v="0"/>
    <x v="0"/>
  </r>
  <r>
    <x v="1"/>
    <x v="0"/>
    <x v="1"/>
    <x v="5"/>
    <n v="0"/>
    <x v="0"/>
  </r>
  <r>
    <x v="1"/>
    <x v="0"/>
    <x v="1"/>
    <x v="6"/>
    <n v="0"/>
    <x v="0"/>
  </r>
  <r>
    <x v="1"/>
    <x v="0"/>
    <x v="1"/>
    <x v="7"/>
    <n v="0"/>
    <x v="0"/>
  </r>
  <r>
    <x v="1"/>
    <x v="0"/>
    <x v="1"/>
    <x v="8"/>
    <n v="0"/>
    <x v="0"/>
  </r>
  <r>
    <x v="1"/>
    <x v="0"/>
    <x v="1"/>
    <x v="9"/>
    <n v="1"/>
    <x v="0"/>
  </r>
  <r>
    <x v="1"/>
    <x v="0"/>
    <x v="1"/>
    <x v="10"/>
    <n v="0"/>
    <x v="0"/>
  </r>
  <r>
    <x v="1"/>
    <x v="0"/>
    <x v="1"/>
    <x v="11"/>
    <n v="0"/>
    <x v="0"/>
  </r>
  <r>
    <x v="1"/>
    <x v="0"/>
    <x v="2"/>
    <x v="0"/>
    <n v="1"/>
    <x v="0"/>
  </r>
  <r>
    <x v="1"/>
    <x v="0"/>
    <x v="2"/>
    <x v="1"/>
    <n v="1"/>
    <x v="0"/>
  </r>
  <r>
    <x v="1"/>
    <x v="0"/>
    <x v="2"/>
    <x v="2"/>
    <n v="0"/>
    <x v="0"/>
  </r>
  <r>
    <x v="1"/>
    <x v="0"/>
    <x v="2"/>
    <x v="3"/>
    <n v="1"/>
    <x v="0"/>
  </r>
  <r>
    <x v="1"/>
    <x v="0"/>
    <x v="2"/>
    <x v="4"/>
    <n v="1"/>
    <x v="0"/>
  </r>
  <r>
    <x v="1"/>
    <x v="0"/>
    <x v="2"/>
    <x v="5"/>
    <n v="0"/>
    <x v="0"/>
  </r>
  <r>
    <x v="1"/>
    <x v="0"/>
    <x v="2"/>
    <x v="6"/>
    <n v="0"/>
    <x v="0"/>
  </r>
  <r>
    <x v="1"/>
    <x v="0"/>
    <x v="2"/>
    <x v="7"/>
    <n v="0"/>
    <x v="0"/>
  </r>
  <r>
    <x v="1"/>
    <x v="0"/>
    <x v="2"/>
    <x v="8"/>
    <n v="0"/>
    <x v="0"/>
  </r>
  <r>
    <x v="1"/>
    <x v="0"/>
    <x v="2"/>
    <x v="9"/>
    <n v="0"/>
    <x v="0"/>
  </r>
  <r>
    <x v="1"/>
    <x v="0"/>
    <x v="2"/>
    <x v="10"/>
    <n v="0"/>
    <x v="0"/>
  </r>
  <r>
    <x v="1"/>
    <x v="0"/>
    <x v="2"/>
    <x v="11"/>
    <n v="0"/>
    <x v="0"/>
  </r>
  <r>
    <x v="1"/>
    <x v="0"/>
    <x v="3"/>
    <x v="0"/>
    <n v="1"/>
    <x v="0"/>
  </r>
  <r>
    <x v="1"/>
    <x v="0"/>
    <x v="3"/>
    <x v="1"/>
    <n v="0"/>
    <x v="0"/>
  </r>
  <r>
    <x v="1"/>
    <x v="0"/>
    <x v="3"/>
    <x v="2"/>
    <n v="0"/>
    <x v="0"/>
  </r>
  <r>
    <x v="1"/>
    <x v="0"/>
    <x v="3"/>
    <x v="3"/>
    <n v="1"/>
    <x v="0"/>
  </r>
  <r>
    <x v="1"/>
    <x v="0"/>
    <x v="3"/>
    <x v="4"/>
    <n v="0"/>
    <x v="0"/>
  </r>
  <r>
    <x v="1"/>
    <x v="0"/>
    <x v="3"/>
    <x v="5"/>
    <n v="0"/>
    <x v="0"/>
  </r>
  <r>
    <x v="1"/>
    <x v="0"/>
    <x v="3"/>
    <x v="6"/>
    <n v="0"/>
    <x v="0"/>
  </r>
  <r>
    <x v="1"/>
    <x v="0"/>
    <x v="3"/>
    <x v="7"/>
    <n v="0"/>
    <x v="0"/>
  </r>
  <r>
    <x v="1"/>
    <x v="0"/>
    <x v="3"/>
    <x v="8"/>
    <n v="1"/>
    <x v="0"/>
  </r>
  <r>
    <x v="1"/>
    <x v="0"/>
    <x v="3"/>
    <x v="9"/>
    <n v="1"/>
    <x v="0"/>
  </r>
  <r>
    <x v="1"/>
    <x v="0"/>
    <x v="3"/>
    <x v="10"/>
    <n v="0"/>
    <x v="0"/>
  </r>
  <r>
    <x v="1"/>
    <x v="0"/>
    <x v="3"/>
    <x v="11"/>
    <n v="1"/>
    <x v="0"/>
  </r>
  <r>
    <x v="1"/>
    <x v="0"/>
    <x v="4"/>
    <x v="0"/>
    <n v="1"/>
    <x v="1"/>
  </r>
  <r>
    <x v="1"/>
    <x v="0"/>
    <x v="4"/>
    <x v="1"/>
    <n v="0"/>
    <x v="1"/>
  </r>
  <r>
    <x v="1"/>
    <x v="0"/>
    <x v="4"/>
    <x v="2"/>
    <n v="0"/>
    <x v="1"/>
  </r>
  <r>
    <x v="1"/>
    <x v="0"/>
    <x v="4"/>
    <x v="3"/>
    <n v="1"/>
    <x v="1"/>
  </r>
  <r>
    <x v="1"/>
    <x v="0"/>
    <x v="4"/>
    <x v="4"/>
    <n v="1"/>
    <x v="1"/>
  </r>
  <r>
    <x v="1"/>
    <x v="0"/>
    <x v="4"/>
    <x v="5"/>
    <n v="0"/>
    <x v="1"/>
  </r>
  <r>
    <x v="1"/>
    <x v="0"/>
    <x v="4"/>
    <x v="6"/>
    <n v="0"/>
    <x v="1"/>
  </r>
  <r>
    <x v="1"/>
    <x v="0"/>
    <x v="4"/>
    <x v="7"/>
    <n v="0"/>
    <x v="1"/>
  </r>
  <r>
    <x v="1"/>
    <x v="0"/>
    <x v="4"/>
    <x v="8"/>
    <n v="0"/>
    <x v="1"/>
  </r>
  <r>
    <x v="1"/>
    <x v="0"/>
    <x v="4"/>
    <x v="9"/>
    <n v="0"/>
    <x v="1"/>
  </r>
  <r>
    <x v="1"/>
    <x v="0"/>
    <x v="4"/>
    <x v="10"/>
    <n v="0"/>
    <x v="1"/>
  </r>
  <r>
    <x v="1"/>
    <x v="0"/>
    <x v="4"/>
    <x v="11"/>
    <n v="1"/>
    <x v="1"/>
  </r>
  <r>
    <x v="1"/>
    <x v="0"/>
    <x v="5"/>
    <x v="0"/>
    <n v="1"/>
    <x v="1"/>
  </r>
  <r>
    <x v="1"/>
    <x v="0"/>
    <x v="6"/>
    <x v="0"/>
    <n v="0"/>
    <x v="1"/>
  </r>
  <r>
    <x v="1"/>
    <x v="1"/>
    <x v="0"/>
    <x v="0"/>
    <n v="0"/>
    <x v="0"/>
  </r>
  <r>
    <x v="1"/>
    <x v="1"/>
    <x v="0"/>
    <x v="1"/>
    <n v="0"/>
    <x v="0"/>
  </r>
  <r>
    <x v="1"/>
    <x v="1"/>
    <x v="0"/>
    <x v="2"/>
    <n v="0"/>
    <x v="0"/>
  </r>
  <r>
    <x v="1"/>
    <x v="1"/>
    <x v="0"/>
    <x v="3"/>
    <n v="0"/>
    <x v="0"/>
  </r>
  <r>
    <x v="1"/>
    <x v="1"/>
    <x v="0"/>
    <x v="4"/>
    <n v="0"/>
    <x v="0"/>
  </r>
  <r>
    <x v="1"/>
    <x v="1"/>
    <x v="0"/>
    <x v="5"/>
    <n v="0"/>
    <x v="0"/>
  </r>
  <r>
    <x v="1"/>
    <x v="1"/>
    <x v="0"/>
    <x v="6"/>
    <n v="0"/>
    <x v="0"/>
  </r>
  <r>
    <x v="1"/>
    <x v="1"/>
    <x v="0"/>
    <x v="7"/>
    <n v="0"/>
    <x v="0"/>
  </r>
  <r>
    <x v="1"/>
    <x v="1"/>
    <x v="0"/>
    <x v="8"/>
    <n v="0"/>
    <x v="0"/>
  </r>
  <r>
    <x v="1"/>
    <x v="1"/>
    <x v="0"/>
    <x v="9"/>
    <n v="0"/>
    <x v="0"/>
  </r>
  <r>
    <x v="1"/>
    <x v="1"/>
    <x v="0"/>
    <x v="10"/>
    <n v="0"/>
    <x v="0"/>
  </r>
  <r>
    <x v="1"/>
    <x v="1"/>
    <x v="0"/>
    <x v="11"/>
    <n v="0"/>
    <x v="0"/>
  </r>
  <r>
    <x v="1"/>
    <x v="1"/>
    <x v="1"/>
    <x v="0"/>
    <n v="0"/>
    <x v="0"/>
  </r>
  <r>
    <x v="1"/>
    <x v="1"/>
    <x v="1"/>
    <x v="1"/>
    <n v="0"/>
    <x v="0"/>
  </r>
  <r>
    <x v="1"/>
    <x v="1"/>
    <x v="1"/>
    <x v="2"/>
    <n v="0"/>
    <x v="0"/>
  </r>
  <r>
    <x v="1"/>
    <x v="1"/>
    <x v="1"/>
    <x v="3"/>
    <n v="0"/>
    <x v="0"/>
  </r>
  <r>
    <x v="1"/>
    <x v="1"/>
    <x v="1"/>
    <x v="4"/>
    <n v="0"/>
    <x v="0"/>
  </r>
  <r>
    <x v="1"/>
    <x v="1"/>
    <x v="1"/>
    <x v="5"/>
    <n v="0"/>
    <x v="0"/>
  </r>
  <r>
    <x v="1"/>
    <x v="1"/>
    <x v="1"/>
    <x v="6"/>
    <n v="0"/>
    <x v="0"/>
  </r>
  <r>
    <x v="1"/>
    <x v="1"/>
    <x v="1"/>
    <x v="7"/>
    <n v="0"/>
    <x v="0"/>
  </r>
  <r>
    <x v="1"/>
    <x v="1"/>
    <x v="1"/>
    <x v="8"/>
    <n v="0"/>
    <x v="0"/>
  </r>
  <r>
    <x v="1"/>
    <x v="1"/>
    <x v="1"/>
    <x v="9"/>
    <n v="0"/>
    <x v="0"/>
  </r>
  <r>
    <x v="1"/>
    <x v="1"/>
    <x v="1"/>
    <x v="10"/>
    <n v="0"/>
    <x v="0"/>
  </r>
  <r>
    <x v="1"/>
    <x v="1"/>
    <x v="1"/>
    <x v="11"/>
    <n v="0"/>
    <x v="0"/>
  </r>
  <r>
    <x v="1"/>
    <x v="1"/>
    <x v="2"/>
    <x v="0"/>
    <n v="0"/>
    <x v="0"/>
  </r>
  <r>
    <x v="1"/>
    <x v="1"/>
    <x v="2"/>
    <x v="1"/>
    <n v="0"/>
    <x v="0"/>
  </r>
  <r>
    <x v="1"/>
    <x v="1"/>
    <x v="2"/>
    <x v="2"/>
    <n v="0"/>
    <x v="0"/>
  </r>
  <r>
    <x v="1"/>
    <x v="1"/>
    <x v="2"/>
    <x v="3"/>
    <n v="0"/>
    <x v="0"/>
  </r>
  <r>
    <x v="1"/>
    <x v="1"/>
    <x v="2"/>
    <x v="4"/>
    <n v="0"/>
    <x v="0"/>
  </r>
  <r>
    <x v="1"/>
    <x v="1"/>
    <x v="2"/>
    <x v="5"/>
    <n v="0"/>
    <x v="0"/>
  </r>
  <r>
    <x v="1"/>
    <x v="1"/>
    <x v="2"/>
    <x v="6"/>
    <n v="0"/>
    <x v="0"/>
  </r>
  <r>
    <x v="1"/>
    <x v="1"/>
    <x v="2"/>
    <x v="7"/>
    <n v="0"/>
    <x v="0"/>
  </r>
  <r>
    <x v="1"/>
    <x v="1"/>
    <x v="2"/>
    <x v="8"/>
    <n v="0"/>
    <x v="0"/>
  </r>
  <r>
    <x v="1"/>
    <x v="1"/>
    <x v="2"/>
    <x v="9"/>
    <n v="0"/>
    <x v="0"/>
  </r>
  <r>
    <x v="1"/>
    <x v="1"/>
    <x v="2"/>
    <x v="10"/>
    <n v="0"/>
    <x v="0"/>
  </r>
  <r>
    <x v="1"/>
    <x v="1"/>
    <x v="2"/>
    <x v="11"/>
    <n v="0"/>
    <x v="0"/>
  </r>
  <r>
    <x v="1"/>
    <x v="1"/>
    <x v="3"/>
    <x v="0"/>
    <n v="0"/>
    <x v="0"/>
  </r>
  <r>
    <x v="1"/>
    <x v="1"/>
    <x v="3"/>
    <x v="1"/>
    <n v="0"/>
    <x v="0"/>
  </r>
  <r>
    <x v="1"/>
    <x v="1"/>
    <x v="3"/>
    <x v="2"/>
    <n v="0"/>
    <x v="0"/>
  </r>
  <r>
    <x v="1"/>
    <x v="1"/>
    <x v="3"/>
    <x v="3"/>
    <n v="0"/>
    <x v="0"/>
  </r>
  <r>
    <x v="1"/>
    <x v="1"/>
    <x v="3"/>
    <x v="4"/>
    <n v="0"/>
    <x v="0"/>
  </r>
  <r>
    <x v="1"/>
    <x v="1"/>
    <x v="3"/>
    <x v="5"/>
    <n v="0"/>
    <x v="0"/>
  </r>
  <r>
    <x v="1"/>
    <x v="1"/>
    <x v="3"/>
    <x v="6"/>
    <n v="0"/>
    <x v="0"/>
  </r>
  <r>
    <x v="1"/>
    <x v="1"/>
    <x v="3"/>
    <x v="7"/>
    <n v="0"/>
    <x v="0"/>
  </r>
  <r>
    <x v="1"/>
    <x v="1"/>
    <x v="3"/>
    <x v="8"/>
    <n v="0"/>
    <x v="0"/>
  </r>
  <r>
    <x v="1"/>
    <x v="1"/>
    <x v="3"/>
    <x v="9"/>
    <n v="0"/>
    <x v="0"/>
  </r>
  <r>
    <x v="1"/>
    <x v="1"/>
    <x v="3"/>
    <x v="10"/>
    <n v="0"/>
    <x v="0"/>
  </r>
  <r>
    <x v="1"/>
    <x v="1"/>
    <x v="3"/>
    <x v="11"/>
    <n v="0"/>
    <x v="0"/>
  </r>
  <r>
    <x v="1"/>
    <x v="1"/>
    <x v="4"/>
    <x v="0"/>
    <n v="0"/>
    <x v="1"/>
  </r>
  <r>
    <x v="1"/>
    <x v="1"/>
    <x v="4"/>
    <x v="1"/>
    <n v="0"/>
    <x v="1"/>
  </r>
  <r>
    <x v="1"/>
    <x v="1"/>
    <x v="4"/>
    <x v="2"/>
    <n v="0"/>
    <x v="1"/>
  </r>
  <r>
    <x v="1"/>
    <x v="1"/>
    <x v="4"/>
    <x v="3"/>
    <n v="0"/>
    <x v="1"/>
  </r>
  <r>
    <x v="1"/>
    <x v="1"/>
    <x v="4"/>
    <x v="4"/>
    <n v="0"/>
    <x v="1"/>
  </r>
  <r>
    <x v="1"/>
    <x v="1"/>
    <x v="4"/>
    <x v="5"/>
    <n v="0"/>
    <x v="1"/>
  </r>
  <r>
    <x v="1"/>
    <x v="1"/>
    <x v="4"/>
    <x v="6"/>
    <n v="0"/>
    <x v="1"/>
  </r>
  <r>
    <x v="1"/>
    <x v="1"/>
    <x v="4"/>
    <x v="7"/>
    <n v="0"/>
    <x v="1"/>
  </r>
  <r>
    <x v="1"/>
    <x v="1"/>
    <x v="4"/>
    <x v="8"/>
    <n v="0"/>
    <x v="1"/>
  </r>
  <r>
    <x v="1"/>
    <x v="1"/>
    <x v="4"/>
    <x v="9"/>
    <n v="0"/>
    <x v="1"/>
  </r>
  <r>
    <x v="1"/>
    <x v="1"/>
    <x v="4"/>
    <x v="10"/>
    <n v="0"/>
    <x v="1"/>
  </r>
  <r>
    <x v="1"/>
    <x v="1"/>
    <x v="4"/>
    <x v="11"/>
    <n v="0"/>
    <x v="1"/>
  </r>
  <r>
    <x v="1"/>
    <x v="1"/>
    <x v="5"/>
    <x v="0"/>
    <n v="0"/>
    <x v="1"/>
  </r>
  <r>
    <x v="1"/>
    <x v="1"/>
    <x v="6"/>
    <x v="0"/>
    <n v="1"/>
    <x v="1"/>
  </r>
  <r>
    <x v="1"/>
    <x v="2"/>
    <x v="0"/>
    <x v="0"/>
    <n v="1"/>
    <x v="0"/>
  </r>
  <r>
    <x v="1"/>
    <x v="2"/>
    <x v="0"/>
    <x v="1"/>
    <n v="0"/>
    <x v="0"/>
  </r>
  <r>
    <x v="1"/>
    <x v="2"/>
    <x v="0"/>
    <x v="2"/>
    <n v="0"/>
    <x v="0"/>
  </r>
  <r>
    <x v="1"/>
    <x v="2"/>
    <x v="0"/>
    <x v="3"/>
    <n v="0"/>
    <x v="0"/>
  </r>
  <r>
    <x v="1"/>
    <x v="2"/>
    <x v="0"/>
    <x v="4"/>
    <n v="0"/>
    <x v="0"/>
  </r>
  <r>
    <x v="1"/>
    <x v="2"/>
    <x v="0"/>
    <x v="5"/>
    <n v="0"/>
    <x v="0"/>
  </r>
  <r>
    <x v="1"/>
    <x v="2"/>
    <x v="0"/>
    <x v="6"/>
    <n v="0"/>
    <x v="0"/>
  </r>
  <r>
    <x v="1"/>
    <x v="2"/>
    <x v="0"/>
    <x v="7"/>
    <n v="0"/>
    <x v="0"/>
  </r>
  <r>
    <x v="1"/>
    <x v="2"/>
    <x v="0"/>
    <x v="8"/>
    <n v="0"/>
    <x v="0"/>
  </r>
  <r>
    <x v="1"/>
    <x v="2"/>
    <x v="0"/>
    <x v="9"/>
    <n v="0"/>
    <x v="0"/>
  </r>
  <r>
    <x v="1"/>
    <x v="2"/>
    <x v="0"/>
    <x v="10"/>
    <n v="0"/>
    <x v="0"/>
  </r>
  <r>
    <x v="1"/>
    <x v="2"/>
    <x v="0"/>
    <x v="11"/>
    <n v="0"/>
    <x v="0"/>
  </r>
  <r>
    <x v="1"/>
    <x v="2"/>
    <x v="1"/>
    <x v="0"/>
    <n v="1"/>
    <x v="0"/>
  </r>
  <r>
    <x v="1"/>
    <x v="2"/>
    <x v="1"/>
    <x v="1"/>
    <n v="0"/>
    <x v="0"/>
  </r>
  <r>
    <x v="1"/>
    <x v="2"/>
    <x v="1"/>
    <x v="2"/>
    <n v="0"/>
    <x v="0"/>
  </r>
  <r>
    <x v="1"/>
    <x v="2"/>
    <x v="1"/>
    <x v="3"/>
    <n v="0"/>
    <x v="0"/>
  </r>
  <r>
    <x v="1"/>
    <x v="2"/>
    <x v="1"/>
    <x v="4"/>
    <n v="0"/>
    <x v="0"/>
  </r>
  <r>
    <x v="1"/>
    <x v="2"/>
    <x v="1"/>
    <x v="5"/>
    <n v="0"/>
    <x v="0"/>
  </r>
  <r>
    <x v="1"/>
    <x v="2"/>
    <x v="1"/>
    <x v="6"/>
    <n v="0"/>
    <x v="0"/>
  </r>
  <r>
    <x v="1"/>
    <x v="2"/>
    <x v="1"/>
    <x v="7"/>
    <n v="0"/>
    <x v="0"/>
  </r>
  <r>
    <x v="1"/>
    <x v="2"/>
    <x v="1"/>
    <x v="8"/>
    <n v="0"/>
    <x v="0"/>
  </r>
  <r>
    <x v="1"/>
    <x v="2"/>
    <x v="1"/>
    <x v="9"/>
    <n v="0"/>
    <x v="0"/>
  </r>
  <r>
    <x v="1"/>
    <x v="2"/>
    <x v="1"/>
    <x v="10"/>
    <n v="0"/>
    <x v="0"/>
  </r>
  <r>
    <x v="1"/>
    <x v="2"/>
    <x v="1"/>
    <x v="11"/>
    <n v="0"/>
    <x v="0"/>
  </r>
  <r>
    <x v="1"/>
    <x v="2"/>
    <x v="2"/>
    <x v="0"/>
    <n v="0"/>
    <x v="0"/>
  </r>
  <r>
    <x v="1"/>
    <x v="2"/>
    <x v="2"/>
    <x v="1"/>
    <n v="0"/>
    <x v="0"/>
  </r>
  <r>
    <x v="1"/>
    <x v="2"/>
    <x v="2"/>
    <x v="2"/>
    <n v="0"/>
    <x v="0"/>
  </r>
  <r>
    <x v="1"/>
    <x v="2"/>
    <x v="2"/>
    <x v="3"/>
    <n v="0"/>
    <x v="0"/>
  </r>
  <r>
    <x v="1"/>
    <x v="2"/>
    <x v="2"/>
    <x v="4"/>
    <n v="0"/>
    <x v="0"/>
  </r>
  <r>
    <x v="1"/>
    <x v="2"/>
    <x v="2"/>
    <x v="5"/>
    <n v="0"/>
    <x v="0"/>
  </r>
  <r>
    <x v="1"/>
    <x v="2"/>
    <x v="2"/>
    <x v="6"/>
    <n v="0"/>
    <x v="0"/>
  </r>
  <r>
    <x v="1"/>
    <x v="2"/>
    <x v="2"/>
    <x v="7"/>
    <n v="0"/>
    <x v="0"/>
  </r>
  <r>
    <x v="1"/>
    <x v="2"/>
    <x v="2"/>
    <x v="8"/>
    <n v="0"/>
    <x v="0"/>
  </r>
  <r>
    <x v="1"/>
    <x v="2"/>
    <x v="2"/>
    <x v="9"/>
    <n v="0"/>
    <x v="0"/>
  </r>
  <r>
    <x v="1"/>
    <x v="2"/>
    <x v="2"/>
    <x v="10"/>
    <n v="0"/>
    <x v="0"/>
  </r>
  <r>
    <x v="1"/>
    <x v="2"/>
    <x v="2"/>
    <x v="11"/>
    <n v="0"/>
    <x v="0"/>
  </r>
  <r>
    <x v="1"/>
    <x v="2"/>
    <x v="3"/>
    <x v="0"/>
    <n v="0"/>
    <x v="0"/>
  </r>
  <r>
    <x v="1"/>
    <x v="2"/>
    <x v="3"/>
    <x v="1"/>
    <n v="0"/>
    <x v="0"/>
  </r>
  <r>
    <x v="1"/>
    <x v="2"/>
    <x v="3"/>
    <x v="2"/>
    <n v="0"/>
    <x v="0"/>
  </r>
  <r>
    <x v="1"/>
    <x v="2"/>
    <x v="3"/>
    <x v="3"/>
    <n v="0"/>
    <x v="0"/>
  </r>
  <r>
    <x v="1"/>
    <x v="2"/>
    <x v="3"/>
    <x v="4"/>
    <n v="0"/>
    <x v="0"/>
  </r>
  <r>
    <x v="1"/>
    <x v="2"/>
    <x v="3"/>
    <x v="5"/>
    <n v="0"/>
    <x v="0"/>
  </r>
  <r>
    <x v="1"/>
    <x v="2"/>
    <x v="3"/>
    <x v="6"/>
    <n v="0"/>
    <x v="0"/>
  </r>
  <r>
    <x v="1"/>
    <x v="2"/>
    <x v="3"/>
    <x v="7"/>
    <n v="0"/>
    <x v="0"/>
  </r>
  <r>
    <x v="1"/>
    <x v="2"/>
    <x v="3"/>
    <x v="8"/>
    <n v="0"/>
    <x v="0"/>
  </r>
  <r>
    <x v="1"/>
    <x v="2"/>
    <x v="3"/>
    <x v="9"/>
    <n v="0"/>
    <x v="0"/>
  </r>
  <r>
    <x v="1"/>
    <x v="2"/>
    <x v="3"/>
    <x v="10"/>
    <n v="0"/>
    <x v="0"/>
  </r>
  <r>
    <x v="1"/>
    <x v="2"/>
    <x v="3"/>
    <x v="11"/>
    <n v="0"/>
    <x v="0"/>
  </r>
  <r>
    <x v="1"/>
    <x v="2"/>
    <x v="4"/>
    <x v="0"/>
    <n v="0"/>
    <x v="1"/>
  </r>
  <r>
    <x v="1"/>
    <x v="2"/>
    <x v="4"/>
    <x v="1"/>
    <n v="0"/>
    <x v="1"/>
  </r>
  <r>
    <x v="1"/>
    <x v="2"/>
    <x v="4"/>
    <x v="2"/>
    <n v="0"/>
    <x v="1"/>
  </r>
  <r>
    <x v="1"/>
    <x v="2"/>
    <x v="4"/>
    <x v="3"/>
    <n v="0"/>
    <x v="1"/>
  </r>
  <r>
    <x v="1"/>
    <x v="2"/>
    <x v="4"/>
    <x v="4"/>
    <n v="0"/>
    <x v="1"/>
  </r>
  <r>
    <x v="1"/>
    <x v="2"/>
    <x v="4"/>
    <x v="5"/>
    <n v="0"/>
    <x v="1"/>
  </r>
  <r>
    <x v="1"/>
    <x v="2"/>
    <x v="4"/>
    <x v="6"/>
    <n v="0"/>
    <x v="1"/>
  </r>
  <r>
    <x v="1"/>
    <x v="2"/>
    <x v="4"/>
    <x v="7"/>
    <n v="0"/>
    <x v="1"/>
  </r>
  <r>
    <x v="1"/>
    <x v="2"/>
    <x v="4"/>
    <x v="8"/>
    <n v="0"/>
    <x v="1"/>
  </r>
  <r>
    <x v="1"/>
    <x v="2"/>
    <x v="4"/>
    <x v="9"/>
    <n v="0"/>
    <x v="1"/>
  </r>
  <r>
    <x v="1"/>
    <x v="2"/>
    <x v="4"/>
    <x v="10"/>
    <n v="0"/>
    <x v="1"/>
  </r>
  <r>
    <x v="1"/>
    <x v="2"/>
    <x v="4"/>
    <x v="11"/>
    <n v="0"/>
    <x v="1"/>
  </r>
  <r>
    <x v="1"/>
    <x v="2"/>
    <x v="5"/>
    <x v="0"/>
    <n v="0"/>
    <x v="1"/>
  </r>
  <r>
    <x v="1"/>
    <x v="2"/>
    <x v="6"/>
    <x v="0"/>
    <n v="0"/>
    <x v="1"/>
  </r>
  <r>
    <x v="1"/>
    <x v="3"/>
    <x v="0"/>
    <x v="0"/>
    <n v="0"/>
    <x v="0"/>
  </r>
  <r>
    <x v="1"/>
    <x v="3"/>
    <x v="0"/>
    <x v="1"/>
    <n v="0"/>
    <x v="0"/>
  </r>
  <r>
    <x v="1"/>
    <x v="3"/>
    <x v="0"/>
    <x v="2"/>
    <n v="0"/>
    <x v="0"/>
  </r>
  <r>
    <x v="1"/>
    <x v="3"/>
    <x v="0"/>
    <x v="3"/>
    <n v="0"/>
    <x v="0"/>
  </r>
  <r>
    <x v="1"/>
    <x v="3"/>
    <x v="0"/>
    <x v="4"/>
    <n v="0"/>
    <x v="0"/>
  </r>
  <r>
    <x v="1"/>
    <x v="3"/>
    <x v="0"/>
    <x v="5"/>
    <n v="0"/>
    <x v="0"/>
  </r>
  <r>
    <x v="1"/>
    <x v="3"/>
    <x v="0"/>
    <x v="6"/>
    <n v="0"/>
    <x v="0"/>
  </r>
  <r>
    <x v="1"/>
    <x v="3"/>
    <x v="0"/>
    <x v="7"/>
    <n v="0"/>
    <x v="0"/>
  </r>
  <r>
    <x v="1"/>
    <x v="3"/>
    <x v="0"/>
    <x v="8"/>
    <n v="0"/>
    <x v="0"/>
  </r>
  <r>
    <x v="1"/>
    <x v="3"/>
    <x v="0"/>
    <x v="9"/>
    <n v="0"/>
    <x v="0"/>
  </r>
  <r>
    <x v="1"/>
    <x v="3"/>
    <x v="0"/>
    <x v="10"/>
    <n v="0"/>
    <x v="0"/>
  </r>
  <r>
    <x v="1"/>
    <x v="3"/>
    <x v="0"/>
    <x v="11"/>
    <n v="0"/>
    <x v="0"/>
  </r>
  <r>
    <x v="1"/>
    <x v="3"/>
    <x v="1"/>
    <x v="0"/>
    <n v="0"/>
    <x v="0"/>
  </r>
  <r>
    <x v="1"/>
    <x v="3"/>
    <x v="1"/>
    <x v="1"/>
    <n v="0"/>
    <x v="0"/>
  </r>
  <r>
    <x v="1"/>
    <x v="3"/>
    <x v="1"/>
    <x v="2"/>
    <n v="0"/>
    <x v="0"/>
  </r>
  <r>
    <x v="1"/>
    <x v="3"/>
    <x v="1"/>
    <x v="3"/>
    <n v="0"/>
    <x v="0"/>
  </r>
  <r>
    <x v="1"/>
    <x v="3"/>
    <x v="1"/>
    <x v="4"/>
    <n v="0"/>
    <x v="0"/>
  </r>
  <r>
    <x v="1"/>
    <x v="3"/>
    <x v="1"/>
    <x v="5"/>
    <n v="0"/>
    <x v="0"/>
  </r>
  <r>
    <x v="1"/>
    <x v="3"/>
    <x v="1"/>
    <x v="6"/>
    <n v="0"/>
    <x v="0"/>
  </r>
  <r>
    <x v="1"/>
    <x v="3"/>
    <x v="1"/>
    <x v="7"/>
    <n v="0"/>
    <x v="0"/>
  </r>
  <r>
    <x v="1"/>
    <x v="3"/>
    <x v="1"/>
    <x v="8"/>
    <n v="0"/>
    <x v="0"/>
  </r>
  <r>
    <x v="1"/>
    <x v="3"/>
    <x v="1"/>
    <x v="9"/>
    <n v="0"/>
    <x v="0"/>
  </r>
  <r>
    <x v="1"/>
    <x v="3"/>
    <x v="1"/>
    <x v="10"/>
    <n v="0"/>
    <x v="0"/>
  </r>
  <r>
    <x v="1"/>
    <x v="3"/>
    <x v="1"/>
    <x v="11"/>
    <n v="0"/>
    <x v="0"/>
  </r>
  <r>
    <x v="1"/>
    <x v="3"/>
    <x v="2"/>
    <x v="0"/>
    <n v="1"/>
    <x v="0"/>
  </r>
  <r>
    <x v="1"/>
    <x v="3"/>
    <x v="2"/>
    <x v="1"/>
    <n v="0"/>
    <x v="0"/>
  </r>
  <r>
    <x v="1"/>
    <x v="3"/>
    <x v="2"/>
    <x v="2"/>
    <n v="0"/>
    <x v="0"/>
  </r>
  <r>
    <x v="1"/>
    <x v="3"/>
    <x v="2"/>
    <x v="3"/>
    <n v="0"/>
    <x v="0"/>
  </r>
  <r>
    <x v="1"/>
    <x v="3"/>
    <x v="2"/>
    <x v="4"/>
    <n v="0"/>
    <x v="0"/>
  </r>
  <r>
    <x v="1"/>
    <x v="3"/>
    <x v="2"/>
    <x v="5"/>
    <n v="0"/>
    <x v="0"/>
  </r>
  <r>
    <x v="1"/>
    <x v="3"/>
    <x v="2"/>
    <x v="6"/>
    <n v="0"/>
    <x v="0"/>
  </r>
  <r>
    <x v="1"/>
    <x v="3"/>
    <x v="2"/>
    <x v="7"/>
    <n v="0"/>
    <x v="0"/>
  </r>
  <r>
    <x v="1"/>
    <x v="3"/>
    <x v="2"/>
    <x v="8"/>
    <n v="0"/>
    <x v="0"/>
  </r>
  <r>
    <x v="1"/>
    <x v="3"/>
    <x v="2"/>
    <x v="9"/>
    <n v="0"/>
    <x v="0"/>
  </r>
  <r>
    <x v="1"/>
    <x v="3"/>
    <x v="2"/>
    <x v="10"/>
    <n v="0"/>
    <x v="0"/>
  </r>
  <r>
    <x v="1"/>
    <x v="3"/>
    <x v="2"/>
    <x v="11"/>
    <n v="0"/>
    <x v="0"/>
  </r>
  <r>
    <x v="1"/>
    <x v="3"/>
    <x v="3"/>
    <x v="0"/>
    <n v="1"/>
    <x v="0"/>
  </r>
  <r>
    <x v="1"/>
    <x v="3"/>
    <x v="3"/>
    <x v="1"/>
    <n v="0"/>
    <x v="0"/>
  </r>
  <r>
    <x v="1"/>
    <x v="3"/>
    <x v="3"/>
    <x v="2"/>
    <n v="0"/>
    <x v="0"/>
  </r>
  <r>
    <x v="1"/>
    <x v="3"/>
    <x v="3"/>
    <x v="3"/>
    <n v="0"/>
    <x v="0"/>
  </r>
  <r>
    <x v="1"/>
    <x v="3"/>
    <x v="3"/>
    <x v="4"/>
    <n v="0"/>
    <x v="0"/>
  </r>
  <r>
    <x v="1"/>
    <x v="3"/>
    <x v="3"/>
    <x v="5"/>
    <n v="0"/>
    <x v="0"/>
  </r>
  <r>
    <x v="1"/>
    <x v="3"/>
    <x v="3"/>
    <x v="6"/>
    <n v="0"/>
    <x v="0"/>
  </r>
  <r>
    <x v="1"/>
    <x v="3"/>
    <x v="3"/>
    <x v="7"/>
    <n v="0"/>
    <x v="0"/>
  </r>
  <r>
    <x v="1"/>
    <x v="3"/>
    <x v="3"/>
    <x v="8"/>
    <n v="0"/>
    <x v="0"/>
  </r>
  <r>
    <x v="1"/>
    <x v="3"/>
    <x v="3"/>
    <x v="9"/>
    <n v="0"/>
    <x v="0"/>
  </r>
  <r>
    <x v="1"/>
    <x v="3"/>
    <x v="3"/>
    <x v="10"/>
    <n v="0"/>
    <x v="0"/>
  </r>
  <r>
    <x v="1"/>
    <x v="3"/>
    <x v="3"/>
    <x v="11"/>
    <n v="0"/>
    <x v="0"/>
  </r>
  <r>
    <x v="1"/>
    <x v="3"/>
    <x v="4"/>
    <x v="0"/>
    <n v="1"/>
    <x v="1"/>
  </r>
  <r>
    <x v="1"/>
    <x v="3"/>
    <x v="4"/>
    <x v="1"/>
    <n v="0"/>
    <x v="1"/>
  </r>
  <r>
    <x v="1"/>
    <x v="3"/>
    <x v="4"/>
    <x v="2"/>
    <n v="0"/>
    <x v="1"/>
  </r>
  <r>
    <x v="1"/>
    <x v="3"/>
    <x v="4"/>
    <x v="3"/>
    <n v="0"/>
    <x v="1"/>
  </r>
  <r>
    <x v="1"/>
    <x v="3"/>
    <x v="4"/>
    <x v="4"/>
    <n v="0"/>
    <x v="1"/>
  </r>
  <r>
    <x v="1"/>
    <x v="3"/>
    <x v="4"/>
    <x v="5"/>
    <n v="0"/>
    <x v="1"/>
  </r>
  <r>
    <x v="1"/>
    <x v="3"/>
    <x v="4"/>
    <x v="6"/>
    <n v="0"/>
    <x v="1"/>
  </r>
  <r>
    <x v="1"/>
    <x v="3"/>
    <x v="4"/>
    <x v="7"/>
    <n v="0"/>
    <x v="1"/>
  </r>
  <r>
    <x v="1"/>
    <x v="3"/>
    <x v="4"/>
    <x v="8"/>
    <n v="0"/>
    <x v="1"/>
  </r>
  <r>
    <x v="1"/>
    <x v="3"/>
    <x v="4"/>
    <x v="9"/>
    <n v="0"/>
    <x v="1"/>
  </r>
  <r>
    <x v="1"/>
    <x v="3"/>
    <x v="4"/>
    <x v="10"/>
    <n v="0"/>
    <x v="1"/>
  </r>
  <r>
    <x v="1"/>
    <x v="3"/>
    <x v="4"/>
    <x v="11"/>
    <n v="0"/>
    <x v="1"/>
  </r>
  <r>
    <x v="1"/>
    <x v="3"/>
    <x v="5"/>
    <x v="0"/>
    <n v="1"/>
    <x v="1"/>
  </r>
  <r>
    <x v="1"/>
    <x v="3"/>
    <x v="6"/>
    <x v="0"/>
    <n v="1"/>
    <x v="1"/>
  </r>
  <r>
    <x v="1"/>
    <x v="4"/>
    <x v="0"/>
    <x v="0"/>
    <n v="1"/>
    <x v="0"/>
  </r>
  <r>
    <x v="1"/>
    <x v="4"/>
    <x v="0"/>
    <x v="1"/>
    <n v="0"/>
    <x v="0"/>
  </r>
  <r>
    <x v="1"/>
    <x v="4"/>
    <x v="0"/>
    <x v="2"/>
    <n v="0"/>
    <x v="0"/>
  </r>
  <r>
    <x v="1"/>
    <x v="4"/>
    <x v="0"/>
    <x v="3"/>
    <n v="0"/>
    <x v="0"/>
  </r>
  <r>
    <x v="1"/>
    <x v="4"/>
    <x v="0"/>
    <x v="4"/>
    <n v="0"/>
    <x v="0"/>
  </r>
  <r>
    <x v="1"/>
    <x v="4"/>
    <x v="0"/>
    <x v="5"/>
    <n v="0"/>
    <x v="0"/>
  </r>
  <r>
    <x v="1"/>
    <x v="4"/>
    <x v="0"/>
    <x v="6"/>
    <n v="0"/>
    <x v="0"/>
  </r>
  <r>
    <x v="1"/>
    <x v="4"/>
    <x v="0"/>
    <x v="7"/>
    <n v="0"/>
    <x v="0"/>
  </r>
  <r>
    <x v="1"/>
    <x v="4"/>
    <x v="0"/>
    <x v="8"/>
    <n v="0"/>
    <x v="0"/>
  </r>
  <r>
    <x v="1"/>
    <x v="4"/>
    <x v="0"/>
    <x v="9"/>
    <n v="0"/>
    <x v="0"/>
  </r>
  <r>
    <x v="1"/>
    <x v="4"/>
    <x v="0"/>
    <x v="10"/>
    <n v="0"/>
    <x v="0"/>
  </r>
  <r>
    <x v="1"/>
    <x v="4"/>
    <x v="0"/>
    <x v="11"/>
    <n v="0"/>
    <x v="0"/>
  </r>
  <r>
    <x v="1"/>
    <x v="4"/>
    <x v="1"/>
    <x v="0"/>
    <n v="1"/>
    <x v="0"/>
  </r>
  <r>
    <x v="1"/>
    <x v="4"/>
    <x v="1"/>
    <x v="1"/>
    <n v="0"/>
    <x v="0"/>
  </r>
  <r>
    <x v="1"/>
    <x v="4"/>
    <x v="1"/>
    <x v="2"/>
    <n v="0"/>
    <x v="0"/>
  </r>
  <r>
    <x v="1"/>
    <x v="4"/>
    <x v="1"/>
    <x v="3"/>
    <n v="0"/>
    <x v="0"/>
  </r>
  <r>
    <x v="1"/>
    <x v="4"/>
    <x v="1"/>
    <x v="4"/>
    <n v="0"/>
    <x v="0"/>
  </r>
  <r>
    <x v="1"/>
    <x v="4"/>
    <x v="1"/>
    <x v="5"/>
    <n v="0"/>
    <x v="0"/>
  </r>
  <r>
    <x v="1"/>
    <x v="4"/>
    <x v="1"/>
    <x v="6"/>
    <n v="0"/>
    <x v="0"/>
  </r>
  <r>
    <x v="1"/>
    <x v="4"/>
    <x v="1"/>
    <x v="7"/>
    <n v="0"/>
    <x v="0"/>
  </r>
  <r>
    <x v="1"/>
    <x v="4"/>
    <x v="1"/>
    <x v="8"/>
    <n v="0"/>
    <x v="0"/>
  </r>
  <r>
    <x v="1"/>
    <x v="4"/>
    <x v="1"/>
    <x v="9"/>
    <n v="0"/>
    <x v="0"/>
  </r>
  <r>
    <x v="1"/>
    <x v="4"/>
    <x v="1"/>
    <x v="10"/>
    <n v="0"/>
    <x v="0"/>
  </r>
  <r>
    <x v="1"/>
    <x v="4"/>
    <x v="1"/>
    <x v="11"/>
    <n v="0"/>
    <x v="0"/>
  </r>
  <r>
    <x v="1"/>
    <x v="4"/>
    <x v="2"/>
    <x v="0"/>
    <n v="1"/>
    <x v="0"/>
  </r>
  <r>
    <x v="1"/>
    <x v="4"/>
    <x v="2"/>
    <x v="1"/>
    <n v="0"/>
    <x v="0"/>
  </r>
  <r>
    <x v="1"/>
    <x v="4"/>
    <x v="2"/>
    <x v="2"/>
    <n v="0"/>
    <x v="0"/>
  </r>
  <r>
    <x v="1"/>
    <x v="4"/>
    <x v="2"/>
    <x v="3"/>
    <n v="0"/>
    <x v="0"/>
  </r>
  <r>
    <x v="1"/>
    <x v="4"/>
    <x v="2"/>
    <x v="4"/>
    <n v="0"/>
    <x v="0"/>
  </r>
  <r>
    <x v="1"/>
    <x v="4"/>
    <x v="2"/>
    <x v="5"/>
    <n v="0"/>
    <x v="0"/>
  </r>
  <r>
    <x v="1"/>
    <x v="4"/>
    <x v="2"/>
    <x v="6"/>
    <n v="0"/>
    <x v="0"/>
  </r>
  <r>
    <x v="1"/>
    <x v="4"/>
    <x v="2"/>
    <x v="7"/>
    <n v="0"/>
    <x v="0"/>
  </r>
  <r>
    <x v="1"/>
    <x v="4"/>
    <x v="2"/>
    <x v="8"/>
    <n v="0"/>
    <x v="0"/>
  </r>
  <r>
    <x v="1"/>
    <x v="4"/>
    <x v="2"/>
    <x v="9"/>
    <n v="0"/>
    <x v="0"/>
  </r>
  <r>
    <x v="1"/>
    <x v="4"/>
    <x v="2"/>
    <x v="10"/>
    <n v="0"/>
    <x v="0"/>
  </r>
  <r>
    <x v="1"/>
    <x v="4"/>
    <x v="2"/>
    <x v="11"/>
    <n v="0"/>
    <x v="0"/>
  </r>
  <r>
    <x v="1"/>
    <x v="4"/>
    <x v="3"/>
    <x v="0"/>
    <n v="1"/>
    <x v="0"/>
  </r>
  <r>
    <x v="1"/>
    <x v="4"/>
    <x v="3"/>
    <x v="1"/>
    <n v="0"/>
    <x v="0"/>
  </r>
  <r>
    <x v="1"/>
    <x v="4"/>
    <x v="3"/>
    <x v="2"/>
    <n v="0"/>
    <x v="0"/>
  </r>
  <r>
    <x v="1"/>
    <x v="4"/>
    <x v="3"/>
    <x v="3"/>
    <n v="0"/>
    <x v="0"/>
  </r>
  <r>
    <x v="1"/>
    <x v="4"/>
    <x v="3"/>
    <x v="4"/>
    <n v="0"/>
    <x v="0"/>
  </r>
  <r>
    <x v="1"/>
    <x v="4"/>
    <x v="3"/>
    <x v="5"/>
    <n v="0"/>
    <x v="0"/>
  </r>
  <r>
    <x v="1"/>
    <x v="4"/>
    <x v="3"/>
    <x v="6"/>
    <n v="0"/>
    <x v="0"/>
  </r>
  <r>
    <x v="1"/>
    <x v="4"/>
    <x v="3"/>
    <x v="7"/>
    <n v="0"/>
    <x v="0"/>
  </r>
  <r>
    <x v="1"/>
    <x v="4"/>
    <x v="3"/>
    <x v="8"/>
    <n v="0"/>
    <x v="0"/>
  </r>
  <r>
    <x v="1"/>
    <x v="4"/>
    <x v="3"/>
    <x v="9"/>
    <n v="0"/>
    <x v="0"/>
  </r>
  <r>
    <x v="1"/>
    <x v="4"/>
    <x v="3"/>
    <x v="10"/>
    <n v="0"/>
    <x v="0"/>
  </r>
  <r>
    <x v="1"/>
    <x v="4"/>
    <x v="3"/>
    <x v="11"/>
    <n v="0"/>
    <x v="0"/>
  </r>
  <r>
    <x v="1"/>
    <x v="4"/>
    <x v="4"/>
    <x v="0"/>
    <n v="1"/>
    <x v="1"/>
  </r>
  <r>
    <x v="1"/>
    <x v="4"/>
    <x v="4"/>
    <x v="1"/>
    <n v="0"/>
    <x v="1"/>
  </r>
  <r>
    <x v="1"/>
    <x v="4"/>
    <x v="4"/>
    <x v="2"/>
    <n v="0"/>
    <x v="1"/>
  </r>
  <r>
    <x v="1"/>
    <x v="4"/>
    <x v="4"/>
    <x v="3"/>
    <n v="0"/>
    <x v="1"/>
  </r>
  <r>
    <x v="1"/>
    <x v="4"/>
    <x v="4"/>
    <x v="4"/>
    <n v="0"/>
    <x v="1"/>
  </r>
  <r>
    <x v="1"/>
    <x v="4"/>
    <x v="4"/>
    <x v="5"/>
    <n v="0"/>
    <x v="1"/>
  </r>
  <r>
    <x v="1"/>
    <x v="4"/>
    <x v="4"/>
    <x v="6"/>
    <n v="0"/>
    <x v="1"/>
  </r>
  <r>
    <x v="1"/>
    <x v="4"/>
    <x v="4"/>
    <x v="7"/>
    <n v="0"/>
    <x v="1"/>
  </r>
  <r>
    <x v="1"/>
    <x v="4"/>
    <x v="4"/>
    <x v="8"/>
    <n v="0"/>
    <x v="1"/>
  </r>
  <r>
    <x v="1"/>
    <x v="4"/>
    <x v="4"/>
    <x v="9"/>
    <n v="0"/>
    <x v="1"/>
  </r>
  <r>
    <x v="1"/>
    <x v="4"/>
    <x v="4"/>
    <x v="10"/>
    <n v="0"/>
    <x v="1"/>
  </r>
  <r>
    <x v="1"/>
    <x v="4"/>
    <x v="4"/>
    <x v="11"/>
    <n v="0"/>
    <x v="1"/>
  </r>
  <r>
    <x v="1"/>
    <x v="4"/>
    <x v="5"/>
    <x v="0"/>
    <n v="1"/>
    <x v="1"/>
  </r>
  <r>
    <x v="1"/>
    <x v="4"/>
    <x v="6"/>
    <x v="0"/>
    <n v="1"/>
    <x v="1"/>
  </r>
  <r>
    <x v="1"/>
    <x v="5"/>
    <x v="0"/>
    <x v="0"/>
    <n v="0"/>
    <x v="0"/>
  </r>
  <r>
    <x v="1"/>
    <x v="5"/>
    <x v="0"/>
    <x v="1"/>
    <n v="0"/>
    <x v="0"/>
  </r>
  <r>
    <x v="1"/>
    <x v="5"/>
    <x v="0"/>
    <x v="2"/>
    <n v="0"/>
    <x v="0"/>
  </r>
  <r>
    <x v="1"/>
    <x v="5"/>
    <x v="0"/>
    <x v="3"/>
    <n v="0"/>
    <x v="0"/>
  </r>
  <r>
    <x v="1"/>
    <x v="5"/>
    <x v="0"/>
    <x v="4"/>
    <n v="0"/>
    <x v="0"/>
  </r>
  <r>
    <x v="1"/>
    <x v="5"/>
    <x v="0"/>
    <x v="5"/>
    <n v="0"/>
    <x v="0"/>
  </r>
  <r>
    <x v="1"/>
    <x v="5"/>
    <x v="0"/>
    <x v="6"/>
    <n v="0"/>
    <x v="0"/>
  </r>
  <r>
    <x v="1"/>
    <x v="5"/>
    <x v="0"/>
    <x v="7"/>
    <n v="0"/>
    <x v="0"/>
  </r>
  <r>
    <x v="1"/>
    <x v="5"/>
    <x v="0"/>
    <x v="8"/>
    <n v="0"/>
    <x v="0"/>
  </r>
  <r>
    <x v="1"/>
    <x v="5"/>
    <x v="0"/>
    <x v="9"/>
    <n v="0"/>
    <x v="0"/>
  </r>
  <r>
    <x v="1"/>
    <x v="5"/>
    <x v="0"/>
    <x v="10"/>
    <n v="0"/>
    <x v="0"/>
  </r>
  <r>
    <x v="1"/>
    <x v="5"/>
    <x v="0"/>
    <x v="11"/>
    <n v="0"/>
    <x v="0"/>
  </r>
  <r>
    <x v="1"/>
    <x v="5"/>
    <x v="1"/>
    <x v="0"/>
    <n v="0"/>
    <x v="0"/>
  </r>
  <r>
    <x v="1"/>
    <x v="5"/>
    <x v="1"/>
    <x v="1"/>
    <n v="0"/>
    <x v="0"/>
  </r>
  <r>
    <x v="1"/>
    <x v="5"/>
    <x v="1"/>
    <x v="2"/>
    <n v="0"/>
    <x v="0"/>
  </r>
  <r>
    <x v="1"/>
    <x v="5"/>
    <x v="1"/>
    <x v="3"/>
    <n v="0"/>
    <x v="0"/>
  </r>
  <r>
    <x v="1"/>
    <x v="5"/>
    <x v="1"/>
    <x v="4"/>
    <n v="0"/>
    <x v="0"/>
  </r>
  <r>
    <x v="1"/>
    <x v="5"/>
    <x v="1"/>
    <x v="5"/>
    <n v="0"/>
    <x v="0"/>
  </r>
  <r>
    <x v="1"/>
    <x v="5"/>
    <x v="1"/>
    <x v="6"/>
    <n v="0"/>
    <x v="0"/>
  </r>
  <r>
    <x v="1"/>
    <x v="5"/>
    <x v="1"/>
    <x v="7"/>
    <n v="0"/>
    <x v="0"/>
  </r>
  <r>
    <x v="1"/>
    <x v="5"/>
    <x v="1"/>
    <x v="8"/>
    <n v="0"/>
    <x v="0"/>
  </r>
  <r>
    <x v="1"/>
    <x v="5"/>
    <x v="1"/>
    <x v="9"/>
    <n v="0"/>
    <x v="0"/>
  </r>
  <r>
    <x v="1"/>
    <x v="5"/>
    <x v="1"/>
    <x v="10"/>
    <n v="0"/>
    <x v="0"/>
  </r>
  <r>
    <x v="1"/>
    <x v="5"/>
    <x v="1"/>
    <x v="11"/>
    <n v="0"/>
    <x v="0"/>
  </r>
  <r>
    <x v="1"/>
    <x v="5"/>
    <x v="2"/>
    <x v="0"/>
    <n v="0"/>
    <x v="0"/>
  </r>
  <r>
    <x v="1"/>
    <x v="5"/>
    <x v="2"/>
    <x v="1"/>
    <n v="0"/>
    <x v="0"/>
  </r>
  <r>
    <x v="1"/>
    <x v="5"/>
    <x v="2"/>
    <x v="2"/>
    <n v="0"/>
    <x v="0"/>
  </r>
  <r>
    <x v="1"/>
    <x v="5"/>
    <x v="2"/>
    <x v="3"/>
    <n v="0"/>
    <x v="0"/>
  </r>
  <r>
    <x v="1"/>
    <x v="5"/>
    <x v="2"/>
    <x v="4"/>
    <n v="0"/>
    <x v="0"/>
  </r>
  <r>
    <x v="1"/>
    <x v="5"/>
    <x v="2"/>
    <x v="5"/>
    <n v="0"/>
    <x v="0"/>
  </r>
  <r>
    <x v="1"/>
    <x v="5"/>
    <x v="2"/>
    <x v="6"/>
    <n v="0"/>
    <x v="0"/>
  </r>
  <r>
    <x v="1"/>
    <x v="5"/>
    <x v="2"/>
    <x v="7"/>
    <n v="0"/>
    <x v="0"/>
  </r>
  <r>
    <x v="1"/>
    <x v="5"/>
    <x v="2"/>
    <x v="8"/>
    <n v="0"/>
    <x v="0"/>
  </r>
  <r>
    <x v="1"/>
    <x v="5"/>
    <x v="2"/>
    <x v="9"/>
    <n v="0"/>
    <x v="0"/>
  </r>
  <r>
    <x v="1"/>
    <x v="5"/>
    <x v="2"/>
    <x v="10"/>
    <n v="0"/>
    <x v="0"/>
  </r>
  <r>
    <x v="1"/>
    <x v="5"/>
    <x v="2"/>
    <x v="11"/>
    <n v="0"/>
    <x v="0"/>
  </r>
  <r>
    <x v="1"/>
    <x v="5"/>
    <x v="3"/>
    <x v="0"/>
    <n v="0"/>
    <x v="0"/>
  </r>
  <r>
    <x v="1"/>
    <x v="5"/>
    <x v="3"/>
    <x v="1"/>
    <n v="0"/>
    <x v="0"/>
  </r>
  <r>
    <x v="1"/>
    <x v="5"/>
    <x v="3"/>
    <x v="2"/>
    <n v="0"/>
    <x v="0"/>
  </r>
  <r>
    <x v="1"/>
    <x v="5"/>
    <x v="3"/>
    <x v="3"/>
    <n v="0"/>
    <x v="0"/>
  </r>
  <r>
    <x v="1"/>
    <x v="5"/>
    <x v="3"/>
    <x v="4"/>
    <n v="0"/>
    <x v="0"/>
  </r>
  <r>
    <x v="1"/>
    <x v="5"/>
    <x v="3"/>
    <x v="5"/>
    <n v="0"/>
    <x v="0"/>
  </r>
  <r>
    <x v="1"/>
    <x v="5"/>
    <x v="3"/>
    <x v="6"/>
    <n v="0"/>
    <x v="0"/>
  </r>
  <r>
    <x v="1"/>
    <x v="5"/>
    <x v="3"/>
    <x v="7"/>
    <n v="0"/>
    <x v="0"/>
  </r>
  <r>
    <x v="1"/>
    <x v="5"/>
    <x v="3"/>
    <x v="8"/>
    <n v="0"/>
    <x v="0"/>
  </r>
  <r>
    <x v="1"/>
    <x v="5"/>
    <x v="3"/>
    <x v="9"/>
    <n v="0"/>
    <x v="0"/>
  </r>
  <r>
    <x v="1"/>
    <x v="5"/>
    <x v="3"/>
    <x v="10"/>
    <n v="0"/>
    <x v="0"/>
  </r>
  <r>
    <x v="1"/>
    <x v="5"/>
    <x v="3"/>
    <x v="11"/>
    <n v="0"/>
    <x v="0"/>
  </r>
  <r>
    <x v="1"/>
    <x v="5"/>
    <x v="4"/>
    <x v="0"/>
    <n v="0"/>
    <x v="1"/>
  </r>
  <r>
    <x v="1"/>
    <x v="5"/>
    <x v="4"/>
    <x v="1"/>
    <n v="0"/>
    <x v="1"/>
  </r>
  <r>
    <x v="1"/>
    <x v="5"/>
    <x v="4"/>
    <x v="2"/>
    <n v="0"/>
    <x v="1"/>
  </r>
  <r>
    <x v="1"/>
    <x v="5"/>
    <x v="4"/>
    <x v="3"/>
    <n v="0"/>
    <x v="1"/>
  </r>
  <r>
    <x v="1"/>
    <x v="5"/>
    <x v="4"/>
    <x v="4"/>
    <n v="0"/>
    <x v="1"/>
  </r>
  <r>
    <x v="1"/>
    <x v="5"/>
    <x v="4"/>
    <x v="5"/>
    <n v="0"/>
    <x v="1"/>
  </r>
  <r>
    <x v="1"/>
    <x v="5"/>
    <x v="4"/>
    <x v="6"/>
    <n v="0"/>
    <x v="1"/>
  </r>
  <r>
    <x v="1"/>
    <x v="5"/>
    <x v="4"/>
    <x v="7"/>
    <n v="0"/>
    <x v="1"/>
  </r>
  <r>
    <x v="1"/>
    <x v="5"/>
    <x v="4"/>
    <x v="8"/>
    <n v="0"/>
    <x v="1"/>
  </r>
  <r>
    <x v="1"/>
    <x v="5"/>
    <x v="4"/>
    <x v="9"/>
    <n v="0"/>
    <x v="1"/>
  </r>
  <r>
    <x v="1"/>
    <x v="5"/>
    <x v="4"/>
    <x v="10"/>
    <n v="0"/>
    <x v="1"/>
  </r>
  <r>
    <x v="1"/>
    <x v="5"/>
    <x v="4"/>
    <x v="11"/>
    <n v="0"/>
    <x v="1"/>
  </r>
  <r>
    <x v="1"/>
    <x v="5"/>
    <x v="5"/>
    <x v="0"/>
    <n v="0"/>
    <x v="1"/>
  </r>
  <r>
    <x v="1"/>
    <x v="5"/>
    <x v="6"/>
    <x v="0"/>
    <n v="0"/>
    <x v="1"/>
  </r>
  <r>
    <x v="1"/>
    <x v="6"/>
    <x v="0"/>
    <x v="0"/>
    <n v="1"/>
    <x v="0"/>
  </r>
  <r>
    <x v="1"/>
    <x v="6"/>
    <x v="0"/>
    <x v="1"/>
    <n v="0"/>
    <x v="0"/>
  </r>
  <r>
    <x v="1"/>
    <x v="6"/>
    <x v="0"/>
    <x v="2"/>
    <n v="0"/>
    <x v="0"/>
  </r>
  <r>
    <x v="1"/>
    <x v="6"/>
    <x v="0"/>
    <x v="3"/>
    <n v="0"/>
    <x v="0"/>
  </r>
  <r>
    <x v="1"/>
    <x v="6"/>
    <x v="0"/>
    <x v="4"/>
    <n v="0"/>
    <x v="0"/>
  </r>
  <r>
    <x v="1"/>
    <x v="6"/>
    <x v="0"/>
    <x v="5"/>
    <n v="0"/>
    <x v="0"/>
  </r>
  <r>
    <x v="1"/>
    <x v="6"/>
    <x v="0"/>
    <x v="6"/>
    <n v="0"/>
    <x v="0"/>
  </r>
  <r>
    <x v="1"/>
    <x v="6"/>
    <x v="0"/>
    <x v="7"/>
    <n v="0"/>
    <x v="0"/>
  </r>
  <r>
    <x v="1"/>
    <x v="6"/>
    <x v="0"/>
    <x v="8"/>
    <n v="0"/>
    <x v="0"/>
  </r>
  <r>
    <x v="1"/>
    <x v="6"/>
    <x v="0"/>
    <x v="9"/>
    <n v="0"/>
    <x v="0"/>
  </r>
  <r>
    <x v="1"/>
    <x v="6"/>
    <x v="0"/>
    <x v="10"/>
    <n v="0"/>
    <x v="0"/>
  </r>
  <r>
    <x v="1"/>
    <x v="6"/>
    <x v="0"/>
    <x v="11"/>
    <n v="0"/>
    <x v="0"/>
  </r>
  <r>
    <x v="1"/>
    <x v="6"/>
    <x v="1"/>
    <x v="0"/>
    <n v="1"/>
    <x v="0"/>
  </r>
  <r>
    <x v="1"/>
    <x v="6"/>
    <x v="1"/>
    <x v="1"/>
    <n v="0"/>
    <x v="0"/>
  </r>
  <r>
    <x v="1"/>
    <x v="6"/>
    <x v="1"/>
    <x v="2"/>
    <n v="0"/>
    <x v="0"/>
  </r>
  <r>
    <x v="1"/>
    <x v="6"/>
    <x v="1"/>
    <x v="3"/>
    <n v="0"/>
    <x v="0"/>
  </r>
  <r>
    <x v="1"/>
    <x v="6"/>
    <x v="1"/>
    <x v="4"/>
    <n v="0"/>
    <x v="0"/>
  </r>
  <r>
    <x v="1"/>
    <x v="6"/>
    <x v="1"/>
    <x v="5"/>
    <n v="0"/>
    <x v="0"/>
  </r>
  <r>
    <x v="1"/>
    <x v="6"/>
    <x v="1"/>
    <x v="6"/>
    <n v="0"/>
    <x v="0"/>
  </r>
  <r>
    <x v="1"/>
    <x v="6"/>
    <x v="1"/>
    <x v="7"/>
    <n v="0"/>
    <x v="0"/>
  </r>
  <r>
    <x v="1"/>
    <x v="6"/>
    <x v="1"/>
    <x v="8"/>
    <n v="0"/>
    <x v="0"/>
  </r>
  <r>
    <x v="1"/>
    <x v="6"/>
    <x v="1"/>
    <x v="9"/>
    <n v="0"/>
    <x v="0"/>
  </r>
  <r>
    <x v="1"/>
    <x v="6"/>
    <x v="1"/>
    <x v="10"/>
    <n v="0"/>
    <x v="0"/>
  </r>
  <r>
    <x v="1"/>
    <x v="6"/>
    <x v="1"/>
    <x v="11"/>
    <n v="0"/>
    <x v="0"/>
  </r>
  <r>
    <x v="1"/>
    <x v="6"/>
    <x v="2"/>
    <x v="0"/>
    <n v="1"/>
    <x v="0"/>
  </r>
  <r>
    <x v="1"/>
    <x v="6"/>
    <x v="2"/>
    <x v="1"/>
    <n v="0"/>
    <x v="0"/>
  </r>
  <r>
    <x v="1"/>
    <x v="6"/>
    <x v="2"/>
    <x v="2"/>
    <n v="0"/>
    <x v="0"/>
  </r>
  <r>
    <x v="1"/>
    <x v="6"/>
    <x v="2"/>
    <x v="3"/>
    <n v="0"/>
    <x v="0"/>
  </r>
  <r>
    <x v="1"/>
    <x v="6"/>
    <x v="2"/>
    <x v="4"/>
    <n v="0"/>
    <x v="0"/>
  </r>
  <r>
    <x v="1"/>
    <x v="6"/>
    <x v="2"/>
    <x v="5"/>
    <n v="0"/>
    <x v="0"/>
  </r>
  <r>
    <x v="1"/>
    <x v="6"/>
    <x v="2"/>
    <x v="6"/>
    <n v="0"/>
    <x v="0"/>
  </r>
  <r>
    <x v="1"/>
    <x v="6"/>
    <x v="2"/>
    <x v="7"/>
    <n v="0"/>
    <x v="0"/>
  </r>
  <r>
    <x v="1"/>
    <x v="6"/>
    <x v="2"/>
    <x v="8"/>
    <n v="0"/>
    <x v="0"/>
  </r>
  <r>
    <x v="1"/>
    <x v="6"/>
    <x v="2"/>
    <x v="9"/>
    <n v="0"/>
    <x v="0"/>
  </r>
  <r>
    <x v="1"/>
    <x v="6"/>
    <x v="2"/>
    <x v="10"/>
    <n v="0"/>
    <x v="0"/>
  </r>
  <r>
    <x v="1"/>
    <x v="6"/>
    <x v="2"/>
    <x v="11"/>
    <n v="0"/>
    <x v="0"/>
  </r>
  <r>
    <x v="1"/>
    <x v="6"/>
    <x v="3"/>
    <x v="0"/>
    <n v="1"/>
    <x v="0"/>
  </r>
  <r>
    <x v="1"/>
    <x v="6"/>
    <x v="3"/>
    <x v="1"/>
    <n v="0"/>
    <x v="0"/>
  </r>
  <r>
    <x v="1"/>
    <x v="6"/>
    <x v="3"/>
    <x v="2"/>
    <n v="0"/>
    <x v="0"/>
  </r>
  <r>
    <x v="1"/>
    <x v="6"/>
    <x v="3"/>
    <x v="3"/>
    <n v="0"/>
    <x v="0"/>
  </r>
  <r>
    <x v="1"/>
    <x v="6"/>
    <x v="3"/>
    <x v="4"/>
    <n v="0"/>
    <x v="0"/>
  </r>
  <r>
    <x v="1"/>
    <x v="6"/>
    <x v="3"/>
    <x v="5"/>
    <n v="0"/>
    <x v="0"/>
  </r>
  <r>
    <x v="1"/>
    <x v="6"/>
    <x v="3"/>
    <x v="6"/>
    <n v="0"/>
    <x v="0"/>
  </r>
  <r>
    <x v="1"/>
    <x v="6"/>
    <x v="3"/>
    <x v="7"/>
    <n v="0"/>
    <x v="0"/>
  </r>
  <r>
    <x v="1"/>
    <x v="6"/>
    <x v="3"/>
    <x v="8"/>
    <n v="0"/>
    <x v="0"/>
  </r>
  <r>
    <x v="1"/>
    <x v="6"/>
    <x v="3"/>
    <x v="9"/>
    <n v="0"/>
    <x v="0"/>
  </r>
  <r>
    <x v="1"/>
    <x v="6"/>
    <x v="3"/>
    <x v="10"/>
    <n v="0"/>
    <x v="0"/>
  </r>
  <r>
    <x v="1"/>
    <x v="6"/>
    <x v="3"/>
    <x v="11"/>
    <n v="0"/>
    <x v="0"/>
  </r>
  <r>
    <x v="1"/>
    <x v="6"/>
    <x v="4"/>
    <x v="0"/>
    <n v="1"/>
    <x v="1"/>
  </r>
  <r>
    <x v="1"/>
    <x v="6"/>
    <x v="4"/>
    <x v="1"/>
    <n v="0"/>
    <x v="1"/>
  </r>
  <r>
    <x v="1"/>
    <x v="6"/>
    <x v="4"/>
    <x v="2"/>
    <n v="0"/>
    <x v="1"/>
  </r>
  <r>
    <x v="1"/>
    <x v="6"/>
    <x v="4"/>
    <x v="3"/>
    <n v="0"/>
    <x v="1"/>
  </r>
  <r>
    <x v="1"/>
    <x v="6"/>
    <x v="4"/>
    <x v="4"/>
    <n v="0"/>
    <x v="1"/>
  </r>
  <r>
    <x v="1"/>
    <x v="6"/>
    <x v="4"/>
    <x v="5"/>
    <n v="0"/>
    <x v="1"/>
  </r>
  <r>
    <x v="1"/>
    <x v="6"/>
    <x v="4"/>
    <x v="6"/>
    <n v="0"/>
    <x v="1"/>
  </r>
  <r>
    <x v="1"/>
    <x v="6"/>
    <x v="4"/>
    <x v="7"/>
    <n v="0"/>
    <x v="1"/>
  </r>
  <r>
    <x v="1"/>
    <x v="6"/>
    <x v="4"/>
    <x v="8"/>
    <n v="0"/>
    <x v="1"/>
  </r>
  <r>
    <x v="1"/>
    <x v="6"/>
    <x v="4"/>
    <x v="9"/>
    <n v="0"/>
    <x v="1"/>
  </r>
  <r>
    <x v="1"/>
    <x v="6"/>
    <x v="4"/>
    <x v="10"/>
    <n v="0"/>
    <x v="1"/>
  </r>
  <r>
    <x v="1"/>
    <x v="6"/>
    <x v="4"/>
    <x v="11"/>
    <n v="0"/>
    <x v="1"/>
  </r>
  <r>
    <x v="1"/>
    <x v="6"/>
    <x v="5"/>
    <x v="0"/>
    <n v="1"/>
    <x v="1"/>
  </r>
  <r>
    <x v="1"/>
    <x v="6"/>
    <x v="6"/>
    <x v="0"/>
    <n v="1"/>
    <x v="1"/>
  </r>
  <r>
    <x v="1"/>
    <x v="7"/>
    <x v="0"/>
    <x v="0"/>
    <n v="0"/>
    <x v="0"/>
  </r>
  <r>
    <x v="1"/>
    <x v="7"/>
    <x v="0"/>
    <x v="1"/>
    <n v="0"/>
    <x v="0"/>
  </r>
  <r>
    <x v="1"/>
    <x v="7"/>
    <x v="0"/>
    <x v="2"/>
    <n v="0"/>
    <x v="0"/>
  </r>
  <r>
    <x v="1"/>
    <x v="7"/>
    <x v="0"/>
    <x v="3"/>
    <n v="0"/>
    <x v="0"/>
  </r>
  <r>
    <x v="1"/>
    <x v="7"/>
    <x v="0"/>
    <x v="4"/>
    <n v="0"/>
    <x v="0"/>
  </r>
  <r>
    <x v="1"/>
    <x v="7"/>
    <x v="0"/>
    <x v="5"/>
    <n v="0"/>
    <x v="0"/>
  </r>
  <r>
    <x v="1"/>
    <x v="7"/>
    <x v="0"/>
    <x v="6"/>
    <n v="0"/>
    <x v="0"/>
  </r>
  <r>
    <x v="1"/>
    <x v="7"/>
    <x v="0"/>
    <x v="7"/>
    <n v="0"/>
    <x v="0"/>
  </r>
  <r>
    <x v="1"/>
    <x v="7"/>
    <x v="0"/>
    <x v="8"/>
    <n v="0"/>
    <x v="0"/>
  </r>
  <r>
    <x v="1"/>
    <x v="7"/>
    <x v="0"/>
    <x v="9"/>
    <n v="0"/>
    <x v="0"/>
  </r>
  <r>
    <x v="1"/>
    <x v="7"/>
    <x v="0"/>
    <x v="10"/>
    <n v="0"/>
    <x v="0"/>
  </r>
  <r>
    <x v="1"/>
    <x v="7"/>
    <x v="0"/>
    <x v="11"/>
    <n v="0"/>
    <x v="0"/>
  </r>
  <r>
    <x v="1"/>
    <x v="7"/>
    <x v="1"/>
    <x v="0"/>
    <n v="0"/>
    <x v="0"/>
  </r>
  <r>
    <x v="1"/>
    <x v="7"/>
    <x v="1"/>
    <x v="1"/>
    <n v="0"/>
    <x v="0"/>
  </r>
  <r>
    <x v="1"/>
    <x v="7"/>
    <x v="1"/>
    <x v="2"/>
    <n v="0"/>
    <x v="0"/>
  </r>
  <r>
    <x v="1"/>
    <x v="7"/>
    <x v="1"/>
    <x v="3"/>
    <n v="0"/>
    <x v="0"/>
  </r>
  <r>
    <x v="1"/>
    <x v="7"/>
    <x v="1"/>
    <x v="4"/>
    <n v="0"/>
    <x v="0"/>
  </r>
  <r>
    <x v="1"/>
    <x v="7"/>
    <x v="1"/>
    <x v="5"/>
    <n v="0"/>
    <x v="0"/>
  </r>
  <r>
    <x v="1"/>
    <x v="7"/>
    <x v="1"/>
    <x v="6"/>
    <n v="0"/>
    <x v="0"/>
  </r>
  <r>
    <x v="1"/>
    <x v="7"/>
    <x v="1"/>
    <x v="7"/>
    <n v="0"/>
    <x v="0"/>
  </r>
  <r>
    <x v="1"/>
    <x v="7"/>
    <x v="1"/>
    <x v="8"/>
    <n v="0"/>
    <x v="0"/>
  </r>
  <r>
    <x v="1"/>
    <x v="7"/>
    <x v="1"/>
    <x v="9"/>
    <n v="0"/>
    <x v="0"/>
  </r>
  <r>
    <x v="1"/>
    <x v="7"/>
    <x v="1"/>
    <x v="10"/>
    <n v="0"/>
    <x v="0"/>
  </r>
  <r>
    <x v="1"/>
    <x v="7"/>
    <x v="1"/>
    <x v="11"/>
    <n v="0"/>
    <x v="0"/>
  </r>
  <r>
    <x v="1"/>
    <x v="7"/>
    <x v="2"/>
    <x v="0"/>
    <n v="0"/>
    <x v="0"/>
  </r>
  <r>
    <x v="1"/>
    <x v="7"/>
    <x v="2"/>
    <x v="1"/>
    <n v="0"/>
    <x v="0"/>
  </r>
  <r>
    <x v="1"/>
    <x v="7"/>
    <x v="2"/>
    <x v="2"/>
    <n v="0"/>
    <x v="0"/>
  </r>
  <r>
    <x v="1"/>
    <x v="7"/>
    <x v="2"/>
    <x v="3"/>
    <n v="0"/>
    <x v="0"/>
  </r>
  <r>
    <x v="1"/>
    <x v="7"/>
    <x v="2"/>
    <x v="4"/>
    <n v="0"/>
    <x v="0"/>
  </r>
  <r>
    <x v="1"/>
    <x v="7"/>
    <x v="2"/>
    <x v="5"/>
    <n v="0"/>
    <x v="0"/>
  </r>
  <r>
    <x v="1"/>
    <x v="7"/>
    <x v="2"/>
    <x v="6"/>
    <n v="0"/>
    <x v="0"/>
  </r>
  <r>
    <x v="1"/>
    <x v="7"/>
    <x v="2"/>
    <x v="7"/>
    <n v="0"/>
    <x v="0"/>
  </r>
  <r>
    <x v="1"/>
    <x v="7"/>
    <x v="2"/>
    <x v="8"/>
    <n v="0"/>
    <x v="0"/>
  </r>
  <r>
    <x v="1"/>
    <x v="7"/>
    <x v="2"/>
    <x v="9"/>
    <n v="0"/>
    <x v="0"/>
  </r>
  <r>
    <x v="1"/>
    <x v="7"/>
    <x v="2"/>
    <x v="10"/>
    <n v="0"/>
    <x v="0"/>
  </r>
  <r>
    <x v="1"/>
    <x v="7"/>
    <x v="2"/>
    <x v="11"/>
    <n v="0"/>
    <x v="0"/>
  </r>
  <r>
    <x v="1"/>
    <x v="7"/>
    <x v="3"/>
    <x v="0"/>
    <n v="0"/>
    <x v="0"/>
  </r>
  <r>
    <x v="1"/>
    <x v="7"/>
    <x v="3"/>
    <x v="1"/>
    <n v="0"/>
    <x v="0"/>
  </r>
  <r>
    <x v="1"/>
    <x v="7"/>
    <x v="3"/>
    <x v="2"/>
    <n v="0"/>
    <x v="0"/>
  </r>
  <r>
    <x v="1"/>
    <x v="7"/>
    <x v="3"/>
    <x v="3"/>
    <n v="0"/>
    <x v="0"/>
  </r>
  <r>
    <x v="1"/>
    <x v="7"/>
    <x v="3"/>
    <x v="4"/>
    <n v="0"/>
    <x v="0"/>
  </r>
  <r>
    <x v="1"/>
    <x v="7"/>
    <x v="3"/>
    <x v="5"/>
    <n v="0"/>
    <x v="0"/>
  </r>
  <r>
    <x v="1"/>
    <x v="7"/>
    <x v="3"/>
    <x v="6"/>
    <n v="0"/>
    <x v="0"/>
  </r>
  <r>
    <x v="1"/>
    <x v="7"/>
    <x v="3"/>
    <x v="7"/>
    <n v="0"/>
    <x v="0"/>
  </r>
  <r>
    <x v="1"/>
    <x v="7"/>
    <x v="3"/>
    <x v="8"/>
    <n v="0"/>
    <x v="0"/>
  </r>
  <r>
    <x v="1"/>
    <x v="7"/>
    <x v="3"/>
    <x v="9"/>
    <n v="0"/>
    <x v="0"/>
  </r>
  <r>
    <x v="1"/>
    <x v="7"/>
    <x v="3"/>
    <x v="10"/>
    <n v="0"/>
    <x v="0"/>
  </r>
  <r>
    <x v="1"/>
    <x v="7"/>
    <x v="3"/>
    <x v="11"/>
    <n v="0"/>
    <x v="0"/>
  </r>
  <r>
    <x v="1"/>
    <x v="7"/>
    <x v="4"/>
    <x v="0"/>
    <n v="0"/>
    <x v="1"/>
  </r>
  <r>
    <x v="1"/>
    <x v="7"/>
    <x v="4"/>
    <x v="1"/>
    <n v="0"/>
    <x v="1"/>
  </r>
  <r>
    <x v="1"/>
    <x v="7"/>
    <x v="4"/>
    <x v="2"/>
    <n v="0"/>
    <x v="1"/>
  </r>
  <r>
    <x v="1"/>
    <x v="7"/>
    <x v="4"/>
    <x v="3"/>
    <n v="0"/>
    <x v="1"/>
  </r>
  <r>
    <x v="1"/>
    <x v="7"/>
    <x v="4"/>
    <x v="4"/>
    <n v="0"/>
    <x v="1"/>
  </r>
  <r>
    <x v="1"/>
    <x v="7"/>
    <x v="4"/>
    <x v="5"/>
    <n v="0"/>
    <x v="1"/>
  </r>
  <r>
    <x v="1"/>
    <x v="7"/>
    <x v="4"/>
    <x v="6"/>
    <n v="0"/>
    <x v="1"/>
  </r>
  <r>
    <x v="1"/>
    <x v="7"/>
    <x v="4"/>
    <x v="7"/>
    <n v="0"/>
    <x v="1"/>
  </r>
  <r>
    <x v="1"/>
    <x v="7"/>
    <x v="4"/>
    <x v="8"/>
    <n v="0"/>
    <x v="1"/>
  </r>
  <r>
    <x v="1"/>
    <x v="7"/>
    <x v="4"/>
    <x v="9"/>
    <n v="0"/>
    <x v="1"/>
  </r>
  <r>
    <x v="1"/>
    <x v="7"/>
    <x v="4"/>
    <x v="10"/>
    <n v="0"/>
    <x v="1"/>
  </r>
  <r>
    <x v="1"/>
    <x v="7"/>
    <x v="4"/>
    <x v="11"/>
    <n v="0"/>
    <x v="1"/>
  </r>
  <r>
    <x v="1"/>
    <x v="7"/>
    <x v="5"/>
    <x v="0"/>
    <n v="0"/>
    <x v="1"/>
  </r>
  <r>
    <x v="1"/>
    <x v="7"/>
    <x v="6"/>
    <x v="0"/>
    <n v="0"/>
    <x v="1"/>
  </r>
  <r>
    <x v="1"/>
    <x v="8"/>
    <x v="0"/>
    <x v="0"/>
    <n v="1"/>
    <x v="0"/>
  </r>
  <r>
    <x v="1"/>
    <x v="8"/>
    <x v="0"/>
    <x v="1"/>
    <n v="0"/>
    <x v="0"/>
  </r>
  <r>
    <x v="1"/>
    <x v="8"/>
    <x v="0"/>
    <x v="2"/>
    <n v="0"/>
    <x v="0"/>
  </r>
  <r>
    <x v="1"/>
    <x v="8"/>
    <x v="0"/>
    <x v="3"/>
    <n v="0"/>
    <x v="0"/>
  </r>
  <r>
    <x v="1"/>
    <x v="8"/>
    <x v="0"/>
    <x v="4"/>
    <n v="0"/>
    <x v="0"/>
  </r>
  <r>
    <x v="1"/>
    <x v="8"/>
    <x v="0"/>
    <x v="5"/>
    <n v="0"/>
    <x v="0"/>
  </r>
  <r>
    <x v="1"/>
    <x v="8"/>
    <x v="0"/>
    <x v="6"/>
    <n v="0"/>
    <x v="0"/>
  </r>
  <r>
    <x v="1"/>
    <x v="8"/>
    <x v="0"/>
    <x v="7"/>
    <n v="0"/>
    <x v="0"/>
  </r>
  <r>
    <x v="1"/>
    <x v="8"/>
    <x v="0"/>
    <x v="8"/>
    <n v="0"/>
    <x v="0"/>
  </r>
  <r>
    <x v="1"/>
    <x v="8"/>
    <x v="0"/>
    <x v="9"/>
    <n v="0"/>
    <x v="0"/>
  </r>
  <r>
    <x v="1"/>
    <x v="8"/>
    <x v="0"/>
    <x v="10"/>
    <n v="0"/>
    <x v="0"/>
  </r>
  <r>
    <x v="1"/>
    <x v="8"/>
    <x v="0"/>
    <x v="11"/>
    <n v="0"/>
    <x v="0"/>
  </r>
  <r>
    <x v="1"/>
    <x v="8"/>
    <x v="1"/>
    <x v="0"/>
    <n v="1"/>
    <x v="0"/>
  </r>
  <r>
    <x v="1"/>
    <x v="8"/>
    <x v="1"/>
    <x v="1"/>
    <n v="0"/>
    <x v="0"/>
  </r>
  <r>
    <x v="1"/>
    <x v="8"/>
    <x v="1"/>
    <x v="2"/>
    <n v="0"/>
    <x v="0"/>
  </r>
  <r>
    <x v="1"/>
    <x v="8"/>
    <x v="1"/>
    <x v="3"/>
    <n v="0"/>
    <x v="0"/>
  </r>
  <r>
    <x v="1"/>
    <x v="8"/>
    <x v="1"/>
    <x v="4"/>
    <n v="0"/>
    <x v="0"/>
  </r>
  <r>
    <x v="1"/>
    <x v="8"/>
    <x v="1"/>
    <x v="5"/>
    <n v="0"/>
    <x v="0"/>
  </r>
  <r>
    <x v="1"/>
    <x v="8"/>
    <x v="1"/>
    <x v="6"/>
    <n v="0"/>
    <x v="0"/>
  </r>
  <r>
    <x v="1"/>
    <x v="8"/>
    <x v="1"/>
    <x v="7"/>
    <n v="0"/>
    <x v="0"/>
  </r>
  <r>
    <x v="1"/>
    <x v="8"/>
    <x v="1"/>
    <x v="8"/>
    <n v="0"/>
    <x v="0"/>
  </r>
  <r>
    <x v="1"/>
    <x v="8"/>
    <x v="1"/>
    <x v="9"/>
    <n v="0"/>
    <x v="0"/>
  </r>
  <r>
    <x v="1"/>
    <x v="8"/>
    <x v="1"/>
    <x v="10"/>
    <n v="0"/>
    <x v="0"/>
  </r>
  <r>
    <x v="1"/>
    <x v="8"/>
    <x v="1"/>
    <x v="11"/>
    <n v="0"/>
    <x v="0"/>
  </r>
  <r>
    <x v="1"/>
    <x v="8"/>
    <x v="2"/>
    <x v="0"/>
    <n v="1"/>
    <x v="0"/>
  </r>
  <r>
    <x v="1"/>
    <x v="8"/>
    <x v="2"/>
    <x v="1"/>
    <n v="0"/>
    <x v="0"/>
  </r>
  <r>
    <x v="1"/>
    <x v="8"/>
    <x v="2"/>
    <x v="2"/>
    <n v="0"/>
    <x v="0"/>
  </r>
  <r>
    <x v="1"/>
    <x v="8"/>
    <x v="2"/>
    <x v="3"/>
    <n v="0"/>
    <x v="0"/>
  </r>
  <r>
    <x v="1"/>
    <x v="8"/>
    <x v="2"/>
    <x v="4"/>
    <n v="0"/>
    <x v="0"/>
  </r>
  <r>
    <x v="1"/>
    <x v="8"/>
    <x v="2"/>
    <x v="5"/>
    <n v="0"/>
    <x v="0"/>
  </r>
  <r>
    <x v="1"/>
    <x v="8"/>
    <x v="2"/>
    <x v="6"/>
    <n v="0"/>
    <x v="0"/>
  </r>
  <r>
    <x v="1"/>
    <x v="8"/>
    <x v="2"/>
    <x v="7"/>
    <n v="0"/>
    <x v="0"/>
  </r>
  <r>
    <x v="1"/>
    <x v="8"/>
    <x v="2"/>
    <x v="8"/>
    <n v="0"/>
    <x v="0"/>
  </r>
  <r>
    <x v="1"/>
    <x v="8"/>
    <x v="2"/>
    <x v="9"/>
    <n v="0"/>
    <x v="0"/>
  </r>
  <r>
    <x v="1"/>
    <x v="8"/>
    <x v="2"/>
    <x v="10"/>
    <n v="0"/>
    <x v="0"/>
  </r>
  <r>
    <x v="1"/>
    <x v="8"/>
    <x v="2"/>
    <x v="11"/>
    <n v="0"/>
    <x v="0"/>
  </r>
  <r>
    <x v="1"/>
    <x v="8"/>
    <x v="3"/>
    <x v="0"/>
    <n v="1"/>
    <x v="0"/>
  </r>
  <r>
    <x v="1"/>
    <x v="8"/>
    <x v="3"/>
    <x v="1"/>
    <n v="0"/>
    <x v="0"/>
  </r>
  <r>
    <x v="1"/>
    <x v="8"/>
    <x v="3"/>
    <x v="2"/>
    <n v="0"/>
    <x v="0"/>
  </r>
  <r>
    <x v="1"/>
    <x v="8"/>
    <x v="3"/>
    <x v="3"/>
    <n v="0"/>
    <x v="0"/>
  </r>
  <r>
    <x v="1"/>
    <x v="8"/>
    <x v="3"/>
    <x v="4"/>
    <n v="0"/>
    <x v="0"/>
  </r>
  <r>
    <x v="1"/>
    <x v="8"/>
    <x v="3"/>
    <x v="5"/>
    <n v="0"/>
    <x v="0"/>
  </r>
  <r>
    <x v="1"/>
    <x v="8"/>
    <x v="3"/>
    <x v="6"/>
    <n v="0"/>
    <x v="0"/>
  </r>
  <r>
    <x v="1"/>
    <x v="8"/>
    <x v="3"/>
    <x v="7"/>
    <n v="0"/>
    <x v="0"/>
  </r>
  <r>
    <x v="1"/>
    <x v="8"/>
    <x v="3"/>
    <x v="8"/>
    <n v="0"/>
    <x v="0"/>
  </r>
  <r>
    <x v="1"/>
    <x v="8"/>
    <x v="3"/>
    <x v="9"/>
    <n v="0"/>
    <x v="0"/>
  </r>
  <r>
    <x v="1"/>
    <x v="8"/>
    <x v="3"/>
    <x v="10"/>
    <n v="0"/>
    <x v="0"/>
  </r>
  <r>
    <x v="1"/>
    <x v="8"/>
    <x v="3"/>
    <x v="11"/>
    <n v="0"/>
    <x v="0"/>
  </r>
  <r>
    <x v="1"/>
    <x v="8"/>
    <x v="4"/>
    <x v="0"/>
    <n v="1"/>
    <x v="1"/>
  </r>
  <r>
    <x v="1"/>
    <x v="8"/>
    <x v="4"/>
    <x v="1"/>
    <n v="0"/>
    <x v="1"/>
  </r>
  <r>
    <x v="1"/>
    <x v="8"/>
    <x v="4"/>
    <x v="2"/>
    <n v="0"/>
    <x v="1"/>
  </r>
  <r>
    <x v="1"/>
    <x v="8"/>
    <x v="4"/>
    <x v="3"/>
    <n v="0"/>
    <x v="1"/>
  </r>
  <r>
    <x v="1"/>
    <x v="8"/>
    <x v="4"/>
    <x v="4"/>
    <n v="0"/>
    <x v="1"/>
  </r>
  <r>
    <x v="1"/>
    <x v="8"/>
    <x v="4"/>
    <x v="5"/>
    <n v="0"/>
    <x v="1"/>
  </r>
  <r>
    <x v="1"/>
    <x v="8"/>
    <x v="4"/>
    <x v="6"/>
    <n v="0"/>
    <x v="1"/>
  </r>
  <r>
    <x v="1"/>
    <x v="8"/>
    <x v="4"/>
    <x v="7"/>
    <n v="0"/>
    <x v="1"/>
  </r>
  <r>
    <x v="1"/>
    <x v="8"/>
    <x v="4"/>
    <x v="8"/>
    <n v="0"/>
    <x v="1"/>
  </r>
  <r>
    <x v="1"/>
    <x v="8"/>
    <x v="4"/>
    <x v="9"/>
    <n v="0"/>
    <x v="1"/>
  </r>
  <r>
    <x v="1"/>
    <x v="8"/>
    <x v="4"/>
    <x v="10"/>
    <n v="0"/>
    <x v="1"/>
  </r>
  <r>
    <x v="1"/>
    <x v="8"/>
    <x v="4"/>
    <x v="11"/>
    <n v="0"/>
    <x v="1"/>
  </r>
  <r>
    <x v="1"/>
    <x v="8"/>
    <x v="5"/>
    <x v="0"/>
    <n v="1"/>
    <x v="1"/>
  </r>
  <r>
    <x v="1"/>
    <x v="8"/>
    <x v="6"/>
    <x v="0"/>
    <n v="1"/>
    <x v="1"/>
  </r>
  <r>
    <x v="1"/>
    <x v="9"/>
    <x v="0"/>
    <x v="0"/>
    <n v="1"/>
    <x v="0"/>
  </r>
  <r>
    <x v="1"/>
    <x v="9"/>
    <x v="0"/>
    <x v="1"/>
    <n v="0"/>
    <x v="0"/>
  </r>
  <r>
    <x v="1"/>
    <x v="9"/>
    <x v="0"/>
    <x v="2"/>
    <n v="0"/>
    <x v="0"/>
  </r>
  <r>
    <x v="1"/>
    <x v="9"/>
    <x v="0"/>
    <x v="3"/>
    <n v="0"/>
    <x v="0"/>
  </r>
  <r>
    <x v="1"/>
    <x v="9"/>
    <x v="0"/>
    <x v="4"/>
    <n v="0"/>
    <x v="0"/>
  </r>
  <r>
    <x v="1"/>
    <x v="9"/>
    <x v="0"/>
    <x v="5"/>
    <n v="0"/>
    <x v="0"/>
  </r>
  <r>
    <x v="1"/>
    <x v="9"/>
    <x v="0"/>
    <x v="6"/>
    <n v="0"/>
    <x v="0"/>
  </r>
  <r>
    <x v="1"/>
    <x v="9"/>
    <x v="0"/>
    <x v="7"/>
    <n v="0"/>
    <x v="0"/>
  </r>
  <r>
    <x v="1"/>
    <x v="9"/>
    <x v="0"/>
    <x v="8"/>
    <n v="0"/>
    <x v="0"/>
  </r>
  <r>
    <x v="1"/>
    <x v="9"/>
    <x v="0"/>
    <x v="9"/>
    <n v="0"/>
    <x v="0"/>
  </r>
  <r>
    <x v="1"/>
    <x v="9"/>
    <x v="0"/>
    <x v="10"/>
    <n v="0"/>
    <x v="0"/>
  </r>
  <r>
    <x v="1"/>
    <x v="9"/>
    <x v="0"/>
    <x v="11"/>
    <n v="0"/>
    <x v="0"/>
  </r>
  <r>
    <x v="1"/>
    <x v="9"/>
    <x v="1"/>
    <x v="0"/>
    <n v="1"/>
    <x v="0"/>
  </r>
  <r>
    <x v="1"/>
    <x v="9"/>
    <x v="1"/>
    <x v="1"/>
    <n v="0"/>
    <x v="0"/>
  </r>
  <r>
    <x v="1"/>
    <x v="9"/>
    <x v="1"/>
    <x v="2"/>
    <n v="0"/>
    <x v="0"/>
  </r>
  <r>
    <x v="1"/>
    <x v="9"/>
    <x v="1"/>
    <x v="3"/>
    <n v="0"/>
    <x v="0"/>
  </r>
  <r>
    <x v="1"/>
    <x v="9"/>
    <x v="1"/>
    <x v="4"/>
    <n v="0"/>
    <x v="0"/>
  </r>
  <r>
    <x v="1"/>
    <x v="9"/>
    <x v="1"/>
    <x v="5"/>
    <n v="0"/>
    <x v="0"/>
  </r>
  <r>
    <x v="1"/>
    <x v="9"/>
    <x v="1"/>
    <x v="6"/>
    <n v="0"/>
    <x v="0"/>
  </r>
  <r>
    <x v="1"/>
    <x v="9"/>
    <x v="1"/>
    <x v="7"/>
    <n v="0"/>
    <x v="0"/>
  </r>
  <r>
    <x v="1"/>
    <x v="9"/>
    <x v="1"/>
    <x v="8"/>
    <n v="0"/>
    <x v="0"/>
  </r>
  <r>
    <x v="1"/>
    <x v="9"/>
    <x v="1"/>
    <x v="9"/>
    <n v="0"/>
    <x v="0"/>
  </r>
  <r>
    <x v="1"/>
    <x v="9"/>
    <x v="1"/>
    <x v="10"/>
    <n v="0"/>
    <x v="0"/>
  </r>
  <r>
    <x v="1"/>
    <x v="9"/>
    <x v="1"/>
    <x v="11"/>
    <n v="0"/>
    <x v="0"/>
  </r>
  <r>
    <x v="1"/>
    <x v="9"/>
    <x v="2"/>
    <x v="0"/>
    <n v="1"/>
    <x v="0"/>
  </r>
  <r>
    <x v="1"/>
    <x v="9"/>
    <x v="2"/>
    <x v="1"/>
    <n v="0"/>
    <x v="0"/>
  </r>
  <r>
    <x v="1"/>
    <x v="9"/>
    <x v="2"/>
    <x v="2"/>
    <n v="0"/>
    <x v="0"/>
  </r>
  <r>
    <x v="1"/>
    <x v="9"/>
    <x v="2"/>
    <x v="3"/>
    <n v="0"/>
    <x v="0"/>
  </r>
  <r>
    <x v="1"/>
    <x v="9"/>
    <x v="2"/>
    <x v="4"/>
    <n v="0"/>
    <x v="0"/>
  </r>
  <r>
    <x v="1"/>
    <x v="9"/>
    <x v="2"/>
    <x v="5"/>
    <n v="0"/>
    <x v="0"/>
  </r>
  <r>
    <x v="1"/>
    <x v="9"/>
    <x v="2"/>
    <x v="6"/>
    <n v="0"/>
    <x v="0"/>
  </r>
  <r>
    <x v="1"/>
    <x v="9"/>
    <x v="2"/>
    <x v="7"/>
    <n v="0"/>
    <x v="0"/>
  </r>
  <r>
    <x v="1"/>
    <x v="9"/>
    <x v="2"/>
    <x v="8"/>
    <n v="0"/>
    <x v="0"/>
  </r>
  <r>
    <x v="1"/>
    <x v="9"/>
    <x v="2"/>
    <x v="9"/>
    <n v="0"/>
    <x v="0"/>
  </r>
  <r>
    <x v="1"/>
    <x v="9"/>
    <x v="2"/>
    <x v="10"/>
    <n v="0"/>
    <x v="0"/>
  </r>
  <r>
    <x v="1"/>
    <x v="9"/>
    <x v="2"/>
    <x v="11"/>
    <n v="0"/>
    <x v="0"/>
  </r>
  <r>
    <x v="1"/>
    <x v="9"/>
    <x v="3"/>
    <x v="0"/>
    <n v="1"/>
    <x v="0"/>
  </r>
  <r>
    <x v="1"/>
    <x v="9"/>
    <x v="3"/>
    <x v="1"/>
    <n v="0"/>
    <x v="0"/>
  </r>
  <r>
    <x v="1"/>
    <x v="9"/>
    <x v="3"/>
    <x v="2"/>
    <n v="0"/>
    <x v="0"/>
  </r>
  <r>
    <x v="1"/>
    <x v="9"/>
    <x v="3"/>
    <x v="3"/>
    <n v="0"/>
    <x v="0"/>
  </r>
  <r>
    <x v="1"/>
    <x v="9"/>
    <x v="3"/>
    <x v="4"/>
    <n v="0"/>
    <x v="0"/>
  </r>
  <r>
    <x v="1"/>
    <x v="9"/>
    <x v="3"/>
    <x v="5"/>
    <n v="0"/>
    <x v="0"/>
  </r>
  <r>
    <x v="1"/>
    <x v="9"/>
    <x v="3"/>
    <x v="6"/>
    <n v="0"/>
    <x v="0"/>
  </r>
  <r>
    <x v="1"/>
    <x v="9"/>
    <x v="3"/>
    <x v="7"/>
    <n v="0"/>
    <x v="0"/>
  </r>
  <r>
    <x v="1"/>
    <x v="9"/>
    <x v="3"/>
    <x v="8"/>
    <n v="0"/>
    <x v="0"/>
  </r>
  <r>
    <x v="1"/>
    <x v="9"/>
    <x v="3"/>
    <x v="9"/>
    <n v="0"/>
    <x v="0"/>
  </r>
  <r>
    <x v="1"/>
    <x v="9"/>
    <x v="3"/>
    <x v="10"/>
    <n v="0"/>
    <x v="0"/>
  </r>
  <r>
    <x v="1"/>
    <x v="9"/>
    <x v="3"/>
    <x v="11"/>
    <n v="0"/>
    <x v="0"/>
  </r>
  <r>
    <x v="1"/>
    <x v="9"/>
    <x v="4"/>
    <x v="0"/>
    <n v="1"/>
    <x v="1"/>
  </r>
  <r>
    <x v="1"/>
    <x v="9"/>
    <x v="4"/>
    <x v="1"/>
    <n v="0"/>
    <x v="1"/>
  </r>
  <r>
    <x v="1"/>
    <x v="9"/>
    <x v="4"/>
    <x v="2"/>
    <n v="0"/>
    <x v="1"/>
  </r>
  <r>
    <x v="1"/>
    <x v="9"/>
    <x v="4"/>
    <x v="3"/>
    <n v="0"/>
    <x v="1"/>
  </r>
  <r>
    <x v="1"/>
    <x v="9"/>
    <x v="4"/>
    <x v="4"/>
    <n v="0"/>
    <x v="1"/>
  </r>
  <r>
    <x v="1"/>
    <x v="9"/>
    <x v="4"/>
    <x v="5"/>
    <n v="0"/>
    <x v="1"/>
  </r>
  <r>
    <x v="1"/>
    <x v="9"/>
    <x v="4"/>
    <x v="6"/>
    <n v="0"/>
    <x v="1"/>
  </r>
  <r>
    <x v="1"/>
    <x v="9"/>
    <x v="4"/>
    <x v="7"/>
    <n v="0"/>
    <x v="1"/>
  </r>
  <r>
    <x v="1"/>
    <x v="9"/>
    <x v="4"/>
    <x v="8"/>
    <n v="0"/>
    <x v="1"/>
  </r>
  <r>
    <x v="1"/>
    <x v="9"/>
    <x v="4"/>
    <x v="9"/>
    <n v="0"/>
    <x v="1"/>
  </r>
  <r>
    <x v="1"/>
    <x v="9"/>
    <x v="4"/>
    <x v="10"/>
    <n v="0"/>
    <x v="1"/>
  </r>
  <r>
    <x v="1"/>
    <x v="9"/>
    <x v="4"/>
    <x v="11"/>
    <n v="0"/>
    <x v="1"/>
  </r>
  <r>
    <x v="1"/>
    <x v="9"/>
    <x v="5"/>
    <x v="0"/>
    <n v="1"/>
    <x v="1"/>
  </r>
  <r>
    <x v="1"/>
    <x v="9"/>
    <x v="6"/>
    <x v="0"/>
    <n v="0"/>
    <x v="1"/>
  </r>
  <r>
    <x v="1"/>
    <x v="10"/>
    <x v="0"/>
    <x v="0"/>
    <n v="0"/>
    <x v="0"/>
  </r>
  <r>
    <x v="1"/>
    <x v="10"/>
    <x v="0"/>
    <x v="1"/>
    <n v="0"/>
    <x v="0"/>
  </r>
  <r>
    <x v="1"/>
    <x v="10"/>
    <x v="0"/>
    <x v="2"/>
    <n v="0"/>
    <x v="0"/>
  </r>
  <r>
    <x v="1"/>
    <x v="10"/>
    <x v="0"/>
    <x v="3"/>
    <n v="0"/>
    <x v="0"/>
  </r>
  <r>
    <x v="1"/>
    <x v="10"/>
    <x v="0"/>
    <x v="4"/>
    <n v="0"/>
    <x v="0"/>
  </r>
  <r>
    <x v="1"/>
    <x v="10"/>
    <x v="0"/>
    <x v="5"/>
    <n v="0"/>
    <x v="0"/>
  </r>
  <r>
    <x v="1"/>
    <x v="10"/>
    <x v="0"/>
    <x v="6"/>
    <n v="0"/>
    <x v="0"/>
  </r>
  <r>
    <x v="1"/>
    <x v="10"/>
    <x v="0"/>
    <x v="7"/>
    <n v="0"/>
    <x v="0"/>
  </r>
  <r>
    <x v="1"/>
    <x v="10"/>
    <x v="0"/>
    <x v="8"/>
    <n v="0"/>
    <x v="0"/>
  </r>
  <r>
    <x v="1"/>
    <x v="10"/>
    <x v="0"/>
    <x v="9"/>
    <n v="0"/>
    <x v="0"/>
  </r>
  <r>
    <x v="1"/>
    <x v="10"/>
    <x v="0"/>
    <x v="10"/>
    <n v="0"/>
    <x v="0"/>
  </r>
  <r>
    <x v="1"/>
    <x v="10"/>
    <x v="0"/>
    <x v="11"/>
    <n v="0"/>
    <x v="0"/>
  </r>
  <r>
    <x v="1"/>
    <x v="10"/>
    <x v="1"/>
    <x v="0"/>
    <n v="0"/>
    <x v="0"/>
  </r>
  <r>
    <x v="1"/>
    <x v="10"/>
    <x v="1"/>
    <x v="1"/>
    <n v="0"/>
    <x v="0"/>
  </r>
  <r>
    <x v="1"/>
    <x v="10"/>
    <x v="1"/>
    <x v="2"/>
    <n v="0"/>
    <x v="0"/>
  </r>
  <r>
    <x v="1"/>
    <x v="10"/>
    <x v="1"/>
    <x v="3"/>
    <n v="0"/>
    <x v="0"/>
  </r>
  <r>
    <x v="1"/>
    <x v="10"/>
    <x v="1"/>
    <x v="4"/>
    <n v="0"/>
    <x v="0"/>
  </r>
  <r>
    <x v="1"/>
    <x v="10"/>
    <x v="1"/>
    <x v="5"/>
    <n v="0"/>
    <x v="0"/>
  </r>
  <r>
    <x v="1"/>
    <x v="10"/>
    <x v="1"/>
    <x v="6"/>
    <n v="0"/>
    <x v="0"/>
  </r>
  <r>
    <x v="1"/>
    <x v="10"/>
    <x v="1"/>
    <x v="7"/>
    <n v="0"/>
    <x v="0"/>
  </r>
  <r>
    <x v="1"/>
    <x v="10"/>
    <x v="1"/>
    <x v="8"/>
    <n v="0"/>
    <x v="0"/>
  </r>
  <r>
    <x v="1"/>
    <x v="10"/>
    <x v="1"/>
    <x v="9"/>
    <n v="0"/>
    <x v="0"/>
  </r>
  <r>
    <x v="1"/>
    <x v="10"/>
    <x v="1"/>
    <x v="10"/>
    <n v="0"/>
    <x v="0"/>
  </r>
  <r>
    <x v="1"/>
    <x v="10"/>
    <x v="1"/>
    <x v="11"/>
    <n v="0"/>
    <x v="0"/>
  </r>
  <r>
    <x v="1"/>
    <x v="10"/>
    <x v="2"/>
    <x v="0"/>
    <n v="0"/>
    <x v="0"/>
  </r>
  <r>
    <x v="1"/>
    <x v="10"/>
    <x v="2"/>
    <x v="1"/>
    <n v="0"/>
    <x v="0"/>
  </r>
  <r>
    <x v="1"/>
    <x v="10"/>
    <x v="2"/>
    <x v="2"/>
    <n v="0"/>
    <x v="0"/>
  </r>
  <r>
    <x v="1"/>
    <x v="10"/>
    <x v="2"/>
    <x v="3"/>
    <n v="0"/>
    <x v="0"/>
  </r>
  <r>
    <x v="1"/>
    <x v="10"/>
    <x v="2"/>
    <x v="4"/>
    <n v="0"/>
    <x v="0"/>
  </r>
  <r>
    <x v="1"/>
    <x v="10"/>
    <x v="2"/>
    <x v="5"/>
    <n v="0"/>
    <x v="0"/>
  </r>
  <r>
    <x v="1"/>
    <x v="10"/>
    <x v="2"/>
    <x v="6"/>
    <n v="0"/>
    <x v="0"/>
  </r>
  <r>
    <x v="1"/>
    <x v="10"/>
    <x v="2"/>
    <x v="7"/>
    <n v="0"/>
    <x v="0"/>
  </r>
  <r>
    <x v="1"/>
    <x v="10"/>
    <x v="2"/>
    <x v="8"/>
    <n v="0"/>
    <x v="0"/>
  </r>
  <r>
    <x v="1"/>
    <x v="10"/>
    <x v="2"/>
    <x v="9"/>
    <n v="0"/>
    <x v="0"/>
  </r>
  <r>
    <x v="1"/>
    <x v="10"/>
    <x v="2"/>
    <x v="10"/>
    <n v="0"/>
    <x v="0"/>
  </r>
  <r>
    <x v="1"/>
    <x v="10"/>
    <x v="2"/>
    <x v="11"/>
    <n v="0"/>
    <x v="0"/>
  </r>
  <r>
    <x v="1"/>
    <x v="10"/>
    <x v="3"/>
    <x v="0"/>
    <n v="0"/>
    <x v="0"/>
  </r>
  <r>
    <x v="1"/>
    <x v="10"/>
    <x v="3"/>
    <x v="1"/>
    <n v="0"/>
    <x v="0"/>
  </r>
  <r>
    <x v="1"/>
    <x v="10"/>
    <x v="3"/>
    <x v="2"/>
    <n v="0"/>
    <x v="0"/>
  </r>
  <r>
    <x v="1"/>
    <x v="10"/>
    <x v="3"/>
    <x v="3"/>
    <n v="0"/>
    <x v="0"/>
  </r>
  <r>
    <x v="1"/>
    <x v="10"/>
    <x v="3"/>
    <x v="4"/>
    <n v="0"/>
    <x v="0"/>
  </r>
  <r>
    <x v="1"/>
    <x v="10"/>
    <x v="3"/>
    <x v="5"/>
    <n v="0"/>
    <x v="0"/>
  </r>
  <r>
    <x v="1"/>
    <x v="10"/>
    <x v="3"/>
    <x v="6"/>
    <n v="0"/>
    <x v="0"/>
  </r>
  <r>
    <x v="1"/>
    <x v="10"/>
    <x v="3"/>
    <x v="7"/>
    <n v="0"/>
    <x v="0"/>
  </r>
  <r>
    <x v="1"/>
    <x v="10"/>
    <x v="3"/>
    <x v="8"/>
    <n v="0"/>
    <x v="0"/>
  </r>
  <r>
    <x v="1"/>
    <x v="10"/>
    <x v="3"/>
    <x v="9"/>
    <n v="0"/>
    <x v="0"/>
  </r>
  <r>
    <x v="1"/>
    <x v="10"/>
    <x v="3"/>
    <x v="10"/>
    <n v="0"/>
    <x v="0"/>
  </r>
  <r>
    <x v="1"/>
    <x v="10"/>
    <x v="3"/>
    <x v="11"/>
    <n v="0"/>
    <x v="0"/>
  </r>
  <r>
    <x v="1"/>
    <x v="10"/>
    <x v="4"/>
    <x v="0"/>
    <n v="0"/>
    <x v="1"/>
  </r>
  <r>
    <x v="1"/>
    <x v="10"/>
    <x v="4"/>
    <x v="1"/>
    <n v="0"/>
    <x v="1"/>
  </r>
  <r>
    <x v="1"/>
    <x v="10"/>
    <x v="4"/>
    <x v="2"/>
    <n v="0"/>
    <x v="1"/>
  </r>
  <r>
    <x v="1"/>
    <x v="10"/>
    <x v="4"/>
    <x v="3"/>
    <n v="0"/>
    <x v="1"/>
  </r>
  <r>
    <x v="1"/>
    <x v="10"/>
    <x v="4"/>
    <x v="4"/>
    <n v="0"/>
    <x v="1"/>
  </r>
  <r>
    <x v="1"/>
    <x v="10"/>
    <x v="4"/>
    <x v="5"/>
    <n v="0"/>
    <x v="1"/>
  </r>
  <r>
    <x v="1"/>
    <x v="10"/>
    <x v="4"/>
    <x v="6"/>
    <n v="0"/>
    <x v="1"/>
  </r>
  <r>
    <x v="1"/>
    <x v="10"/>
    <x v="4"/>
    <x v="7"/>
    <n v="0"/>
    <x v="1"/>
  </r>
  <r>
    <x v="1"/>
    <x v="10"/>
    <x v="4"/>
    <x v="8"/>
    <n v="0"/>
    <x v="1"/>
  </r>
  <r>
    <x v="1"/>
    <x v="10"/>
    <x v="4"/>
    <x v="9"/>
    <n v="0"/>
    <x v="1"/>
  </r>
  <r>
    <x v="1"/>
    <x v="10"/>
    <x v="4"/>
    <x v="10"/>
    <n v="0"/>
    <x v="1"/>
  </r>
  <r>
    <x v="1"/>
    <x v="10"/>
    <x v="4"/>
    <x v="11"/>
    <n v="0"/>
    <x v="1"/>
  </r>
  <r>
    <x v="1"/>
    <x v="10"/>
    <x v="5"/>
    <x v="0"/>
    <n v="0"/>
    <x v="1"/>
  </r>
  <r>
    <x v="1"/>
    <x v="10"/>
    <x v="6"/>
    <x v="0"/>
    <n v="1"/>
    <x v="1"/>
  </r>
  <r>
    <x v="1"/>
    <x v="11"/>
    <x v="0"/>
    <x v="0"/>
    <n v="1"/>
    <x v="0"/>
  </r>
  <r>
    <x v="1"/>
    <x v="11"/>
    <x v="0"/>
    <x v="1"/>
    <n v="0"/>
    <x v="0"/>
  </r>
  <r>
    <x v="1"/>
    <x v="11"/>
    <x v="0"/>
    <x v="2"/>
    <n v="0"/>
    <x v="0"/>
  </r>
  <r>
    <x v="1"/>
    <x v="11"/>
    <x v="0"/>
    <x v="3"/>
    <n v="0"/>
    <x v="0"/>
  </r>
  <r>
    <x v="1"/>
    <x v="11"/>
    <x v="0"/>
    <x v="4"/>
    <n v="0"/>
    <x v="0"/>
  </r>
  <r>
    <x v="1"/>
    <x v="11"/>
    <x v="0"/>
    <x v="5"/>
    <n v="0"/>
    <x v="0"/>
  </r>
  <r>
    <x v="1"/>
    <x v="11"/>
    <x v="0"/>
    <x v="6"/>
    <n v="0"/>
    <x v="0"/>
  </r>
  <r>
    <x v="1"/>
    <x v="11"/>
    <x v="0"/>
    <x v="7"/>
    <n v="0"/>
    <x v="0"/>
  </r>
  <r>
    <x v="1"/>
    <x v="11"/>
    <x v="0"/>
    <x v="8"/>
    <n v="0"/>
    <x v="0"/>
  </r>
  <r>
    <x v="1"/>
    <x v="11"/>
    <x v="0"/>
    <x v="9"/>
    <n v="0"/>
    <x v="0"/>
  </r>
  <r>
    <x v="1"/>
    <x v="11"/>
    <x v="0"/>
    <x v="10"/>
    <n v="0"/>
    <x v="0"/>
  </r>
  <r>
    <x v="1"/>
    <x v="11"/>
    <x v="0"/>
    <x v="11"/>
    <n v="0"/>
    <x v="0"/>
  </r>
  <r>
    <x v="1"/>
    <x v="11"/>
    <x v="1"/>
    <x v="0"/>
    <n v="1"/>
    <x v="0"/>
  </r>
  <r>
    <x v="1"/>
    <x v="11"/>
    <x v="1"/>
    <x v="1"/>
    <n v="0"/>
    <x v="0"/>
  </r>
  <r>
    <x v="1"/>
    <x v="11"/>
    <x v="1"/>
    <x v="2"/>
    <n v="0"/>
    <x v="0"/>
  </r>
  <r>
    <x v="1"/>
    <x v="11"/>
    <x v="1"/>
    <x v="3"/>
    <n v="0"/>
    <x v="0"/>
  </r>
  <r>
    <x v="1"/>
    <x v="11"/>
    <x v="1"/>
    <x v="4"/>
    <n v="0"/>
    <x v="0"/>
  </r>
  <r>
    <x v="1"/>
    <x v="11"/>
    <x v="1"/>
    <x v="5"/>
    <n v="0"/>
    <x v="0"/>
  </r>
  <r>
    <x v="1"/>
    <x v="11"/>
    <x v="1"/>
    <x v="6"/>
    <n v="0"/>
    <x v="0"/>
  </r>
  <r>
    <x v="1"/>
    <x v="11"/>
    <x v="1"/>
    <x v="7"/>
    <n v="0"/>
    <x v="0"/>
  </r>
  <r>
    <x v="1"/>
    <x v="11"/>
    <x v="1"/>
    <x v="8"/>
    <n v="0"/>
    <x v="0"/>
  </r>
  <r>
    <x v="1"/>
    <x v="11"/>
    <x v="1"/>
    <x v="9"/>
    <n v="0"/>
    <x v="0"/>
  </r>
  <r>
    <x v="1"/>
    <x v="11"/>
    <x v="1"/>
    <x v="10"/>
    <n v="0"/>
    <x v="0"/>
  </r>
  <r>
    <x v="1"/>
    <x v="11"/>
    <x v="1"/>
    <x v="11"/>
    <n v="0"/>
    <x v="0"/>
  </r>
  <r>
    <x v="1"/>
    <x v="11"/>
    <x v="2"/>
    <x v="0"/>
    <n v="1"/>
    <x v="0"/>
  </r>
  <r>
    <x v="1"/>
    <x v="11"/>
    <x v="2"/>
    <x v="1"/>
    <n v="0"/>
    <x v="0"/>
  </r>
  <r>
    <x v="1"/>
    <x v="11"/>
    <x v="2"/>
    <x v="2"/>
    <n v="0"/>
    <x v="0"/>
  </r>
  <r>
    <x v="1"/>
    <x v="11"/>
    <x v="2"/>
    <x v="3"/>
    <n v="0"/>
    <x v="0"/>
  </r>
  <r>
    <x v="1"/>
    <x v="11"/>
    <x v="2"/>
    <x v="4"/>
    <n v="0"/>
    <x v="0"/>
  </r>
  <r>
    <x v="1"/>
    <x v="11"/>
    <x v="2"/>
    <x v="5"/>
    <n v="0"/>
    <x v="0"/>
  </r>
  <r>
    <x v="1"/>
    <x v="11"/>
    <x v="2"/>
    <x v="6"/>
    <n v="0"/>
    <x v="0"/>
  </r>
  <r>
    <x v="1"/>
    <x v="11"/>
    <x v="2"/>
    <x v="7"/>
    <n v="0"/>
    <x v="0"/>
  </r>
  <r>
    <x v="1"/>
    <x v="11"/>
    <x v="2"/>
    <x v="8"/>
    <n v="0"/>
    <x v="0"/>
  </r>
  <r>
    <x v="1"/>
    <x v="11"/>
    <x v="2"/>
    <x v="9"/>
    <n v="0"/>
    <x v="0"/>
  </r>
  <r>
    <x v="1"/>
    <x v="11"/>
    <x v="2"/>
    <x v="10"/>
    <n v="0"/>
    <x v="0"/>
  </r>
  <r>
    <x v="1"/>
    <x v="11"/>
    <x v="2"/>
    <x v="11"/>
    <n v="0"/>
    <x v="0"/>
  </r>
  <r>
    <x v="1"/>
    <x v="11"/>
    <x v="3"/>
    <x v="0"/>
    <n v="1"/>
    <x v="0"/>
  </r>
  <r>
    <x v="1"/>
    <x v="11"/>
    <x v="3"/>
    <x v="1"/>
    <n v="0"/>
    <x v="0"/>
  </r>
  <r>
    <x v="1"/>
    <x v="11"/>
    <x v="3"/>
    <x v="2"/>
    <n v="0"/>
    <x v="0"/>
  </r>
  <r>
    <x v="1"/>
    <x v="11"/>
    <x v="3"/>
    <x v="3"/>
    <n v="0"/>
    <x v="0"/>
  </r>
  <r>
    <x v="1"/>
    <x v="11"/>
    <x v="3"/>
    <x v="4"/>
    <n v="0"/>
    <x v="0"/>
  </r>
  <r>
    <x v="1"/>
    <x v="11"/>
    <x v="3"/>
    <x v="5"/>
    <n v="0"/>
    <x v="0"/>
  </r>
  <r>
    <x v="1"/>
    <x v="11"/>
    <x v="3"/>
    <x v="6"/>
    <n v="0"/>
    <x v="0"/>
  </r>
  <r>
    <x v="1"/>
    <x v="11"/>
    <x v="3"/>
    <x v="7"/>
    <n v="0"/>
    <x v="0"/>
  </r>
  <r>
    <x v="1"/>
    <x v="11"/>
    <x v="3"/>
    <x v="8"/>
    <n v="0"/>
    <x v="0"/>
  </r>
  <r>
    <x v="1"/>
    <x v="11"/>
    <x v="3"/>
    <x v="9"/>
    <n v="0"/>
    <x v="0"/>
  </r>
  <r>
    <x v="1"/>
    <x v="11"/>
    <x v="3"/>
    <x v="10"/>
    <n v="0"/>
    <x v="0"/>
  </r>
  <r>
    <x v="1"/>
    <x v="11"/>
    <x v="3"/>
    <x v="11"/>
    <n v="0"/>
    <x v="0"/>
  </r>
  <r>
    <x v="1"/>
    <x v="11"/>
    <x v="4"/>
    <x v="0"/>
    <n v="0"/>
    <x v="1"/>
  </r>
  <r>
    <x v="1"/>
    <x v="11"/>
    <x v="4"/>
    <x v="1"/>
    <n v="0"/>
    <x v="1"/>
  </r>
  <r>
    <x v="1"/>
    <x v="11"/>
    <x v="4"/>
    <x v="2"/>
    <n v="0"/>
    <x v="1"/>
  </r>
  <r>
    <x v="1"/>
    <x v="11"/>
    <x v="4"/>
    <x v="3"/>
    <n v="0"/>
    <x v="1"/>
  </r>
  <r>
    <x v="1"/>
    <x v="11"/>
    <x v="4"/>
    <x v="4"/>
    <n v="0"/>
    <x v="1"/>
  </r>
  <r>
    <x v="1"/>
    <x v="11"/>
    <x v="4"/>
    <x v="5"/>
    <n v="0"/>
    <x v="1"/>
  </r>
  <r>
    <x v="1"/>
    <x v="11"/>
    <x v="4"/>
    <x v="6"/>
    <n v="0"/>
    <x v="1"/>
  </r>
  <r>
    <x v="1"/>
    <x v="11"/>
    <x v="4"/>
    <x v="7"/>
    <n v="0"/>
    <x v="1"/>
  </r>
  <r>
    <x v="1"/>
    <x v="11"/>
    <x v="4"/>
    <x v="8"/>
    <n v="0"/>
    <x v="1"/>
  </r>
  <r>
    <x v="1"/>
    <x v="11"/>
    <x v="4"/>
    <x v="9"/>
    <n v="0"/>
    <x v="1"/>
  </r>
  <r>
    <x v="1"/>
    <x v="11"/>
    <x v="4"/>
    <x v="10"/>
    <n v="0"/>
    <x v="1"/>
  </r>
  <r>
    <x v="1"/>
    <x v="11"/>
    <x v="4"/>
    <x v="11"/>
    <n v="0"/>
    <x v="1"/>
  </r>
  <r>
    <x v="1"/>
    <x v="11"/>
    <x v="5"/>
    <x v="0"/>
    <n v="0"/>
    <x v="1"/>
  </r>
  <r>
    <x v="1"/>
    <x v="11"/>
    <x v="6"/>
    <x v="0"/>
    <n v="0"/>
    <x v="1"/>
  </r>
  <r>
    <x v="2"/>
    <x v="0"/>
    <x v="0"/>
    <x v="0"/>
    <n v="0"/>
    <x v="0"/>
  </r>
  <r>
    <x v="2"/>
    <x v="0"/>
    <x v="0"/>
    <x v="1"/>
    <n v="0"/>
    <x v="0"/>
  </r>
  <r>
    <x v="2"/>
    <x v="0"/>
    <x v="0"/>
    <x v="2"/>
    <n v="1"/>
    <x v="0"/>
  </r>
  <r>
    <x v="2"/>
    <x v="0"/>
    <x v="0"/>
    <x v="3"/>
    <n v="1"/>
    <x v="0"/>
  </r>
  <r>
    <x v="2"/>
    <x v="0"/>
    <x v="0"/>
    <x v="4"/>
    <n v="2"/>
    <x v="0"/>
  </r>
  <r>
    <x v="2"/>
    <x v="0"/>
    <x v="0"/>
    <x v="5"/>
    <n v="0"/>
    <x v="0"/>
  </r>
  <r>
    <x v="2"/>
    <x v="0"/>
    <x v="0"/>
    <x v="6"/>
    <n v="0"/>
    <x v="0"/>
  </r>
  <r>
    <x v="2"/>
    <x v="0"/>
    <x v="0"/>
    <x v="7"/>
    <n v="0"/>
    <x v="0"/>
  </r>
  <r>
    <x v="2"/>
    <x v="0"/>
    <x v="0"/>
    <x v="8"/>
    <n v="0"/>
    <x v="0"/>
  </r>
  <r>
    <x v="2"/>
    <x v="0"/>
    <x v="0"/>
    <x v="9"/>
    <n v="0"/>
    <x v="0"/>
  </r>
  <r>
    <x v="2"/>
    <x v="0"/>
    <x v="0"/>
    <x v="10"/>
    <n v="0"/>
    <x v="0"/>
  </r>
  <r>
    <x v="2"/>
    <x v="0"/>
    <x v="0"/>
    <x v="11"/>
    <n v="0"/>
    <x v="0"/>
  </r>
  <r>
    <x v="2"/>
    <x v="0"/>
    <x v="1"/>
    <x v="0"/>
    <n v="0"/>
    <x v="0"/>
  </r>
  <r>
    <x v="2"/>
    <x v="0"/>
    <x v="1"/>
    <x v="1"/>
    <n v="0"/>
    <x v="0"/>
  </r>
  <r>
    <x v="2"/>
    <x v="0"/>
    <x v="1"/>
    <x v="2"/>
    <n v="0"/>
    <x v="0"/>
  </r>
  <r>
    <x v="2"/>
    <x v="0"/>
    <x v="1"/>
    <x v="3"/>
    <n v="2"/>
    <x v="0"/>
  </r>
  <r>
    <x v="2"/>
    <x v="0"/>
    <x v="1"/>
    <x v="4"/>
    <n v="1"/>
    <x v="0"/>
  </r>
  <r>
    <x v="2"/>
    <x v="0"/>
    <x v="1"/>
    <x v="5"/>
    <n v="0"/>
    <x v="0"/>
  </r>
  <r>
    <x v="2"/>
    <x v="0"/>
    <x v="1"/>
    <x v="6"/>
    <n v="0"/>
    <x v="0"/>
  </r>
  <r>
    <x v="2"/>
    <x v="0"/>
    <x v="1"/>
    <x v="7"/>
    <n v="0"/>
    <x v="0"/>
  </r>
  <r>
    <x v="2"/>
    <x v="0"/>
    <x v="1"/>
    <x v="8"/>
    <n v="1"/>
    <x v="0"/>
  </r>
  <r>
    <x v="2"/>
    <x v="0"/>
    <x v="1"/>
    <x v="9"/>
    <n v="0"/>
    <x v="0"/>
  </r>
  <r>
    <x v="2"/>
    <x v="0"/>
    <x v="1"/>
    <x v="10"/>
    <n v="0"/>
    <x v="0"/>
  </r>
  <r>
    <x v="2"/>
    <x v="0"/>
    <x v="1"/>
    <x v="11"/>
    <n v="0"/>
    <x v="0"/>
  </r>
  <r>
    <x v="2"/>
    <x v="0"/>
    <x v="2"/>
    <x v="0"/>
    <n v="0"/>
    <x v="0"/>
  </r>
  <r>
    <x v="2"/>
    <x v="0"/>
    <x v="2"/>
    <x v="1"/>
    <n v="0"/>
    <x v="0"/>
  </r>
  <r>
    <x v="2"/>
    <x v="0"/>
    <x v="2"/>
    <x v="2"/>
    <n v="0"/>
    <x v="0"/>
  </r>
  <r>
    <x v="2"/>
    <x v="0"/>
    <x v="2"/>
    <x v="3"/>
    <n v="0"/>
    <x v="0"/>
  </r>
  <r>
    <x v="2"/>
    <x v="0"/>
    <x v="2"/>
    <x v="4"/>
    <n v="0"/>
    <x v="0"/>
  </r>
  <r>
    <x v="2"/>
    <x v="0"/>
    <x v="2"/>
    <x v="5"/>
    <n v="0"/>
    <x v="0"/>
  </r>
  <r>
    <x v="2"/>
    <x v="0"/>
    <x v="2"/>
    <x v="6"/>
    <n v="0"/>
    <x v="0"/>
  </r>
  <r>
    <x v="2"/>
    <x v="0"/>
    <x v="2"/>
    <x v="7"/>
    <n v="0"/>
    <x v="0"/>
  </r>
  <r>
    <x v="2"/>
    <x v="0"/>
    <x v="2"/>
    <x v="8"/>
    <n v="0"/>
    <x v="0"/>
  </r>
  <r>
    <x v="2"/>
    <x v="0"/>
    <x v="2"/>
    <x v="9"/>
    <n v="4"/>
    <x v="0"/>
  </r>
  <r>
    <x v="2"/>
    <x v="0"/>
    <x v="2"/>
    <x v="10"/>
    <n v="0"/>
    <x v="0"/>
  </r>
  <r>
    <x v="2"/>
    <x v="0"/>
    <x v="2"/>
    <x v="11"/>
    <n v="0"/>
    <x v="0"/>
  </r>
  <r>
    <x v="2"/>
    <x v="0"/>
    <x v="3"/>
    <x v="0"/>
    <n v="0"/>
    <x v="0"/>
  </r>
  <r>
    <x v="2"/>
    <x v="0"/>
    <x v="3"/>
    <x v="1"/>
    <n v="1"/>
    <x v="0"/>
  </r>
  <r>
    <x v="2"/>
    <x v="0"/>
    <x v="3"/>
    <x v="2"/>
    <n v="0"/>
    <x v="0"/>
  </r>
  <r>
    <x v="2"/>
    <x v="0"/>
    <x v="3"/>
    <x v="3"/>
    <n v="1"/>
    <x v="0"/>
  </r>
  <r>
    <x v="2"/>
    <x v="0"/>
    <x v="3"/>
    <x v="4"/>
    <n v="1"/>
    <x v="0"/>
  </r>
  <r>
    <x v="2"/>
    <x v="0"/>
    <x v="3"/>
    <x v="5"/>
    <n v="0"/>
    <x v="0"/>
  </r>
  <r>
    <x v="2"/>
    <x v="0"/>
    <x v="3"/>
    <x v="6"/>
    <n v="0"/>
    <x v="0"/>
  </r>
  <r>
    <x v="2"/>
    <x v="0"/>
    <x v="3"/>
    <x v="7"/>
    <n v="0"/>
    <x v="0"/>
  </r>
  <r>
    <x v="2"/>
    <x v="0"/>
    <x v="3"/>
    <x v="8"/>
    <n v="0"/>
    <x v="0"/>
  </r>
  <r>
    <x v="2"/>
    <x v="0"/>
    <x v="3"/>
    <x v="9"/>
    <n v="0"/>
    <x v="0"/>
  </r>
  <r>
    <x v="2"/>
    <x v="0"/>
    <x v="3"/>
    <x v="10"/>
    <n v="0"/>
    <x v="0"/>
  </r>
  <r>
    <x v="2"/>
    <x v="0"/>
    <x v="3"/>
    <x v="11"/>
    <n v="2"/>
    <x v="0"/>
  </r>
  <r>
    <x v="2"/>
    <x v="0"/>
    <x v="4"/>
    <x v="0"/>
    <n v="1"/>
    <x v="1"/>
  </r>
  <r>
    <x v="2"/>
    <x v="0"/>
    <x v="4"/>
    <x v="1"/>
    <n v="0"/>
    <x v="1"/>
  </r>
  <r>
    <x v="2"/>
    <x v="0"/>
    <x v="4"/>
    <x v="2"/>
    <n v="0"/>
    <x v="1"/>
  </r>
  <r>
    <x v="2"/>
    <x v="0"/>
    <x v="4"/>
    <x v="3"/>
    <n v="0"/>
    <x v="1"/>
  </r>
  <r>
    <x v="2"/>
    <x v="0"/>
    <x v="4"/>
    <x v="4"/>
    <n v="0"/>
    <x v="1"/>
  </r>
  <r>
    <x v="2"/>
    <x v="0"/>
    <x v="4"/>
    <x v="5"/>
    <n v="0"/>
    <x v="1"/>
  </r>
  <r>
    <x v="2"/>
    <x v="0"/>
    <x v="4"/>
    <x v="6"/>
    <n v="0"/>
    <x v="1"/>
  </r>
  <r>
    <x v="2"/>
    <x v="0"/>
    <x v="4"/>
    <x v="7"/>
    <n v="0"/>
    <x v="1"/>
  </r>
  <r>
    <x v="2"/>
    <x v="0"/>
    <x v="4"/>
    <x v="8"/>
    <n v="0"/>
    <x v="1"/>
  </r>
  <r>
    <x v="2"/>
    <x v="0"/>
    <x v="4"/>
    <x v="9"/>
    <n v="0"/>
    <x v="1"/>
  </r>
  <r>
    <x v="2"/>
    <x v="0"/>
    <x v="4"/>
    <x v="10"/>
    <n v="0"/>
    <x v="1"/>
  </r>
  <r>
    <x v="2"/>
    <x v="0"/>
    <x v="4"/>
    <x v="11"/>
    <n v="2"/>
    <x v="1"/>
  </r>
  <r>
    <x v="2"/>
    <x v="0"/>
    <x v="5"/>
    <x v="0"/>
    <n v="1"/>
    <x v="1"/>
  </r>
  <r>
    <x v="2"/>
    <x v="0"/>
    <x v="6"/>
    <x v="0"/>
    <n v="1"/>
    <x v="1"/>
  </r>
  <r>
    <x v="2"/>
    <x v="1"/>
    <x v="0"/>
    <x v="0"/>
    <n v="1"/>
    <x v="0"/>
  </r>
  <r>
    <x v="2"/>
    <x v="1"/>
    <x v="0"/>
    <x v="1"/>
    <n v="0"/>
    <x v="0"/>
  </r>
  <r>
    <x v="2"/>
    <x v="1"/>
    <x v="0"/>
    <x v="2"/>
    <n v="0"/>
    <x v="0"/>
  </r>
  <r>
    <x v="2"/>
    <x v="1"/>
    <x v="0"/>
    <x v="3"/>
    <n v="0"/>
    <x v="0"/>
  </r>
  <r>
    <x v="2"/>
    <x v="1"/>
    <x v="0"/>
    <x v="4"/>
    <n v="0"/>
    <x v="0"/>
  </r>
  <r>
    <x v="2"/>
    <x v="1"/>
    <x v="0"/>
    <x v="5"/>
    <n v="0"/>
    <x v="0"/>
  </r>
  <r>
    <x v="2"/>
    <x v="1"/>
    <x v="0"/>
    <x v="6"/>
    <n v="0"/>
    <x v="0"/>
  </r>
  <r>
    <x v="2"/>
    <x v="1"/>
    <x v="0"/>
    <x v="7"/>
    <n v="0"/>
    <x v="0"/>
  </r>
  <r>
    <x v="2"/>
    <x v="1"/>
    <x v="0"/>
    <x v="8"/>
    <n v="0"/>
    <x v="0"/>
  </r>
  <r>
    <x v="2"/>
    <x v="1"/>
    <x v="0"/>
    <x v="9"/>
    <n v="0"/>
    <x v="0"/>
  </r>
  <r>
    <x v="2"/>
    <x v="1"/>
    <x v="0"/>
    <x v="10"/>
    <n v="0"/>
    <x v="0"/>
  </r>
  <r>
    <x v="2"/>
    <x v="1"/>
    <x v="0"/>
    <x v="11"/>
    <n v="0"/>
    <x v="0"/>
  </r>
  <r>
    <x v="2"/>
    <x v="1"/>
    <x v="1"/>
    <x v="0"/>
    <n v="1"/>
    <x v="0"/>
  </r>
  <r>
    <x v="2"/>
    <x v="1"/>
    <x v="1"/>
    <x v="1"/>
    <n v="0"/>
    <x v="0"/>
  </r>
  <r>
    <x v="2"/>
    <x v="1"/>
    <x v="1"/>
    <x v="2"/>
    <n v="0"/>
    <x v="0"/>
  </r>
  <r>
    <x v="2"/>
    <x v="1"/>
    <x v="1"/>
    <x v="3"/>
    <n v="0"/>
    <x v="0"/>
  </r>
  <r>
    <x v="2"/>
    <x v="1"/>
    <x v="1"/>
    <x v="4"/>
    <n v="0"/>
    <x v="0"/>
  </r>
  <r>
    <x v="2"/>
    <x v="1"/>
    <x v="1"/>
    <x v="5"/>
    <n v="0"/>
    <x v="0"/>
  </r>
  <r>
    <x v="2"/>
    <x v="1"/>
    <x v="1"/>
    <x v="6"/>
    <n v="0"/>
    <x v="0"/>
  </r>
  <r>
    <x v="2"/>
    <x v="1"/>
    <x v="1"/>
    <x v="7"/>
    <n v="0"/>
    <x v="0"/>
  </r>
  <r>
    <x v="2"/>
    <x v="1"/>
    <x v="1"/>
    <x v="8"/>
    <n v="0"/>
    <x v="0"/>
  </r>
  <r>
    <x v="2"/>
    <x v="1"/>
    <x v="1"/>
    <x v="9"/>
    <n v="0"/>
    <x v="0"/>
  </r>
  <r>
    <x v="2"/>
    <x v="1"/>
    <x v="1"/>
    <x v="10"/>
    <n v="0"/>
    <x v="0"/>
  </r>
  <r>
    <x v="2"/>
    <x v="1"/>
    <x v="1"/>
    <x v="11"/>
    <n v="0"/>
    <x v="0"/>
  </r>
  <r>
    <x v="2"/>
    <x v="1"/>
    <x v="2"/>
    <x v="0"/>
    <n v="1"/>
    <x v="0"/>
  </r>
  <r>
    <x v="2"/>
    <x v="1"/>
    <x v="2"/>
    <x v="1"/>
    <n v="0"/>
    <x v="0"/>
  </r>
  <r>
    <x v="2"/>
    <x v="1"/>
    <x v="2"/>
    <x v="2"/>
    <n v="0"/>
    <x v="0"/>
  </r>
  <r>
    <x v="2"/>
    <x v="1"/>
    <x v="2"/>
    <x v="3"/>
    <n v="0"/>
    <x v="0"/>
  </r>
  <r>
    <x v="2"/>
    <x v="1"/>
    <x v="2"/>
    <x v="4"/>
    <n v="0"/>
    <x v="0"/>
  </r>
  <r>
    <x v="2"/>
    <x v="1"/>
    <x v="2"/>
    <x v="5"/>
    <n v="0"/>
    <x v="0"/>
  </r>
  <r>
    <x v="2"/>
    <x v="1"/>
    <x v="2"/>
    <x v="6"/>
    <n v="0"/>
    <x v="0"/>
  </r>
  <r>
    <x v="2"/>
    <x v="1"/>
    <x v="2"/>
    <x v="7"/>
    <n v="0"/>
    <x v="0"/>
  </r>
  <r>
    <x v="2"/>
    <x v="1"/>
    <x v="2"/>
    <x v="8"/>
    <n v="0"/>
    <x v="0"/>
  </r>
  <r>
    <x v="2"/>
    <x v="1"/>
    <x v="2"/>
    <x v="9"/>
    <n v="0"/>
    <x v="0"/>
  </r>
  <r>
    <x v="2"/>
    <x v="1"/>
    <x v="2"/>
    <x v="10"/>
    <n v="0"/>
    <x v="0"/>
  </r>
  <r>
    <x v="2"/>
    <x v="1"/>
    <x v="2"/>
    <x v="11"/>
    <n v="0"/>
    <x v="0"/>
  </r>
  <r>
    <x v="2"/>
    <x v="1"/>
    <x v="3"/>
    <x v="0"/>
    <n v="1"/>
    <x v="0"/>
  </r>
  <r>
    <x v="2"/>
    <x v="1"/>
    <x v="3"/>
    <x v="1"/>
    <n v="0"/>
    <x v="0"/>
  </r>
  <r>
    <x v="2"/>
    <x v="1"/>
    <x v="3"/>
    <x v="2"/>
    <n v="0"/>
    <x v="0"/>
  </r>
  <r>
    <x v="2"/>
    <x v="1"/>
    <x v="3"/>
    <x v="3"/>
    <n v="0"/>
    <x v="0"/>
  </r>
  <r>
    <x v="2"/>
    <x v="1"/>
    <x v="3"/>
    <x v="4"/>
    <n v="0"/>
    <x v="0"/>
  </r>
  <r>
    <x v="2"/>
    <x v="1"/>
    <x v="3"/>
    <x v="5"/>
    <n v="0"/>
    <x v="0"/>
  </r>
  <r>
    <x v="2"/>
    <x v="1"/>
    <x v="3"/>
    <x v="6"/>
    <n v="0"/>
    <x v="0"/>
  </r>
  <r>
    <x v="2"/>
    <x v="1"/>
    <x v="3"/>
    <x v="7"/>
    <n v="0"/>
    <x v="0"/>
  </r>
  <r>
    <x v="2"/>
    <x v="1"/>
    <x v="3"/>
    <x v="8"/>
    <n v="0"/>
    <x v="0"/>
  </r>
  <r>
    <x v="2"/>
    <x v="1"/>
    <x v="3"/>
    <x v="9"/>
    <n v="0"/>
    <x v="0"/>
  </r>
  <r>
    <x v="2"/>
    <x v="1"/>
    <x v="3"/>
    <x v="10"/>
    <n v="0"/>
    <x v="0"/>
  </r>
  <r>
    <x v="2"/>
    <x v="1"/>
    <x v="3"/>
    <x v="11"/>
    <n v="0"/>
    <x v="0"/>
  </r>
  <r>
    <x v="2"/>
    <x v="1"/>
    <x v="4"/>
    <x v="0"/>
    <n v="0"/>
    <x v="1"/>
  </r>
  <r>
    <x v="2"/>
    <x v="1"/>
    <x v="4"/>
    <x v="1"/>
    <n v="0"/>
    <x v="1"/>
  </r>
  <r>
    <x v="2"/>
    <x v="1"/>
    <x v="4"/>
    <x v="2"/>
    <n v="0"/>
    <x v="1"/>
  </r>
  <r>
    <x v="2"/>
    <x v="1"/>
    <x v="4"/>
    <x v="3"/>
    <n v="0"/>
    <x v="1"/>
  </r>
  <r>
    <x v="2"/>
    <x v="1"/>
    <x v="4"/>
    <x v="4"/>
    <n v="0"/>
    <x v="1"/>
  </r>
  <r>
    <x v="2"/>
    <x v="1"/>
    <x v="4"/>
    <x v="5"/>
    <n v="0"/>
    <x v="1"/>
  </r>
  <r>
    <x v="2"/>
    <x v="1"/>
    <x v="4"/>
    <x v="6"/>
    <n v="0"/>
    <x v="1"/>
  </r>
  <r>
    <x v="2"/>
    <x v="1"/>
    <x v="4"/>
    <x v="7"/>
    <n v="0"/>
    <x v="1"/>
  </r>
  <r>
    <x v="2"/>
    <x v="1"/>
    <x v="4"/>
    <x v="8"/>
    <n v="0"/>
    <x v="1"/>
  </r>
  <r>
    <x v="2"/>
    <x v="1"/>
    <x v="4"/>
    <x v="9"/>
    <n v="0"/>
    <x v="1"/>
  </r>
  <r>
    <x v="2"/>
    <x v="1"/>
    <x v="4"/>
    <x v="10"/>
    <n v="0"/>
    <x v="1"/>
  </r>
  <r>
    <x v="2"/>
    <x v="1"/>
    <x v="4"/>
    <x v="11"/>
    <n v="0"/>
    <x v="1"/>
  </r>
  <r>
    <x v="2"/>
    <x v="1"/>
    <x v="5"/>
    <x v="0"/>
    <n v="0"/>
    <x v="1"/>
  </r>
  <r>
    <x v="2"/>
    <x v="1"/>
    <x v="6"/>
    <x v="0"/>
    <n v="0"/>
    <x v="1"/>
  </r>
  <r>
    <x v="2"/>
    <x v="2"/>
    <x v="0"/>
    <x v="0"/>
    <n v="1"/>
    <x v="0"/>
  </r>
  <r>
    <x v="2"/>
    <x v="2"/>
    <x v="0"/>
    <x v="1"/>
    <n v="0"/>
    <x v="0"/>
  </r>
  <r>
    <x v="2"/>
    <x v="2"/>
    <x v="0"/>
    <x v="2"/>
    <n v="0"/>
    <x v="0"/>
  </r>
  <r>
    <x v="2"/>
    <x v="2"/>
    <x v="0"/>
    <x v="3"/>
    <n v="0"/>
    <x v="0"/>
  </r>
  <r>
    <x v="2"/>
    <x v="2"/>
    <x v="0"/>
    <x v="4"/>
    <n v="0"/>
    <x v="0"/>
  </r>
  <r>
    <x v="2"/>
    <x v="2"/>
    <x v="0"/>
    <x v="5"/>
    <n v="0"/>
    <x v="0"/>
  </r>
  <r>
    <x v="2"/>
    <x v="2"/>
    <x v="0"/>
    <x v="6"/>
    <n v="0"/>
    <x v="0"/>
  </r>
  <r>
    <x v="2"/>
    <x v="2"/>
    <x v="0"/>
    <x v="7"/>
    <n v="0"/>
    <x v="0"/>
  </r>
  <r>
    <x v="2"/>
    <x v="2"/>
    <x v="0"/>
    <x v="8"/>
    <n v="0"/>
    <x v="0"/>
  </r>
  <r>
    <x v="2"/>
    <x v="2"/>
    <x v="0"/>
    <x v="9"/>
    <n v="0"/>
    <x v="0"/>
  </r>
  <r>
    <x v="2"/>
    <x v="2"/>
    <x v="0"/>
    <x v="10"/>
    <n v="0"/>
    <x v="0"/>
  </r>
  <r>
    <x v="2"/>
    <x v="2"/>
    <x v="0"/>
    <x v="11"/>
    <n v="0"/>
    <x v="0"/>
  </r>
  <r>
    <x v="2"/>
    <x v="2"/>
    <x v="1"/>
    <x v="0"/>
    <n v="1"/>
    <x v="0"/>
  </r>
  <r>
    <x v="2"/>
    <x v="2"/>
    <x v="1"/>
    <x v="1"/>
    <n v="0"/>
    <x v="0"/>
  </r>
  <r>
    <x v="2"/>
    <x v="2"/>
    <x v="1"/>
    <x v="2"/>
    <n v="0"/>
    <x v="0"/>
  </r>
  <r>
    <x v="2"/>
    <x v="2"/>
    <x v="1"/>
    <x v="3"/>
    <n v="0"/>
    <x v="0"/>
  </r>
  <r>
    <x v="2"/>
    <x v="2"/>
    <x v="1"/>
    <x v="4"/>
    <n v="0"/>
    <x v="0"/>
  </r>
  <r>
    <x v="2"/>
    <x v="2"/>
    <x v="1"/>
    <x v="5"/>
    <n v="0"/>
    <x v="0"/>
  </r>
  <r>
    <x v="2"/>
    <x v="2"/>
    <x v="1"/>
    <x v="6"/>
    <n v="0"/>
    <x v="0"/>
  </r>
  <r>
    <x v="2"/>
    <x v="2"/>
    <x v="1"/>
    <x v="7"/>
    <n v="0"/>
    <x v="0"/>
  </r>
  <r>
    <x v="2"/>
    <x v="2"/>
    <x v="1"/>
    <x v="8"/>
    <n v="0"/>
    <x v="0"/>
  </r>
  <r>
    <x v="2"/>
    <x v="2"/>
    <x v="1"/>
    <x v="9"/>
    <n v="0"/>
    <x v="0"/>
  </r>
  <r>
    <x v="2"/>
    <x v="2"/>
    <x v="1"/>
    <x v="10"/>
    <n v="0"/>
    <x v="0"/>
  </r>
  <r>
    <x v="2"/>
    <x v="2"/>
    <x v="1"/>
    <x v="11"/>
    <n v="0"/>
    <x v="0"/>
  </r>
  <r>
    <x v="2"/>
    <x v="2"/>
    <x v="2"/>
    <x v="0"/>
    <n v="1"/>
    <x v="0"/>
  </r>
  <r>
    <x v="2"/>
    <x v="2"/>
    <x v="2"/>
    <x v="1"/>
    <n v="0"/>
    <x v="0"/>
  </r>
  <r>
    <x v="2"/>
    <x v="2"/>
    <x v="2"/>
    <x v="2"/>
    <n v="0"/>
    <x v="0"/>
  </r>
  <r>
    <x v="2"/>
    <x v="2"/>
    <x v="2"/>
    <x v="3"/>
    <n v="0"/>
    <x v="0"/>
  </r>
  <r>
    <x v="2"/>
    <x v="2"/>
    <x v="2"/>
    <x v="4"/>
    <n v="0"/>
    <x v="0"/>
  </r>
  <r>
    <x v="2"/>
    <x v="2"/>
    <x v="2"/>
    <x v="5"/>
    <n v="0"/>
    <x v="0"/>
  </r>
  <r>
    <x v="2"/>
    <x v="2"/>
    <x v="2"/>
    <x v="6"/>
    <n v="0"/>
    <x v="0"/>
  </r>
  <r>
    <x v="2"/>
    <x v="2"/>
    <x v="2"/>
    <x v="7"/>
    <n v="0"/>
    <x v="0"/>
  </r>
  <r>
    <x v="2"/>
    <x v="2"/>
    <x v="2"/>
    <x v="8"/>
    <n v="0"/>
    <x v="0"/>
  </r>
  <r>
    <x v="2"/>
    <x v="2"/>
    <x v="2"/>
    <x v="9"/>
    <n v="0"/>
    <x v="0"/>
  </r>
  <r>
    <x v="2"/>
    <x v="2"/>
    <x v="2"/>
    <x v="10"/>
    <n v="0"/>
    <x v="0"/>
  </r>
  <r>
    <x v="2"/>
    <x v="2"/>
    <x v="2"/>
    <x v="11"/>
    <n v="0"/>
    <x v="0"/>
  </r>
  <r>
    <x v="2"/>
    <x v="2"/>
    <x v="3"/>
    <x v="0"/>
    <n v="1"/>
    <x v="0"/>
  </r>
  <r>
    <x v="2"/>
    <x v="2"/>
    <x v="3"/>
    <x v="1"/>
    <n v="0"/>
    <x v="0"/>
  </r>
  <r>
    <x v="2"/>
    <x v="2"/>
    <x v="3"/>
    <x v="2"/>
    <n v="0"/>
    <x v="0"/>
  </r>
  <r>
    <x v="2"/>
    <x v="2"/>
    <x v="3"/>
    <x v="3"/>
    <n v="0"/>
    <x v="0"/>
  </r>
  <r>
    <x v="2"/>
    <x v="2"/>
    <x v="3"/>
    <x v="4"/>
    <n v="0"/>
    <x v="0"/>
  </r>
  <r>
    <x v="2"/>
    <x v="2"/>
    <x v="3"/>
    <x v="5"/>
    <n v="0"/>
    <x v="0"/>
  </r>
  <r>
    <x v="2"/>
    <x v="2"/>
    <x v="3"/>
    <x v="6"/>
    <n v="0"/>
    <x v="0"/>
  </r>
  <r>
    <x v="2"/>
    <x v="2"/>
    <x v="3"/>
    <x v="7"/>
    <n v="0"/>
    <x v="0"/>
  </r>
  <r>
    <x v="2"/>
    <x v="2"/>
    <x v="3"/>
    <x v="8"/>
    <n v="0"/>
    <x v="0"/>
  </r>
  <r>
    <x v="2"/>
    <x v="2"/>
    <x v="3"/>
    <x v="9"/>
    <n v="0"/>
    <x v="0"/>
  </r>
  <r>
    <x v="2"/>
    <x v="2"/>
    <x v="3"/>
    <x v="10"/>
    <n v="0"/>
    <x v="0"/>
  </r>
  <r>
    <x v="2"/>
    <x v="2"/>
    <x v="3"/>
    <x v="11"/>
    <n v="0"/>
    <x v="0"/>
  </r>
  <r>
    <x v="2"/>
    <x v="2"/>
    <x v="4"/>
    <x v="0"/>
    <n v="0"/>
    <x v="1"/>
  </r>
  <r>
    <x v="2"/>
    <x v="2"/>
    <x v="4"/>
    <x v="1"/>
    <n v="0"/>
    <x v="1"/>
  </r>
  <r>
    <x v="2"/>
    <x v="2"/>
    <x v="4"/>
    <x v="2"/>
    <n v="0"/>
    <x v="1"/>
  </r>
  <r>
    <x v="2"/>
    <x v="2"/>
    <x v="4"/>
    <x v="3"/>
    <n v="0"/>
    <x v="1"/>
  </r>
  <r>
    <x v="2"/>
    <x v="2"/>
    <x v="4"/>
    <x v="4"/>
    <n v="0"/>
    <x v="1"/>
  </r>
  <r>
    <x v="2"/>
    <x v="2"/>
    <x v="4"/>
    <x v="5"/>
    <n v="0"/>
    <x v="1"/>
  </r>
  <r>
    <x v="2"/>
    <x v="2"/>
    <x v="4"/>
    <x v="6"/>
    <n v="0"/>
    <x v="1"/>
  </r>
  <r>
    <x v="2"/>
    <x v="2"/>
    <x v="4"/>
    <x v="7"/>
    <n v="0"/>
    <x v="1"/>
  </r>
  <r>
    <x v="2"/>
    <x v="2"/>
    <x v="4"/>
    <x v="8"/>
    <n v="0"/>
    <x v="1"/>
  </r>
  <r>
    <x v="2"/>
    <x v="2"/>
    <x v="4"/>
    <x v="9"/>
    <n v="0"/>
    <x v="1"/>
  </r>
  <r>
    <x v="2"/>
    <x v="2"/>
    <x v="4"/>
    <x v="10"/>
    <n v="0"/>
    <x v="1"/>
  </r>
  <r>
    <x v="2"/>
    <x v="2"/>
    <x v="4"/>
    <x v="11"/>
    <n v="0"/>
    <x v="1"/>
  </r>
  <r>
    <x v="2"/>
    <x v="2"/>
    <x v="5"/>
    <x v="0"/>
    <n v="0"/>
    <x v="1"/>
  </r>
  <r>
    <x v="2"/>
    <x v="2"/>
    <x v="6"/>
    <x v="0"/>
    <n v="0"/>
    <x v="1"/>
  </r>
  <r>
    <x v="2"/>
    <x v="3"/>
    <x v="0"/>
    <x v="0"/>
    <n v="0"/>
    <x v="0"/>
  </r>
  <r>
    <x v="2"/>
    <x v="3"/>
    <x v="0"/>
    <x v="1"/>
    <n v="0"/>
    <x v="0"/>
  </r>
  <r>
    <x v="2"/>
    <x v="3"/>
    <x v="0"/>
    <x v="2"/>
    <n v="0"/>
    <x v="0"/>
  </r>
  <r>
    <x v="2"/>
    <x v="3"/>
    <x v="0"/>
    <x v="3"/>
    <n v="0"/>
    <x v="0"/>
  </r>
  <r>
    <x v="2"/>
    <x v="3"/>
    <x v="0"/>
    <x v="4"/>
    <n v="0"/>
    <x v="0"/>
  </r>
  <r>
    <x v="2"/>
    <x v="3"/>
    <x v="0"/>
    <x v="5"/>
    <n v="0"/>
    <x v="0"/>
  </r>
  <r>
    <x v="2"/>
    <x v="3"/>
    <x v="0"/>
    <x v="6"/>
    <n v="0"/>
    <x v="0"/>
  </r>
  <r>
    <x v="2"/>
    <x v="3"/>
    <x v="0"/>
    <x v="7"/>
    <n v="0"/>
    <x v="0"/>
  </r>
  <r>
    <x v="2"/>
    <x v="3"/>
    <x v="0"/>
    <x v="8"/>
    <n v="0"/>
    <x v="0"/>
  </r>
  <r>
    <x v="2"/>
    <x v="3"/>
    <x v="0"/>
    <x v="9"/>
    <n v="0"/>
    <x v="0"/>
  </r>
  <r>
    <x v="2"/>
    <x v="3"/>
    <x v="0"/>
    <x v="10"/>
    <n v="0"/>
    <x v="0"/>
  </r>
  <r>
    <x v="2"/>
    <x v="3"/>
    <x v="0"/>
    <x v="11"/>
    <n v="0"/>
    <x v="0"/>
  </r>
  <r>
    <x v="2"/>
    <x v="3"/>
    <x v="1"/>
    <x v="0"/>
    <n v="0"/>
    <x v="0"/>
  </r>
  <r>
    <x v="2"/>
    <x v="3"/>
    <x v="1"/>
    <x v="1"/>
    <n v="0"/>
    <x v="0"/>
  </r>
  <r>
    <x v="2"/>
    <x v="3"/>
    <x v="1"/>
    <x v="2"/>
    <n v="0"/>
    <x v="0"/>
  </r>
  <r>
    <x v="2"/>
    <x v="3"/>
    <x v="1"/>
    <x v="3"/>
    <n v="0"/>
    <x v="0"/>
  </r>
  <r>
    <x v="2"/>
    <x v="3"/>
    <x v="1"/>
    <x v="4"/>
    <n v="0"/>
    <x v="0"/>
  </r>
  <r>
    <x v="2"/>
    <x v="3"/>
    <x v="1"/>
    <x v="5"/>
    <n v="0"/>
    <x v="0"/>
  </r>
  <r>
    <x v="2"/>
    <x v="3"/>
    <x v="1"/>
    <x v="6"/>
    <n v="0"/>
    <x v="0"/>
  </r>
  <r>
    <x v="2"/>
    <x v="3"/>
    <x v="1"/>
    <x v="7"/>
    <n v="0"/>
    <x v="0"/>
  </r>
  <r>
    <x v="2"/>
    <x v="3"/>
    <x v="1"/>
    <x v="8"/>
    <n v="0"/>
    <x v="0"/>
  </r>
  <r>
    <x v="2"/>
    <x v="3"/>
    <x v="1"/>
    <x v="9"/>
    <n v="0"/>
    <x v="0"/>
  </r>
  <r>
    <x v="2"/>
    <x v="3"/>
    <x v="1"/>
    <x v="10"/>
    <n v="0"/>
    <x v="0"/>
  </r>
  <r>
    <x v="2"/>
    <x v="3"/>
    <x v="1"/>
    <x v="11"/>
    <n v="0"/>
    <x v="0"/>
  </r>
  <r>
    <x v="2"/>
    <x v="3"/>
    <x v="2"/>
    <x v="0"/>
    <n v="0"/>
    <x v="0"/>
  </r>
  <r>
    <x v="2"/>
    <x v="3"/>
    <x v="2"/>
    <x v="1"/>
    <n v="0"/>
    <x v="0"/>
  </r>
  <r>
    <x v="2"/>
    <x v="3"/>
    <x v="2"/>
    <x v="2"/>
    <n v="0"/>
    <x v="0"/>
  </r>
  <r>
    <x v="2"/>
    <x v="3"/>
    <x v="2"/>
    <x v="3"/>
    <n v="0"/>
    <x v="0"/>
  </r>
  <r>
    <x v="2"/>
    <x v="3"/>
    <x v="2"/>
    <x v="4"/>
    <n v="0"/>
    <x v="0"/>
  </r>
  <r>
    <x v="2"/>
    <x v="3"/>
    <x v="2"/>
    <x v="5"/>
    <n v="0"/>
    <x v="0"/>
  </r>
  <r>
    <x v="2"/>
    <x v="3"/>
    <x v="2"/>
    <x v="6"/>
    <n v="0"/>
    <x v="0"/>
  </r>
  <r>
    <x v="2"/>
    <x v="3"/>
    <x v="2"/>
    <x v="7"/>
    <n v="0"/>
    <x v="0"/>
  </r>
  <r>
    <x v="2"/>
    <x v="3"/>
    <x v="2"/>
    <x v="8"/>
    <n v="0"/>
    <x v="0"/>
  </r>
  <r>
    <x v="2"/>
    <x v="3"/>
    <x v="2"/>
    <x v="9"/>
    <n v="0"/>
    <x v="0"/>
  </r>
  <r>
    <x v="2"/>
    <x v="3"/>
    <x v="2"/>
    <x v="10"/>
    <n v="0"/>
    <x v="0"/>
  </r>
  <r>
    <x v="2"/>
    <x v="3"/>
    <x v="2"/>
    <x v="11"/>
    <n v="0"/>
    <x v="0"/>
  </r>
  <r>
    <x v="2"/>
    <x v="3"/>
    <x v="3"/>
    <x v="0"/>
    <n v="0"/>
    <x v="0"/>
  </r>
  <r>
    <x v="2"/>
    <x v="3"/>
    <x v="3"/>
    <x v="1"/>
    <n v="0"/>
    <x v="0"/>
  </r>
  <r>
    <x v="2"/>
    <x v="3"/>
    <x v="3"/>
    <x v="2"/>
    <n v="0"/>
    <x v="0"/>
  </r>
  <r>
    <x v="2"/>
    <x v="3"/>
    <x v="3"/>
    <x v="3"/>
    <n v="0"/>
    <x v="0"/>
  </r>
  <r>
    <x v="2"/>
    <x v="3"/>
    <x v="3"/>
    <x v="4"/>
    <n v="0"/>
    <x v="0"/>
  </r>
  <r>
    <x v="2"/>
    <x v="3"/>
    <x v="3"/>
    <x v="5"/>
    <n v="0"/>
    <x v="0"/>
  </r>
  <r>
    <x v="2"/>
    <x v="3"/>
    <x v="3"/>
    <x v="6"/>
    <n v="0"/>
    <x v="0"/>
  </r>
  <r>
    <x v="2"/>
    <x v="3"/>
    <x v="3"/>
    <x v="7"/>
    <n v="0"/>
    <x v="0"/>
  </r>
  <r>
    <x v="2"/>
    <x v="3"/>
    <x v="3"/>
    <x v="8"/>
    <n v="0"/>
    <x v="0"/>
  </r>
  <r>
    <x v="2"/>
    <x v="3"/>
    <x v="3"/>
    <x v="9"/>
    <n v="0"/>
    <x v="0"/>
  </r>
  <r>
    <x v="2"/>
    <x v="3"/>
    <x v="3"/>
    <x v="10"/>
    <n v="0"/>
    <x v="0"/>
  </r>
  <r>
    <x v="2"/>
    <x v="3"/>
    <x v="3"/>
    <x v="11"/>
    <n v="0"/>
    <x v="0"/>
  </r>
  <r>
    <x v="2"/>
    <x v="3"/>
    <x v="4"/>
    <x v="0"/>
    <n v="1"/>
    <x v="1"/>
  </r>
  <r>
    <x v="2"/>
    <x v="3"/>
    <x v="4"/>
    <x v="1"/>
    <n v="0"/>
    <x v="1"/>
  </r>
  <r>
    <x v="2"/>
    <x v="3"/>
    <x v="4"/>
    <x v="2"/>
    <n v="0"/>
    <x v="1"/>
  </r>
  <r>
    <x v="2"/>
    <x v="3"/>
    <x v="4"/>
    <x v="3"/>
    <n v="0"/>
    <x v="1"/>
  </r>
  <r>
    <x v="2"/>
    <x v="3"/>
    <x v="4"/>
    <x v="4"/>
    <n v="0"/>
    <x v="1"/>
  </r>
  <r>
    <x v="2"/>
    <x v="3"/>
    <x v="4"/>
    <x v="5"/>
    <n v="0"/>
    <x v="1"/>
  </r>
  <r>
    <x v="2"/>
    <x v="3"/>
    <x v="4"/>
    <x v="6"/>
    <n v="0"/>
    <x v="1"/>
  </r>
  <r>
    <x v="2"/>
    <x v="3"/>
    <x v="4"/>
    <x v="7"/>
    <n v="0"/>
    <x v="1"/>
  </r>
  <r>
    <x v="2"/>
    <x v="3"/>
    <x v="4"/>
    <x v="8"/>
    <n v="0"/>
    <x v="1"/>
  </r>
  <r>
    <x v="2"/>
    <x v="3"/>
    <x v="4"/>
    <x v="9"/>
    <n v="0"/>
    <x v="1"/>
  </r>
  <r>
    <x v="2"/>
    <x v="3"/>
    <x v="4"/>
    <x v="10"/>
    <n v="0"/>
    <x v="1"/>
  </r>
  <r>
    <x v="2"/>
    <x v="3"/>
    <x v="4"/>
    <x v="11"/>
    <n v="0"/>
    <x v="1"/>
  </r>
  <r>
    <x v="2"/>
    <x v="3"/>
    <x v="5"/>
    <x v="0"/>
    <n v="1"/>
    <x v="1"/>
  </r>
  <r>
    <x v="2"/>
    <x v="3"/>
    <x v="6"/>
    <x v="0"/>
    <n v="1"/>
    <x v="1"/>
  </r>
  <r>
    <x v="2"/>
    <x v="4"/>
    <x v="0"/>
    <x v="0"/>
    <n v="1"/>
    <x v="0"/>
  </r>
  <r>
    <x v="2"/>
    <x v="4"/>
    <x v="0"/>
    <x v="1"/>
    <n v="0"/>
    <x v="0"/>
  </r>
  <r>
    <x v="2"/>
    <x v="4"/>
    <x v="0"/>
    <x v="2"/>
    <n v="0"/>
    <x v="0"/>
  </r>
  <r>
    <x v="2"/>
    <x v="4"/>
    <x v="0"/>
    <x v="3"/>
    <n v="0"/>
    <x v="0"/>
  </r>
  <r>
    <x v="2"/>
    <x v="4"/>
    <x v="0"/>
    <x v="4"/>
    <n v="0"/>
    <x v="0"/>
  </r>
  <r>
    <x v="2"/>
    <x v="4"/>
    <x v="0"/>
    <x v="5"/>
    <n v="0"/>
    <x v="0"/>
  </r>
  <r>
    <x v="2"/>
    <x v="4"/>
    <x v="0"/>
    <x v="6"/>
    <n v="0"/>
    <x v="0"/>
  </r>
  <r>
    <x v="2"/>
    <x v="4"/>
    <x v="0"/>
    <x v="7"/>
    <n v="0"/>
    <x v="0"/>
  </r>
  <r>
    <x v="2"/>
    <x v="4"/>
    <x v="0"/>
    <x v="8"/>
    <n v="0"/>
    <x v="0"/>
  </r>
  <r>
    <x v="2"/>
    <x v="4"/>
    <x v="0"/>
    <x v="9"/>
    <n v="0"/>
    <x v="0"/>
  </r>
  <r>
    <x v="2"/>
    <x v="4"/>
    <x v="0"/>
    <x v="10"/>
    <n v="0"/>
    <x v="0"/>
  </r>
  <r>
    <x v="2"/>
    <x v="4"/>
    <x v="0"/>
    <x v="11"/>
    <n v="0"/>
    <x v="0"/>
  </r>
  <r>
    <x v="2"/>
    <x v="4"/>
    <x v="1"/>
    <x v="0"/>
    <n v="1"/>
    <x v="0"/>
  </r>
  <r>
    <x v="2"/>
    <x v="4"/>
    <x v="1"/>
    <x v="1"/>
    <n v="0"/>
    <x v="0"/>
  </r>
  <r>
    <x v="2"/>
    <x v="4"/>
    <x v="1"/>
    <x v="2"/>
    <n v="0"/>
    <x v="0"/>
  </r>
  <r>
    <x v="2"/>
    <x v="4"/>
    <x v="1"/>
    <x v="3"/>
    <n v="0"/>
    <x v="0"/>
  </r>
  <r>
    <x v="2"/>
    <x v="4"/>
    <x v="1"/>
    <x v="4"/>
    <n v="0"/>
    <x v="0"/>
  </r>
  <r>
    <x v="2"/>
    <x v="4"/>
    <x v="1"/>
    <x v="5"/>
    <n v="0"/>
    <x v="0"/>
  </r>
  <r>
    <x v="2"/>
    <x v="4"/>
    <x v="1"/>
    <x v="6"/>
    <n v="0"/>
    <x v="0"/>
  </r>
  <r>
    <x v="2"/>
    <x v="4"/>
    <x v="1"/>
    <x v="7"/>
    <n v="0"/>
    <x v="0"/>
  </r>
  <r>
    <x v="2"/>
    <x v="4"/>
    <x v="1"/>
    <x v="8"/>
    <n v="0"/>
    <x v="0"/>
  </r>
  <r>
    <x v="2"/>
    <x v="4"/>
    <x v="1"/>
    <x v="9"/>
    <n v="0"/>
    <x v="0"/>
  </r>
  <r>
    <x v="2"/>
    <x v="4"/>
    <x v="1"/>
    <x v="10"/>
    <n v="0"/>
    <x v="0"/>
  </r>
  <r>
    <x v="2"/>
    <x v="4"/>
    <x v="1"/>
    <x v="11"/>
    <n v="0"/>
    <x v="0"/>
  </r>
  <r>
    <x v="2"/>
    <x v="4"/>
    <x v="2"/>
    <x v="0"/>
    <n v="1"/>
    <x v="0"/>
  </r>
  <r>
    <x v="2"/>
    <x v="4"/>
    <x v="2"/>
    <x v="1"/>
    <n v="0"/>
    <x v="0"/>
  </r>
  <r>
    <x v="2"/>
    <x v="4"/>
    <x v="2"/>
    <x v="2"/>
    <n v="0"/>
    <x v="0"/>
  </r>
  <r>
    <x v="2"/>
    <x v="4"/>
    <x v="2"/>
    <x v="3"/>
    <n v="0"/>
    <x v="0"/>
  </r>
  <r>
    <x v="2"/>
    <x v="4"/>
    <x v="2"/>
    <x v="4"/>
    <n v="0"/>
    <x v="0"/>
  </r>
  <r>
    <x v="2"/>
    <x v="4"/>
    <x v="2"/>
    <x v="5"/>
    <n v="0"/>
    <x v="0"/>
  </r>
  <r>
    <x v="2"/>
    <x v="4"/>
    <x v="2"/>
    <x v="6"/>
    <n v="0"/>
    <x v="0"/>
  </r>
  <r>
    <x v="2"/>
    <x v="4"/>
    <x v="2"/>
    <x v="7"/>
    <n v="0"/>
    <x v="0"/>
  </r>
  <r>
    <x v="2"/>
    <x v="4"/>
    <x v="2"/>
    <x v="8"/>
    <n v="0"/>
    <x v="0"/>
  </r>
  <r>
    <x v="2"/>
    <x v="4"/>
    <x v="2"/>
    <x v="9"/>
    <n v="0"/>
    <x v="0"/>
  </r>
  <r>
    <x v="2"/>
    <x v="4"/>
    <x v="2"/>
    <x v="10"/>
    <n v="0"/>
    <x v="0"/>
  </r>
  <r>
    <x v="2"/>
    <x v="4"/>
    <x v="2"/>
    <x v="11"/>
    <n v="0"/>
    <x v="0"/>
  </r>
  <r>
    <x v="2"/>
    <x v="4"/>
    <x v="3"/>
    <x v="0"/>
    <n v="1"/>
    <x v="0"/>
  </r>
  <r>
    <x v="2"/>
    <x v="4"/>
    <x v="3"/>
    <x v="1"/>
    <n v="0"/>
    <x v="0"/>
  </r>
  <r>
    <x v="2"/>
    <x v="4"/>
    <x v="3"/>
    <x v="2"/>
    <n v="0"/>
    <x v="0"/>
  </r>
  <r>
    <x v="2"/>
    <x v="4"/>
    <x v="3"/>
    <x v="3"/>
    <n v="0"/>
    <x v="0"/>
  </r>
  <r>
    <x v="2"/>
    <x v="4"/>
    <x v="3"/>
    <x v="4"/>
    <n v="0"/>
    <x v="0"/>
  </r>
  <r>
    <x v="2"/>
    <x v="4"/>
    <x v="3"/>
    <x v="5"/>
    <n v="0"/>
    <x v="0"/>
  </r>
  <r>
    <x v="2"/>
    <x v="4"/>
    <x v="3"/>
    <x v="6"/>
    <n v="0"/>
    <x v="0"/>
  </r>
  <r>
    <x v="2"/>
    <x v="4"/>
    <x v="3"/>
    <x v="7"/>
    <n v="0"/>
    <x v="0"/>
  </r>
  <r>
    <x v="2"/>
    <x v="4"/>
    <x v="3"/>
    <x v="8"/>
    <n v="0"/>
    <x v="0"/>
  </r>
  <r>
    <x v="2"/>
    <x v="4"/>
    <x v="3"/>
    <x v="9"/>
    <n v="0"/>
    <x v="0"/>
  </r>
  <r>
    <x v="2"/>
    <x v="4"/>
    <x v="3"/>
    <x v="10"/>
    <n v="0"/>
    <x v="0"/>
  </r>
  <r>
    <x v="2"/>
    <x v="4"/>
    <x v="3"/>
    <x v="11"/>
    <n v="0"/>
    <x v="0"/>
  </r>
  <r>
    <x v="2"/>
    <x v="4"/>
    <x v="4"/>
    <x v="0"/>
    <n v="0"/>
    <x v="1"/>
  </r>
  <r>
    <x v="2"/>
    <x v="4"/>
    <x v="4"/>
    <x v="1"/>
    <n v="0"/>
    <x v="1"/>
  </r>
  <r>
    <x v="2"/>
    <x v="4"/>
    <x v="4"/>
    <x v="2"/>
    <n v="0"/>
    <x v="1"/>
  </r>
  <r>
    <x v="2"/>
    <x v="4"/>
    <x v="4"/>
    <x v="3"/>
    <n v="0"/>
    <x v="1"/>
  </r>
  <r>
    <x v="2"/>
    <x v="4"/>
    <x v="4"/>
    <x v="4"/>
    <n v="0"/>
    <x v="1"/>
  </r>
  <r>
    <x v="2"/>
    <x v="4"/>
    <x v="4"/>
    <x v="5"/>
    <n v="0"/>
    <x v="1"/>
  </r>
  <r>
    <x v="2"/>
    <x v="4"/>
    <x v="4"/>
    <x v="6"/>
    <n v="0"/>
    <x v="1"/>
  </r>
  <r>
    <x v="2"/>
    <x v="4"/>
    <x v="4"/>
    <x v="7"/>
    <n v="0"/>
    <x v="1"/>
  </r>
  <r>
    <x v="2"/>
    <x v="4"/>
    <x v="4"/>
    <x v="8"/>
    <n v="0"/>
    <x v="1"/>
  </r>
  <r>
    <x v="2"/>
    <x v="4"/>
    <x v="4"/>
    <x v="9"/>
    <n v="0"/>
    <x v="1"/>
  </r>
  <r>
    <x v="2"/>
    <x v="4"/>
    <x v="4"/>
    <x v="10"/>
    <n v="0"/>
    <x v="1"/>
  </r>
  <r>
    <x v="2"/>
    <x v="4"/>
    <x v="4"/>
    <x v="11"/>
    <n v="0"/>
    <x v="1"/>
  </r>
  <r>
    <x v="2"/>
    <x v="4"/>
    <x v="5"/>
    <x v="0"/>
    <n v="0"/>
    <x v="1"/>
  </r>
  <r>
    <x v="2"/>
    <x v="4"/>
    <x v="6"/>
    <x v="0"/>
    <n v="0"/>
    <x v="1"/>
  </r>
  <r>
    <x v="2"/>
    <x v="5"/>
    <x v="0"/>
    <x v="0"/>
    <n v="0"/>
    <x v="0"/>
  </r>
  <r>
    <x v="2"/>
    <x v="5"/>
    <x v="0"/>
    <x v="1"/>
    <n v="0"/>
    <x v="0"/>
  </r>
  <r>
    <x v="2"/>
    <x v="5"/>
    <x v="0"/>
    <x v="2"/>
    <n v="0"/>
    <x v="0"/>
  </r>
  <r>
    <x v="2"/>
    <x v="5"/>
    <x v="0"/>
    <x v="3"/>
    <n v="0"/>
    <x v="0"/>
  </r>
  <r>
    <x v="2"/>
    <x v="5"/>
    <x v="0"/>
    <x v="4"/>
    <n v="0"/>
    <x v="0"/>
  </r>
  <r>
    <x v="2"/>
    <x v="5"/>
    <x v="0"/>
    <x v="5"/>
    <n v="0"/>
    <x v="0"/>
  </r>
  <r>
    <x v="2"/>
    <x v="5"/>
    <x v="0"/>
    <x v="6"/>
    <n v="0"/>
    <x v="0"/>
  </r>
  <r>
    <x v="2"/>
    <x v="5"/>
    <x v="0"/>
    <x v="7"/>
    <n v="0"/>
    <x v="0"/>
  </r>
  <r>
    <x v="2"/>
    <x v="5"/>
    <x v="0"/>
    <x v="8"/>
    <n v="0"/>
    <x v="0"/>
  </r>
  <r>
    <x v="2"/>
    <x v="5"/>
    <x v="0"/>
    <x v="9"/>
    <n v="0"/>
    <x v="0"/>
  </r>
  <r>
    <x v="2"/>
    <x v="5"/>
    <x v="0"/>
    <x v="10"/>
    <n v="0"/>
    <x v="0"/>
  </r>
  <r>
    <x v="2"/>
    <x v="5"/>
    <x v="0"/>
    <x v="11"/>
    <n v="0"/>
    <x v="0"/>
  </r>
  <r>
    <x v="2"/>
    <x v="5"/>
    <x v="1"/>
    <x v="0"/>
    <n v="0"/>
    <x v="0"/>
  </r>
  <r>
    <x v="2"/>
    <x v="5"/>
    <x v="1"/>
    <x v="1"/>
    <n v="0"/>
    <x v="0"/>
  </r>
  <r>
    <x v="2"/>
    <x v="5"/>
    <x v="1"/>
    <x v="2"/>
    <n v="0"/>
    <x v="0"/>
  </r>
  <r>
    <x v="2"/>
    <x v="5"/>
    <x v="1"/>
    <x v="3"/>
    <n v="0"/>
    <x v="0"/>
  </r>
  <r>
    <x v="2"/>
    <x v="5"/>
    <x v="1"/>
    <x v="4"/>
    <n v="0"/>
    <x v="0"/>
  </r>
  <r>
    <x v="2"/>
    <x v="5"/>
    <x v="1"/>
    <x v="5"/>
    <n v="0"/>
    <x v="0"/>
  </r>
  <r>
    <x v="2"/>
    <x v="5"/>
    <x v="1"/>
    <x v="6"/>
    <n v="0"/>
    <x v="0"/>
  </r>
  <r>
    <x v="2"/>
    <x v="5"/>
    <x v="1"/>
    <x v="7"/>
    <n v="0"/>
    <x v="0"/>
  </r>
  <r>
    <x v="2"/>
    <x v="5"/>
    <x v="1"/>
    <x v="8"/>
    <n v="0"/>
    <x v="0"/>
  </r>
  <r>
    <x v="2"/>
    <x v="5"/>
    <x v="1"/>
    <x v="9"/>
    <n v="0"/>
    <x v="0"/>
  </r>
  <r>
    <x v="2"/>
    <x v="5"/>
    <x v="1"/>
    <x v="10"/>
    <n v="0"/>
    <x v="0"/>
  </r>
  <r>
    <x v="2"/>
    <x v="5"/>
    <x v="1"/>
    <x v="11"/>
    <n v="0"/>
    <x v="0"/>
  </r>
  <r>
    <x v="2"/>
    <x v="5"/>
    <x v="2"/>
    <x v="0"/>
    <n v="0"/>
    <x v="0"/>
  </r>
  <r>
    <x v="2"/>
    <x v="5"/>
    <x v="2"/>
    <x v="1"/>
    <n v="0"/>
    <x v="0"/>
  </r>
  <r>
    <x v="2"/>
    <x v="5"/>
    <x v="2"/>
    <x v="2"/>
    <n v="0"/>
    <x v="0"/>
  </r>
  <r>
    <x v="2"/>
    <x v="5"/>
    <x v="2"/>
    <x v="3"/>
    <n v="0"/>
    <x v="0"/>
  </r>
  <r>
    <x v="2"/>
    <x v="5"/>
    <x v="2"/>
    <x v="4"/>
    <n v="0"/>
    <x v="0"/>
  </r>
  <r>
    <x v="2"/>
    <x v="5"/>
    <x v="2"/>
    <x v="5"/>
    <n v="0"/>
    <x v="0"/>
  </r>
  <r>
    <x v="2"/>
    <x v="5"/>
    <x v="2"/>
    <x v="6"/>
    <n v="0"/>
    <x v="0"/>
  </r>
  <r>
    <x v="2"/>
    <x v="5"/>
    <x v="2"/>
    <x v="7"/>
    <n v="0"/>
    <x v="0"/>
  </r>
  <r>
    <x v="2"/>
    <x v="5"/>
    <x v="2"/>
    <x v="8"/>
    <n v="0"/>
    <x v="0"/>
  </r>
  <r>
    <x v="2"/>
    <x v="5"/>
    <x v="2"/>
    <x v="9"/>
    <n v="0"/>
    <x v="0"/>
  </r>
  <r>
    <x v="2"/>
    <x v="5"/>
    <x v="2"/>
    <x v="10"/>
    <n v="0"/>
    <x v="0"/>
  </r>
  <r>
    <x v="2"/>
    <x v="5"/>
    <x v="2"/>
    <x v="11"/>
    <n v="0"/>
    <x v="0"/>
  </r>
  <r>
    <x v="2"/>
    <x v="5"/>
    <x v="3"/>
    <x v="0"/>
    <n v="0"/>
    <x v="0"/>
  </r>
  <r>
    <x v="2"/>
    <x v="5"/>
    <x v="3"/>
    <x v="1"/>
    <n v="0"/>
    <x v="0"/>
  </r>
  <r>
    <x v="2"/>
    <x v="5"/>
    <x v="3"/>
    <x v="2"/>
    <n v="0"/>
    <x v="0"/>
  </r>
  <r>
    <x v="2"/>
    <x v="5"/>
    <x v="3"/>
    <x v="3"/>
    <n v="0"/>
    <x v="0"/>
  </r>
  <r>
    <x v="2"/>
    <x v="5"/>
    <x v="3"/>
    <x v="4"/>
    <n v="0"/>
    <x v="0"/>
  </r>
  <r>
    <x v="2"/>
    <x v="5"/>
    <x v="3"/>
    <x v="5"/>
    <n v="0"/>
    <x v="0"/>
  </r>
  <r>
    <x v="2"/>
    <x v="5"/>
    <x v="3"/>
    <x v="6"/>
    <n v="0"/>
    <x v="0"/>
  </r>
  <r>
    <x v="2"/>
    <x v="5"/>
    <x v="3"/>
    <x v="7"/>
    <n v="0"/>
    <x v="0"/>
  </r>
  <r>
    <x v="2"/>
    <x v="5"/>
    <x v="3"/>
    <x v="8"/>
    <n v="0"/>
    <x v="0"/>
  </r>
  <r>
    <x v="2"/>
    <x v="5"/>
    <x v="3"/>
    <x v="9"/>
    <n v="0"/>
    <x v="0"/>
  </r>
  <r>
    <x v="2"/>
    <x v="5"/>
    <x v="3"/>
    <x v="10"/>
    <n v="0"/>
    <x v="0"/>
  </r>
  <r>
    <x v="2"/>
    <x v="5"/>
    <x v="3"/>
    <x v="11"/>
    <n v="0"/>
    <x v="0"/>
  </r>
  <r>
    <x v="2"/>
    <x v="5"/>
    <x v="4"/>
    <x v="0"/>
    <n v="1"/>
    <x v="1"/>
  </r>
  <r>
    <x v="2"/>
    <x v="5"/>
    <x v="4"/>
    <x v="1"/>
    <n v="0"/>
    <x v="1"/>
  </r>
  <r>
    <x v="2"/>
    <x v="5"/>
    <x v="4"/>
    <x v="2"/>
    <n v="0"/>
    <x v="1"/>
  </r>
  <r>
    <x v="2"/>
    <x v="5"/>
    <x v="4"/>
    <x v="3"/>
    <n v="0"/>
    <x v="1"/>
  </r>
  <r>
    <x v="2"/>
    <x v="5"/>
    <x v="4"/>
    <x v="4"/>
    <n v="0"/>
    <x v="1"/>
  </r>
  <r>
    <x v="2"/>
    <x v="5"/>
    <x v="4"/>
    <x v="5"/>
    <n v="0"/>
    <x v="1"/>
  </r>
  <r>
    <x v="2"/>
    <x v="5"/>
    <x v="4"/>
    <x v="6"/>
    <n v="0"/>
    <x v="1"/>
  </r>
  <r>
    <x v="2"/>
    <x v="5"/>
    <x v="4"/>
    <x v="7"/>
    <n v="0"/>
    <x v="1"/>
  </r>
  <r>
    <x v="2"/>
    <x v="5"/>
    <x v="4"/>
    <x v="8"/>
    <n v="0"/>
    <x v="1"/>
  </r>
  <r>
    <x v="2"/>
    <x v="5"/>
    <x v="4"/>
    <x v="9"/>
    <n v="0"/>
    <x v="1"/>
  </r>
  <r>
    <x v="2"/>
    <x v="5"/>
    <x v="4"/>
    <x v="10"/>
    <n v="0"/>
    <x v="1"/>
  </r>
  <r>
    <x v="2"/>
    <x v="5"/>
    <x v="4"/>
    <x v="11"/>
    <n v="0"/>
    <x v="1"/>
  </r>
  <r>
    <x v="2"/>
    <x v="5"/>
    <x v="5"/>
    <x v="0"/>
    <n v="1"/>
    <x v="1"/>
  </r>
  <r>
    <x v="2"/>
    <x v="5"/>
    <x v="6"/>
    <x v="0"/>
    <n v="1"/>
    <x v="1"/>
  </r>
  <r>
    <x v="2"/>
    <x v="6"/>
    <x v="0"/>
    <x v="0"/>
    <n v="1"/>
    <x v="0"/>
  </r>
  <r>
    <x v="2"/>
    <x v="6"/>
    <x v="0"/>
    <x v="1"/>
    <n v="0"/>
    <x v="0"/>
  </r>
  <r>
    <x v="2"/>
    <x v="6"/>
    <x v="0"/>
    <x v="2"/>
    <n v="0"/>
    <x v="0"/>
  </r>
  <r>
    <x v="2"/>
    <x v="6"/>
    <x v="0"/>
    <x v="3"/>
    <n v="0"/>
    <x v="0"/>
  </r>
  <r>
    <x v="2"/>
    <x v="6"/>
    <x v="0"/>
    <x v="4"/>
    <n v="0"/>
    <x v="0"/>
  </r>
  <r>
    <x v="2"/>
    <x v="6"/>
    <x v="0"/>
    <x v="5"/>
    <n v="0"/>
    <x v="0"/>
  </r>
  <r>
    <x v="2"/>
    <x v="6"/>
    <x v="0"/>
    <x v="6"/>
    <n v="0"/>
    <x v="0"/>
  </r>
  <r>
    <x v="2"/>
    <x v="6"/>
    <x v="0"/>
    <x v="7"/>
    <n v="0"/>
    <x v="0"/>
  </r>
  <r>
    <x v="2"/>
    <x v="6"/>
    <x v="0"/>
    <x v="8"/>
    <n v="0"/>
    <x v="0"/>
  </r>
  <r>
    <x v="2"/>
    <x v="6"/>
    <x v="0"/>
    <x v="9"/>
    <n v="0"/>
    <x v="0"/>
  </r>
  <r>
    <x v="2"/>
    <x v="6"/>
    <x v="0"/>
    <x v="10"/>
    <n v="0"/>
    <x v="0"/>
  </r>
  <r>
    <x v="2"/>
    <x v="6"/>
    <x v="0"/>
    <x v="11"/>
    <n v="0"/>
    <x v="0"/>
  </r>
  <r>
    <x v="2"/>
    <x v="6"/>
    <x v="1"/>
    <x v="0"/>
    <n v="1"/>
    <x v="0"/>
  </r>
  <r>
    <x v="2"/>
    <x v="6"/>
    <x v="1"/>
    <x v="1"/>
    <n v="0"/>
    <x v="0"/>
  </r>
  <r>
    <x v="2"/>
    <x v="6"/>
    <x v="1"/>
    <x v="2"/>
    <n v="0"/>
    <x v="0"/>
  </r>
  <r>
    <x v="2"/>
    <x v="6"/>
    <x v="1"/>
    <x v="3"/>
    <n v="0"/>
    <x v="0"/>
  </r>
  <r>
    <x v="2"/>
    <x v="6"/>
    <x v="1"/>
    <x v="4"/>
    <n v="0"/>
    <x v="0"/>
  </r>
  <r>
    <x v="2"/>
    <x v="6"/>
    <x v="1"/>
    <x v="5"/>
    <n v="0"/>
    <x v="0"/>
  </r>
  <r>
    <x v="2"/>
    <x v="6"/>
    <x v="1"/>
    <x v="6"/>
    <n v="0"/>
    <x v="0"/>
  </r>
  <r>
    <x v="2"/>
    <x v="6"/>
    <x v="1"/>
    <x v="7"/>
    <n v="0"/>
    <x v="0"/>
  </r>
  <r>
    <x v="2"/>
    <x v="6"/>
    <x v="1"/>
    <x v="8"/>
    <n v="0"/>
    <x v="0"/>
  </r>
  <r>
    <x v="2"/>
    <x v="6"/>
    <x v="1"/>
    <x v="9"/>
    <n v="0"/>
    <x v="0"/>
  </r>
  <r>
    <x v="2"/>
    <x v="6"/>
    <x v="1"/>
    <x v="10"/>
    <n v="0"/>
    <x v="0"/>
  </r>
  <r>
    <x v="2"/>
    <x v="6"/>
    <x v="1"/>
    <x v="11"/>
    <n v="0"/>
    <x v="0"/>
  </r>
  <r>
    <x v="2"/>
    <x v="6"/>
    <x v="2"/>
    <x v="0"/>
    <n v="1"/>
    <x v="0"/>
  </r>
  <r>
    <x v="2"/>
    <x v="6"/>
    <x v="2"/>
    <x v="1"/>
    <n v="0"/>
    <x v="0"/>
  </r>
  <r>
    <x v="2"/>
    <x v="6"/>
    <x v="2"/>
    <x v="2"/>
    <n v="0"/>
    <x v="0"/>
  </r>
  <r>
    <x v="2"/>
    <x v="6"/>
    <x v="2"/>
    <x v="3"/>
    <n v="0"/>
    <x v="0"/>
  </r>
  <r>
    <x v="2"/>
    <x v="6"/>
    <x v="2"/>
    <x v="4"/>
    <n v="0"/>
    <x v="0"/>
  </r>
  <r>
    <x v="2"/>
    <x v="6"/>
    <x v="2"/>
    <x v="5"/>
    <n v="0"/>
    <x v="0"/>
  </r>
  <r>
    <x v="2"/>
    <x v="6"/>
    <x v="2"/>
    <x v="6"/>
    <n v="0"/>
    <x v="0"/>
  </r>
  <r>
    <x v="2"/>
    <x v="6"/>
    <x v="2"/>
    <x v="7"/>
    <n v="0"/>
    <x v="0"/>
  </r>
  <r>
    <x v="2"/>
    <x v="6"/>
    <x v="2"/>
    <x v="8"/>
    <n v="0"/>
    <x v="0"/>
  </r>
  <r>
    <x v="2"/>
    <x v="6"/>
    <x v="2"/>
    <x v="9"/>
    <n v="0"/>
    <x v="0"/>
  </r>
  <r>
    <x v="2"/>
    <x v="6"/>
    <x v="2"/>
    <x v="10"/>
    <n v="0"/>
    <x v="0"/>
  </r>
  <r>
    <x v="2"/>
    <x v="6"/>
    <x v="2"/>
    <x v="11"/>
    <n v="0"/>
    <x v="0"/>
  </r>
  <r>
    <x v="2"/>
    <x v="6"/>
    <x v="3"/>
    <x v="0"/>
    <n v="1"/>
    <x v="0"/>
  </r>
  <r>
    <x v="2"/>
    <x v="6"/>
    <x v="3"/>
    <x v="1"/>
    <n v="0"/>
    <x v="0"/>
  </r>
  <r>
    <x v="2"/>
    <x v="6"/>
    <x v="3"/>
    <x v="2"/>
    <n v="0"/>
    <x v="0"/>
  </r>
  <r>
    <x v="2"/>
    <x v="6"/>
    <x v="3"/>
    <x v="3"/>
    <n v="0"/>
    <x v="0"/>
  </r>
  <r>
    <x v="2"/>
    <x v="6"/>
    <x v="3"/>
    <x v="4"/>
    <n v="0"/>
    <x v="0"/>
  </r>
  <r>
    <x v="2"/>
    <x v="6"/>
    <x v="3"/>
    <x v="5"/>
    <n v="0"/>
    <x v="0"/>
  </r>
  <r>
    <x v="2"/>
    <x v="6"/>
    <x v="3"/>
    <x v="6"/>
    <n v="0"/>
    <x v="0"/>
  </r>
  <r>
    <x v="2"/>
    <x v="6"/>
    <x v="3"/>
    <x v="7"/>
    <n v="0"/>
    <x v="0"/>
  </r>
  <r>
    <x v="2"/>
    <x v="6"/>
    <x v="3"/>
    <x v="8"/>
    <n v="0"/>
    <x v="0"/>
  </r>
  <r>
    <x v="2"/>
    <x v="6"/>
    <x v="3"/>
    <x v="9"/>
    <n v="0"/>
    <x v="0"/>
  </r>
  <r>
    <x v="2"/>
    <x v="6"/>
    <x v="3"/>
    <x v="10"/>
    <n v="0"/>
    <x v="0"/>
  </r>
  <r>
    <x v="2"/>
    <x v="6"/>
    <x v="3"/>
    <x v="11"/>
    <n v="0"/>
    <x v="0"/>
  </r>
  <r>
    <x v="2"/>
    <x v="6"/>
    <x v="4"/>
    <x v="0"/>
    <n v="1"/>
    <x v="1"/>
  </r>
  <r>
    <x v="2"/>
    <x v="6"/>
    <x v="4"/>
    <x v="1"/>
    <n v="0"/>
    <x v="1"/>
  </r>
  <r>
    <x v="2"/>
    <x v="6"/>
    <x v="4"/>
    <x v="2"/>
    <n v="0"/>
    <x v="1"/>
  </r>
  <r>
    <x v="2"/>
    <x v="6"/>
    <x v="4"/>
    <x v="3"/>
    <n v="0"/>
    <x v="1"/>
  </r>
  <r>
    <x v="2"/>
    <x v="6"/>
    <x v="4"/>
    <x v="4"/>
    <n v="0"/>
    <x v="1"/>
  </r>
  <r>
    <x v="2"/>
    <x v="6"/>
    <x v="4"/>
    <x v="5"/>
    <n v="0"/>
    <x v="1"/>
  </r>
  <r>
    <x v="2"/>
    <x v="6"/>
    <x v="4"/>
    <x v="6"/>
    <n v="0"/>
    <x v="1"/>
  </r>
  <r>
    <x v="2"/>
    <x v="6"/>
    <x v="4"/>
    <x v="7"/>
    <n v="0"/>
    <x v="1"/>
  </r>
  <r>
    <x v="2"/>
    <x v="6"/>
    <x v="4"/>
    <x v="8"/>
    <n v="0"/>
    <x v="1"/>
  </r>
  <r>
    <x v="2"/>
    <x v="6"/>
    <x v="4"/>
    <x v="9"/>
    <n v="0"/>
    <x v="1"/>
  </r>
  <r>
    <x v="2"/>
    <x v="6"/>
    <x v="4"/>
    <x v="10"/>
    <n v="0"/>
    <x v="1"/>
  </r>
  <r>
    <x v="2"/>
    <x v="6"/>
    <x v="4"/>
    <x v="11"/>
    <n v="0"/>
    <x v="1"/>
  </r>
  <r>
    <x v="2"/>
    <x v="6"/>
    <x v="5"/>
    <x v="0"/>
    <n v="0"/>
    <x v="1"/>
  </r>
  <r>
    <x v="2"/>
    <x v="6"/>
    <x v="6"/>
    <x v="0"/>
    <n v="0"/>
    <x v="1"/>
  </r>
  <r>
    <x v="2"/>
    <x v="7"/>
    <x v="0"/>
    <x v="0"/>
    <n v="0"/>
    <x v="0"/>
  </r>
  <r>
    <x v="2"/>
    <x v="7"/>
    <x v="0"/>
    <x v="1"/>
    <n v="0"/>
    <x v="0"/>
  </r>
  <r>
    <x v="2"/>
    <x v="7"/>
    <x v="0"/>
    <x v="2"/>
    <n v="0"/>
    <x v="0"/>
  </r>
  <r>
    <x v="2"/>
    <x v="7"/>
    <x v="0"/>
    <x v="3"/>
    <n v="0"/>
    <x v="0"/>
  </r>
  <r>
    <x v="2"/>
    <x v="7"/>
    <x v="0"/>
    <x v="4"/>
    <n v="0"/>
    <x v="0"/>
  </r>
  <r>
    <x v="2"/>
    <x v="7"/>
    <x v="0"/>
    <x v="5"/>
    <n v="0"/>
    <x v="0"/>
  </r>
  <r>
    <x v="2"/>
    <x v="7"/>
    <x v="0"/>
    <x v="6"/>
    <n v="0"/>
    <x v="0"/>
  </r>
  <r>
    <x v="2"/>
    <x v="7"/>
    <x v="0"/>
    <x v="7"/>
    <n v="0"/>
    <x v="0"/>
  </r>
  <r>
    <x v="2"/>
    <x v="7"/>
    <x v="0"/>
    <x v="8"/>
    <n v="0"/>
    <x v="0"/>
  </r>
  <r>
    <x v="2"/>
    <x v="7"/>
    <x v="0"/>
    <x v="9"/>
    <n v="0"/>
    <x v="0"/>
  </r>
  <r>
    <x v="2"/>
    <x v="7"/>
    <x v="0"/>
    <x v="10"/>
    <n v="0"/>
    <x v="0"/>
  </r>
  <r>
    <x v="2"/>
    <x v="7"/>
    <x v="0"/>
    <x v="11"/>
    <n v="0"/>
    <x v="0"/>
  </r>
  <r>
    <x v="2"/>
    <x v="7"/>
    <x v="1"/>
    <x v="0"/>
    <n v="0"/>
    <x v="0"/>
  </r>
  <r>
    <x v="2"/>
    <x v="7"/>
    <x v="1"/>
    <x v="1"/>
    <n v="0"/>
    <x v="0"/>
  </r>
  <r>
    <x v="2"/>
    <x v="7"/>
    <x v="1"/>
    <x v="2"/>
    <n v="0"/>
    <x v="0"/>
  </r>
  <r>
    <x v="2"/>
    <x v="7"/>
    <x v="1"/>
    <x v="3"/>
    <n v="0"/>
    <x v="0"/>
  </r>
  <r>
    <x v="2"/>
    <x v="7"/>
    <x v="1"/>
    <x v="4"/>
    <n v="0"/>
    <x v="0"/>
  </r>
  <r>
    <x v="2"/>
    <x v="7"/>
    <x v="1"/>
    <x v="5"/>
    <n v="0"/>
    <x v="0"/>
  </r>
  <r>
    <x v="2"/>
    <x v="7"/>
    <x v="1"/>
    <x v="6"/>
    <n v="0"/>
    <x v="0"/>
  </r>
  <r>
    <x v="2"/>
    <x v="7"/>
    <x v="1"/>
    <x v="7"/>
    <n v="0"/>
    <x v="0"/>
  </r>
  <r>
    <x v="2"/>
    <x v="7"/>
    <x v="1"/>
    <x v="8"/>
    <n v="0"/>
    <x v="0"/>
  </r>
  <r>
    <x v="2"/>
    <x v="7"/>
    <x v="1"/>
    <x v="9"/>
    <n v="0"/>
    <x v="0"/>
  </r>
  <r>
    <x v="2"/>
    <x v="7"/>
    <x v="1"/>
    <x v="10"/>
    <n v="0"/>
    <x v="0"/>
  </r>
  <r>
    <x v="2"/>
    <x v="7"/>
    <x v="1"/>
    <x v="11"/>
    <n v="0"/>
    <x v="0"/>
  </r>
  <r>
    <x v="2"/>
    <x v="7"/>
    <x v="2"/>
    <x v="0"/>
    <n v="0"/>
    <x v="0"/>
  </r>
  <r>
    <x v="2"/>
    <x v="7"/>
    <x v="2"/>
    <x v="1"/>
    <n v="0"/>
    <x v="0"/>
  </r>
  <r>
    <x v="2"/>
    <x v="7"/>
    <x v="2"/>
    <x v="2"/>
    <n v="0"/>
    <x v="0"/>
  </r>
  <r>
    <x v="2"/>
    <x v="7"/>
    <x v="2"/>
    <x v="3"/>
    <n v="0"/>
    <x v="0"/>
  </r>
  <r>
    <x v="2"/>
    <x v="7"/>
    <x v="2"/>
    <x v="4"/>
    <n v="0"/>
    <x v="0"/>
  </r>
  <r>
    <x v="2"/>
    <x v="7"/>
    <x v="2"/>
    <x v="5"/>
    <n v="0"/>
    <x v="0"/>
  </r>
  <r>
    <x v="2"/>
    <x v="7"/>
    <x v="2"/>
    <x v="6"/>
    <n v="0"/>
    <x v="0"/>
  </r>
  <r>
    <x v="2"/>
    <x v="7"/>
    <x v="2"/>
    <x v="7"/>
    <n v="0"/>
    <x v="0"/>
  </r>
  <r>
    <x v="2"/>
    <x v="7"/>
    <x v="2"/>
    <x v="8"/>
    <n v="0"/>
    <x v="0"/>
  </r>
  <r>
    <x v="2"/>
    <x v="7"/>
    <x v="2"/>
    <x v="9"/>
    <n v="0"/>
    <x v="0"/>
  </r>
  <r>
    <x v="2"/>
    <x v="7"/>
    <x v="2"/>
    <x v="10"/>
    <n v="0"/>
    <x v="0"/>
  </r>
  <r>
    <x v="2"/>
    <x v="7"/>
    <x v="2"/>
    <x v="11"/>
    <n v="0"/>
    <x v="0"/>
  </r>
  <r>
    <x v="2"/>
    <x v="7"/>
    <x v="3"/>
    <x v="0"/>
    <n v="0"/>
    <x v="0"/>
  </r>
  <r>
    <x v="2"/>
    <x v="7"/>
    <x v="3"/>
    <x v="1"/>
    <n v="0"/>
    <x v="0"/>
  </r>
  <r>
    <x v="2"/>
    <x v="7"/>
    <x v="3"/>
    <x v="2"/>
    <n v="0"/>
    <x v="0"/>
  </r>
  <r>
    <x v="2"/>
    <x v="7"/>
    <x v="3"/>
    <x v="3"/>
    <n v="0"/>
    <x v="0"/>
  </r>
  <r>
    <x v="2"/>
    <x v="7"/>
    <x v="3"/>
    <x v="4"/>
    <n v="0"/>
    <x v="0"/>
  </r>
  <r>
    <x v="2"/>
    <x v="7"/>
    <x v="3"/>
    <x v="5"/>
    <n v="0"/>
    <x v="0"/>
  </r>
  <r>
    <x v="2"/>
    <x v="7"/>
    <x v="3"/>
    <x v="6"/>
    <n v="0"/>
    <x v="0"/>
  </r>
  <r>
    <x v="2"/>
    <x v="7"/>
    <x v="3"/>
    <x v="7"/>
    <n v="0"/>
    <x v="0"/>
  </r>
  <r>
    <x v="2"/>
    <x v="7"/>
    <x v="3"/>
    <x v="8"/>
    <n v="0"/>
    <x v="0"/>
  </r>
  <r>
    <x v="2"/>
    <x v="7"/>
    <x v="3"/>
    <x v="9"/>
    <n v="0"/>
    <x v="0"/>
  </r>
  <r>
    <x v="2"/>
    <x v="7"/>
    <x v="3"/>
    <x v="10"/>
    <n v="0"/>
    <x v="0"/>
  </r>
  <r>
    <x v="2"/>
    <x v="7"/>
    <x v="3"/>
    <x v="11"/>
    <n v="0"/>
    <x v="0"/>
  </r>
  <r>
    <x v="2"/>
    <x v="7"/>
    <x v="4"/>
    <x v="0"/>
    <n v="0"/>
    <x v="1"/>
  </r>
  <r>
    <x v="2"/>
    <x v="7"/>
    <x v="4"/>
    <x v="1"/>
    <n v="0"/>
    <x v="1"/>
  </r>
  <r>
    <x v="2"/>
    <x v="7"/>
    <x v="4"/>
    <x v="2"/>
    <n v="0"/>
    <x v="1"/>
  </r>
  <r>
    <x v="2"/>
    <x v="7"/>
    <x v="4"/>
    <x v="3"/>
    <n v="0"/>
    <x v="1"/>
  </r>
  <r>
    <x v="2"/>
    <x v="7"/>
    <x v="4"/>
    <x v="4"/>
    <n v="0"/>
    <x v="1"/>
  </r>
  <r>
    <x v="2"/>
    <x v="7"/>
    <x v="4"/>
    <x v="5"/>
    <n v="0"/>
    <x v="1"/>
  </r>
  <r>
    <x v="2"/>
    <x v="7"/>
    <x v="4"/>
    <x v="6"/>
    <n v="0"/>
    <x v="1"/>
  </r>
  <r>
    <x v="2"/>
    <x v="7"/>
    <x v="4"/>
    <x v="7"/>
    <n v="0"/>
    <x v="1"/>
  </r>
  <r>
    <x v="2"/>
    <x v="7"/>
    <x v="4"/>
    <x v="8"/>
    <n v="0"/>
    <x v="1"/>
  </r>
  <r>
    <x v="2"/>
    <x v="7"/>
    <x v="4"/>
    <x v="9"/>
    <n v="0"/>
    <x v="1"/>
  </r>
  <r>
    <x v="2"/>
    <x v="7"/>
    <x v="4"/>
    <x v="10"/>
    <n v="0"/>
    <x v="1"/>
  </r>
  <r>
    <x v="2"/>
    <x v="7"/>
    <x v="4"/>
    <x v="11"/>
    <n v="0"/>
    <x v="1"/>
  </r>
  <r>
    <x v="2"/>
    <x v="7"/>
    <x v="5"/>
    <x v="0"/>
    <n v="1"/>
    <x v="1"/>
  </r>
  <r>
    <x v="2"/>
    <x v="7"/>
    <x v="6"/>
    <x v="0"/>
    <n v="1"/>
    <x v="1"/>
  </r>
  <r>
    <x v="2"/>
    <x v="8"/>
    <x v="0"/>
    <x v="0"/>
    <n v="0"/>
    <x v="0"/>
  </r>
  <r>
    <x v="2"/>
    <x v="8"/>
    <x v="0"/>
    <x v="1"/>
    <n v="0"/>
    <x v="0"/>
  </r>
  <r>
    <x v="2"/>
    <x v="8"/>
    <x v="0"/>
    <x v="2"/>
    <n v="0"/>
    <x v="0"/>
  </r>
  <r>
    <x v="2"/>
    <x v="8"/>
    <x v="0"/>
    <x v="3"/>
    <n v="0"/>
    <x v="0"/>
  </r>
  <r>
    <x v="2"/>
    <x v="8"/>
    <x v="0"/>
    <x v="4"/>
    <n v="0"/>
    <x v="0"/>
  </r>
  <r>
    <x v="2"/>
    <x v="8"/>
    <x v="0"/>
    <x v="5"/>
    <n v="0"/>
    <x v="0"/>
  </r>
  <r>
    <x v="2"/>
    <x v="8"/>
    <x v="0"/>
    <x v="6"/>
    <n v="0"/>
    <x v="0"/>
  </r>
  <r>
    <x v="2"/>
    <x v="8"/>
    <x v="0"/>
    <x v="7"/>
    <n v="0"/>
    <x v="0"/>
  </r>
  <r>
    <x v="2"/>
    <x v="8"/>
    <x v="0"/>
    <x v="8"/>
    <n v="0"/>
    <x v="0"/>
  </r>
  <r>
    <x v="2"/>
    <x v="8"/>
    <x v="0"/>
    <x v="9"/>
    <n v="0"/>
    <x v="0"/>
  </r>
  <r>
    <x v="2"/>
    <x v="8"/>
    <x v="0"/>
    <x v="10"/>
    <n v="0"/>
    <x v="0"/>
  </r>
  <r>
    <x v="2"/>
    <x v="8"/>
    <x v="0"/>
    <x v="11"/>
    <n v="0"/>
    <x v="0"/>
  </r>
  <r>
    <x v="2"/>
    <x v="8"/>
    <x v="1"/>
    <x v="0"/>
    <n v="0"/>
    <x v="0"/>
  </r>
  <r>
    <x v="2"/>
    <x v="8"/>
    <x v="1"/>
    <x v="1"/>
    <n v="0"/>
    <x v="0"/>
  </r>
  <r>
    <x v="2"/>
    <x v="8"/>
    <x v="1"/>
    <x v="2"/>
    <n v="0"/>
    <x v="0"/>
  </r>
  <r>
    <x v="2"/>
    <x v="8"/>
    <x v="1"/>
    <x v="3"/>
    <n v="0"/>
    <x v="0"/>
  </r>
  <r>
    <x v="2"/>
    <x v="8"/>
    <x v="1"/>
    <x v="4"/>
    <n v="0"/>
    <x v="0"/>
  </r>
  <r>
    <x v="2"/>
    <x v="8"/>
    <x v="1"/>
    <x v="5"/>
    <n v="0"/>
    <x v="0"/>
  </r>
  <r>
    <x v="2"/>
    <x v="8"/>
    <x v="1"/>
    <x v="6"/>
    <n v="0"/>
    <x v="0"/>
  </r>
  <r>
    <x v="2"/>
    <x v="8"/>
    <x v="1"/>
    <x v="7"/>
    <n v="0"/>
    <x v="0"/>
  </r>
  <r>
    <x v="2"/>
    <x v="8"/>
    <x v="1"/>
    <x v="8"/>
    <n v="0"/>
    <x v="0"/>
  </r>
  <r>
    <x v="2"/>
    <x v="8"/>
    <x v="1"/>
    <x v="9"/>
    <n v="0"/>
    <x v="0"/>
  </r>
  <r>
    <x v="2"/>
    <x v="8"/>
    <x v="1"/>
    <x v="10"/>
    <n v="0"/>
    <x v="0"/>
  </r>
  <r>
    <x v="2"/>
    <x v="8"/>
    <x v="1"/>
    <x v="11"/>
    <n v="0"/>
    <x v="0"/>
  </r>
  <r>
    <x v="2"/>
    <x v="8"/>
    <x v="2"/>
    <x v="0"/>
    <n v="0"/>
    <x v="0"/>
  </r>
  <r>
    <x v="2"/>
    <x v="8"/>
    <x v="2"/>
    <x v="1"/>
    <n v="0"/>
    <x v="0"/>
  </r>
  <r>
    <x v="2"/>
    <x v="8"/>
    <x v="2"/>
    <x v="2"/>
    <n v="0"/>
    <x v="0"/>
  </r>
  <r>
    <x v="2"/>
    <x v="8"/>
    <x v="2"/>
    <x v="3"/>
    <n v="0"/>
    <x v="0"/>
  </r>
  <r>
    <x v="2"/>
    <x v="8"/>
    <x v="2"/>
    <x v="4"/>
    <n v="0"/>
    <x v="0"/>
  </r>
  <r>
    <x v="2"/>
    <x v="8"/>
    <x v="2"/>
    <x v="5"/>
    <n v="0"/>
    <x v="0"/>
  </r>
  <r>
    <x v="2"/>
    <x v="8"/>
    <x v="2"/>
    <x v="6"/>
    <n v="0"/>
    <x v="0"/>
  </r>
  <r>
    <x v="2"/>
    <x v="8"/>
    <x v="2"/>
    <x v="7"/>
    <n v="0"/>
    <x v="0"/>
  </r>
  <r>
    <x v="2"/>
    <x v="8"/>
    <x v="2"/>
    <x v="8"/>
    <n v="0"/>
    <x v="0"/>
  </r>
  <r>
    <x v="2"/>
    <x v="8"/>
    <x v="2"/>
    <x v="9"/>
    <n v="0"/>
    <x v="0"/>
  </r>
  <r>
    <x v="2"/>
    <x v="8"/>
    <x v="2"/>
    <x v="10"/>
    <n v="0"/>
    <x v="0"/>
  </r>
  <r>
    <x v="2"/>
    <x v="8"/>
    <x v="2"/>
    <x v="11"/>
    <n v="0"/>
    <x v="0"/>
  </r>
  <r>
    <x v="2"/>
    <x v="8"/>
    <x v="3"/>
    <x v="0"/>
    <n v="0"/>
    <x v="0"/>
  </r>
  <r>
    <x v="2"/>
    <x v="8"/>
    <x v="3"/>
    <x v="1"/>
    <n v="0"/>
    <x v="0"/>
  </r>
  <r>
    <x v="2"/>
    <x v="8"/>
    <x v="3"/>
    <x v="2"/>
    <n v="0"/>
    <x v="0"/>
  </r>
  <r>
    <x v="2"/>
    <x v="8"/>
    <x v="3"/>
    <x v="3"/>
    <n v="0"/>
    <x v="0"/>
  </r>
  <r>
    <x v="2"/>
    <x v="8"/>
    <x v="3"/>
    <x v="4"/>
    <n v="0"/>
    <x v="0"/>
  </r>
  <r>
    <x v="2"/>
    <x v="8"/>
    <x v="3"/>
    <x v="5"/>
    <n v="0"/>
    <x v="0"/>
  </r>
  <r>
    <x v="2"/>
    <x v="8"/>
    <x v="3"/>
    <x v="6"/>
    <n v="0"/>
    <x v="0"/>
  </r>
  <r>
    <x v="2"/>
    <x v="8"/>
    <x v="3"/>
    <x v="7"/>
    <n v="0"/>
    <x v="0"/>
  </r>
  <r>
    <x v="2"/>
    <x v="8"/>
    <x v="3"/>
    <x v="8"/>
    <n v="0"/>
    <x v="0"/>
  </r>
  <r>
    <x v="2"/>
    <x v="8"/>
    <x v="3"/>
    <x v="9"/>
    <n v="0"/>
    <x v="0"/>
  </r>
  <r>
    <x v="2"/>
    <x v="8"/>
    <x v="3"/>
    <x v="10"/>
    <n v="0"/>
    <x v="0"/>
  </r>
  <r>
    <x v="2"/>
    <x v="8"/>
    <x v="3"/>
    <x v="11"/>
    <n v="0"/>
    <x v="0"/>
  </r>
  <r>
    <x v="2"/>
    <x v="8"/>
    <x v="4"/>
    <x v="0"/>
    <n v="1"/>
    <x v="1"/>
  </r>
  <r>
    <x v="2"/>
    <x v="8"/>
    <x v="4"/>
    <x v="1"/>
    <n v="0"/>
    <x v="1"/>
  </r>
  <r>
    <x v="2"/>
    <x v="8"/>
    <x v="4"/>
    <x v="2"/>
    <n v="0"/>
    <x v="1"/>
  </r>
  <r>
    <x v="2"/>
    <x v="8"/>
    <x v="4"/>
    <x v="3"/>
    <n v="0"/>
    <x v="1"/>
  </r>
  <r>
    <x v="2"/>
    <x v="8"/>
    <x v="4"/>
    <x v="4"/>
    <n v="0"/>
    <x v="1"/>
  </r>
  <r>
    <x v="2"/>
    <x v="8"/>
    <x v="4"/>
    <x v="5"/>
    <n v="0"/>
    <x v="1"/>
  </r>
  <r>
    <x v="2"/>
    <x v="8"/>
    <x v="4"/>
    <x v="6"/>
    <n v="0"/>
    <x v="1"/>
  </r>
  <r>
    <x v="2"/>
    <x v="8"/>
    <x v="4"/>
    <x v="7"/>
    <n v="0"/>
    <x v="1"/>
  </r>
  <r>
    <x v="2"/>
    <x v="8"/>
    <x v="4"/>
    <x v="8"/>
    <n v="0"/>
    <x v="1"/>
  </r>
  <r>
    <x v="2"/>
    <x v="8"/>
    <x v="4"/>
    <x v="9"/>
    <n v="0"/>
    <x v="1"/>
  </r>
  <r>
    <x v="2"/>
    <x v="8"/>
    <x v="4"/>
    <x v="10"/>
    <n v="0"/>
    <x v="1"/>
  </r>
  <r>
    <x v="2"/>
    <x v="8"/>
    <x v="4"/>
    <x v="11"/>
    <n v="0"/>
    <x v="1"/>
  </r>
  <r>
    <x v="2"/>
    <x v="8"/>
    <x v="5"/>
    <x v="0"/>
    <n v="1"/>
    <x v="1"/>
  </r>
  <r>
    <x v="2"/>
    <x v="8"/>
    <x v="6"/>
    <x v="0"/>
    <n v="1"/>
    <x v="1"/>
  </r>
  <r>
    <x v="2"/>
    <x v="9"/>
    <x v="0"/>
    <x v="0"/>
    <n v="1"/>
    <x v="0"/>
  </r>
  <r>
    <x v="2"/>
    <x v="9"/>
    <x v="0"/>
    <x v="1"/>
    <n v="0"/>
    <x v="0"/>
  </r>
  <r>
    <x v="2"/>
    <x v="9"/>
    <x v="0"/>
    <x v="2"/>
    <n v="0"/>
    <x v="0"/>
  </r>
  <r>
    <x v="2"/>
    <x v="9"/>
    <x v="0"/>
    <x v="3"/>
    <n v="0"/>
    <x v="0"/>
  </r>
  <r>
    <x v="2"/>
    <x v="9"/>
    <x v="0"/>
    <x v="4"/>
    <n v="0"/>
    <x v="0"/>
  </r>
  <r>
    <x v="2"/>
    <x v="9"/>
    <x v="0"/>
    <x v="5"/>
    <n v="0"/>
    <x v="0"/>
  </r>
  <r>
    <x v="2"/>
    <x v="9"/>
    <x v="0"/>
    <x v="6"/>
    <n v="0"/>
    <x v="0"/>
  </r>
  <r>
    <x v="2"/>
    <x v="9"/>
    <x v="0"/>
    <x v="7"/>
    <n v="0"/>
    <x v="0"/>
  </r>
  <r>
    <x v="2"/>
    <x v="9"/>
    <x v="0"/>
    <x v="8"/>
    <n v="0"/>
    <x v="0"/>
  </r>
  <r>
    <x v="2"/>
    <x v="9"/>
    <x v="0"/>
    <x v="9"/>
    <n v="0"/>
    <x v="0"/>
  </r>
  <r>
    <x v="2"/>
    <x v="9"/>
    <x v="0"/>
    <x v="10"/>
    <n v="0"/>
    <x v="0"/>
  </r>
  <r>
    <x v="2"/>
    <x v="9"/>
    <x v="0"/>
    <x v="11"/>
    <n v="0"/>
    <x v="0"/>
  </r>
  <r>
    <x v="2"/>
    <x v="9"/>
    <x v="1"/>
    <x v="0"/>
    <n v="1"/>
    <x v="0"/>
  </r>
  <r>
    <x v="2"/>
    <x v="9"/>
    <x v="1"/>
    <x v="1"/>
    <n v="0"/>
    <x v="0"/>
  </r>
  <r>
    <x v="2"/>
    <x v="9"/>
    <x v="1"/>
    <x v="2"/>
    <n v="0"/>
    <x v="0"/>
  </r>
  <r>
    <x v="2"/>
    <x v="9"/>
    <x v="1"/>
    <x v="3"/>
    <n v="0"/>
    <x v="0"/>
  </r>
  <r>
    <x v="2"/>
    <x v="9"/>
    <x v="1"/>
    <x v="4"/>
    <n v="0"/>
    <x v="0"/>
  </r>
  <r>
    <x v="2"/>
    <x v="9"/>
    <x v="1"/>
    <x v="5"/>
    <n v="0"/>
    <x v="0"/>
  </r>
  <r>
    <x v="2"/>
    <x v="9"/>
    <x v="1"/>
    <x v="6"/>
    <n v="0"/>
    <x v="0"/>
  </r>
  <r>
    <x v="2"/>
    <x v="9"/>
    <x v="1"/>
    <x v="7"/>
    <n v="0"/>
    <x v="0"/>
  </r>
  <r>
    <x v="2"/>
    <x v="9"/>
    <x v="1"/>
    <x v="8"/>
    <n v="0"/>
    <x v="0"/>
  </r>
  <r>
    <x v="2"/>
    <x v="9"/>
    <x v="1"/>
    <x v="9"/>
    <n v="0"/>
    <x v="0"/>
  </r>
  <r>
    <x v="2"/>
    <x v="9"/>
    <x v="1"/>
    <x v="10"/>
    <n v="0"/>
    <x v="0"/>
  </r>
  <r>
    <x v="2"/>
    <x v="9"/>
    <x v="1"/>
    <x v="11"/>
    <n v="0"/>
    <x v="0"/>
  </r>
  <r>
    <x v="2"/>
    <x v="9"/>
    <x v="2"/>
    <x v="0"/>
    <n v="1"/>
    <x v="0"/>
  </r>
  <r>
    <x v="2"/>
    <x v="9"/>
    <x v="2"/>
    <x v="1"/>
    <n v="0"/>
    <x v="0"/>
  </r>
  <r>
    <x v="2"/>
    <x v="9"/>
    <x v="2"/>
    <x v="2"/>
    <n v="0"/>
    <x v="0"/>
  </r>
  <r>
    <x v="2"/>
    <x v="9"/>
    <x v="2"/>
    <x v="3"/>
    <n v="0"/>
    <x v="0"/>
  </r>
  <r>
    <x v="2"/>
    <x v="9"/>
    <x v="2"/>
    <x v="4"/>
    <n v="0"/>
    <x v="0"/>
  </r>
  <r>
    <x v="2"/>
    <x v="9"/>
    <x v="2"/>
    <x v="5"/>
    <n v="0"/>
    <x v="0"/>
  </r>
  <r>
    <x v="2"/>
    <x v="9"/>
    <x v="2"/>
    <x v="6"/>
    <n v="0"/>
    <x v="0"/>
  </r>
  <r>
    <x v="2"/>
    <x v="9"/>
    <x v="2"/>
    <x v="7"/>
    <n v="0"/>
    <x v="0"/>
  </r>
  <r>
    <x v="2"/>
    <x v="9"/>
    <x v="2"/>
    <x v="8"/>
    <n v="0"/>
    <x v="0"/>
  </r>
  <r>
    <x v="2"/>
    <x v="9"/>
    <x v="2"/>
    <x v="9"/>
    <n v="0"/>
    <x v="0"/>
  </r>
  <r>
    <x v="2"/>
    <x v="9"/>
    <x v="2"/>
    <x v="10"/>
    <n v="0"/>
    <x v="0"/>
  </r>
  <r>
    <x v="2"/>
    <x v="9"/>
    <x v="2"/>
    <x v="11"/>
    <n v="0"/>
    <x v="0"/>
  </r>
  <r>
    <x v="2"/>
    <x v="9"/>
    <x v="3"/>
    <x v="0"/>
    <n v="1"/>
    <x v="0"/>
  </r>
  <r>
    <x v="2"/>
    <x v="9"/>
    <x v="3"/>
    <x v="1"/>
    <n v="0"/>
    <x v="0"/>
  </r>
  <r>
    <x v="2"/>
    <x v="9"/>
    <x v="3"/>
    <x v="2"/>
    <n v="0"/>
    <x v="0"/>
  </r>
  <r>
    <x v="2"/>
    <x v="9"/>
    <x v="3"/>
    <x v="3"/>
    <n v="0"/>
    <x v="0"/>
  </r>
  <r>
    <x v="2"/>
    <x v="9"/>
    <x v="3"/>
    <x v="4"/>
    <n v="0"/>
    <x v="0"/>
  </r>
  <r>
    <x v="2"/>
    <x v="9"/>
    <x v="3"/>
    <x v="5"/>
    <n v="0"/>
    <x v="0"/>
  </r>
  <r>
    <x v="2"/>
    <x v="9"/>
    <x v="3"/>
    <x v="6"/>
    <n v="0"/>
    <x v="0"/>
  </r>
  <r>
    <x v="2"/>
    <x v="9"/>
    <x v="3"/>
    <x v="7"/>
    <n v="0"/>
    <x v="0"/>
  </r>
  <r>
    <x v="2"/>
    <x v="9"/>
    <x v="3"/>
    <x v="8"/>
    <n v="0"/>
    <x v="0"/>
  </r>
  <r>
    <x v="2"/>
    <x v="9"/>
    <x v="3"/>
    <x v="9"/>
    <n v="0"/>
    <x v="0"/>
  </r>
  <r>
    <x v="2"/>
    <x v="9"/>
    <x v="3"/>
    <x v="10"/>
    <n v="0"/>
    <x v="0"/>
  </r>
  <r>
    <x v="2"/>
    <x v="9"/>
    <x v="3"/>
    <x v="11"/>
    <n v="0"/>
    <x v="0"/>
  </r>
  <r>
    <x v="2"/>
    <x v="9"/>
    <x v="4"/>
    <x v="0"/>
    <n v="0"/>
    <x v="1"/>
  </r>
  <r>
    <x v="2"/>
    <x v="9"/>
    <x v="4"/>
    <x v="1"/>
    <n v="0"/>
    <x v="1"/>
  </r>
  <r>
    <x v="2"/>
    <x v="9"/>
    <x v="4"/>
    <x v="2"/>
    <n v="0"/>
    <x v="1"/>
  </r>
  <r>
    <x v="2"/>
    <x v="9"/>
    <x v="4"/>
    <x v="3"/>
    <n v="0"/>
    <x v="1"/>
  </r>
  <r>
    <x v="2"/>
    <x v="9"/>
    <x v="4"/>
    <x v="4"/>
    <n v="0"/>
    <x v="1"/>
  </r>
  <r>
    <x v="2"/>
    <x v="9"/>
    <x v="4"/>
    <x v="5"/>
    <n v="0"/>
    <x v="1"/>
  </r>
  <r>
    <x v="2"/>
    <x v="9"/>
    <x v="4"/>
    <x v="6"/>
    <n v="0"/>
    <x v="1"/>
  </r>
  <r>
    <x v="2"/>
    <x v="9"/>
    <x v="4"/>
    <x v="7"/>
    <n v="0"/>
    <x v="1"/>
  </r>
  <r>
    <x v="2"/>
    <x v="9"/>
    <x v="4"/>
    <x v="8"/>
    <n v="0"/>
    <x v="1"/>
  </r>
  <r>
    <x v="2"/>
    <x v="9"/>
    <x v="4"/>
    <x v="9"/>
    <n v="0"/>
    <x v="1"/>
  </r>
  <r>
    <x v="2"/>
    <x v="9"/>
    <x v="4"/>
    <x v="10"/>
    <n v="0"/>
    <x v="1"/>
  </r>
  <r>
    <x v="2"/>
    <x v="9"/>
    <x v="4"/>
    <x v="11"/>
    <n v="0"/>
    <x v="1"/>
  </r>
  <r>
    <x v="2"/>
    <x v="9"/>
    <x v="5"/>
    <x v="0"/>
    <n v="0"/>
    <x v="1"/>
  </r>
  <r>
    <x v="2"/>
    <x v="9"/>
    <x v="6"/>
    <x v="0"/>
    <n v="0"/>
    <x v="1"/>
  </r>
  <r>
    <x v="2"/>
    <x v="10"/>
    <x v="0"/>
    <x v="0"/>
    <n v="1"/>
    <x v="0"/>
  </r>
  <r>
    <x v="2"/>
    <x v="10"/>
    <x v="0"/>
    <x v="1"/>
    <n v="0"/>
    <x v="0"/>
  </r>
  <r>
    <x v="2"/>
    <x v="10"/>
    <x v="0"/>
    <x v="2"/>
    <n v="0"/>
    <x v="0"/>
  </r>
  <r>
    <x v="2"/>
    <x v="10"/>
    <x v="0"/>
    <x v="3"/>
    <n v="0"/>
    <x v="0"/>
  </r>
  <r>
    <x v="2"/>
    <x v="10"/>
    <x v="0"/>
    <x v="4"/>
    <n v="0"/>
    <x v="0"/>
  </r>
  <r>
    <x v="2"/>
    <x v="10"/>
    <x v="0"/>
    <x v="5"/>
    <n v="0"/>
    <x v="0"/>
  </r>
  <r>
    <x v="2"/>
    <x v="10"/>
    <x v="0"/>
    <x v="6"/>
    <n v="0"/>
    <x v="0"/>
  </r>
  <r>
    <x v="2"/>
    <x v="10"/>
    <x v="0"/>
    <x v="7"/>
    <n v="0"/>
    <x v="0"/>
  </r>
  <r>
    <x v="2"/>
    <x v="10"/>
    <x v="0"/>
    <x v="8"/>
    <n v="0"/>
    <x v="0"/>
  </r>
  <r>
    <x v="2"/>
    <x v="10"/>
    <x v="0"/>
    <x v="9"/>
    <n v="0"/>
    <x v="0"/>
  </r>
  <r>
    <x v="2"/>
    <x v="10"/>
    <x v="0"/>
    <x v="10"/>
    <n v="0"/>
    <x v="0"/>
  </r>
  <r>
    <x v="2"/>
    <x v="10"/>
    <x v="0"/>
    <x v="11"/>
    <n v="0"/>
    <x v="0"/>
  </r>
  <r>
    <x v="2"/>
    <x v="10"/>
    <x v="1"/>
    <x v="0"/>
    <n v="0"/>
    <x v="0"/>
  </r>
  <r>
    <x v="2"/>
    <x v="10"/>
    <x v="1"/>
    <x v="1"/>
    <n v="0"/>
    <x v="0"/>
  </r>
  <r>
    <x v="2"/>
    <x v="10"/>
    <x v="1"/>
    <x v="2"/>
    <n v="0"/>
    <x v="0"/>
  </r>
  <r>
    <x v="2"/>
    <x v="10"/>
    <x v="1"/>
    <x v="3"/>
    <n v="0"/>
    <x v="0"/>
  </r>
  <r>
    <x v="2"/>
    <x v="10"/>
    <x v="1"/>
    <x v="4"/>
    <n v="0"/>
    <x v="0"/>
  </r>
  <r>
    <x v="2"/>
    <x v="10"/>
    <x v="1"/>
    <x v="5"/>
    <n v="0"/>
    <x v="0"/>
  </r>
  <r>
    <x v="2"/>
    <x v="10"/>
    <x v="1"/>
    <x v="6"/>
    <n v="0"/>
    <x v="0"/>
  </r>
  <r>
    <x v="2"/>
    <x v="10"/>
    <x v="1"/>
    <x v="7"/>
    <n v="0"/>
    <x v="0"/>
  </r>
  <r>
    <x v="2"/>
    <x v="10"/>
    <x v="1"/>
    <x v="8"/>
    <n v="0"/>
    <x v="0"/>
  </r>
  <r>
    <x v="2"/>
    <x v="10"/>
    <x v="1"/>
    <x v="9"/>
    <n v="0"/>
    <x v="0"/>
  </r>
  <r>
    <x v="2"/>
    <x v="10"/>
    <x v="1"/>
    <x v="10"/>
    <n v="0"/>
    <x v="0"/>
  </r>
  <r>
    <x v="2"/>
    <x v="10"/>
    <x v="1"/>
    <x v="11"/>
    <n v="0"/>
    <x v="0"/>
  </r>
  <r>
    <x v="2"/>
    <x v="10"/>
    <x v="2"/>
    <x v="0"/>
    <n v="0"/>
    <x v="0"/>
  </r>
  <r>
    <x v="2"/>
    <x v="10"/>
    <x v="2"/>
    <x v="1"/>
    <n v="0"/>
    <x v="0"/>
  </r>
  <r>
    <x v="2"/>
    <x v="10"/>
    <x v="2"/>
    <x v="2"/>
    <n v="0"/>
    <x v="0"/>
  </r>
  <r>
    <x v="2"/>
    <x v="10"/>
    <x v="2"/>
    <x v="3"/>
    <n v="0"/>
    <x v="0"/>
  </r>
  <r>
    <x v="2"/>
    <x v="10"/>
    <x v="2"/>
    <x v="4"/>
    <n v="0"/>
    <x v="0"/>
  </r>
  <r>
    <x v="2"/>
    <x v="10"/>
    <x v="2"/>
    <x v="5"/>
    <n v="0"/>
    <x v="0"/>
  </r>
  <r>
    <x v="2"/>
    <x v="10"/>
    <x v="2"/>
    <x v="6"/>
    <n v="0"/>
    <x v="0"/>
  </r>
  <r>
    <x v="2"/>
    <x v="10"/>
    <x v="2"/>
    <x v="7"/>
    <n v="0"/>
    <x v="0"/>
  </r>
  <r>
    <x v="2"/>
    <x v="10"/>
    <x v="2"/>
    <x v="8"/>
    <n v="0"/>
    <x v="0"/>
  </r>
  <r>
    <x v="2"/>
    <x v="10"/>
    <x v="2"/>
    <x v="9"/>
    <n v="0"/>
    <x v="0"/>
  </r>
  <r>
    <x v="2"/>
    <x v="10"/>
    <x v="2"/>
    <x v="10"/>
    <n v="0"/>
    <x v="0"/>
  </r>
  <r>
    <x v="2"/>
    <x v="10"/>
    <x v="2"/>
    <x v="11"/>
    <n v="0"/>
    <x v="0"/>
  </r>
  <r>
    <x v="2"/>
    <x v="10"/>
    <x v="3"/>
    <x v="0"/>
    <n v="0"/>
    <x v="0"/>
  </r>
  <r>
    <x v="2"/>
    <x v="10"/>
    <x v="3"/>
    <x v="1"/>
    <n v="0"/>
    <x v="0"/>
  </r>
  <r>
    <x v="2"/>
    <x v="10"/>
    <x v="3"/>
    <x v="2"/>
    <n v="0"/>
    <x v="0"/>
  </r>
  <r>
    <x v="2"/>
    <x v="10"/>
    <x v="3"/>
    <x v="3"/>
    <n v="0"/>
    <x v="0"/>
  </r>
  <r>
    <x v="2"/>
    <x v="10"/>
    <x v="3"/>
    <x v="4"/>
    <n v="0"/>
    <x v="0"/>
  </r>
  <r>
    <x v="2"/>
    <x v="10"/>
    <x v="3"/>
    <x v="5"/>
    <n v="0"/>
    <x v="0"/>
  </r>
  <r>
    <x v="2"/>
    <x v="10"/>
    <x v="3"/>
    <x v="6"/>
    <n v="0"/>
    <x v="0"/>
  </r>
  <r>
    <x v="2"/>
    <x v="10"/>
    <x v="3"/>
    <x v="7"/>
    <n v="0"/>
    <x v="0"/>
  </r>
  <r>
    <x v="2"/>
    <x v="10"/>
    <x v="3"/>
    <x v="8"/>
    <n v="0"/>
    <x v="0"/>
  </r>
  <r>
    <x v="2"/>
    <x v="10"/>
    <x v="3"/>
    <x v="9"/>
    <n v="0"/>
    <x v="0"/>
  </r>
  <r>
    <x v="2"/>
    <x v="10"/>
    <x v="3"/>
    <x v="10"/>
    <n v="0"/>
    <x v="0"/>
  </r>
  <r>
    <x v="2"/>
    <x v="10"/>
    <x v="3"/>
    <x v="11"/>
    <n v="0"/>
    <x v="0"/>
  </r>
  <r>
    <x v="2"/>
    <x v="10"/>
    <x v="4"/>
    <x v="0"/>
    <n v="1"/>
    <x v="1"/>
  </r>
  <r>
    <x v="2"/>
    <x v="10"/>
    <x v="4"/>
    <x v="1"/>
    <n v="0"/>
    <x v="1"/>
  </r>
  <r>
    <x v="2"/>
    <x v="10"/>
    <x v="4"/>
    <x v="2"/>
    <n v="0"/>
    <x v="1"/>
  </r>
  <r>
    <x v="2"/>
    <x v="10"/>
    <x v="4"/>
    <x v="3"/>
    <n v="0"/>
    <x v="1"/>
  </r>
  <r>
    <x v="2"/>
    <x v="10"/>
    <x v="4"/>
    <x v="4"/>
    <n v="0"/>
    <x v="1"/>
  </r>
  <r>
    <x v="2"/>
    <x v="10"/>
    <x v="4"/>
    <x v="5"/>
    <n v="0"/>
    <x v="1"/>
  </r>
  <r>
    <x v="2"/>
    <x v="10"/>
    <x v="4"/>
    <x v="6"/>
    <n v="0"/>
    <x v="1"/>
  </r>
  <r>
    <x v="2"/>
    <x v="10"/>
    <x v="4"/>
    <x v="7"/>
    <n v="0"/>
    <x v="1"/>
  </r>
  <r>
    <x v="2"/>
    <x v="10"/>
    <x v="4"/>
    <x v="8"/>
    <n v="0"/>
    <x v="1"/>
  </r>
  <r>
    <x v="2"/>
    <x v="10"/>
    <x v="4"/>
    <x v="9"/>
    <n v="0"/>
    <x v="1"/>
  </r>
  <r>
    <x v="2"/>
    <x v="10"/>
    <x v="4"/>
    <x v="10"/>
    <n v="0"/>
    <x v="1"/>
  </r>
  <r>
    <x v="2"/>
    <x v="10"/>
    <x v="4"/>
    <x v="11"/>
    <n v="0"/>
    <x v="1"/>
  </r>
  <r>
    <x v="2"/>
    <x v="10"/>
    <x v="5"/>
    <x v="0"/>
    <n v="1"/>
    <x v="1"/>
  </r>
  <r>
    <x v="2"/>
    <x v="10"/>
    <x v="6"/>
    <x v="0"/>
    <n v="1"/>
    <x v="1"/>
  </r>
  <r>
    <x v="2"/>
    <x v="11"/>
    <x v="0"/>
    <x v="0"/>
    <n v="0"/>
    <x v="0"/>
  </r>
  <r>
    <x v="2"/>
    <x v="11"/>
    <x v="0"/>
    <x v="1"/>
    <n v="0"/>
    <x v="0"/>
  </r>
  <r>
    <x v="2"/>
    <x v="11"/>
    <x v="0"/>
    <x v="2"/>
    <n v="0"/>
    <x v="0"/>
  </r>
  <r>
    <x v="2"/>
    <x v="11"/>
    <x v="0"/>
    <x v="3"/>
    <n v="0"/>
    <x v="0"/>
  </r>
  <r>
    <x v="2"/>
    <x v="11"/>
    <x v="0"/>
    <x v="4"/>
    <n v="0"/>
    <x v="0"/>
  </r>
  <r>
    <x v="2"/>
    <x v="11"/>
    <x v="0"/>
    <x v="5"/>
    <n v="0"/>
    <x v="0"/>
  </r>
  <r>
    <x v="2"/>
    <x v="11"/>
    <x v="0"/>
    <x v="6"/>
    <n v="0"/>
    <x v="0"/>
  </r>
  <r>
    <x v="2"/>
    <x v="11"/>
    <x v="0"/>
    <x v="7"/>
    <n v="0"/>
    <x v="0"/>
  </r>
  <r>
    <x v="2"/>
    <x v="11"/>
    <x v="0"/>
    <x v="8"/>
    <n v="0"/>
    <x v="0"/>
  </r>
  <r>
    <x v="2"/>
    <x v="11"/>
    <x v="0"/>
    <x v="9"/>
    <n v="0"/>
    <x v="0"/>
  </r>
  <r>
    <x v="2"/>
    <x v="11"/>
    <x v="0"/>
    <x v="10"/>
    <n v="0"/>
    <x v="0"/>
  </r>
  <r>
    <x v="2"/>
    <x v="11"/>
    <x v="0"/>
    <x v="11"/>
    <n v="0"/>
    <x v="0"/>
  </r>
  <r>
    <x v="2"/>
    <x v="11"/>
    <x v="1"/>
    <x v="0"/>
    <n v="1"/>
    <x v="0"/>
  </r>
  <r>
    <x v="2"/>
    <x v="11"/>
    <x v="1"/>
    <x v="1"/>
    <n v="0"/>
    <x v="0"/>
  </r>
  <r>
    <x v="2"/>
    <x v="11"/>
    <x v="1"/>
    <x v="2"/>
    <n v="0"/>
    <x v="0"/>
  </r>
  <r>
    <x v="2"/>
    <x v="11"/>
    <x v="1"/>
    <x v="3"/>
    <n v="0"/>
    <x v="0"/>
  </r>
  <r>
    <x v="2"/>
    <x v="11"/>
    <x v="1"/>
    <x v="4"/>
    <n v="0"/>
    <x v="0"/>
  </r>
  <r>
    <x v="2"/>
    <x v="11"/>
    <x v="1"/>
    <x v="5"/>
    <n v="0"/>
    <x v="0"/>
  </r>
  <r>
    <x v="2"/>
    <x v="11"/>
    <x v="1"/>
    <x v="6"/>
    <n v="0"/>
    <x v="0"/>
  </r>
  <r>
    <x v="2"/>
    <x v="11"/>
    <x v="1"/>
    <x v="7"/>
    <n v="0"/>
    <x v="0"/>
  </r>
  <r>
    <x v="2"/>
    <x v="11"/>
    <x v="1"/>
    <x v="8"/>
    <n v="0"/>
    <x v="0"/>
  </r>
  <r>
    <x v="2"/>
    <x v="11"/>
    <x v="1"/>
    <x v="9"/>
    <n v="0"/>
    <x v="0"/>
  </r>
  <r>
    <x v="2"/>
    <x v="11"/>
    <x v="1"/>
    <x v="10"/>
    <n v="0"/>
    <x v="0"/>
  </r>
  <r>
    <x v="2"/>
    <x v="11"/>
    <x v="1"/>
    <x v="11"/>
    <n v="0"/>
    <x v="0"/>
  </r>
  <r>
    <x v="2"/>
    <x v="11"/>
    <x v="2"/>
    <x v="0"/>
    <n v="1"/>
    <x v="0"/>
  </r>
  <r>
    <x v="2"/>
    <x v="11"/>
    <x v="2"/>
    <x v="1"/>
    <n v="0"/>
    <x v="0"/>
  </r>
  <r>
    <x v="2"/>
    <x v="11"/>
    <x v="2"/>
    <x v="2"/>
    <n v="0"/>
    <x v="0"/>
  </r>
  <r>
    <x v="2"/>
    <x v="11"/>
    <x v="2"/>
    <x v="3"/>
    <n v="0"/>
    <x v="0"/>
  </r>
  <r>
    <x v="2"/>
    <x v="11"/>
    <x v="2"/>
    <x v="4"/>
    <n v="0"/>
    <x v="0"/>
  </r>
  <r>
    <x v="2"/>
    <x v="11"/>
    <x v="2"/>
    <x v="5"/>
    <n v="0"/>
    <x v="0"/>
  </r>
  <r>
    <x v="2"/>
    <x v="11"/>
    <x v="2"/>
    <x v="6"/>
    <n v="0"/>
    <x v="0"/>
  </r>
  <r>
    <x v="2"/>
    <x v="11"/>
    <x v="2"/>
    <x v="7"/>
    <n v="0"/>
    <x v="0"/>
  </r>
  <r>
    <x v="2"/>
    <x v="11"/>
    <x v="2"/>
    <x v="8"/>
    <n v="0"/>
    <x v="0"/>
  </r>
  <r>
    <x v="2"/>
    <x v="11"/>
    <x v="2"/>
    <x v="9"/>
    <n v="0"/>
    <x v="0"/>
  </r>
  <r>
    <x v="2"/>
    <x v="11"/>
    <x v="2"/>
    <x v="10"/>
    <n v="0"/>
    <x v="0"/>
  </r>
  <r>
    <x v="2"/>
    <x v="11"/>
    <x v="2"/>
    <x v="11"/>
    <n v="0"/>
    <x v="0"/>
  </r>
  <r>
    <x v="2"/>
    <x v="11"/>
    <x v="3"/>
    <x v="0"/>
    <n v="1"/>
    <x v="0"/>
  </r>
  <r>
    <x v="2"/>
    <x v="11"/>
    <x v="3"/>
    <x v="1"/>
    <n v="0"/>
    <x v="0"/>
  </r>
  <r>
    <x v="2"/>
    <x v="11"/>
    <x v="3"/>
    <x v="2"/>
    <n v="0"/>
    <x v="0"/>
  </r>
  <r>
    <x v="2"/>
    <x v="11"/>
    <x v="3"/>
    <x v="3"/>
    <n v="0"/>
    <x v="0"/>
  </r>
  <r>
    <x v="2"/>
    <x v="11"/>
    <x v="3"/>
    <x v="4"/>
    <n v="0"/>
    <x v="0"/>
  </r>
  <r>
    <x v="2"/>
    <x v="11"/>
    <x v="3"/>
    <x v="5"/>
    <n v="0"/>
    <x v="0"/>
  </r>
  <r>
    <x v="2"/>
    <x v="11"/>
    <x v="3"/>
    <x v="6"/>
    <n v="0"/>
    <x v="0"/>
  </r>
  <r>
    <x v="2"/>
    <x v="11"/>
    <x v="3"/>
    <x v="7"/>
    <n v="0"/>
    <x v="0"/>
  </r>
  <r>
    <x v="2"/>
    <x v="11"/>
    <x v="3"/>
    <x v="8"/>
    <n v="0"/>
    <x v="0"/>
  </r>
  <r>
    <x v="2"/>
    <x v="11"/>
    <x v="3"/>
    <x v="9"/>
    <n v="0"/>
    <x v="0"/>
  </r>
  <r>
    <x v="2"/>
    <x v="11"/>
    <x v="3"/>
    <x v="10"/>
    <n v="0"/>
    <x v="0"/>
  </r>
  <r>
    <x v="2"/>
    <x v="11"/>
    <x v="3"/>
    <x v="11"/>
    <n v="0"/>
    <x v="0"/>
  </r>
  <r>
    <x v="2"/>
    <x v="11"/>
    <x v="4"/>
    <x v="0"/>
    <n v="1"/>
    <x v="1"/>
  </r>
  <r>
    <x v="2"/>
    <x v="11"/>
    <x v="4"/>
    <x v="1"/>
    <n v="0"/>
    <x v="1"/>
  </r>
  <r>
    <x v="2"/>
    <x v="11"/>
    <x v="4"/>
    <x v="2"/>
    <n v="0"/>
    <x v="1"/>
  </r>
  <r>
    <x v="2"/>
    <x v="11"/>
    <x v="4"/>
    <x v="3"/>
    <n v="0"/>
    <x v="1"/>
  </r>
  <r>
    <x v="2"/>
    <x v="11"/>
    <x v="4"/>
    <x v="4"/>
    <n v="0"/>
    <x v="1"/>
  </r>
  <r>
    <x v="2"/>
    <x v="11"/>
    <x v="4"/>
    <x v="5"/>
    <n v="0"/>
    <x v="1"/>
  </r>
  <r>
    <x v="2"/>
    <x v="11"/>
    <x v="4"/>
    <x v="6"/>
    <n v="0"/>
    <x v="1"/>
  </r>
  <r>
    <x v="2"/>
    <x v="11"/>
    <x v="4"/>
    <x v="7"/>
    <n v="0"/>
    <x v="1"/>
  </r>
  <r>
    <x v="2"/>
    <x v="11"/>
    <x v="4"/>
    <x v="8"/>
    <n v="0"/>
    <x v="1"/>
  </r>
  <r>
    <x v="2"/>
    <x v="11"/>
    <x v="4"/>
    <x v="9"/>
    <n v="0"/>
    <x v="1"/>
  </r>
  <r>
    <x v="2"/>
    <x v="11"/>
    <x v="4"/>
    <x v="10"/>
    <n v="0"/>
    <x v="1"/>
  </r>
  <r>
    <x v="2"/>
    <x v="11"/>
    <x v="4"/>
    <x v="11"/>
    <n v="0"/>
    <x v="1"/>
  </r>
  <r>
    <x v="2"/>
    <x v="11"/>
    <x v="5"/>
    <x v="0"/>
    <n v="1"/>
    <x v="1"/>
  </r>
  <r>
    <x v="2"/>
    <x v="11"/>
    <x v="6"/>
    <x v="0"/>
    <n v="1"/>
    <x v="1"/>
  </r>
  <r>
    <x v="3"/>
    <x v="0"/>
    <x v="0"/>
    <x v="0"/>
    <n v="0"/>
    <x v="0"/>
  </r>
  <r>
    <x v="3"/>
    <x v="0"/>
    <x v="0"/>
    <x v="1"/>
    <n v="0"/>
    <x v="0"/>
  </r>
  <r>
    <x v="3"/>
    <x v="0"/>
    <x v="0"/>
    <x v="2"/>
    <n v="0"/>
    <x v="0"/>
  </r>
  <r>
    <x v="3"/>
    <x v="0"/>
    <x v="0"/>
    <x v="3"/>
    <n v="0"/>
    <x v="0"/>
  </r>
  <r>
    <x v="3"/>
    <x v="0"/>
    <x v="0"/>
    <x v="4"/>
    <n v="0"/>
    <x v="0"/>
  </r>
  <r>
    <x v="3"/>
    <x v="0"/>
    <x v="0"/>
    <x v="5"/>
    <n v="0"/>
    <x v="0"/>
  </r>
  <r>
    <x v="3"/>
    <x v="0"/>
    <x v="0"/>
    <x v="6"/>
    <n v="0"/>
    <x v="0"/>
  </r>
  <r>
    <x v="3"/>
    <x v="0"/>
    <x v="0"/>
    <x v="7"/>
    <n v="0"/>
    <x v="0"/>
  </r>
  <r>
    <x v="3"/>
    <x v="0"/>
    <x v="0"/>
    <x v="8"/>
    <n v="0"/>
    <x v="0"/>
  </r>
  <r>
    <x v="3"/>
    <x v="0"/>
    <x v="0"/>
    <x v="9"/>
    <n v="3"/>
    <x v="0"/>
  </r>
  <r>
    <x v="3"/>
    <x v="0"/>
    <x v="0"/>
    <x v="10"/>
    <n v="1"/>
    <x v="0"/>
  </r>
  <r>
    <x v="3"/>
    <x v="0"/>
    <x v="0"/>
    <x v="11"/>
    <n v="0"/>
    <x v="0"/>
  </r>
  <r>
    <x v="3"/>
    <x v="0"/>
    <x v="1"/>
    <x v="0"/>
    <n v="0"/>
    <x v="0"/>
  </r>
  <r>
    <x v="3"/>
    <x v="0"/>
    <x v="1"/>
    <x v="1"/>
    <n v="0"/>
    <x v="0"/>
  </r>
  <r>
    <x v="3"/>
    <x v="0"/>
    <x v="1"/>
    <x v="2"/>
    <n v="0"/>
    <x v="0"/>
  </r>
  <r>
    <x v="3"/>
    <x v="0"/>
    <x v="1"/>
    <x v="3"/>
    <n v="0"/>
    <x v="0"/>
  </r>
  <r>
    <x v="3"/>
    <x v="0"/>
    <x v="1"/>
    <x v="4"/>
    <n v="2"/>
    <x v="0"/>
  </r>
  <r>
    <x v="3"/>
    <x v="0"/>
    <x v="1"/>
    <x v="5"/>
    <n v="1"/>
    <x v="0"/>
  </r>
  <r>
    <x v="3"/>
    <x v="0"/>
    <x v="1"/>
    <x v="6"/>
    <n v="0"/>
    <x v="0"/>
  </r>
  <r>
    <x v="3"/>
    <x v="0"/>
    <x v="1"/>
    <x v="7"/>
    <n v="0"/>
    <x v="0"/>
  </r>
  <r>
    <x v="3"/>
    <x v="0"/>
    <x v="1"/>
    <x v="8"/>
    <n v="1"/>
    <x v="0"/>
  </r>
  <r>
    <x v="3"/>
    <x v="0"/>
    <x v="1"/>
    <x v="9"/>
    <n v="0"/>
    <x v="0"/>
  </r>
  <r>
    <x v="3"/>
    <x v="0"/>
    <x v="1"/>
    <x v="10"/>
    <n v="0"/>
    <x v="0"/>
  </r>
  <r>
    <x v="3"/>
    <x v="0"/>
    <x v="1"/>
    <x v="11"/>
    <n v="0"/>
    <x v="0"/>
  </r>
  <r>
    <x v="3"/>
    <x v="0"/>
    <x v="2"/>
    <x v="0"/>
    <n v="0"/>
    <x v="0"/>
  </r>
  <r>
    <x v="3"/>
    <x v="0"/>
    <x v="2"/>
    <x v="1"/>
    <n v="1"/>
    <x v="0"/>
  </r>
  <r>
    <x v="3"/>
    <x v="0"/>
    <x v="2"/>
    <x v="2"/>
    <n v="0"/>
    <x v="0"/>
  </r>
  <r>
    <x v="3"/>
    <x v="0"/>
    <x v="2"/>
    <x v="3"/>
    <n v="1"/>
    <x v="0"/>
  </r>
  <r>
    <x v="3"/>
    <x v="0"/>
    <x v="2"/>
    <x v="4"/>
    <n v="1"/>
    <x v="0"/>
  </r>
  <r>
    <x v="3"/>
    <x v="0"/>
    <x v="2"/>
    <x v="5"/>
    <n v="0"/>
    <x v="0"/>
  </r>
  <r>
    <x v="3"/>
    <x v="0"/>
    <x v="2"/>
    <x v="6"/>
    <n v="0"/>
    <x v="0"/>
  </r>
  <r>
    <x v="3"/>
    <x v="0"/>
    <x v="2"/>
    <x v="7"/>
    <n v="0"/>
    <x v="0"/>
  </r>
  <r>
    <x v="3"/>
    <x v="0"/>
    <x v="2"/>
    <x v="8"/>
    <n v="0"/>
    <x v="0"/>
  </r>
  <r>
    <x v="3"/>
    <x v="0"/>
    <x v="2"/>
    <x v="9"/>
    <n v="0"/>
    <x v="0"/>
  </r>
  <r>
    <x v="3"/>
    <x v="0"/>
    <x v="2"/>
    <x v="10"/>
    <n v="0"/>
    <x v="0"/>
  </r>
  <r>
    <x v="3"/>
    <x v="0"/>
    <x v="2"/>
    <x v="11"/>
    <n v="1"/>
    <x v="0"/>
  </r>
  <r>
    <x v="3"/>
    <x v="0"/>
    <x v="3"/>
    <x v="0"/>
    <n v="0"/>
    <x v="0"/>
  </r>
  <r>
    <x v="3"/>
    <x v="0"/>
    <x v="3"/>
    <x v="1"/>
    <n v="1"/>
    <x v="0"/>
  </r>
  <r>
    <x v="3"/>
    <x v="0"/>
    <x v="3"/>
    <x v="2"/>
    <n v="0"/>
    <x v="0"/>
  </r>
  <r>
    <x v="3"/>
    <x v="0"/>
    <x v="3"/>
    <x v="3"/>
    <n v="0"/>
    <x v="0"/>
  </r>
  <r>
    <x v="3"/>
    <x v="0"/>
    <x v="3"/>
    <x v="4"/>
    <n v="2"/>
    <x v="0"/>
  </r>
  <r>
    <x v="3"/>
    <x v="0"/>
    <x v="3"/>
    <x v="5"/>
    <n v="0"/>
    <x v="0"/>
  </r>
  <r>
    <x v="3"/>
    <x v="0"/>
    <x v="3"/>
    <x v="6"/>
    <n v="0"/>
    <x v="0"/>
  </r>
  <r>
    <x v="3"/>
    <x v="0"/>
    <x v="3"/>
    <x v="7"/>
    <n v="0"/>
    <x v="0"/>
  </r>
  <r>
    <x v="3"/>
    <x v="0"/>
    <x v="3"/>
    <x v="8"/>
    <n v="0"/>
    <x v="0"/>
  </r>
  <r>
    <x v="3"/>
    <x v="0"/>
    <x v="3"/>
    <x v="9"/>
    <n v="0"/>
    <x v="0"/>
  </r>
  <r>
    <x v="3"/>
    <x v="0"/>
    <x v="3"/>
    <x v="10"/>
    <n v="0"/>
    <x v="0"/>
  </r>
  <r>
    <x v="3"/>
    <x v="0"/>
    <x v="3"/>
    <x v="11"/>
    <n v="2"/>
    <x v="0"/>
  </r>
  <r>
    <x v="3"/>
    <x v="0"/>
    <x v="4"/>
    <x v="0"/>
    <n v="0"/>
    <x v="1"/>
  </r>
  <r>
    <x v="3"/>
    <x v="0"/>
    <x v="4"/>
    <x v="1"/>
    <n v="0"/>
    <x v="1"/>
  </r>
  <r>
    <x v="3"/>
    <x v="0"/>
    <x v="4"/>
    <x v="2"/>
    <n v="0"/>
    <x v="1"/>
  </r>
  <r>
    <x v="3"/>
    <x v="0"/>
    <x v="4"/>
    <x v="3"/>
    <n v="1"/>
    <x v="1"/>
  </r>
  <r>
    <x v="3"/>
    <x v="0"/>
    <x v="4"/>
    <x v="4"/>
    <n v="1"/>
    <x v="1"/>
  </r>
  <r>
    <x v="3"/>
    <x v="0"/>
    <x v="4"/>
    <x v="5"/>
    <n v="1"/>
    <x v="1"/>
  </r>
  <r>
    <x v="3"/>
    <x v="0"/>
    <x v="4"/>
    <x v="6"/>
    <n v="0"/>
    <x v="1"/>
  </r>
  <r>
    <x v="3"/>
    <x v="0"/>
    <x v="4"/>
    <x v="7"/>
    <n v="0"/>
    <x v="1"/>
  </r>
  <r>
    <x v="3"/>
    <x v="0"/>
    <x v="4"/>
    <x v="8"/>
    <n v="0"/>
    <x v="1"/>
  </r>
  <r>
    <x v="3"/>
    <x v="0"/>
    <x v="4"/>
    <x v="9"/>
    <n v="0"/>
    <x v="1"/>
  </r>
  <r>
    <x v="3"/>
    <x v="0"/>
    <x v="4"/>
    <x v="10"/>
    <n v="0"/>
    <x v="1"/>
  </r>
  <r>
    <x v="3"/>
    <x v="0"/>
    <x v="4"/>
    <x v="11"/>
    <n v="2"/>
    <x v="1"/>
  </r>
  <r>
    <x v="3"/>
    <x v="0"/>
    <x v="5"/>
    <x v="0"/>
    <n v="0"/>
    <x v="1"/>
  </r>
  <r>
    <x v="3"/>
    <x v="0"/>
    <x v="6"/>
    <x v="0"/>
    <n v="0"/>
    <x v="1"/>
  </r>
  <r>
    <x v="3"/>
    <x v="1"/>
    <x v="0"/>
    <x v="0"/>
    <n v="1"/>
    <x v="0"/>
  </r>
  <r>
    <x v="3"/>
    <x v="1"/>
    <x v="0"/>
    <x v="1"/>
    <n v="0"/>
    <x v="0"/>
  </r>
  <r>
    <x v="3"/>
    <x v="1"/>
    <x v="0"/>
    <x v="2"/>
    <n v="0"/>
    <x v="0"/>
  </r>
  <r>
    <x v="3"/>
    <x v="1"/>
    <x v="0"/>
    <x v="3"/>
    <n v="0"/>
    <x v="0"/>
  </r>
  <r>
    <x v="3"/>
    <x v="1"/>
    <x v="0"/>
    <x v="4"/>
    <n v="0"/>
    <x v="0"/>
  </r>
  <r>
    <x v="3"/>
    <x v="1"/>
    <x v="0"/>
    <x v="5"/>
    <n v="0"/>
    <x v="0"/>
  </r>
  <r>
    <x v="3"/>
    <x v="1"/>
    <x v="0"/>
    <x v="6"/>
    <n v="0"/>
    <x v="0"/>
  </r>
  <r>
    <x v="3"/>
    <x v="1"/>
    <x v="0"/>
    <x v="7"/>
    <n v="0"/>
    <x v="0"/>
  </r>
  <r>
    <x v="3"/>
    <x v="1"/>
    <x v="0"/>
    <x v="8"/>
    <n v="0"/>
    <x v="0"/>
  </r>
  <r>
    <x v="3"/>
    <x v="1"/>
    <x v="0"/>
    <x v="9"/>
    <n v="0"/>
    <x v="0"/>
  </r>
  <r>
    <x v="3"/>
    <x v="1"/>
    <x v="0"/>
    <x v="10"/>
    <n v="0"/>
    <x v="0"/>
  </r>
  <r>
    <x v="3"/>
    <x v="1"/>
    <x v="0"/>
    <x v="11"/>
    <n v="0"/>
    <x v="0"/>
  </r>
  <r>
    <x v="3"/>
    <x v="1"/>
    <x v="1"/>
    <x v="0"/>
    <n v="1"/>
    <x v="0"/>
  </r>
  <r>
    <x v="3"/>
    <x v="1"/>
    <x v="1"/>
    <x v="1"/>
    <n v="0"/>
    <x v="0"/>
  </r>
  <r>
    <x v="3"/>
    <x v="1"/>
    <x v="1"/>
    <x v="2"/>
    <n v="0"/>
    <x v="0"/>
  </r>
  <r>
    <x v="3"/>
    <x v="1"/>
    <x v="1"/>
    <x v="3"/>
    <n v="0"/>
    <x v="0"/>
  </r>
  <r>
    <x v="3"/>
    <x v="1"/>
    <x v="1"/>
    <x v="4"/>
    <n v="0"/>
    <x v="0"/>
  </r>
  <r>
    <x v="3"/>
    <x v="1"/>
    <x v="1"/>
    <x v="5"/>
    <n v="0"/>
    <x v="0"/>
  </r>
  <r>
    <x v="3"/>
    <x v="1"/>
    <x v="1"/>
    <x v="6"/>
    <n v="0"/>
    <x v="0"/>
  </r>
  <r>
    <x v="3"/>
    <x v="1"/>
    <x v="1"/>
    <x v="7"/>
    <n v="0"/>
    <x v="0"/>
  </r>
  <r>
    <x v="3"/>
    <x v="1"/>
    <x v="1"/>
    <x v="8"/>
    <n v="0"/>
    <x v="0"/>
  </r>
  <r>
    <x v="3"/>
    <x v="1"/>
    <x v="1"/>
    <x v="9"/>
    <n v="0"/>
    <x v="0"/>
  </r>
  <r>
    <x v="3"/>
    <x v="1"/>
    <x v="1"/>
    <x v="10"/>
    <n v="0"/>
    <x v="0"/>
  </r>
  <r>
    <x v="3"/>
    <x v="1"/>
    <x v="1"/>
    <x v="11"/>
    <n v="0"/>
    <x v="0"/>
  </r>
  <r>
    <x v="3"/>
    <x v="1"/>
    <x v="2"/>
    <x v="0"/>
    <n v="1"/>
    <x v="0"/>
  </r>
  <r>
    <x v="3"/>
    <x v="1"/>
    <x v="2"/>
    <x v="1"/>
    <n v="0"/>
    <x v="0"/>
  </r>
  <r>
    <x v="3"/>
    <x v="1"/>
    <x v="2"/>
    <x v="2"/>
    <n v="0"/>
    <x v="0"/>
  </r>
  <r>
    <x v="3"/>
    <x v="1"/>
    <x v="2"/>
    <x v="3"/>
    <n v="0"/>
    <x v="0"/>
  </r>
  <r>
    <x v="3"/>
    <x v="1"/>
    <x v="2"/>
    <x v="4"/>
    <n v="0"/>
    <x v="0"/>
  </r>
  <r>
    <x v="3"/>
    <x v="1"/>
    <x v="2"/>
    <x v="5"/>
    <n v="0"/>
    <x v="0"/>
  </r>
  <r>
    <x v="3"/>
    <x v="1"/>
    <x v="2"/>
    <x v="6"/>
    <n v="0"/>
    <x v="0"/>
  </r>
  <r>
    <x v="3"/>
    <x v="1"/>
    <x v="2"/>
    <x v="7"/>
    <n v="0"/>
    <x v="0"/>
  </r>
  <r>
    <x v="3"/>
    <x v="1"/>
    <x v="2"/>
    <x v="8"/>
    <n v="0"/>
    <x v="0"/>
  </r>
  <r>
    <x v="3"/>
    <x v="1"/>
    <x v="2"/>
    <x v="9"/>
    <n v="0"/>
    <x v="0"/>
  </r>
  <r>
    <x v="3"/>
    <x v="1"/>
    <x v="2"/>
    <x v="10"/>
    <n v="0"/>
    <x v="0"/>
  </r>
  <r>
    <x v="3"/>
    <x v="1"/>
    <x v="2"/>
    <x v="11"/>
    <n v="0"/>
    <x v="0"/>
  </r>
  <r>
    <x v="3"/>
    <x v="1"/>
    <x v="3"/>
    <x v="0"/>
    <n v="1"/>
    <x v="0"/>
  </r>
  <r>
    <x v="3"/>
    <x v="1"/>
    <x v="3"/>
    <x v="1"/>
    <n v="0"/>
    <x v="0"/>
  </r>
  <r>
    <x v="3"/>
    <x v="1"/>
    <x v="3"/>
    <x v="2"/>
    <n v="0"/>
    <x v="0"/>
  </r>
  <r>
    <x v="3"/>
    <x v="1"/>
    <x v="3"/>
    <x v="3"/>
    <n v="0"/>
    <x v="0"/>
  </r>
  <r>
    <x v="3"/>
    <x v="1"/>
    <x v="3"/>
    <x v="4"/>
    <n v="0"/>
    <x v="0"/>
  </r>
  <r>
    <x v="3"/>
    <x v="1"/>
    <x v="3"/>
    <x v="5"/>
    <n v="0"/>
    <x v="0"/>
  </r>
  <r>
    <x v="3"/>
    <x v="1"/>
    <x v="3"/>
    <x v="6"/>
    <n v="0"/>
    <x v="0"/>
  </r>
  <r>
    <x v="3"/>
    <x v="1"/>
    <x v="3"/>
    <x v="7"/>
    <n v="0"/>
    <x v="0"/>
  </r>
  <r>
    <x v="3"/>
    <x v="1"/>
    <x v="3"/>
    <x v="8"/>
    <n v="0"/>
    <x v="0"/>
  </r>
  <r>
    <x v="3"/>
    <x v="1"/>
    <x v="3"/>
    <x v="9"/>
    <n v="0"/>
    <x v="0"/>
  </r>
  <r>
    <x v="3"/>
    <x v="1"/>
    <x v="3"/>
    <x v="10"/>
    <n v="0"/>
    <x v="0"/>
  </r>
  <r>
    <x v="3"/>
    <x v="1"/>
    <x v="3"/>
    <x v="11"/>
    <n v="0"/>
    <x v="0"/>
  </r>
  <r>
    <x v="3"/>
    <x v="1"/>
    <x v="4"/>
    <x v="0"/>
    <n v="1"/>
    <x v="1"/>
  </r>
  <r>
    <x v="3"/>
    <x v="1"/>
    <x v="4"/>
    <x v="1"/>
    <n v="0"/>
    <x v="1"/>
  </r>
  <r>
    <x v="3"/>
    <x v="1"/>
    <x v="4"/>
    <x v="2"/>
    <n v="0"/>
    <x v="1"/>
  </r>
  <r>
    <x v="3"/>
    <x v="1"/>
    <x v="4"/>
    <x v="3"/>
    <n v="0"/>
    <x v="1"/>
  </r>
  <r>
    <x v="3"/>
    <x v="1"/>
    <x v="4"/>
    <x v="4"/>
    <n v="0"/>
    <x v="1"/>
  </r>
  <r>
    <x v="3"/>
    <x v="1"/>
    <x v="4"/>
    <x v="5"/>
    <n v="0"/>
    <x v="1"/>
  </r>
  <r>
    <x v="3"/>
    <x v="1"/>
    <x v="4"/>
    <x v="6"/>
    <n v="0"/>
    <x v="1"/>
  </r>
  <r>
    <x v="3"/>
    <x v="1"/>
    <x v="4"/>
    <x v="7"/>
    <n v="0"/>
    <x v="1"/>
  </r>
  <r>
    <x v="3"/>
    <x v="1"/>
    <x v="4"/>
    <x v="8"/>
    <n v="0"/>
    <x v="1"/>
  </r>
  <r>
    <x v="3"/>
    <x v="1"/>
    <x v="4"/>
    <x v="9"/>
    <n v="0"/>
    <x v="1"/>
  </r>
  <r>
    <x v="3"/>
    <x v="1"/>
    <x v="4"/>
    <x v="10"/>
    <n v="0"/>
    <x v="1"/>
  </r>
  <r>
    <x v="3"/>
    <x v="1"/>
    <x v="4"/>
    <x v="11"/>
    <n v="0"/>
    <x v="1"/>
  </r>
  <r>
    <x v="3"/>
    <x v="1"/>
    <x v="5"/>
    <x v="0"/>
    <n v="1"/>
    <x v="1"/>
  </r>
  <r>
    <x v="3"/>
    <x v="1"/>
    <x v="6"/>
    <x v="0"/>
    <n v="0"/>
    <x v="1"/>
  </r>
  <r>
    <x v="3"/>
    <x v="2"/>
    <x v="0"/>
    <x v="0"/>
    <n v="1"/>
    <x v="0"/>
  </r>
  <r>
    <x v="3"/>
    <x v="2"/>
    <x v="0"/>
    <x v="1"/>
    <n v="0"/>
    <x v="0"/>
  </r>
  <r>
    <x v="3"/>
    <x v="2"/>
    <x v="0"/>
    <x v="2"/>
    <n v="0"/>
    <x v="0"/>
  </r>
  <r>
    <x v="3"/>
    <x v="2"/>
    <x v="0"/>
    <x v="3"/>
    <n v="0"/>
    <x v="0"/>
  </r>
  <r>
    <x v="3"/>
    <x v="2"/>
    <x v="0"/>
    <x v="4"/>
    <n v="0"/>
    <x v="0"/>
  </r>
  <r>
    <x v="3"/>
    <x v="2"/>
    <x v="0"/>
    <x v="5"/>
    <n v="0"/>
    <x v="0"/>
  </r>
  <r>
    <x v="3"/>
    <x v="2"/>
    <x v="0"/>
    <x v="6"/>
    <n v="0"/>
    <x v="0"/>
  </r>
  <r>
    <x v="3"/>
    <x v="2"/>
    <x v="0"/>
    <x v="7"/>
    <n v="0"/>
    <x v="0"/>
  </r>
  <r>
    <x v="3"/>
    <x v="2"/>
    <x v="0"/>
    <x v="8"/>
    <n v="0"/>
    <x v="0"/>
  </r>
  <r>
    <x v="3"/>
    <x v="2"/>
    <x v="0"/>
    <x v="9"/>
    <n v="0"/>
    <x v="0"/>
  </r>
  <r>
    <x v="3"/>
    <x v="2"/>
    <x v="0"/>
    <x v="10"/>
    <n v="0"/>
    <x v="0"/>
  </r>
  <r>
    <x v="3"/>
    <x v="2"/>
    <x v="0"/>
    <x v="11"/>
    <n v="0"/>
    <x v="0"/>
  </r>
  <r>
    <x v="3"/>
    <x v="2"/>
    <x v="1"/>
    <x v="0"/>
    <n v="1"/>
    <x v="0"/>
  </r>
  <r>
    <x v="3"/>
    <x v="2"/>
    <x v="1"/>
    <x v="1"/>
    <n v="0"/>
    <x v="0"/>
  </r>
  <r>
    <x v="3"/>
    <x v="2"/>
    <x v="1"/>
    <x v="2"/>
    <n v="0"/>
    <x v="0"/>
  </r>
  <r>
    <x v="3"/>
    <x v="2"/>
    <x v="1"/>
    <x v="3"/>
    <n v="0"/>
    <x v="0"/>
  </r>
  <r>
    <x v="3"/>
    <x v="2"/>
    <x v="1"/>
    <x v="4"/>
    <n v="0"/>
    <x v="0"/>
  </r>
  <r>
    <x v="3"/>
    <x v="2"/>
    <x v="1"/>
    <x v="5"/>
    <n v="0"/>
    <x v="0"/>
  </r>
  <r>
    <x v="3"/>
    <x v="2"/>
    <x v="1"/>
    <x v="6"/>
    <n v="0"/>
    <x v="0"/>
  </r>
  <r>
    <x v="3"/>
    <x v="2"/>
    <x v="1"/>
    <x v="7"/>
    <n v="0"/>
    <x v="0"/>
  </r>
  <r>
    <x v="3"/>
    <x v="2"/>
    <x v="1"/>
    <x v="8"/>
    <n v="0"/>
    <x v="0"/>
  </r>
  <r>
    <x v="3"/>
    <x v="2"/>
    <x v="1"/>
    <x v="9"/>
    <n v="0"/>
    <x v="0"/>
  </r>
  <r>
    <x v="3"/>
    <x v="2"/>
    <x v="1"/>
    <x v="10"/>
    <n v="0"/>
    <x v="0"/>
  </r>
  <r>
    <x v="3"/>
    <x v="2"/>
    <x v="1"/>
    <x v="11"/>
    <n v="0"/>
    <x v="0"/>
  </r>
  <r>
    <x v="3"/>
    <x v="2"/>
    <x v="2"/>
    <x v="0"/>
    <n v="1"/>
    <x v="0"/>
  </r>
  <r>
    <x v="3"/>
    <x v="2"/>
    <x v="2"/>
    <x v="1"/>
    <n v="0"/>
    <x v="0"/>
  </r>
  <r>
    <x v="3"/>
    <x v="2"/>
    <x v="2"/>
    <x v="2"/>
    <n v="0"/>
    <x v="0"/>
  </r>
  <r>
    <x v="3"/>
    <x v="2"/>
    <x v="2"/>
    <x v="3"/>
    <n v="0"/>
    <x v="0"/>
  </r>
  <r>
    <x v="3"/>
    <x v="2"/>
    <x v="2"/>
    <x v="4"/>
    <n v="0"/>
    <x v="0"/>
  </r>
  <r>
    <x v="3"/>
    <x v="2"/>
    <x v="2"/>
    <x v="5"/>
    <n v="0"/>
    <x v="0"/>
  </r>
  <r>
    <x v="3"/>
    <x v="2"/>
    <x v="2"/>
    <x v="6"/>
    <n v="0"/>
    <x v="0"/>
  </r>
  <r>
    <x v="3"/>
    <x v="2"/>
    <x v="2"/>
    <x v="7"/>
    <n v="0"/>
    <x v="0"/>
  </r>
  <r>
    <x v="3"/>
    <x v="2"/>
    <x v="2"/>
    <x v="8"/>
    <n v="0"/>
    <x v="0"/>
  </r>
  <r>
    <x v="3"/>
    <x v="2"/>
    <x v="2"/>
    <x v="9"/>
    <n v="0"/>
    <x v="0"/>
  </r>
  <r>
    <x v="3"/>
    <x v="2"/>
    <x v="2"/>
    <x v="10"/>
    <n v="0"/>
    <x v="0"/>
  </r>
  <r>
    <x v="3"/>
    <x v="2"/>
    <x v="2"/>
    <x v="11"/>
    <n v="0"/>
    <x v="0"/>
  </r>
  <r>
    <x v="3"/>
    <x v="2"/>
    <x v="3"/>
    <x v="0"/>
    <n v="1"/>
    <x v="0"/>
  </r>
  <r>
    <x v="3"/>
    <x v="2"/>
    <x v="3"/>
    <x v="1"/>
    <n v="0"/>
    <x v="0"/>
  </r>
  <r>
    <x v="3"/>
    <x v="2"/>
    <x v="3"/>
    <x v="2"/>
    <n v="0"/>
    <x v="0"/>
  </r>
  <r>
    <x v="3"/>
    <x v="2"/>
    <x v="3"/>
    <x v="3"/>
    <n v="0"/>
    <x v="0"/>
  </r>
  <r>
    <x v="3"/>
    <x v="2"/>
    <x v="3"/>
    <x v="4"/>
    <n v="0"/>
    <x v="0"/>
  </r>
  <r>
    <x v="3"/>
    <x v="2"/>
    <x v="3"/>
    <x v="5"/>
    <n v="0"/>
    <x v="0"/>
  </r>
  <r>
    <x v="3"/>
    <x v="2"/>
    <x v="3"/>
    <x v="6"/>
    <n v="0"/>
    <x v="0"/>
  </r>
  <r>
    <x v="3"/>
    <x v="2"/>
    <x v="3"/>
    <x v="7"/>
    <n v="0"/>
    <x v="0"/>
  </r>
  <r>
    <x v="3"/>
    <x v="2"/>
    <x v="3"/>
    <x v="8"/>
    <n v="0"/>
    <x v="0"/>
  </r>
  <r>
    <x v="3"/>
    <x v="2"/>
    <x v="3"/>
    <x v="9"/>
    <n v="0"/>
    <x v="0"/>
  </r>
  <r>
    <x v="3"/>
    <x v="2"/>
    <x v="3"/>
    <x v="10"/>
    <n v="0"/>
    <x v="0"/>
  </r>
  <r>
    <x v="3"/>
    <x v="2"/>
    <x v="3"/>
    <x v="11"/>
    <n v="0"/>
    <x v="0"/>
  </r>
  <r>
    <x v="3"/>
    <x v="2"/>
    <x v="4"/>
    <x v="0"/>
    <n v="1"/>
    <x v="1"/>
  </r>
  <r>
    <x v="3"/>
    <x v="2"/>
    <x v="4"/>
    <x v="1"/>
    <n v="0"/>
    <x v="1"/>
  </r>
  <r>
    <x v="3"/>
    <x v="2"/>
    <x v="4"/>
    <x v="2"/>
    <n v="0"/>
    <x v="1"/>
  </r>
  <r>
    <x v="3"/>
    <x v="2"/>
    <x v="4"/>
    <x v="3"/>
    <n v="0"/>
    <x v="1"/>
  </r>
  <r>
    <x v="3"/>
    <x v="2"/>
    <x v="4"/>
    <x v="4"/>
    <n v="0"/>
    <x v="1"/>
  </r>
  <r>
    <x v="3"/>
    <x v="2"/>
    <x v="4"/>
    <x v="5"/>
    <n v="0"/>
    <x v="1"/>
  </r>
  <r>
    <x v="3"/>
    <x v="2"/>
    <x v="4"/>
    <x v="6"/>
    <n v="0"/>
    <x v="1"/>
  </r>
  <r>
    <x v="3"/>
    <x v="2"/>
    <x v="4"/>
    <x v="7"/>
    <n v="0"/>
    <x v="1"/>
  </r>
  <r>
    <x v="3"/>
    <x v="2"/>
    <x v="4"/>
    <x v="8"/>
    <n v="0"/>
    <x v="1"/>
  </r>
  <r>
    <x v="3"/>
    <x v="2"/>
    <x v="4"/>
    <x v="9"/>
    <n v="0"/>
    <x v="1"/>
  </r>
  <r>
    <x v="3"/>
    <x v="2"/>
    <x v="4"/>
    <x v="10"/>
    <n v="0"/>
    <x v="1"/>
  </r>
  <r>
    <x v="3"/>
    <x v="2"/>
    <x v="4"/>
    <x v="11"/>
    <n v="0"/>
    <x v="1"/>
  </r>
  <r>
    <x v="3"/>
    <x v="2"/>
    <x v="5"/>
    <x v="0"/>
    <n v="1"/>
    <x v="1"/>
  </r>
  <r>
    <x v="3"/>
    <x v="2"/>
    <x v="6"/>
    <x v="0"/>
    <n v="2"/>
    <x v="1"/>
  </r>
  <r>
    <x v="3"/>
    <x v="3"/>
    <x v="0"/>
    <x v="0"/>
    <n v="0"/>
    <x v="0"/>
  </r>
  <r>
    <x v="3"/>
    <x v="3"/>
    <x v="0"/>
    <x v="1"/>
    <n v="0"/>
    <x v="0"/>
  </r>
  <r>
    <x v="3"/>
    <x v="3"/>
    <x v="0"/>
    <x v="2"/>
    <n v="0"/>
    <x v="0"/>
  </r>
  <r>
    <x v="3"/>
    <x v="3"/>
    <x v="0"/>
    <x v="3"/>
    <n v="0"/>
    <x v="0"/>
  </r>
  <r>
    <x v="3"/>
    <x v="3"/>
    <x v="0"/>
    <x v="4"/>
    <n v="0"/>
    <x v="0"/>
  </r>
  <r>
    <x v="3"/>
    <x v="3"/>
    <x v="0"/>
    <x v="5"/>
    <n v="0"/>
    <x v="0"/>
  </r>
  <r>
    <x v="3"/>
    <x v="3"/>
    <x v="0"/>
    <x v="6"/>
    <n v="0"/>
    <x v="0"/>
  </r>
  <r>
    <x v="3"/>
    <x v="3"/>
    <x v="0"/>
    <x v="7"/>
    <n v="0"/>
    <x v="0"/>
  </r>
  <r>
    <x v="3"/>
    <x v="3"/>
    <x v="0"/>
    <x v="8"/>
    <n v="0"/>
    <x v="0"/>
  </r>
  <r>
    <x v="3"/>
    <x v="3"/>
    <x v="0"/>
    <x v="9"/>
    <n v="0"/>
    <x v="0"/>
  </r>
  <r>
    <x v="3"/>
    <x v="3"/>
    <x v="0"/>
    <x v="10"/>
    <n v="0"/>
    <x v="0"/>
  </r>
  <r>
    <x v="3"/>
    <x v="3"/>
    <x v="0"/>
    <x v="11"/>
    <n v="0"/>
    <x v="0"/>
  </r>
  <r>
    <x v="3"/>
    <x v="3"/>
    <x v="1"/>
    <x v="0"/>
    <n v="0"/>
    <x v="0"/>
  </r>
  <r>
    <x v="3"/>
    <x v="3"/>
    <x v="1"/>
    <x v="1"/>
    <n v="0"/>
    <x v="0"/>
  </r>
  <r>
    <x v="3"/>
    <x v="3"/>
    <x v="1"/>
    <x v="2"/>
    <n v="0"/>
    <x v="0"/>
  </r>
  <r>
    <x v="3"/>
    <x v="3"/>
    <x v="1"/>
    <x v="3"/>
    <n v="0"/>
    <x v="0"/>
  </r>
  <r>
    <x v="3"/>
    <x v="3"/>
    <x v="1"/>
    <x v="4"/>
    <n v="0"/>
    <x v="0"/>
  </r>
  <r>
    <x v="3"/>
    <x v="3"/>
    <x v="1"/>
    <x v="5"/>
    <n v="0"/>
    <x v="0"/>
  </r>
  <r>
    <x v="3"/>
    <x v="3"/>
    <x v="1"/>
    <x v="6"/>
    <n v="0"/>
    <x v="0"/>
  </r>
  <r>
    <x v="3"/>
    <x v="3"/>
    <x v="1"/>
    <x v="7"/>
    <n v="0"/>
    <x v="0"/>
  </r>
  <r>
    <x v="3"/>
    <x v="3"/>
    <x v="1"/>
    <x v="8"/>
    <n v="0"/>
    <x v="0"/>
  </r>
  <r>
    <x v="3"/>
    <x v="3"/>
    <x v="1"/>
    <x v="9"/>
    <n v="0"/>
    <x v="0"/>
  </r>
  <r>
    <x v="3"/>
    <x v="3"/>
    <x v="1"/>
    <x v="10"/>
    <n v="0"/>
    <x v="0"/>
  </r>
  <r>
    <x v="3"/>
    <x v="3"/>
    <x v="1"/>
    <x v="11"/>
    <n v="0"/>
    <x v="0"/>
  </r>
  <r>
    <x v="3"/>
    <x v="3"/>
    <x v="2"/>
    <x v="0"/>
    <n v="0"/>
    <x v="0"/>
  </r>
  <r>
    <x v="3"/>
    <x v="3"/>
    <x v="2"/>
    <x v="1"/>
    <n v="0"/>
    <x v="0"/>
  </r>
  <r>
    <x v="3"/>
    <x v="3"/>
    <x v="2"/>
    <x v="2"/>
    <n v="0"/>
    <x v="0"/>
  </r>
  <r>
    <x v="3"/>
    <x v="3"/>
    <x v="2"/>
    <x v="3"/>
    <n v="0"/>
    <x v="0"/>
  </r>
  <r>
    <x v="3"/>
    <x v="3"/>
    <x v="2"/>
    <x v="4"/>
    <n v="0"/>
    <x v="0"/>
  </r>
  <r>
    <x v="3"/>
    <x v="3"/>
    <x v="2"/>
    <x v="5"/>
    <n v="0"/>
    <x v="0"/>
  </r>
  <r>
    <x v="3"/>
    <x v="3"/>
    <x v="2"/>
    <x v="6"/>
    <n v="0"/>
    <x v="0"/>
  </r>
  <r>
    <x v="3"/>
    <x v="3"/>
    <x v="2"/>
    <x v="7"/>
    <n v="0"/>
    <x v="0"/>
  </r>
  <r>
    <x v="3"/>
    <x v="3"/>
    <x v="2"/>
    <x v="8"/>
    <n v="0"/>
    <x v="0"/>
  </r>
  <r>
    <x v="3"/>
    <x v="3"/>
    <x v="2"/>
    <x v="9"/>
    <n v="0"/>
    <x v="0"/>
  </r>
  <r>
    <x v="3"/>
    <x v="3"/>
    <x v="2"/>
    <x v="10"/>
    <n v="0"/>
    <x v="0"/>
  </r>
  <r>
    <x v="3"/>
    <x v="3"/>
    <x v="2"/>
    <x v="11"/>
    <n v="0"/>
    <x v="0"/>
  </r>
  <r>
    <x v="3"/>
    <x v="3"/>
    <x v="3"/>
    <x v="0"/>
    <n v="0"/>
    <x v="0"/>
  </r>
  <r>
    <x v="3"/>
    <x v="3"/>
    <x v="3"/>
    <x v="1"/>
    <n v="0"/>
    <x v="0"/>
  </r>
  <r>
    <x v="3"/>
    <x v="3"/>
    <x v="3"/>
    <x v="2"/>
    <n v="0"/>
    <x v="0"/>
  </r>
  <r>
    <x v="3"/>
    <x v="3"/>
    <x v="3"/>
    <x v="3"/>
    <n v="0"/>
    <x v="0"/>
  </r>
  <r>
    <x v="3"/>
    <x v="3"/>
    <x v="3"/>
    <x v="4"/>
    <n v="0"/>
    <x v="0"/>
  </r>
  <r>
    <x v="3"/>
    <x v="3"/>
    <x v="3"/>
    <x v="5"/>
    <n v="0"/>
    <x v="0"/>
  </r>
  <r>
    <x v="3"/>
    <x v="3"/>
    <x v="3"/>
    <x v="6"/>
    <n v="0"/>
    <x v="0"/>
  </r>
  <r>
    <x v="3"/>
    <x v="3"/>
    <x v="3"/>
    <x v="7"/>
    <n v="0"/>
    <x v="0"/>
  </r>
  <r>
    <x v="3"/>
    <x v="3"/>
    <x v="3"/>
    <x v="8"/>
    <n v="0"/>
    <x v="0"/>
  </r>
  <r>
    <x v="3"/>
    <x v="3"/>
    <x v="3"/>
    <x v="9"/>
    <n v="0"/>
    <x v="0"/>
  </r>
  <r>
    <x v="3"/>
    <x v="3"/>
    <x v="3"/>
    <x v="10"/>
    <n v="0"/>
    <x v="0"/>
  </r>
  <r>
    <x v="3"/>
    <x v="3"/>
    <x v="3"/>
    <x v="11"/>
    <n v="0"/>
    <x v="0"/>
  </r>
  <r>
    <x v="3"/>
    <x v="3"/>
    <x v="4"/>
    <x v="0"/>
    <n v="1"/>
    <x v="1"/>
  </r>
  <r>
    <x v="3"/>
    <x v="3"/>
    <x v="4"/>
    <x v="1"/>
    <n v="0"/>
    <x v="1"/>
  </r>
  <r>
    <x v="3"/>
    <x v="3"/>
    <x v="4"/>
    <x v="2"/>
    <n v="0"/>
    <x v="1"/>
  </r>
  <r>
    <x v="3"/>
    <x v="3"/>
    <x v="4"/>
    <x v="3"/>
    <n v="0"/>
    <x v="1"/>
  </r>
  <r>
    <x v="3"/>
    <x v="3"/>
    <x v="4"/>
    <x v="4"/>
    <n v="0"/>
    <x v="1"/>
  </r>
  <r>
    <x v="3"/>
    <x v="3"/>
    <x v="4"/>
    <x v="5"/>
    <n v="0"/>
    <x v="1"/>
  </r>
  <r>
    <x v="3"/>
    <x v="3"/>
    <x v="4"/>
    <x v="6"/>
    <n v="0"/>
    <x v="1"/>
  </r>
  <r>
    <x v="3"/>
    <x v="3"/>
    <x v="4"/>
    <x v="7"/>
    <n v="0"/>
    <x v="1"/>
  </r>
  <r>
    <x v="3"/>
    <x v="3"/>
    <x v="4"/>
    <x v="8"/>
    <n v="0"/>
    <x v="1"/>
  </r>
  <r>
    <x v="3"/>
    <x v="3"/>
    <x v="4"/>
    <x v="9"/>
    <n v="0"/>
    <x v="1"/>
  </r>
  <r>
    <x v="3"/>
    <x v="3"/>
    <x v="4"/>
    <x v="10"/>
    <n v="0"/>
    <x v="1"/>
  </r>
  <r>
    <x v="3"/>
    <x v="3"/>
    <x v="4"/>
    <x v="11"/>
    <n v="0"/>
    <x v="1"/>
  </r>
  <r>
    <x v="3"/>
    <x v="3"/>
    <x v="5"/>
    <x v="0"/>
    <n v="1"/>
    <x v="1"/>
  </r>
  <r>
    <x v="3"/>
    <x v="3"/>
    <x v="6"/>
    <x v="0"/>
    <n v="1"/>
    <x v="1"/>
  </r>
  <r>
    <x v="3"/>
    <x v="4"/>
    <x v="0"/>
    <x v="0"/>
    <n v="1"/>
    <x v="0"/>
  </r>
  <r>
    <x v="3"/>
    <x v="4"/>
    <x v="0"/>
    <x v="1"/>
    <n v="0"/>
    <x v="0"/>
  </r>
  <r>
    <x v="3"/>
    <x v="4"/>
    <x v="0"/>
    <x v="2"/>
    <n v="0"/>
    <x v="0"/>
  </r>
  <r>
    <x v="3"/>
    <x v="4"/>
    <x v="0"/>
    <x v="3"/>
    <n v="0"/>
    <x v="0"/>
  </r>
  <r>
    <x v="3"/>
    <x v="4"/>
    <x v="0"/>
    <x v="4"/>
    <n v="0"/>
    <x v="0"/>
  </r>
  <r>
    <x v="3"/>
    <x v="4"/>
    <x v="0"/>
    <x v="5"/>
    <n v="0"/>
    <x v="0"/>
  </r>
  <r>
    <x v="3"/>
    <x v="4"/>
    <x v="0"/>
    <x v="6"/>
    <n v="0"/>
    <x v="0"/>
  </r>
  <r>
    <x v="3"/>
    <x v="4"/>
    <x v="0"/>
    <x v="7"/>
    <n v="0"/>
    <x v="0"/>
  </r>
  <r>
    <x v="3"/>
    <x v="4"/>
    <x v="0"/>
    <x v="8"/>
    <n v="0"/>
    <x v="0"/>
  </r>
  <r>
    <x v="3"/>
    <x v="4"/>
    <x v="0"/>
    <x v="9"/>
    <n v="0"/>
    <x v="0"/>
  </r>
  <r>
    <x v="3"/>
    <x v="4"/>
    <x v="0"/>
    <x v="10"/>
    <n v="0"/>
    <x v="0"/>
  </r>
  <r>
    <x v="3"/>
    <x v="4"/>
    <x v="0"/>
    <x v="11"/>
    <n v="0"/>
    <x v="0"/>
  </r>
  <r>
    <x v="3"/>
    <x v="4"/>
    <x v="1"/>
    <x v="0"/>
    <n v="1"/>
    <x v="0"/>
  </r>
  <r>
    <x v="3"/>
    <x v="4"/>
    <x v="1"/>
    <x v="1"/>
    <n v="0"/>
    <x v="0"/>
  </r>
  <r>
    <x v="3"/>
    <x v="4"/>
    <x v="1"/>
    <x v="2"/>
    <n v="0"/>
    <x v="0"/>
  </r>
  <r>
    <x v="3"/>
    <x v="4"/>
    <x v="1"/>
    <x v="3"/>
    <n v="0"/>
    <x v="0"/>
  </r>
  <r>
    <x v="3"/>
    <x v="4"/>
    <x v="1"/>
    <x v="4"/>
    <n v="0"/>
    <x v="0"/>
  </r>
  <r>
    <x v="3"/>
    <x v="4"/>
    <x v="1"/>
    <x v="5"/>
    <n v="0"/>
    <x v="0"/>
  </r>
  <r>
    <x v="3"/>
    <x v="4"/>
    <x v="1"/>
    <x v="6"/>
    <n v="0"/>
    <x v="0"/>
  </r>
  <r>
    <x v="3"/>
    <x v="4"/>
    <x v="1"/>
    <x v="7"/>
    <n v="0"/>
    <x v="0"/>
  </r>
  <r>
    <x v="3"/>
    <x v="4"/>
    <x v="1"/>
    <x v="8"/>
    <n v="0"/>
    <x v="0"/>
  </r>
  <r>
    <x v="3"/>
    <x v="4"/>
    <x v="1"/>
    <x v="9"/>
    <n v="0"/>
    <x v="0"/>
  </r>
  <r>
    <x v="3"/>
    <x v="4"/>
    <x v="1"/>
    <x v="10"/>
    <n v="0"/>
    <x v="0"/>
  </r>
  <r>
    <x v="3"/>
    <x v="4"/>
    <x v="1"/>
    <x v="11"/>
    <n v="0"/>
    <x v="0"/>
  </r>
  <r>
    <x v="3"/>
    <x v="4"/>
    <x v="2"/>
    <x v="0"/>
    <n v="1"/>
    <x v="0"/>
  </r>
  <r>
    <x v="3"/>
    <x v="4"/>
    <x v="2"/>
    <x v="1"/>
    <n v="0"/>
    <x v="0"/>
  </r>
  <r>
    <x v="3"/>
    <x v="4"/>
    <x v="2"/>
    <x v="2"/>
    <n v="0"/>
    <x v="0"/>
  </r>
  <r>
    <x v="3"/>
    <x v="4"/>
    <x v="2"/>
    <x v="3"/>
    <n v="0"/>
    <x v="0"/>
  </r>
  <r>
    <x v="3"/>
    <x v="4"/>
    <x v="2"/>
    <x v="4"/>
    <n v="0"/>
    <x v="0"/>
  </r>
  <r>
    <x v="3"/>
    <x v="4"/>
    <x v="2"/>
    <x v="5"/>
    <n v="0"/>
    <x v="0"/>
  </r>
  <r>
    <x v="3"/>
    <x v="4"/>
    <x v="2"/>
    <x v="6"/>
    <n v="0"/>
    <x v="0"/>
  </r>
  <r>
    <x v="3"/>
    <x v="4"/>
    <x v="2"/>
    <x v="7"/>
    <n v="0"/>
    <x v="0"/>
  </r>
  <r>
    <x v="3"/>
    <x v="4"/>
    <x v="2"/>
    <x v="8"/>
    <n v="0"/>
    <x v="0"/>
  </r>
  <r>
    <x v="3"/>
    <x v="4"/>
    <x v="2"/>
    <x v="9"/>
    <n v="0"/>
    <x v="0"/>
  </r>
  <r>
    <x v="3"/>
    <x v="4"/>
    <x v="2"/>
    <x v="10"/>
    <n v="0"/>
    <x v="0"/>
  </r>
  <r>
    <x v="3"/>
    <x v="4"/>
    <x v="2"/>
    <x v="11"/>
    <n v="0"/>
    <x v="0"/>
  </r>
  <r>
    <x v="3"/>
    <x v="4"/>
    <x v="3"/>
    <x v="0"/>
    <n v="1"/>
    <x v="0"/>
  </r>
  <r>
    <x v="3"/>
    <x v="4"/>
    <x v="3"/>
    <x v="1"/>
    <n v="0"/>
    <x v="0"/>
  </r>
  <r>
    <x v="3"/>
    <x v="4"/>
    <x v="3"/>
    <x v="2"/>
    <n v="0"/>
    <x v="0"/>
  </r>
  <r>
    <x v="3"/>
    <x v="4"/>
    <x v="3"/>
    <x v="3"/>
    <n v="0"/>
    <x v="0"/>
  </r>
  <r>
    <x v="3"/>
    <x v="4"/>
    <x v="3"/>
    <x v="4"/>
    <n v="0"/>
    <x v="0"/>
  </r>
  <r>
    <x v="3"/>
    <x v="4"/>
    <x v="3"/>
    <x v="5"/>
    <n v="0"/>
    <x v="0"/>
  </r>
  <r>
    <x v="3"/>
    <x v="4"/>
    <x v="3"/>
    <x v="6"/>
    <n v="0"/>
    <x v="0"/>
  </r>
  <r>
    <x v="3"/>
    <x v="4"/>
    <x v="3"/>
    <x v="7"/>
    <n v="0"/>
    <x v="0"/>
  </r>
  <r>
    <x v="3"/>
    <x v="4"/>
    <x v="3"/>
    <x v="8"/>
    <n v="0"/>
    <x v="0"/>
  </r>
  <r>
    <x v="3"/>
    <x v="4"/>
    <x v="3"/>
    <x v="9"/>
    <n v="0"/>
    <x v="0"/>
  </r>
  <r>
    <x v="3"/>
    <x v="4"/>
    <x v="3"/>
    <x v="10"/>
    <n v="0"/>
    <x v="0"/>
  </r>
  <r>
    <x v="3"/>
    <x v="4"/>
    <x v="3"/>
    <x v="11"/>
    <n v="0"/>
    <x v="0"/>
  </r>
  <r>
    <x v="3"/>
    <x v="4"/>
    <x v="4"/>
    <x v="0"/>
    <n v="0"/>
    <x v="1"/>
  </r>
  <r>
    <x v="3"/>
    <x v="4"/>
    <x v="4"/>
    <x v="1"/>
    <n v="0"/>
    <x v="1"/>
  </r>
  <r>
    <x v="3"/>
    <x v="4"/>
    <x v="4"/>
    <x v="2"/>
    <n v="0"/>
    <x v="1"/>
  </r>
  <r>
    <x v="3"/>
    <x v="4"/>
    <x v="4"/>
    <x v="3"/>
    <n v="0"/>
    <x v="1"/>
  </r>
  <r>
    <x v="3"/>
    <x v="4"/>
    <x v="4"/>
    <x v="4"/>
    <n v="0"/>
    <x v="1"/>
  </r>
  <r>
    <x v="3"/>
    <x v="4"/>
    <x v="4"/>
    <x v="5"/>
    <n v="0"/>
    <x v="1"/>
  </r>
  <r>
    <x v="3"/>
    <x v="4"/>
    <x v="4"/>
    <x v="6"/>
    <n v="0"/>
    <x v="1"/>
  </r>
  <r>
    <x v="3"/>
    <x v="4"/>
    <x v="4"/>
    <x v="7"/>
    <n v="0"/>
    <x v="1"/>
  </r>
  <r>
    <x v="3"/>
    <x v="4"/>
    <x v="4"/>
    <x v="8"/>
    <n v="0"/>
    <x v="1"/>
  </r>
  <r>
    <x v="3"/>
    <x v="4"/>
    <x v="4"/>
    <x v="9"/>
    <n v="0"/>
    <x v="1"/>
  </r>
  <r>
    <x v="3"/>
    <x v="4"/>
    <x v="4"/>
    <x v="10"/>
    <n v="0"/>
    <x v="1"/>
  </r>
  <r>
    <x v="3"/>
    <x v="4"/>
    <x v="4"/>
    <x v="11"/>
    <n v="0"/>
    <x v="1"/>
  </r>
  <r>
    <x v="3"/>
    <x v="4"/>
    <x v="5"/>
    <x v="0"/>
    <n v="0"/>
    <x v="1"/>
  </r>
  <r>
    <x v="3"/>
    <x v="4"/>
    <x v="6"/>
    <x v="0"/>
    <n v="0"/>
    <x v="1"/>
  </r>
  <r>
    <x v="3"/>
    <x v="5"/>
    <x v="0"/>
    <x v="0"/>
    <n v="1"/>
    <x v="0"/>
  </r>
  <r>
    <x v="3"/>
    <x v="5"/>
    <x v="0"/>
    <x v="1"/>
    <n v="0"/>
    <x v="0"/>
  </r>
  <r>
    <x v="3"/>
    <x v="5"/>
    <x v="0"/>
    <x v="2"/>
    <n v="0"/>
    <x v="0"/>
  </r>
  <r>
    <x v="3"/>
    <x v="5"/>
    <x v="0"/>
    <x v="3"/>
    <n v="0"/>
    <x v="0"/>
  </r>
  <r>
    <x v="3"/>
    <x v="5"/>
    <x v="0"/>
    <x v="4"/>
    <n v="0"/>
    <x v="0"/>
  </r>
  <r>
    <x v="3"/>
    <x v="5"/>
    <x v="0"/>
    <x v="5"/>
    <n v="0"/>
    <x v="0"/>
  </r>
  <r>
    <x v="3"/>
    <x v="5"/>
    <x v="0"/>
    <x v="6"/>
    <n v="0"/>
    <x v="0"/>
  </r>
  <r>
    <x v="3"/>
    <x v="5"/>
    <x v="0"/>
    <x v="7"/>
    <n v="0"/>
    <x v="0"/>
  </r>
  <r>
    <x v="3"/>
    <x v="5"/>
    <x v="0"/>
    <x v="8"/>
    <n v="0"/>
    <x v="0"/>
  </r>
  <r>
    <x v="3"/>
    <x v="5"/>
    <x v="0"/>
    <x v="9"/>
    <n v="0"/>
    <x v="0"/>
  </r>
  <r>
    <x v="3"/>
    <x v="5"/>
    <x v="0"/>
    <x v="10"/>
    <n v="0"/>
    <x v="0"/>
  </r>
  <r>
    <x v="3"/>
    <x v="5"/>
    <x v="0"/>
    <x v="11"/>
    <n v="0"/>
    <x v="0"/>
  </r>
  <r>
    <x v="3"/>
    <x v="5"/>
    <x v="1"/>
    <x v="0"/>
    <n v="1"/>
    <x v="0"/>
  </r>
  <r>
    <x v="3"/>
    <x v="5"/>
    <x v="1"/>
    <x v="1"/>
    <n v="0"/>
    <x v="0"/>
  </r>
  <r>
    <x v="3"/>
    <x v="5"/>
    <x v="1"/>
    <x v="2"/>
    <n v="0"/>
    <x v="0"/>
  </r>
  <r>
    <x v="3"/>
    <x v="5"/>
    <x v="1"/>
    <x v="3"/>
    <n v="0"/>
    <x v="0"/>
  </r>
  <r>
    <x v="3"/>
    <x v="5"/>
    <x v="1"/>
    <x v="4"/>
    <n v="0"/>
    <x v="0"/>
  </r>
  <r>
    <x v="3"/>
    <x v="5"/>
    <x v="1"/>
    <x v="5"/>
    <n v="0"/>
    <x v="0"/>
  </r>
  <r>
    <x v="3"/>
    <x v="5"/>
    <x v="1"/>
    <x v="6"/>
    <n v="0"/>
    <x v="0"/>
  </r>
  <r>
    <x v="3"/>
    <x v="5"/>
    <x v="1"/>
    <x v="7"/>
    <n v="0"/>
    <x v="0"/>
  </r>
  <r>
    <x v="3"/>
    <x v="5"/>
    <x v="1"/>
    <x v="8"/>
    <n v="0"/>
    <x v="0"/>
  </r>
  <r>
    <x v="3"/>
    <x v="5"/>
    <x v="1"/>
    <x v="9"/>
    <n v="0"/>
    <x v="0"/>
  </r>
  <r>
    <x v="3"/>
    <x v="5"/>
    <x v="1"/>
    <x v="10"/>
    <n v="0"/>
    <x v="0"/>
  </r>
  <r>
    <x v="3"/>
    <x v="5"/>
    <x v="1"/>
    <x v="11"/>
    <n v="0"/>
    <x v="0"/>
  </r>
  <r>
    <x v="3"/>
    <x v="5"/>
    <x v="2"/>
    <x v="0"/>
    <n v="0"/>
    <x v="0"/>
  </r>
  <r>
    <x v="3"/>
    <x v="5"/>
    <x v="2"/>
    <x v="1"/>
    <n v="0"/>
    <x v="0"/>
  </r>
  <r>
    <x v="3"/>
    <x v="5"/>
    <x v="2"/>
    <x v="2"/>
    <n v="0"/>
    <x v="0"/>
  </r>
  <r>
    <x v="3"/>
    <x v="5"/>
    <x v="2"/>
    <x v="3"/>
    <n v="0"/>
    <x v="0"/>
  </r>
  <r>
    <x v="3"/>
    <x v="5"/>
    <x v="2"/>
    <x v="4"/>
    <n v="0"/>
    <x v="0"/>
  </r>
  <r>
    <x v="3"/>
    <x v="5"/>
    <x v="2"/>
    <x v="5"/>
    <n v="0"/>
    <x v="0"/>
  </r>
  <r>
    <x v="3"/>
    <x v="5"/>
    <x v="2"/>
    <x v="6"/>
    <n v="0"/>
    <x v="0"/>
  </r>
  <r>
    <x v="3"/>
    <x v="5"/>
    <x v="2"/>
    <x v="7"/>
    <n v="0"/>
    <x v="0"/>
  </r>
  <r>
    <x v="3"/>
    <x v="5"/>
    <x v="2"/>
    <x v="8"/>
    <n v="0"/>
    <x v="0"/>
  </r>
  <r>
    <x v="3"/>
    <x v="5"/>
    <x v="2"/>
    <x v="9"/>
    <n v="0"/>
    <x v="0"/>
  </r>
  <r>
    <x v="3"/>
    <x v="5"/>
    <x v="2"/>
    <x v="10"/>
    <n v="0"/>
    <x v="0"/>
  </r>
  <r>
    <x v="3"/>
    <x v="5"/>
    <x v="2"/>
    <x v="11"/>
    <n v="0"/>
    <x v="0"/>
  </r>
  <r>
    <x v="3"/>
    <x v="5"/>
    <x v="3"/>
    <x v="0"/>
    <n v="0"/>
    <x v="0"/>
  </r>
  <r>
    <x v="3"/>
    <x v="5"/>
    <x v="3"/>
    <x v="1"/>
    <n v="0"/>
    <x v="0"/>
  </r>
  <r>
    <x v="3"/>
    <x v="5"/>
    <x v="3"/>
    <x v="2"/>
    <n v="0"/>
    <x v="0"/>
  </r>
  <r>
    <x v="3"/>
    <x v="5"/>
    <x v="3"/>
    <x v="3"/>
    <n v="0"/>
    <x v="0"/>
  </r>
  <r>
    <x v="3"/>
    <x v="5"/>
    <x v="3"/>
    <x v="4"/>
    <n v="0"/>
    <x v="0"/>
  </r>
  <r>
    <x v="3"/>
    <x v="5"/>
    <x v="3"/>
    <x v="5"/>
    <n v="0"/>
    <x v="0"/>
  </r>
  <r>
    <x v="3"/>
    <x v="5"/>
    <x v="3"/>
    <x v="6"/>
    <n v="0"/>
    <x v="0"/>
  </r>
  <r>
    <x v="3"/>
    <x v="5"/>
    <x v="3"/>
    <x v="7"/>
    <n v="0"/>
    <x v="0"/>
  </r>
  <r>
    <x v="3"/>
    <x v="5"/>
    <x v="3"/>
    <x v="8"/>
    <n v="0"/>
    <x v="0"/>
  </r>
  <r>
    <x v="3"/>
    <x v="5"/>
    <x v="3"/>
    <x v="9"/>
    <n v="0"/>
    <x v="0"/>
  </r>
  <r>
    <x v="3"/>
    <x v="5"/>
    <x v="3"/>
    <x v="10"/>
    <n v="0"/>
    <x v="0"/>
  </r>
  <r>
    <x v="3"/>
    <x v="5"/>
    <x v="3"/>
    <x v="11"/>
    <n v="0"/>
    <x v="0"/>
  </r>
  <r>
    <x v="3"/>
    <x v="5"/>
    <x v="4"/>
    <x v="0"/>
    <n v="1"/>
    <x v="1"/>
  </r>
  <r>
    <x v="3"/>
    <x v="5"/>
    <x v="4"/>
    <x v="1"/>
    <n v="0"/>
    <x v="1"/>
  </r>
  <r>
    <x v="3"/>
    <x v="5"/>
    <x v="4"/>
    <x v="2"/>
    <n v="0"/>
    <x v="1"/>
  </r>
  <r>
    <x v="3"/>
    <x v="5"/>
    <x v="4"/>
    <x v="3"/>
    <n v="0"/>
    <x v="1"/>
  </r>
  <r>
    <x v="3"/>
    <x v="5"/>
    <x v="4"/>
    <x v="4"/>
    <n v="0"/>
    <x v="1"/>
  </r>
  <r>
    <x v="3"/>
    <x v="5"/>
    <x v="4"/>
    <x v="5"/>
    <n v="0"/>
    <x v="1"/>
  </r>
  <r>
    <x v="3"/>
    <x v="5"/>
    <x v="4"/>
    <x v="6"/>
    <n v="0"/>
    <x v="1"/>
  </r>
  <r>
    <x v="3"/>
    <x v="5"/>
    <x v="4"/>
    <x v="7"/>
    <n v="0"/>
    <x v="1"/>
  </r>
  <r>
    <x v="3"/>
    <x v="5"/>
    <x v="4"/>
    <x v="8"/>
    <n v="0"/>
    <x v="1"/>
  </r>
  <r>
    <x v="3"/>
    <x v="5"/>
    <x v="4"/>
    <x v="9"/>
    <n v="0"/>
    <x v="1"/>
  </r>
  <r>
    <x v="3"/>
    <x v="5"/>
    <x v="4"/>
    <x v="10"/>
    <n v="0"/>
    <x v="1"/>
  </r>
  <r>
    <x v="3"/>
    <x v="5"/>
    <x v="4"/>
    <x v="11"/>
    <n v="0"/>
    <x v="1"/>
  </r>
  <r>
    <x v="3"/>
    <x v="5"/>
    <x v="5"/>
    <x v="0"/>
    <n v="1"/>
    <x v="1"/>
  </r>
  <r>
    <x v="3"/>
    <x v="5"/>
    <x v="6"/>
    <x v="0"/>
    <n v="1"/>
    <x v="1"/>
  </r>
  <r>
    <x v="3"/>
    <x v="6"/>
    <x v="0"/>
    <x v="0"/>
    <n v="0"/>
    <x v="0"/>
  </r>
  <r>
    <x v="3"/>
    <x v="6"/>
    <x v="0"/>
    <x v="1"/>
    <n v="0"/>
    <x v="0"/>
  </r>
  <r>
    <x v="3"/>
    <x v="6"/>
    <x v="0"/>
    <x v="2"/>
    <n v="0"/>
    <x v="0"/>
  </r>
  <r>
    <x v="3"/>
    <x v="6"/>
    <x v="0"/>
    <x v="3"/>
    <n v="0"/>
    <x v="0"/>
  </r>
  <r>
    <x v="3"/>
    <x v="6"/>
    <x v="0"/>
    <x v="4"/>
    <n v="0"/>
    <x v="0"/>
  </r>
  <r>
    <x v="3"/>
    <x v="6"/>
    <x v="0"/>
    <x v="5"/>
    <n v="0"/>
    <x v="0"/>
  </r>
  <r>
    <x v="3"/>
    <x v="6"/>
    <x v="0"/>
    <x v="6"/>
    <n v="0"/>
    <x v="0"/>
  </r>
  <r>
    <x v="3"/>
    <x v="6"/>
    <x v="0"/>
    <x v="7"/>
    <n v="0"/>
    <x v="0"/>
  </r>
  <r>
    <x v="3"/>
    <x v="6"/>
    <x v="0"/>
    <x v="8"/>
    <n v="0"/>
    <x v="0"/>
  </r>
  <r>
    <x v="3"/>
    <x v="6"/>
    <x v="0"/>
    <x v="9"/>
    <n v="0"/>
    <x v="0"/>
  </r>
  <r>
    <x v="3"/>
    <x v="6"/>
    <x v="0"/>
    <x v="10"/>
    <n v="0"/>
    <x v="0"/>
  </r>
  <r>
    <x v="3"/>
    <x v="6"/>
    <x v="0"/>
    <x v="11"/>
    <n v="0"/>
    <x v="0"/>
  </r>
  <r>
    <x v="3"/>
    <x v="6"/>
    <x v="1"/>
    <x v="0"/>
    <n v="0"/>
    <x v="0"/>
  </r>
  <r>
    <x v="3"/>
    <x v="6"/>
    <x v="1"/>
    <x v="1"/>
    <n v="0"/>
    <x v="0"/>
  </r>
  <r>
    <x v="3"/>
    <x v="6"/>
    <x v="1"/>
    <x v="2"/>
    <n v="0"/>
    <x v="0"/>
  </r>
  <r>
    <x v="3"/>
    <x v="6"/>
    <x v="1"/>
    <x v="3"/>
    <n v="0"/>
    <x v="0"/>
  </r>
  <r>
    <x v="3"/>
    <x v="6"/>
    <x v="1"/>
    <x v="4"/>
    <n v="0"/>
    <x v="0"/>
  </r>
  <r>
    <x v="3"/>
    <x v="6"/>
    <x v="1"/>
    <x v="5"/>
    <n v="0"/>
    <x v="0"/>
  </r>
  <r>
    <x v="3"/>
    <x v="6"/>
    <x v="1"/>
    <x v="6"/>
    <n v="0"/>
    <x v="0"/>
  </r>
  <r>
    <x v="3"/>
    <x v="6"/>
    <x v="1"/>
    <x v="7"/>
    <n v="0"/>
    <x v="0"/>
  </r>
  <r>
    <x v="3"/>
    <x v="6"/>
    <x v="1"/>
    <x v="8"/>
    <n v="0"/>
    <x v="0"/>
  </r>
  <r>
    <x v="3"/>
    <x v="6"/>
    <x v="1"/>
    <x v="9"/>
    <n v="0"/>
    <x v="0"/>
  </r>
  <r>
    <x v="3"/>
    <x v="6"/>
    <x v="1"/>
    <x v="10"/>
    <n v="0"/>
    <x v="0"/>
  </r>
  <r>
    <x v="3"/>
    <x v="6"/>
    <x v="1"/>
    <x v="11"/>
    <n v="0"/>
    <x v="0"/>
  </r>
  <r>
    <x v="3"/>
    <x v="6"/>
    <x v="2"/>
    <x v="0"/>
    <n v="1"/>
    <x v="0"/>
  </r>
  <r>
    <x v="3"/>
    <x v="6"/>
    <x v="2"/>
    <x v="1"/>
    <n v="0"/>
    <x v="0"/>
  </r>
  <r>
    <x v="3"/>
    <x v="6"/>
    <x v="2"/>
    <x v="2"/>
    <n v="0"/>
    <x v="0"/>
  </r>
  <r>
    <x v="3"/>
    <x v="6"/>
    <x v="2"/>
    <x v="3"/>
    <n v="0"/>
    <x v="0"/>
  </r>
  <r>
    <x v="3"/>
    <x v="6"/>
    <x v="2"/>
    <x v="4"/>
    <n v="0"/>
    <x v="0"/>
  </r>
  <r>
    <x v="3"/>
    <x v="6"/>
    <x v="2"/>
    <x v="5"/>
    <n v="0"/>
    <x v="0"/>
  </r>
  <r>
    <x v="3"/>
    <x v="6"/>
    <x v="2"/>
    <x v="6"/>
    <n v="0"/>
    <x v="0"/>
  </r>
  <r>
    <x v="3"/>
    <x v="6"/>
    <x v="2"/>
    <x v="7"/>
    <n v="0"/>
    <x v="0"/>
  </r>
  <r>
    <x v="3"/>
    <x v="6"/>
    <x v="2"/>
    <x v="8"/>
    <n v="0"/>
    <x v="0"/>
  </r>
  <r>
    <x v="3"/>
    <x v="6"/>
    <x v="2"/>
    <x v="9"/>
    <n v="0"/>
    <x v="0"/>
  </r>
  <r>
    <x v="3"/>
    <x v="6"/>
    <x v="2"/>
    <x v="10"/>
    <n v="0"/>
    <x v="0"/>
  </r>
  <r>
    <x v="3"/>
    <x v="6"/>
    <x v="2"/>
    <x v="11"/>
    <n v="0"/>
    <x v="0"/>
  </r>
  <r>
    <x v="3"/>
    <x v="6"/>
    <x v="3"/>
    <x v="0"/>
    <n v="1"/>
    <x v="0"/>
  </r>
  <r>
    <x v="3"/>
    <x v="6"/>
    <x v="3"/>
    <x v="1"/>
    <n v="0"/>
    <x v="0"/>
  </r>
  <r>
    <x v="3"/>
    <x v="6"/>
    <x v="3"/>
    <x v="2"/>
    <n v="0"/>
    <x v="0"/>
  </r>
  <r>
    <x v="3"/>
    <x v="6"/>
    <x v="3"/>
    <x v="3"/>
    <n v="0"/>
    <x v="0"/>
  </r>
  <r>
    <x v="3"/>
    <x v="6"/>
    <x v="3"/>
    <x v="4"/>
    <n v="0"/>
    <x v="0"/>
  </r>
  <r>
    <x v="3"/>
    <x v="6"/>
    <x v="3"/>
    <x v="5"/>
    <n v="0"/>
    <x v="0"/>
  </r>
  <r>
    <x v="3"/>
    <x v="6"/>
    <x v="3"/>
    <x v="6"/>
    <n v="0"/>
    <x v="0"/>
  </r>
  <r>
    <x v="3"/>
    <x v="6"/>
    <x v="3"/>
    <x v="7"/>
    <n v="0"/>
    <x v="0"/>
  </r>
  <r>
    <x v="3"/>
    <x v="6"/>
    <x v="3"/>
    <x v="8"/>
    <n v="0"/>
    <x v="0"/>
  </r>
  <r>
    <x v="3"/>
    <x v="6"/>
    <x v="3"/>
    <x v="9"/>
    <n v="0"/>
    <x v="0"/>
  </r>
  <r>
    <x v="3"/>
    <x v="6"/>
    <x v="3"/>
    <x v="10"/>
    <n v="0"/>
    <x v="0"/>
  </r>
  <r>
    <x v="3"/>
    <x v="6"/>
    <x v="3"/>
    <x v="11"/>
    <n v="0"/>
    <x v="0"/>
  </r>
  <r>
    <x v="3"/>
    <x v="6"/>
    <x v="4"/>
    <x v="0"/>
    <n v="0"/>
    <x v="1"/>
  </r>
  <r>
    <x v="3"/>
    <x v="6"/>
    <x v="4"/>
    <x v="1"/>
    <n v="0"/>
    <x v="1"/>
  </r>
  <r>
    <x v="3"/>
    <x v="6"/>
    <x v="4"/>
    <x v="2"/>
    <n v="0"/>
    <x v="1"/>
  </r>
  <r>
    <x v="3"/>
    <x v="6"/>
    <x v="4"/>
    <x v="3"/>
    <n v="0"/>
    <x v="1"/>
  </r>
  <r>
    <x v="3"/>
    <x v="6"/>
    <x v="4"/>
    <x v="4"/>
    <n v="0"/>
    <x v="1"/>
  </r>
  <r>
    <x v="3"/>
    <x v="6"/>
    <x v="4"/>
    <x v="5"/>
    <n v="0"/>
    <x v="1"/>
  </r>
  <r>
    <x v="3"/>
    <x v="6"/>
    <x v="4"/>
    <x v="6"/>
    <n v="0"/>
    <x v="1"/>
  </r>
  <r>
    <x v="3"/>
    <x v="6"/>
    <x v="4"/>
    <x v="7"/>
    <n v="0"/>
    <x v="1"/>
  </r>
  <r>
    <x v="3"/>
    <x v="6"/>
    <x v="4"/>
    <x v="8"/>
    <n v="0"/>
    <x v="1"/>
  </r>
  <r>
    <x v="3"/>
    <x v="6"/>
    <x v="4"/>
    <x v="9"/>
    <n v="0"/>
    <x v="1"/>
  </r>
  <r>
    <x v="3"/>
    <x v="6"/>
    <x v="4"/>
    <x v="10"/>
    <n v="0"/>
    <x v="1"/>
  </r>
  <r>
    <x v="3"/>
    <x v="6"/>
    <x v="4"/>
    <x v="11"/>
    <n v="0"/>
    <x v="1"/>
  </r>
  <r>
    <x v="3"/>
    <x v="6"/>
    <x v="5"/>
    <x v="0"/>
    <n v="0"/>
    <x v="1"/>
  </r>
  <r>
    <x v="3"/>
    <x v="6"/>
    <x v="6"/>
    <x v="0"/>
    <n v="0"/>
    <x v="1"/>
  </r>
  <r>
    <x v="3"/>
    <x v="7"/>
    <x v="0"/>
    <x v="0"/>
    <n v="1"/>
    <x v="0"/>
  </r>
  <r>
    <x v="3"/>
    <x v="7"/>
    <x v="0"/>
    <x v="1"/>
    <n v="0"/>
    <x v="0"/>
  </r>
  <r>
    <x v="3"/>
    <x v="7"/>
    <x v="0"/>
    <x v="2"/>
    <n v="0"/>
    <x v="0"/>
  </r>
  <r>
    <x v="3"/>
    <x v="7"/>
    <x v="0"/>
    <x v="3"/>
    <n v="0"/>
    <x v="0"/>
  </r>
  <r>
    <x v="3"/>
    <x v="7"/>
    <x v="0"/>
    <x v="4"/>
    <n v="0"/>
    <x v="0"/>
  </r>
  <r>
    <x v="3"/>
    <x v="7"/>
    <x v="0"/>
    <x v="5"/>
    <n v="0"/>
    <x v="0"/>
  </r>
  <r>
    <x v="3"/>
    <x v="7"/>
    <x v="0"/>
    <x v="6"/>
    <n v="0"/>
    <x v="0"/>
  </r>
  <r>
    <x v="3"/>
    <x v="7"/>
    <x v="0"/>
    <x v="7"/>
    <n v="0"/>
    <x v="0"/>
  </r>
  <r>
    <x v="3"/>
    <x v="7"/>
    <x v="0"/>
    <x v="8"/>
    <n v="0"/>
    <x v="0"/>
  </r>
  <r>
    <x v="3"/>
    <x v="7"/>
    <x v="0"/>
    <x v="9"/>
    <n v="0"/>
    <x v="0"/>
  </r>
  <r>
    <x v="3"/>
    <x v="7"/>
    <x v="0"/>
    <x v="10"/>
    <n v="0"/>
    <x v="0"/>
  </r>
  <r>
    <x v="3"/>
    <x v="7"/>
    <x v="0"/>
    <x v="11"/>
    <n v="0"/>
    <x v="0"/>
  </r>
  <r>
    <x v="3"/>
    <x v="7"/>
    <x v="1"/>
    <x v="0"/>
    <n v="1"/>
    <x v="0"/>
  </r>
  <r>
    <x v="3"/>
    <x v="7"/>
    <x v="1"/>
    <x v="1"/>
    <n v="0"/>
    <x v="0"/>
  </r>
  <r>
    <x v="3"/>
    <x v="7"/>
    <x v="1"/>
    <x v="2"/>
    <n v="0"/>
    <x v="0"/>
  </r>
  <r>
    <x v="3"/>
    <x v="7"/>
    <x v="1"/>
    <x v="3"/>
    <n v="0"/>
    <x v="0"/>
  </r>
  <r>
    <x v="3"/>
    <x v="7"/>
    <x v="1"/>
    <x v="4"/>
    <n v="0"/>
    <x v="0"/>
  </r>
  <r>
    <x v="3"/>
    <x v="7"/>
    <x v="1"/>
    <x v="5"/>
    <n v="0"/>
    <x v="0"/>
  </r>
  <r>
    <x v="3"/>
    <x v="7"/>
    <x v="1"/>
    <x v="6"/>
    <n v="0"/>
    <x v="0"/>
  </r>
  <r>
    <x v="3"/>
    <x v="7"/>
    <x v="1"/>
    <x v="7"/>
    <n v="0"/>
    <x v="0"/>
  </r>
  <r>
    <x v="3"/>
    <x v="7"/>
    <x v="1"/>
    <x v="8"/>
    <n v="0"/>
    <x v="0"/>
  </r>
  <r>
    <x v="3"/>
    <x v="7"/>
    <x v="1"/>
    <x v="9"/>
    <n v="0"/>
    <x v="0"/>
  </r>
  <r>
    <x v="3"/>
    <x v="7"/>
    <x v="1"/>
    <x v="10"/>
    <n v="0"/>
    <x v="0"/>
  </r>
  <r>
    <x v="3"/>
    <x v="7"/>
    <x v="1"/>
    <x v="11"/>
    <n v="0"/>
    <x v="0"/>
  </r>
  <r>
    <x v="3"/>
    <x v="7"/>
    <x v="2"/>
    <x v="0"/>
    <n v="1"/>
    <x v="0"/>
  </r>
  <r>
    <x v="3"/>
    <x v="7"/>
    <x v="2"/>
    <x v="1"/>
    <n v="0"/>
    <x v="0"/>
  </r>
  <r>
    <x v="3"/>
    <x v="7"/>
    <x v="2"/>
    <x v="2"/>
    <n v="0"/>
    <x v="0"/>
  </r>
  <r>
    <x v="3"/>
    <x v="7"/>
    <x v="2"/>
    <x v="3"/>
    <n v="0"/>
    <x v="0"/>
  </r>
  <r>
    <x v="3"/>
    <x v="7"/>
    <x v="2"/>
    <x v="4"/>
    <n v="0"/>
    <x v="0"/>
  </r>
  <r>
    <x v="3"/>
    <x v="7"/>
    <x v="2"/>
    <x v="5"/>
    <n v="0"/>
    <x v="0"/>
  </r>
  <r>
    <x v="3"/>
    <x v="7"/>
    <x v="2"/>
    <x v="6"/>
    <n v="0"/>
    <x v="0"/>
  </r>
  <r>
    <x v="3"/>
    <x v="7"/>
    <x v="2"/>
    <x v="7"/>
    <n v="0"/>
    <x v="0"/>
  </r>
  <r>
    <x v="3"/>
    <x v="7"/>
    <x v="2"/>
    <x v="8"/>
    <n v="0"/>
    <x v="0"/>
  </r>
  <r>
    <x v="3"/>
    <x v="7"/>
    <x v="2"/>
    <x v="9"/>
    <n v="0"/>
    <x v="0"/>
  </r>
  <r>
    <x v="3"/>
    <x v="7"/>
    <x v="2"/>
    <x v="10"/>
    <n v="0"/>
    <x v="0"/>
  </r>
  <r>
    <x v="3"/>
    <x v="7"/>
    <x v="2"/>
    <x v="11"/>
    <n v="0"/>
    <x v="0"/>
  </r>
  <r>
    <x v="3"/>
    <x v="7"/>
    <x v="3"/>
    <x v="0"/>
    <n v="1"/>
    <x v="0"/>
  </r>
  <r>
    <x v="3"/>
    <x v="7"/>
    <x v="3"/>
    <x v="1"/>
    <n v="0"/>
    <x v="0"/>
  </r>
  <r>
    <x v="3"/>
    <x v="7"/>
    <x v="3"/>
    <x v="2"/>
    <n v="0"/>
    <x v="0"/>
  </r>
  <r>
    <x v="3"/>
    <x v="7"/>
    <x v="3"/>
    <x v="3"/>
    <n v="0"/>
    <x v="0"/>
  </r>
  <r>
    <x v="3"/>
    <x v="7"/>
    <x v="3"/>
    <x v="4"/>
    <n v="0"/>
    <x v="0"/>
  </r>
  <r>
    <x v="3"/>
    <x v="7"/>
    <x v="3"/>
    <x v="5"/>
    <n v="0"/>
    <x v="0"/>
  </r>
  <r>
    <x v="3"/>
    <x v="7"/>
    <x v="3"/>
    <x v="6"/>
    <n v="0"/>
    <x v="0"/>
  </r>
  <r>
    <x v="3"/>
    <x v="7"/>
    <x v="3"/>
    <x v="7"/>
    <n v="0"/>
    <x v="0"/>
  </r>
  <r>
    <x v="3"/>
    <x v="7"/>
    <x v="3"/>
    <x v="8"/>
    <n v="0"/>
    <x v="0"/>
  </r>
  <r>
    <x v="3"/>
    <x v="7"/>
    <x v="3"/>
    <x v="9"/>
    <n v="0"/>
    <x v="0"/>
  </r>
  <r>
    <x v="3"/>
    <x v="7"/>
    <x v="3"/>
    <x v="10"/>
    <n v="0"/>
    <x v="0"/>
  </r>
  <r>
    <x v="3"/>
    <x v="7"/>
    <x v="3"/>
    <x v="11"/>
    <n v="0"/>
    <x v="0"/>
  </r>
  <r>
    <x v="3"/>
    <x v="7"/>
    <x v="4"/>
    <x v="0"/>
    <n v="1"/>
    <x v="1"/>
  </r>
  <r>
    <x v="3"/>
    <x v="7"/>
    <x v="4"/>
    <x v="1"/>
    <n v="0"/>
    <x v="1"/>
  </r>
  <r>
    <x v="3"/>
    <x v="7"/>
    <x v="4"/>
    <x v="2"/>
    <n v="0"/>
    <x v="1"/>
  </r>
  <r>
    <x v="3"/>
    <x v="7"/>
    <x v="4"/>
    <x v="3"/>
    <n v="0"/>
    <x v="1"/>
  </r>
  <r>
    <x v="3"/>
    <x v="7"/>
    <x v="4"/>
    <x v="4"/>
    <n v="0"/>
    <x v="1"/>
  </r>
  <r>
    <x v="3"/>
    <x v="7"/>
    <x v="4"/>
    <x v="5"/>
    <n v="0"/>
    <x v="1"/>
  </r>
  <r>
    <x v="3"/>
    <x v="7"/>
    <x v="4"/>
    <x v="6"/>
    <n v="0"/>
    <x v="1"/>
  </r>
  <r>
    <x v="3"/>
    <x v="7"/>
    <x v="4"/>
    <x v="7"/>
    <n v="0"/>
    <x v="1"/>
  </r>
  <r>
    <x v="3"/>
    <x v="7"/>
    <x v="4"/>
    <x v="8"/>
    <n v="0"/>
    <x v="1"/>
  </r>
  <r>
    <x v="3"/>
    <x v="7"/>
    <x v="4"/>
    <x v="9"/>
    <n v="0"/>
    <x v="1"/>
  </r>
  <r>
    <x v="3"/>
    <x v="7"/>
    <x v="4"/>
    <x v="10"/>
    <n v="0"/>
    <x v="1"/>
  </r>
  <r>
    <x v="3"/>
    <x v="7"/>
    <x v="4"/>
    <x v="11"/>
    <n v="0"/>
    <x v="1"/>
  </r>
  <r>
    <x v="3"/>
    <x v="7"/>
    <x v="5"/>
    <x v="0"/>
    <n v="1"/>
    <x v="1"/>
  </r>
  <r>
    <x v="3"/>
    <x v="7"/>
    <x v="6"/>
    <x v="0"/>
    <n v="1"/>
    <x v="1"/>
  </r>
  <r>
    <x v="3"/>
    <x v="8"/>
    <x v="0"/>
    <x v="0"/>
    <n v="1"/>
    <x v="0"/>
  </r>
  <r>
    <x v="3"/>
    <x v="8"/>
    <x v="0"/>
    <x v="1"/>
    <n v="0"/>
    <x v="0"/>
  </r>
  <r>
    <x v="3"/>
    <x v="8"/>
    <x v="0"/>
    <x v="2"/>
    <n v="0"/>
    <x v="0"/>
  </r>
  <r>
    <x v="3"/>
    <x v="8"/>
    <x v="0"/>
    <x v="3"/>
    <n v="0"/>
    <x v="0"/>
  </r>
  <r>
    <x v="3"/>
    <x v="8"/>
    <x v="0"/>
    <x v="4"/>
    <n v="0"/>
    <x v="0"/>
  </r>
  <r>
    <x v="3"/>
    <x v="8"/>
    <x v="0"/>
    <x v="5"/>
    <n v="0"/>
    <x v="0"/>
  </r>
  <r>
    <x v="3"/>
    <x v="8"/>
    <x v="0"/>
    <x v="6"/>
    <n v="0"/>
    <x v="0"/>
  </r>
  <r>
    <x v="3"/>
    <x v="8"/>
    <x v="0"/>
    <x v="7"/>
    <n v="0"/>
    <x v="0"/>
  </r>
  <r>
    <x v="3"/>
    <x v="8"/>
    <x v="0"/>
    <x v="8"/>
    <n v="0"/>
    <x v="0"/>
  </r>
  <r>
    <x v="3"/>
    <x v="8"/>
    <x v="0"/>
    <x v="9"/>
    <n v="0"/>
    <x v="0"/>
  </r>
  <r>
    <x v="3"/>
    <x v="8"/>
    <x v="0"/>
    <x v="10"/>
    <n v="0"/>
    <x v="0"/>
  </r>
  <r>
    <x v="3"/>
    <x v="8"/>
    <x v="0"/>
    <x v="11"/>
    <n v="0"/>
    <x v="0"/>
  </r>
  <r>
    <x v="3"/>
    <x v="8"/>
    <x v="1"/>
    <x v="0"/>
    <n v="1"/>
    <x v="0"/>
  </r>
  <r>
    <x v="3"/>
    <x v="8"/>
    <x v="1"/>
    <x v="1"/>
    <n v="0"/>
    <x v="0"/>
  </r>
  <r>
    <x v="3"/>
    <x v="8"/>
    <x v="1"/>
    <x v="2"/>
    <n v="0"/>
    <x v="0"/>
  </r>
  <r>
    <x v="3"/>
    <x v="8"/>
    <x v="1"/>
    <x v="3"/>
    <n v="0"/>
    <x v="0"/>
  </r>
  <r>
    <x v="3"/>
    <x v="8"/>
    <x v="1"/>
    <x v="4"/>
    <n v="0"/>
    <x v="0"/>
  </r>
  <r>
    <x v="3"/>
    <x v="8"/>
    <x v="1"/>
    <x v="5"/>
    <n v="0"/>
    <x v="0"/>
  </r>
  <r>
    <x v="3"/>
    <x v="8"/>
    <x v="1"/>
    <x v="6"/>
    <n v="0"/>
    <x v="0"/>
  </r>
  <r>
    <x v="3"/>
    <x v="8"/>
    <x v="1"/>
    <x v="7"/>
    <n v="0"/>
    <x v="0"/>
  </r>
  <r>
    <x v="3"/>
    <x v="8"/>
    <x v="1"/>
    <x v="8"/>
    <n v="0"/>
    <x v="0"/>
  </r>
  <r>
    <x v="3"/>
    <x v="8"/>
    <x v="1"/>
    <x v="9"/>
    <n v="0"/>
    <x v="0"/>
  </r>
  <r>
    <x v="3"/>
    <x v="8"/>
    <x v="1"/>
    <x v="10"/>
    <n v="0"/>
    <x v="0"/>
  </r>
  <r>
    <x v="3"/>
    <x v="8"/>
    <x v="1"/>
    <x v="11"/>
    <n v="0"/>
    <x v="0"/>
  </r>
  <r>
    <x v="3"/>
    <x v="8"/>
    <x v="2"/>
    <x v="0"/>
    <n v="1"/>
    <x v="0"/>
  </r>
  <r>
    <x v="3"/>
    <x v="8"/>
    <x v="2"/>
    <x v="1"/>
    <n v="0"/>
    <x v="0"/>
  </r>
  <r>
    <x v="3"/>
    <x v="8"/>
    <x v="2"/>
    <x v="2"/>
    <n v="0"/>
    <x v="0"/>
  </r>
  <r>
    <x v="3"/>
    <x v="8"/>
    <x v="2"/>
    <x v="3"/>
    <n v="0"/>
    <x v="0"/>
  </r>
  <r>
    <x v="3"/>
    <x v="8"/>
    <x v="2"/>
    <x v="4"/>
    <n v="0"/>
    <x v="0"/>
  </r>
  <r>
    <x v="3"/>
    <x v="8"/>
    <x v="2"/>
    <x v="5"/>
    <n v="0"/>
    <x v="0"/>
  </r>
  <r>
    <x v="3"/>
    <x v="8"/>
    <x v="2"/>
    <x v="6"/>
    <n v="0"/>
    <x v="0"/>
  </r>
  <r>
    <x v="3"/>
    <x v="8"/>
    <x v="2"/>
    <x v="7"/>
    <n v="0"/>
    <x v="0"/>
  </r>
  <r>
    <x v="3"/>
    <x v="8"/>
    <x v="2"/>
    <x v="8"/>
    <n v="0"/>
    <x v="0"/>
  </r>
  <r>
    <x v="3"/>
    <x v="8"/>
    <x v="2"/>
    <x v="9"/>
    <n v="0"/>
    <x v="0"/>
  </r>
  <r>
    <x v="3"/>
    <x v="8"/>
    <x v="2"/>
    <x v="10"/>
    <n v="0"/>
    <x v="0"/>
  </r>
  <r>
    <x v="3"/>
    <x v="8"/>
    <x v="2"/>
    <x v="11"/>
    <n v="0"/>
    <x v="0"/>
  </r>
  <r>
    <x v="3"/>
    <x v="8"/>
    <x v="3"/>
    <x v="0"/>
    <n v="0"/>
    <x v="0"/>
  </r>
  <r>
    <x v="3"/>
    <x v="8"/>
    <x v="3"/>
    <x v="1"/>
    <n v="0"/>
    <x v="0"/>
  </r>
  <r>
    <x v="3"/>
    <x v="8"/>
    <x v="3"/>
    <x v="2"/>
    <n v="0"/>
    <x v="0"/>
  </r>
  <r>
    <x v="3"/>
    <x v="8"/>
    <x v="3"/>
    <x v="3"/>
    <n v="0"/>
    <x v="0"/>
  </r>
  <r>
    <x v="3"/>
    <x v="8"/>
    <x v="3"/>
    <x v="4"/>
    <n v="0"/>
    <x v="0"/>
  </r>
  <r>
    <x v="3"/>
    <x v="8"/>
    <x v="3"/>
    <x v="5"/>
    <n v="0"/>
    <x v="0"/>
  </r>
  <r>
    <x v="3"/>
    <x v="8"/>
    <x v="3"/>
    <x v="6"/>
    <n v="0"/>
    <x v="0"/>
  </r>
  <r>
    <x v="3"/>
    <x v="8"/>
    <x v="3"/>
    <x v="7"/>
    <n v="0"/>
    <x v="0"/>
  </r>
  <r>
    <x v="3"/>
    <x v="8"/>
    <x v="3"/>
    <x v="8"/>
    <n v="0"/>
    <x v="0"/>
  </r>
  <r>
    <x v="3"/>
    <x v="8"/>
    <x v="3"/>
    <x v="9"/>
    <n v="0"/>
    <x v="0"/>
  </r>
  <r>
    <x v="3"/>
    <x v="8"/>
    <x v="3"/>
    <x v="10"/>
    <n v="0"/>
    <x v="0"/>
  </r>
  <r>
    <x v="3"/>
    <x v="8"/>
    <x v="3"/>
    <x v="11"/>
    <n v="0"/>
    <x v="0"/>
  </r>
  <r>
    <x v="3"/>
    <x v="8"/>
    <x v="4"/>
    <x v="0"/>
    <n v="1"/>
    <x v="1"/>
  </r>
  <r>
    <x v="3"/>
    <x v="8"/>
    <x v="4"/>
    <x v="1"/>
    <n v="0"/>
    <x v="1"/>
  </r>
  <r>
    <x v="3"/>
    <x v="8"/>
    <x v="4"/>
    <x v="2"/>
    <n v="0"/>
    <x v="1"/>
  </r>
  <r>
    <x v="3"/>
    <x v="8"/>
    <x v="4"/>
    <x v="3"/>
    <n v="0"/>
    <x v="1"/>
  </r>
  <r>
    <x v="3"/>
    <x v="8"/>
    <x v="4"/>
    <x v="4"/>
    <n v="0"/>
    <x v="1"/>
  </r>
  <r>
    <x v="3"/>
    <x v="8"/>
    <x v="4"/>
    <x v="5"/>
    <n v="0"/>
    <x v="1"/>
  </r>
  <r>
    <x v="3"/>
    <x v="8"/>
    <x v="4"/>
    <x v="6"/>
    <n v="0"/>
    <x v="1"/>
  </r>
  <r>
    <x v="3"/>
    <x v="8"/>
    <x v="4"/>
    <x v="7"/>
    <n v="0"/>
    <x v="1"/>
  </r>
  <r>
    <x v="3"/>
    <x v="8"/>
    <x v="4"/>
    <x v="8"/>
    <n v="0"/>
    <x v="1"/>
  </r>
  <r>
    <x v="3"/>
    <x v="8"/>
    <x v="4"/>
    <x v="9"/>
    <n v="0"/>
    <x v="1"/>
  </r>
  <r>
    <x v="3"/>
    <x v="8"/>
    <x v="4"/>
    <x v="10"/>
    <n v="0"/>
    <x v="1"/>
  </r>
  <r>
    <x v="3"/>
    <x v="8"/>
    <x v="4"/>
    <x v="11"/>
    <n v="0"/>
    <x v="1"/>
  </r>
  <r>
    <x v="3"/>
    <x v="8"/>
    <x v="5"/>
    <x v="0"/>
    <n v="1"/>
    <x v="1"/>
  </r>
  <r>
    <x v="3"/>
    <x v="8"/>
    <x v="6"/>
    <x v="0"/>
    <n v="1"/>
    <x v="1"/>
  </r>
  <r>
    <x v="3"/>
    <x v="9"/>
    <x v="0"/>
    <x v="0"/>
    <n v="0"/>
    <x v="0"/>
  </r>
  <r>
    <x v="3"/>
    <x v="9"/>
    <x v="0"/>
    <x v="1"/>
    <n v="0"/>
    <x v="0"/>
  </r>
  <r>
    <x v="3"/>
    <x v="9"/>
    <x v="0"/>
    <x v="2"/>
    <n v="0"/>
    <x v="0"/>
  </r>
  <r>
    <x v="3"/>
    <x v="9"/>
    <x v="0"/>
    <x v="3"/>
    <n v="0"/>
    <x v="0"/>
  </r>
  <r>
    <x v="3"/>
    <x v="9"/>
    <x v="0"/>
    <x v="4"/>
    <n v="0"/>
    <x v="0"/>
  </r>
  <r>
    <x v="3"/>
    <x v="9"/>
    <x v="0"/>
    <x v="5"/>
    <n v="0"/>
    <x v="0"/>
  </r>
  <r>
    <x v="3"/>
    <x v="9"/>
    <x v="0"/>
    <x v="6"/>
    <n v="0"/>
    <x v="0"/>
  </r>
  <r>
    <x v="3"/>
    <x v="9"/>
    <x v="0"/>
    <x v="7"/>
    <n v="0"/>
    <x v="0"/>
  </r>
  <r>
    <x v="3"/>
    <x v="9"/>
    <x v="0"/>
    <x v="8"/>
    <n v="0"/>
    <x v="0"/>
  </r>
  <r>
    <x v="3"/>
    <x v="9"/>
    <x v="0"/>
    <x v="9"/>
    <n v="0"/>
    <x v="0"/>
  </r>
  <r>
    <x v="3"/>
    <x v="9"/>
    <x v="0"/>
    <x v="10"/>
    <n v="0"/>
    <x v="0"/>
  </r>
  <r>
    <x v="3"/>
    <x v="9"/>
    <x v="0"/>
    <x v="11"/>
    <n v="0"/>
    <x v="0"/>
  </r>
  <r>
    <x v="3"/>
    <x v="9"/>
    <x v="1"/>
    <x v="0"/>
    <n v="0"/>
    <x v="0"/>
  </r>
  <r>
    <x v="3"/>
    <x v="9"/>
    <x v="1"/>
    <x v="1"/>
    <n v="0"/>
    <x v="0"/>
  </r>
  <r>
    <x v="3"/>
    <x v="9"/>
    <x v="1"/>
    <x v="2"/>
    <n v="0"/>
    <x v="0"/>
  </r>
  <r>
    <x v="3"/>
    <x v="9"/>
    <x v="1"/>
    <x v="3"/>
    <n v="0"/>
    <x v="0"/>
  </r>
  <r>
    <x v="3"/>
    <x v="9"/>
    <x v="1"/>
    <x v="4"/>
    <n v="0"/>
    <x v="0"/>
  </r>
  <r>
    <x v="3"/>
    <x v="9"/>
    <x v="1"/>
    <x v="5"/>
    <n v="0"/>
    <x v="0"/>
  </r>
  <r>
    <x v="3"/>
    <x v="9"/>
    <x v="1"/>
    <x v="6"/>
    <n v="0"/>
    <x v="0"/>
  </r>
  <r>
    <x v="3"/>
    <x v="9"/>
    <x v="1"/>
    <x v="7"/>
    <n v="0"/>
    <x v="0"/>
  </r>
  <r>
    <x v="3"/>
    <x v="9"/>
    <x v="1"/>
    <x v="8"/>
    <n v="0"/>
    <x v="0"/>
  </r>
  <r>
    <x v="3"/>
    <x v="9"/>
    <x v="1"/>
    <x v="9"/>
    <n v="0"/>
    <x v="0"/>
  </r>
  <r>
    <x v="3"/>
    <x v="9"/>
    <x v="1"/>
    <x v="10"/>
    <n v="0"/>
    <x v="0"/>
  </r>
  <r>
    <x v="3"/>
    <x v="9"/>
    <x v="1"/>
    <x v="11"/>
    <n v="0"/>
    <x v="0"/>
  </r>
  <r>
    <x v="3"/>
    <x v="9"/>
    <x v="2"/>
    <x v="0"/>
    <n v="0"/>
    <x v="0"/>
  </r>
  <r>
    <x v="3"/>
    <x v="9"/>
    <x v="2"/>
    <x v="1"/>
    <n v="0"/>
    <x v="0"/>
  </r>
  <r>
    <x v="3"/>
    <x v="9"/>
    <x v="2"/>
    <x v="2"/>
    <n v="0"/>
    <x v="0"/>
  </r>
  <r>
    <x v="3"/>
    <x v="9"/>
    <x v="2"/>
    <x v="3"/>
    <n v="0"/>
    <x v="0"/>
  </r>
  <r>
    <x v="3"/>
    <x v="9"/>
    <x v="2"/>
    <x v="4"/>
    <n v="0"/>
    <x v="0"/>
  </r>
  <r>
    <x v="3"/>
    <x v="9"/>
    <x v="2"/>
    <x v="5"/>
    <n v="0"/>
    <x v="0"/>
  </r>
  <r>
    <x v="3"/>
    <x v="9"/>
    <x v="2"/>
    <x v="6"/>
    <n v="0"/>
    <x v="0"/>
  </r>
  <r>
    <x v="3"/>
    <x v="9"/>
    <x v="2"/>
    <x v="7"/>
    <n v="0"/>
    <x v="0"/>
  </r>
  <r>
    <x v="3"/>
    <x v="9"/>
    <x v="2"/>
    <x v="8"/>
    <n v="0"/>
    <x v="0"/>
  </r>
  <r>
    <x v="3"/>
    <x v="9"/>
    <x v="2"/>
    <x v="9"/>
    <n v="0"/>
    <x v="0"/>
  </r>
  <r>
    <x v="3"/>
    <x v="9"/>
    <x v="2"/>
    <x v="10"/>
    <n v="0"/>
    <x v="0"/>
  </r>
  <r>
    <x v="3"/>
    <x v="9"/>
    <x v="2"/>
    <x v="11"/>
    <n v="0"/>
    <x v="0"/>
  </r>
  <r>
    <x v="3"/>
    <x v="9"/>
    <x v="3"/>
    <x v="0"/>
    <n v="1"/>
    <x v="0"/>
  </r>
  <r>
    <x v="3"/>
    <x v="9"/>
    <x v="3"/>
    <x v="1"/>
    <n v="0"/>
    <x v="0"/>
  </r>
  <r>
    <x v="3"/>
    <x v="9"/>
    <x v="3"/>
    <x v="2"/>
    <n v="0"/>
    <x v="0"/>
  </r>
  <r>
    <x v="3"/>
    <x v="9"/>
    <x v="3"/>
    <x v="3"/>
    <n v="0"/>
    <x v="0"/>
  </r>
  <r>
    <x v="3"/>
    <x v="9"/>
    <x v="3"/>
    <x v="4"/>
    <n v="0"/>
    <x v="0"/>
  </r>
  <r>
    <x v="3"/>
    <x v="9"/>
    <x v="3"/>
    <x v="5"/>
    <n v="0"/>
    <x v="0"/>
  </r>
  <r>
    <x v="3"/>
    <x v="9"/>
    <x v="3"/>
    <x v="6"/>
    <n v="0"/>
    <x v="0"/>
  </r>
  <r>
    <x v="3"/>
    <x v="9"/>
    <x v="3"/>
    <x v="7"/>
    <n v="0"/>
    <x v="0"/>
  </r>
  <r>
    <x v="3"/>
    <x v="9"/>
    <x v="3"/>
    <x v="8"/>
    <n v="0"/>
    <x v="0"/>
  </r>
  <r>
    <x v="3"/>
    <x v="9"/>
    <x v="3"/>
    <x v="9"/>
    <n v="0"/>
    <x v="0"/>
  </r>
  <r>
    <x v="3"/>
    <x v="9"/>
    <x v="3"/>
    <x v="10"/>
    <n v="0"/>
    <x v="0"/>
  </r>
  <r>
    <x v="3"/>
    <x v="9"/>
    <x v="3"/>
    <x v="11"/>
    <n v="0"/>
    <x v="0"/>
  </r>
  <r>
    <x v="3"/>
    <x v="9"/>
    <x v="4"/>
    <x v="0"/>
    <n v="0"/>
    <x v="1"/>
  </r>
  <r>
    <x v="3"/>
    <x v="9"/>
    <x v="4"/>
    <x v="1"/>
    <n v="0"/>
    <x v="1"/>
  </r>
  <r>
    <x v="3"/>
    <x v="9"/>
    <x v="4"/>
    <x v="2"/>
    <n v="0"/>
    <x v="1"/>
  </r>
  <r>
    <x v="3"/>
    <x v="9"/>
    <x v="4"/>
    <x v="3"/>
    <n v="0"/>
    <x v="1"/>
  </r>
  <r>
    <x v="3"/>
    <x v="9"/>
    <x v="4"/>
    <x v="4"/>
    <n v="0"/>
    <x v="1"/>
  </r>
  <r>
    <x v="3"/>
    <x v="9"/>
    <x v="4"/>
    <x v="5"/>
    <n v="0"/>
    <x v="1"/>
  </r>
  <r>
    <x v="3"/>
    <x v="9"/>
    <x v="4"/>
    <x v="6"/>
    <n v="0"/>
    <x v="1"/>
  </r>
  <r>
    <x v="3"/>
    <x v="9"/>
    <x v="4"/>
    <x v="7"/>
    <n v="0"/>
    <x v="1"/>
  </r>
  <r>
    <x v="3"/>
    <x v="9"/>
    <x v="4"/>
    <x v="8"/>
    <n v="0"/>
    <x v="1"/>
  </r>
  <r>
    <x v="3"/>
    <x v="9"/>
    <x v="4"/>
    <x v="9"/>
    <n v="0"/>
    <x v="1"/>
  </r>
  <r>
    <x v="3"/>
    <x v="9"/>
    <x v="4"/>
    <x v="10"/>
    <n v="0"/>
    <x v="1"/>
  </r>
  <r>
    <x v="3"/>
    <x v="9"/>
    <x v="4"/>
    <x v="11"/>
    <n v="0"/>
    <x v="1"/>
  </r>
  <r>
    <x v="3"/>
    <x v="9"/>
    <x v="5"/>
    <x v="0"/>
    <n v="0"/>
    <x v="1"/>
  </r>
  <r>
    <x v="3"/>
    <x v="9"/>
    <x v="6"/>
    <x v="0"/>
    <n v="0"/>
    <x v="1"/>
  </r>
  <r>
    <x v="3"/>
    <x v="10"/>
    <x v="0"/>
    <x v="0"/>
    <n v="0"/>
    <x v="0"/>
  </r>
  <r>
    <x v="3"/>
    <x v="10"/>
    <x v="0"/>
    <x v="1"/>
    <n v="0"/>
    <x v="0"/>
  </r>
  <r>
    <x v="3"/>
    <x v="10"/>
    <x v="0"/>
    <x v="2"/>
    <n v="0"/>
    <x v="0"/>
  </r>
  <r>
    <x v="3"/>
    <x v="10"/>
    <x v="0"/>
    <x v="3"/>
    <n v="0"/>
    <x v="0"/>
  </r>
  <r>
    <x v="3"/>
    <x v="10"/>
    <x v="0"/>
    <x v="4"/>
    <n v="0"/>
    <x v="0"/>
  </r>
  <r>
    <x v="3"/>
    <x v="10"/>
    <x v="0"/>
    <x v="5"/>
    <n v="0"/>
    <x v="0"/>
  </r>
  <r>
    <x v="3"/>
    <x v="10"/>
    <x v="0"/>
    <x v="6"/>
    <n v="0"/>
    <x v="0"/>
  </r>
  <r>
    <x v="3"/>
    <x v="10"/>
    <x v="0"/>
    <x v="7"/>
    <n v="0"/>
    <x v="0"/>
  </r>
  <r>
    <x v="3"/>
    <x v="10"/>
    <x v="0"/>
    <x v="8"/>
    <n v="0"/>
    <x v="0"/>
  </r>
  <r>
    <x v="3"/>
    <x v="10"/>
    <x v="0"/>
    <x v="9"/>
    <n v="0"/>
    <x v="0"/>
  </r>
  <r>
    <x v="3"/>
    <x v="10"/>
    <x v="0"/>
    <x v="10"/>
    <n v="0"/>
    <x v="0"/>
  </r>
  <r>
    <x v="3"/>
    <x v="10"/>
    <x v="0"/>
    <x v="11"/>
    <n v="0"/>
    <x v="0"/>
  </r>
  <r>
    <x v="3"/>
    <x v="10"/>
    <x v="1"/>
    <x v="0"/>
    <n v="0"/>
    <x v="0"/>
  </r>
  <r>
    <x v="3"/>
    <x v="10"/>
    <x v="1"/>
    <x v="1"/>
    <n v="0"/>
    <x v="0"/>
  </r>
  <r>
    <x v="3"/>
    <x v="10"/>
    <x v="1"/>
    <x v="2"/>
    <n v="0"/>
    <x v="0"/>
  </r>
  <r>
    <x v="3"/>
    <x v="10"/>
    <x v="1"/>
    <x v="3"/>
    <n v="0"/>
    <x v="0"/>
  </r>
  <r>
    <x v="3"/>
    <x v="10"/>
    <x v="1"/>
    <x v="4"/>
    <n v="0"/>
    <x v="0"/>
  </r>
  <r>
    <x v="3"/>
    <x v="10"/>
    <x v="1"/>
    <x v="5"/>
    <n v="0"/>
    <x v="0"/>
  </r>
  <r>
    <x v="3"/>
    <x v="10"/>
    <x v="1"/>
    <x v="6"/>
    <n v="0"/>
    <x v="0"/>
  </r>
  <r>
    <x v="3"/>
    <x v="10"/>
    <x v="1"/>
    <x v="7"/>
    <n v="0"/>
    <x v="0"/>
  </r>
  <r>
    <x v="3"/>
    <x v="10"/>
    <x v="1"/>
    <x v="8"/>
    <n v="0"/>
    <x v="0"/>
  </r>
  <r>
    <x v="3"/>
    <x v="10"/>
    <x v="1"/>
    <x v="9"/>
    <n v="0"/>
    <x v="0"/>
  </r>
  <r>
    <x v="3"/>
    <x v="10"/>
    <x v="1"/>
    <x v="10"/>
    <n v="0"/>
    <x v="0"/>
  </r>
  <r>
    <x v="3"/>
    <x v="10"/>
    <x v="1"/>
    <x v="11"/>
    <n v="0"/>
    <x v="0"/>
  </r>
  <r>
    <x v="3"/>
    <x v="10"/>
    <x v="2"/>
    <x v="0"/>
    <n v="0"/>
    <x v="0"/>
  </r>
  <r>
    <x v="3"/>
    <x v="10"/>
    <x v="2"/>
    <x v="1"/>
    <n v="0"/>
    <x v="0"/>
  </r>
  <r>
    <x v="3"/>
    <x v="10"/>
    <x v="2"/>
    <x v="2"/>
    <n v="0"/>
    <x v="0"/>
  </r>
  <r>
    <x v="3"/>
    <x v="10"/>
    <x v="2"/>
    <x v="3"/>
    <n v="0"/>
    <x v="0"/>
  </r>
  <r>
    <x v="3"/>
    <x v="10"/>
    <x v="2"/>
    <x v="4"/>
    <n v="0"/>
    <x v="0"/>
  </r>
  <r>
    <x v="3"/>
    <x v="10"/>
    <x v="2"/>
    <x v="5"/>
    <n v="0"/>
    <x v="0"/>
  </r>
  <r>
    <x v="3"/>
    <x v="10"/>
    <x v="2"/>
    <x v="6"/>
    <n v="0"/>
    <x v="0"/>
  </r>
  <r>
    <x v="3"/>
    <x v="10"/>
    <x v="2"/>
    <x v="7"/>
    <n v="0"/>
    <x v="0"/>
  </r>
  <r>
    <x v="3"/>
    <x v="10"/>
    <x v="2"/>
    <x v="8"/>
    <n v="0"/>
    <x v="0"/>
  </r>
  <r>
    <x v="3"/>
    <x v="10"/>
    <x v="2"/>
    <x v="9"/>
    <n v="0"/>
    <x v="0"/>
  </r>
  <r>
    <x v="3"/>
    <x v="10"/>
    <x v="2"/>
    <x v="10"/>
    <n v="0"/>
    <x v="0"/>
  </r>
  <r>
    <x v="3"/>
    <x v="10"/>
    <x v="2"/>
    <x v="11"/>
    <n v="0"/>
    <x v="0"/>
  </r>
  <r>
    <x v="3"/>
    <x v="10"/>
    <x v="3"/>
    <x v="0"/>
    <n v="0"/>
    <x v="0"/>
  </r>
  <r>
    <x v="3"/>
    <x v="10"/>
    <x v="3"/>
    <x v="1"/>
    <n v="0"/>
    <x v="0"/>
  </r>
  <r>
    <x v="3"/>
    <x v="10"/>
    <x v="3"/>
    <x v="2"/>
    <n v="0"/>
    <x v="0"/>
  </r>
  <r>
    <x v="3"/>
    <x v="10"/>
    <x v="3"/>
    <x v="3"/>
    <n v="0"/>
    <x v="0"/>
  </r>
  <r>
    <x v="3"/>
    <x v="10"/>
    <x v="3"/>
    <x v="4"/>
    <n v="0"/>
    <x v="0"/>
  </r>
  <r>
    <x v="3"/>
    <x v="10"/>
    <x v="3"/>
    <x v="5"/>
    <n v="0"/>
    <x v="0"/>
  </r>
  <r>
    <x v="3"/>
    <x v="10"/>
    <x v="3"/>
    <x v="6"/>
    <n v="0"/>
    <x v="0"/>
  </r>
  <r>
    <x v="3"/>
    <x v="10"/>
    <x v="3"/>
    <x v="7"/>
    <n v="0"/>
    <x v="0"/>
  </r>
  <r>
    <x v="3"/>
    <x v="10"/>
    <x v="3"/>
    <x v="8"/>
    <n v="0"/>
    <x v="0"/>
  </r>
  <r>
    <x v="3"/>
    <x v="10"/>
    <x v="3"/>
    <x v="9"/>
    <n v="0"/>
    <x v="0"/>
  </r>
  <r>
    <x v="3"/>
    <x v="10"/>
    <x v="3"/>
    <x v="10"/>
    <n v="0"/>
    <x v="0"/>
  </r>
  <r>
    <x v="3"/>
    <x v="10"/>
    <x v="3"/>
    <x v="11"/>
    <n v="0"/>
    <x v="0"/>
  </r>
  <r>
    <x v="3"/>
    <x v="10"/>
    <x v="4"/>
    <x v="0"/>
    <n v="1"/>
    <x v="1"/>
  </r>
  <r>
    <x v="3"/>
    <x v="10"/>
    <x v="4"/>
    <x v="1"/>
    <n v="0"/>
    <x v="1"/>
  </r>
  <r>
    <x v="3"/>
    <x v="10"/>
    <x v="4"/>
    <x v="2"/>
    <n v="0"/>
    <x v="1"/>
  </r>
  <r>
    <x v="3"/>
    <x v="10"/>
    <x v="4"/>
    <x v="3"/>
    <n v="0"/>
    <x v="1"/>
  </r>
  <r>
    <x v="3"/>
    <x v="10"/>
    <x v="4"/>
    <x v="4"/>
    <n v="0"/>
    <x v="1"/>
  </r>
  <r>
    <x v="3"/>
    <x v="10"/>
    <x v="4"/>
    <x v="5"/>
    <n v="0"/>
    <x v="1"/>
  </r>
  <r>
    <x v="3"/>
    <x v="10"/>
    <x v="4"/>
    <x v="6"/>
    <n v="0"/>
    <x v="1"/>
  </r>
  <r>
    <x v="3"/>
    <x v="10"/>
    <x v="4"/>
    <x v="7"/>
    <n v="0"/>
    <x v="1"/>
  </r>
  <r>
    <x v="3"/>
    <x v="10"/>
    <x v="4"/>
    <x v="8"/>
    <n v="0"/>
    <x v="1"/>
  </r>
  <r>
    <x v="3"/>
    <x v="10"/>
    <x v="4"/>
    <x v="9"/>
    <n v="0"/>
    <x v="1"/>
  </r>
  <r>
    <x v="3"/>
    <x v="10"/>
    <x v="4"/>
    <x v="10"/>
    <n v="0"/>
    <x v="1"/>
  </r>
  <r>
    <x v="3"/>
    <x v="10"/>
    <x v="4"/>
    <x v="11"/>
    <n v="0"/>
    <x v="1"/>
  </r>
  <r>
    <x v="3"/>
    <x v="10"/>
    <x v="5"/>
    <x v="0"/>
    <n v="1"/>
    <x v="1"/>
  </r>
  <r>
    <x v="3"/>
    <x v="10"/>
    <x v="6"/>
    <x v="0"/>
    <n v="1"/>
    <x v="1"/>
  </r>
  <r>
    <x v="3"/>
    <x v="11"/>
    <x v="0"/>
    <x v="0"/>
    <n v="0"/>
    <x v="0"/>
  </r>
  <r>
    <x v="3"/>
    <x v="11"/>
    <x v="0"/>
    <x v="1"/>
    <n v="0"/>
    <x v="0"/>
  </r>
  <r>
    <x v="3"/>
    <x v="11"/>
    <x v="0"/>
    <x v="2"/>
    <n v="0"/>
    <x v="0"/>
  </r>
  <r>
    <x v="3"/>
    <x v="11"/>
    <x v="0"/>
    <x v="3"/>
    <n v="0"/>
    <x v="0"/>
  </r>
  <r>
    <x v="3"/>
    <x v="11"/>
    <x v="0"/>
    <x v="4"/>
    <n v="0"/>
    <x v="0"/>
  </r>
  <r>
    <x v="3"/>
    <x v="11"/>
    <x v="0"/>
    <x v="5"/>
    <n v="0"/>
    <x v="0"/>
  </r>
  <r>
    <x v="3"/>
    <x v="11"/>
    <x v="0"/>
    <x v="6"/>
    <n v="0"/>
    <x v="0"/>
  </r>
  <r>
    <x v="3"/>
    <x v="11"/>
    <x v="0"/>
    <x v="7"/>
    <n v="0"/>
    <x v="0"/>
  </r>
  <r>
    <x v="3"/>
    <x v="11"/>
    <x v="0"/>
    <x v="8"/>
    <n v="0"/>
    <x v="0"/>
  </r>
  <r>
    <x v="3"/>
    <x v="11"/>
    <x v="0"/>
    <x v="9"/>
    <n v="0"/>
    <x v="0"/>
  </r>
  <r>
    <x v="3"/>
    <x v="11"/>
    <x v="0"/>
    <x v="10"/>
    <n v="0"/>
    <x v="0"/>
  </r>
  <r>
    <x v="3"/>
    <x v="11"/>
    <x v="0"/>
    <x v="11"/>
    <n v="0"/>
    <x v="0"/>
  </r>
  <r>
    <x v="3"/>
    <x v="11"/>
    <x v="1"/>
    <x v="0"/>
    <n v="0"/>
    <x v="0"/>
  </r>
  <r>
    <x v="3"/>
    <x v="11"/>
    <x v="1"/>
    <x v="1"/>
    <n v="0"/>
    <x v="0"/>
  </r>
  <r>
    <x v="3"/>
    <x v="11"/>
    <x v="1"/>
    <x v="2"/>
    <n v="0"/>
    <x v="0"/>
  </r>
  <r>
    <x v="3"/>
    <x v="11"/>
    <x v="1"/>
    <x v="3"/>
    <n v="0"/>
    <x v="0"/>
  </r>
  <r>
    <x v="3"/>
    <x v="11"/>
    <x v="1"/>
    <x v="4"/>
    <n v="0"/>
    <x v="0"/>
  </r>
  <r>
    <x v="3"/>
    <x v="11"/>
    <x v="1"/>
    <x v="5"/>
    <n v="0"/>
    <x v="0"/>
  </r>
  <r>
    <x v="3"/>
    <x v="11"/>
    <x v="1"/>
    <x v="6"/>
    <n v="0"/>
    <x v="0"/>
  </r>
  <r>
    <x v="3"/>
    <x v="11"/>
    <x v="1"/>
    <x v="7"/>
    <n v="0"/>
    <x v="0"/>
  </r>
  <r>
    <x v="3"/>
    <x v="11"/>
    <x v="1"/>
    <x v="8"/>
    <n v="0"/>
    <x v="0"/>
  </r>
  <r>
    <x v="3"/>
    <x v="11"/>
    <x v="1"/>
    <x v="9"/>
    <n v="0"/>
    <x v="0"/>
  </r>
  <r>
    <x v="3"/>
    <x v="11"/>
    <x v="1"/>
    <x v="10"/>
    <n v="0"/>
    <x v="0"/>
  </r>
  <r>
    <x v="3"/>
    <x v="11"/>
    <x v="1"/>
    <x v="11"/>
    <n v="0"/>
    <x v="0"/>
  </r>
  <r>
    <x v="3"/>
    <x v="11"/>
    <x v="2"/>
    <x v="0"/>
    <n v="0"/>
    <x v="0"/>
  </r>
  <r>
    <x v="3"/>
    <x v="11"/>
    <x v="2"/>
    <x v="1"/>
    <n v="0"/>
    <x v="0"/>
  </r>
  <r>
    <x v="3"/>
    <x v="11"/>
    <x v="2"/>
    <x v="2"/>
    <n v="0"/>
    <x v="0"/>
  </r>
  <r>
    <x v="3"/>
    <x v="11"/>
    <x v="2"/>
    <x v="3"/>
    <n v="0"/>
    <x v="0"/>
  </r>
  <r>
    <x v="3"/>
    <x v="11"/>
    <x v="2"/>
    <x v="4"/>
    <n v="0"/>
    <x v="0"/>
  </r>
  <r>
    <x v="3"/>
    <x v="11"/>
    <x v="2"/>
    <x v="5"/>
    <n v="0"/>
    <x v="0"/>
  </r>
  <r>
    <x v="3"/>
    <x v="11"/>
    <x v="2"/>
    <x v="6"/>
    <n v="0"/>
    <x v="0"/>
  </r>
  <r>
    <x v="3"/>
    <x v="11"/>
    <x v="2"/>
    <x v="7"/>
    <n v="0"/>
    <x v="0"/>
  </r>
  <r>
    <x v="3"/>
    <x v="11"/>
    <x v="2"/>
    <x v="8"/>
    <n v="0"/>
    <x v="0"/>
  </r>
  <r>
    <x v="3"/>
    <x v="11"/>
    <x v="2"/>
    <x v="9"/>
    <n v="0"/>
    <x v="0"/>
  </r>
  <r>
    <x v="3"/>
    <x v="11"/>
    <x v="2"/>
    <x v="10"/>
    <n v="0"/>
    <x v="0"/>
  </r>
  <r>
    <x v="3"/>
    <x v="11"/>
    <x v="2"/>
    <x v="11"/>
    <n v="0"/>
    <x v="0"/>
  </r>
  <r>
    <x v="3"/>
    <x v="11"/>
    <x v="3"/>
    <x v="0"/>
    <n v="0"/>
    <x v="0"/>
  </r>
  <r>
    <x v="3"/>
    <x v="11"/>
    <x v="3"/>
    <x v="1"/>
    <n v="0"/>
    <x v="0"/>
  </r>
  <r>
    <x v="3"/>
    <x v="11"/>
    <x v="3"/>
    <x v="2"/>
    <n v="0"/>
    <x v="0"/>
  </r>
  <r>
    <x v="3"/>
    <x v="11"/>
    <x v="3"/>
    <x v="3"/>
    <n v="0"/>
    <x v="0"/>
  </r>
  <r>
    <x v="3"/>
    <x v="11"/>
    <x v="3"/>
    <x v="4"/>
    <n v="0"/>
    <x v="0"/>
  </r>
  <r>
    <x v="3"/>
    <x v="11"/>
    <x v="3"/>
    <x v="5"/>
    <n v="0"/>
    <x v="0"/>
  </r>
  <r>
    <x v="3"/>
    <x v="11"/>
    <x v="3"/>
    <x v="6"/>
    <n v="0"/>
    <x v="0"/>
  </r>
  <r>
    <x v="3"/>
    <x v="11"/>
    <x v="3"/>
    <x v="7"/>
    <n v="0"/>
    <x v="0"/>
  </r>
  <r>
    <x v="3"/>
    <x v="11"/>
    <x v="3"/>
    <x v="8"/>
    <n v="0"/>
    <x v="0"/>
  </r>
  <r>
    <x v="3"/>
    <x v="11"/>
    <x v="3"/>
    <x v="9"/>
    <n v="0"/>
    <x v="0"/>
  </r>
  <r>
    <x v="3"/>
    <x v="11"/>
    <x v="3"/>
    <x v="10"/>
    <n v="0"/>
    <x v="0"/>
  </r>
  <r>
    <x v="3"/>
    <x v="11"/>
    <x v="3"/>
    <x v="11"/>
    <n v="0"/>
    <x v="0"/>
  </r>
  <r>
    <x v="3"/>
    <x v="11"/>
    <x v="4"/>
    <x v="0"/>
    <n v="0"/>
    <x v="1"/>
  </r>
  <r>
    <x v="3"/>
    <x v="11"/>
    <x v="4"/>
    <x v="1"/>
    <n v="0"/>
    <x v="1"/>
  </r>
  <r>
    <x v="3"/>
    <x v="11"/>
    <x v="4"/>
    <x v="2"/>
    <n v="0"/>
    <x v="1"/>
  </r>
  <r>
    <x v="3"/>
    <x v="11"/>
    <x v="4"/>
    <x v="3"/>
    <n v="0"/>
    <x v="1"/>
  </r>
  <r>
    <x v="3"/>
    <x v="11"/>
    <x v="4"/>
    <x v="4"/>
    <n v="0"/>
    <x v="1"/>
  </r>
  <r>
    <x v="3"/>
    <x v="11"/>
    <x v="4"/>
    <x v="5"/>
    <n v="0"/>
    <x v="1"/>
  </r>
  <r>
    <x v="3"/>
    <x v="11"/>
    <x v="4"/>
    <x v="6"/>
    <n v="0"/>
    <x v="1"/>
  </r>
  <r>
    <x v="3"/>
    <x v="11"/>
    <x v="4"/>
    <x v="7"/>
    <n v="0"/>
    <x v="1"/>
  </r>
  <r>
    <x v="3"/>
    <x v="11"/>
    <x v="4"/>
    <x v="8"/>
    <n v="0"/>
    <x v="1"/>
  </r>
  <r>
    <x v="3"/>
    <x v="11"/>
    <x v="4"/>
    <x v="9"/>
    <n v="0"/>
    <x v="1"/>
  </r>
  <r>
    <x v="3"/>
    <x v="11"/>
    <x v="4"/>
    <x v="10"/>
    <n v="0"/>
    <x v="1"/>
  </r>
  <r>
    <x v="3"/>
    <x v="11"/>
    <x v="4"/>
    <x v="11"/>
    <n v="0"/>
    <x v="1"/>
  </r>
  <r>
    <x v="3"/>
    <x v="11"/>
    <x v="5"/>
    <x v="0"/>
    <n v="0"/>
    <x v="1"/>
  </r>
  <r>
    <x v="3"/>
    <x v="11"/>
    <x v="6"/>
    <x v="0"/>
    <n v="0"/>
    <x v="1"/>
  </r>
  <r>
    <x v="4"/>
    <x v="0"/>
    <x v="0"/>
    <x v="0"/>
    <n v="1"/>
    <x v="0"/>
  </r>
  <r>
    <x v="4"/>
    <x v="0"/>
    <x v="0"/>
    <x v="1"/>
    <n v="0"/>
    <x v="0"/>
  </r>
  <r>
    <x v="4"/>
    <x v="0"/>
    <x v="0"/>
    <x v="2"/>
    <n v="0"/>
    <x v="0"/>
  </r>
  <r>
    <x v="4"/>
    <x v="0"/>
    <x v="0"/>
    <x v="3"/>
    <n v="0"/>
    <x v="0"/>
  </r>
  <r>
    <x v="4"/>
    <x v="0"/>
    <x v="0"/>
    <x v="4"/>
    <n v="1"/>
    <x v="0"/>
  </r>
  <r>
    <x v="4"/>
    <x v="0"/>
    <x v="0"/>
    <x v="5"/>
    <n v="2"/>
    <x v="0"/>
  </r>
  <r>
    <x v="4"/>
    <x v="0"/>
    <x v="0"/>
    <x v="6"/>
    <n v="0"/>
    <x v="0"/>
  </r>
  <r>
    <x v="4"/>
    <x v="0"/>
    <x v="0"/>
    <x v="7"/>
    <n v="0"/>
    <x v="0"/>
  </r>
  <r>
    <x v="4"/>
    <x v="0"/>
    <x v="0"/>
    <x v="8"/>
    <n v="0"/>
    <x v="0"/>
  </r>
  <r>
    <x v="4"/>
    <x v="0"/>
    <x v="0"/>
    <x v="9"/>
    <n v="0"/>
    <x v="0"/>
  </r>
  <r>
    <x v="4"/>
    <x v="0"/>
    <x v="0"/>
    <x v="10"/>
    <n v="0"/>
    <x v="0"/>
  </r>
  <r>
    <x v="4"/>
    <x v="0"/>
    <x v="0"/>
    <x v="11"/>
    <n v="0"/>
    <x v="0"/>
  </r>
  <r>
    <x v="4"/>
    <x v="0"/>
    <x v="1"/>
    <x v="0"/>
    <n v="1"/>
    <x v="0"/>
  </r>
  <r>
    <x v="4"/>
    <x v="0"/>
    <x v="1"/>
    <x v="1"/>
    <n v="1"/>
    <x v="0"/>
  </r>
  <r>
    <x v="4"/>
    <x v="0"/>
    <x v="1"/>
    <x v="2"/>
    <n v="0"/>
    <x v="0"/>
  </r>
  <r>
    <x v="4"/>
    <x v="0"/>
    <x v="1"/>
    <x v="3"/>
    <n v="0"/>
    <x v="0"/>
  </r>
  <r>
    <x v="4"/>
    <x v="0"/>
    <x v="1"/>
    <x v="4"/>
    <n v="1"/>
    <x v="0"/>
  </r>
  <r>
    <x v="4"/>
    <x v="0"/>
    <x v="1"/>
    <x v="5"/>
    <n v="0"/>
    <x v="0"/>
  </r>
  <r>
    <x v="4"/>
    <x v="0"/>
    <x v="1"/>
    <x v="6"/>
    <n v="0"/>
    <x v="0"/>
  </r>
  <r>
    <x v="4"/>
    <x v="0"/>
    <x v="1"/>
    <x v="7"/>
    <n v="0"/>
    <x v="0"/>
  </r>
  <r>
    <x v="4"/>
    <x v="0"/>
    <x v="1"/>
    <x v="8"/>
    <n v="1"/>
    <x v="0"/>
  </r>
  <r>
    <x v="4"/>
    <x v="0"/>
    <x v="1"/>
    <x v="9"/>
    <n v="0"/>
    <x v="0"/>
  </r>
  <r>
    <x v="4"/>
    <x v="0"/>
    <x v="1"/>
    <x v="10"/>
    <n v="0"/>
    <x v="0"/>
  </r>
  <r>
    <x v="4"/>
    <x v="0"/>
    <x v="1"/>
    <x v="11"/>
    <n v="0"/>
    <x v="0"/>
  </r>
  <r>
    <x v="4"/>
    <x v="0"/>
    <x v="2"/>
    <x v="0"/>
    <n v="1"/>
    <x v="0"/>
  </r>
  <r>
    <x v="4"/>
    <x v="0"/>
    <x v="2"/>
    <x v="1"/>
    <n v="0"/>
    <x v="0"/>
  </r>
  <r>
    <x v="4"/>
    <x v="0"/>
    <x v="2"/>
    <x v="2"/>
    <n v="0"/>
    <x v="0"/>
  </r>
  <r>
    <x v="4"/>
    <x v="0"/>
    <x v="2"/>
    <x v="3"/>
    <n v="0"/>
    <x v="0"/>
  </r>
  <r>
    <x v="4"/>
    <x v="0"/>
    <x v="2"/>
    <x v="4"/>
    <n v="2"/>
    <x v="0"/>
  </r>
  <r>
    <x v="4"/>
    <x v="0"/>
    <x v="2"/>
    <x v="5"/>
    <n v="1"/>
    <x v="0"/>
  </r>
  <r>
    <x v="4"/>
    <x v="0"/>
    <x v="2"/>
    <x v="6"/>
    <n v="0"/>
    <x v="0"/>
  </r>
  <r>
    <x v="4"/>
    <x v="0"/>
    <x v="2"/>
    <x v="7"/>
    <n v="0"/>
    <x v="0"/>
  </r>
  <r>
    <x v="4"/>
    <x v="0"/>
    <x v="2"/>
    <x v="8"/>
    <n v="0"/>
    <x v="0"/>
  </r>
  <r>
    <x v="4"/>
    <x v="0"/>
    <x v="2"/>
    <x v="9"/>
    <n v="0"/>
    <x v="0"/>
  </r>
  <r>
    <x v="4"/>
    <x v="0"/>
    <x v="2"/>
    <x v="10"/>
    <n v="0"/>
    <x v="0"/>
  </r>
  <r>
    <x v="4"/>
    <x v="0"/>
    <x v="2"/>
    <x v="11"/>
    <n v="0"/>
    <x v="0"/>
  </r>
  <r>
    <x v="4"/>
    <x v="0"/>
    <x v="3"/>
    <x v="0"/>
    <n v="1"/>
    <x v="0"/>
  </r>
  <r>
    <x v="4"/>
    <x v="0"/>
    <x v="3"/>
    <x v="1"/>
    <n v="0"/>
    <x v="0"/>
  </r>
  <r>
    <x v="4"/>
    <x v="0"/>
    <x v="3"/>
    <x v="2"/>
    <n v="0"/>
    <x v="0"/>
  </r>
  <r>
    <x v="4"/>
    <x v="0"/>
    <x v="3"/>
    <x v="3"/>
    <n v="0"/>
    <x v="0"/>
  </r>
  <r>
    <x v="4"/>
    <x v="0"/>
    <x v="3"/>
    <x v="4"/>
    <n v="0"/>
    <x v="0"/>
  </r>
  <r>
    <x v="4"/>
    <x v="0"/>
    <x v="3"/>
    <x v="5"/>
    <n v="0"/>
    <x v="0"/>
  </r>
  <r>
    <x v="4"/>
    <x v="0"/>
    <x v="3"/>
    <x v="6"/>
    <n v="0"/>
    <x v="0"/>
  </r>
  <r>
    <x v="4"/>
    <x v="0"/>
    <x v="3"/>
    <x v="7"/>
    <n v="0"/>
    <x v="0"/>
  </r>
  <r>
    <x v="4"/>
    <x v="0"/>
    <x v="3"/>
    <x v="8"/>
    <n v="0"/>
    <x v="0"/>
  </r>
  <r>
    <x v="4"/>
    <x v="0"/>
    <x v="3"/>
    <x v="9"/>
    <n v="3"/>
    <x v="0"/>
  </r>
  <r>
    <x v="4"/>
    <x v="0"/>
    <x v="3"/>
    <x v="10"/>
    <n v="0"/>
    <x v="0"/>
  </r>
  <r>
    <x v="4"/>
    <x v="0"/>
    <x v="3"/>
    <x v="11"/>
    <n v="1"/>
    <x v="0"/>
  </r>
  <r>
    <x v="4"/>
    <x v="0"/>
    <x v="4"/>
    <x v="0"/>
    <n v="0"/>
    <x v="1"/>
  </r>
  <r>
    <x v="4"/>
    <x v="0"/>
    <x v="4"/>
    <x v="1"/>
    <n v="0"/>
    <x v="1"/>
  </r>
  <r>
    <x v="4"/>
    <x v="0"/>
    <x v="4"/>
    <x v="2"/>
    <n v="0"/>
    <x v="1"/>
  </r>
  <r>
    <x v="4"/>
    <x v="0"/>
    <x v="4"/>
    <x v="3"/>
    <n v="0"/>
    <x v="1"/>
  </r>
  <r>
    <x v="4"/>
    <x v="0"/>
    <x v="4"/>
    <x v="4"/>
    <n v="0"/>
    <x v="1"/>
  </r>
  <r>
    <x v="4"/>
    <x v="0"/>
    <x v="4"/>
    <x v="5"/>
    <n v="0"/>
    <x v="1"/>
  </r>
  <r>
    <x v="4"/>
    <x v="0"/>
    <x v="4"/>
    <x v="6"/>
    <n v="0"/>
    <x v="1"/>
  </r>
  <r>
    <x v="4"/>
    <x v="0"/>
    <x v="4"/>
    <x v="7"/>
    <n v="0"/>
    <x v="1"/>
  </r>
  <r>
    <x v="4"/>
    <x v="0"/>
    <x v="4"/>
    <x v="8"/>
    <n v="0"/>
    <x v="1"/>
  </r>
  <r>
    <x v="4"/>
    <x v="0"/>
    <x v="4"/>
    <x v="9"/>
    <n v="0"/>
    <x v="1"/>
  </r>
  <r>
    <x v="4"/>
    <x v="0"/>
    <x v="4"/>
    <x v="10"/>
    <n v="0"/>
    <x v="1"/>
  </r>
  <r>
    <x v="4"/>
    <x v="0"/>
    <x v="4"/>
    <x v="11"/>
    <n v="1"/>
    <x v="1"/>
  </r>
  <r>
    <x v="4"/>
    <x v="0"/>
    <x v="5"/>
    <x v="0"/>
    <n v="0"/>
    <x v="1"/>
  </r>
  <r>
    <x v="4"/>
    <x v="0"/>
    <x v="6"/>
    <x v="0"/>
    <n v="0"/>
    <x v="1"/>
  </r>
  <r>
    <x v="4"/>
    <x v="1"/>
    <x v="0"/>
    <x v="0"/>
    <n v="1"/>
    <x v="0"/>
  </r>
  <r>
    <x v="4"/>
    <x v="1"/>
    <x v="0"/>
    <x v="1"/>
    <n v="0"/>
    <x v="0"/>
  </r>
  <r>
    <x v="4"/>
    <x v="1"/>
    <x v="0"/>
    <x v="2"/>
    <n v="0"/>
    <x v="0"/>
  </r>
  <r>
    <x v="4"/>
    <x v="1"/>
    <x v="0"/>
    <x v="3"/>
    <n v="0"/>
    <x v="0"/>
  </r>
  <r>
    <x v="4"/>
    <x v="1"/>
    <x v="0"/>
    <x v="4"/>
    <n v="0"/>
    <x v="0"/>
  </r>
  <r>
    <x v="4"/>
    <x v="1"/>
    <x v="0"/>
    <x v="5"/>
    <n v="0"/>
    <x v="0"/>
  </r>
  <r>
    <x v="4"/>
    <x v="1"/>
    <x v="0"/>
    <x v="6"/>
    <n v="0"/>
    <x v="0"/>
  </r>
  <r>
    <x v="4"/>
    <x v="1"/>
    <x v="0"/>
    <x v="7"/>
    <n v="0"/>
    <x v="0"/>
  </r>
  <r>
    <x v="4"/>
    <x v="1"/>
    <x v="0"/>
    <x v="8"/>
    <n v="0"/>
    <x v="0"/>
  </r>
  <r>
    <x v="4"/>
    <x v="1"/>
    <x v="0"/>
    <x v="9"/>
    <n v="0"/>
    <x v="0"/>
  </r>
  <r>
    <x v="4"/>
    <x v="1"/>
    <x v="0"/>
    <x v="10"/>
    <n v="0"/>
    <x v="0"/>
  </r>
  <r>
    <x v="4"/>
    <x v="1"/>
    <x v="0"/>
    <x v="11"/>
    <n v="0"/>
    <x v="0"/>
  </r>
  <r>
    <x v="4"/>
    <x v="1"/>
    <x v="1"/>
    <x v="0"/>
    <n v="1"/>
    <x v="0"/>
  </r>
  <r>
    <x v="4"/>
    <x v="1"/>
    <x v="1"/>
    <x v="1"/>
    <n v="0"/>
    <x v="0"/>
  </r>
  <r>
    <x v="4"/>
    <x v="1"/>
    <x v="1"/>
    <x v="2"/>
    <n v="0"/>
    <x v="0"/>
  </r>
  <r>
    <x v="4"/>
    <x v="1"/>
    <x v="1"/>
    <x v="3"/>
    <n v="0"/>
    <x v="0"/>
  </r>
  <r>
    <x v="4"/>
    <x v="1"/>
    <x v="1"/>
    <x v="4"/>
    <n v="0"/>
    <x v="0"/>
  </r>
  <r>
    <x v="4"/>
    <x v="1"/>
    <x v="1"/>
    <x v="5"/>
    <n v="0"/>
    <x v="0"/>
  </r>
  <r>
    <x v="4"/>
    <x v="1"/>
    <x v="1"/>
    <x v="6"/>
    <n v="0"/>
    <x v="0"/>
  </r>
  <r>
    <x v="4"/>
    <x v="1"/>
    <x v="1"/>
    <x v="7"/>
    <n v="0"/>
    <x v="0"/>
  </r>
  <r>
    <x v="4"/>
    <x v="1"/>
    <x v="1"/>
    <x v="8"/>
    <n v="0"/>
    <x v="0"/>
  </r>
  <r>
    <x v="4"/>
    <x v="1"/>
    <x v="1"/>
    <x v="9"/>
    <n v="0"/>
    <x v="0"/>
  </r>
  <r>
    <x v="4"/>
    <x v="1"/>
    <x v="1"/>
    <x v="10"/>
    <n v="0"/>
    <x v="0"/>
  </r>
  <r>
    <x v="4"/>
    <x v="1"/>
    <x v="1"/>
    <x v="11"/>
    <n v="0"/>
    <x v="0"/>
  </r>
  <r>
    <x v="4"/>
    <x v="1"/>
    <x v="2"/>
    <x v="0"/>
    <n v="1"/>
    <x v="0"/>
  </r>
  <r>
    <x v="4"/>
    <x v="1"/>
    <x v="2"/>
    <x v="1"/>
    <n v="0"/>
    <x v="0"/>
  </r>
  <r>
    <x v="4"/>
    <x v="1"/>
    <x v="2"/>
    <x v="2"/>
    <n v="0"/>
    <x v="0"/>
  </r>
  <r>
    <x v="4"/>
    <x v="1"/>
    <x v="2"/>
    <x v="3"/>
    <n v="0"/>
    <x v="0"/>
  </r>
  <r>
    <x v="4"/>
    <x v="1"/>
    <x v="2"/>
    <x v="4"/>
    <n v="0"/>
    <x v="0"/>
  </r>
  <r>
    <x v="4"/>
    <x v="1"/>
    <x v="2"/>
    <x v="5"/>
    <n v="0"/>
    <x v="0"/>
  </r>
  <r>
    <x v="4"/>
    <x v="1"/>
    <x v="2"/>
    <x v="6"/>
    <n v="0"/>
    <x v="0"/>
  </r>
  <r>
    <x v="4"/>
    <x v="1"/>
    <x v="2"/>
    <x v="7"/>
    <n v="0"/>
    <x v="0"/>
  </r>
  <r>
    <x v="4"/>
    <x v="1"/>
    <x v="2"/>
    <x v="8"/>
    <n v="0"/>
    <x v="0"/>
  </r>
  <r>
    <x v="4"/>
    <x v="1"/>
    <x v="2"/>
    <x v="9"/>
    <n v="0"/>
    <x v="0"/>
  </r>
  <r>
    <x v="4"/>
    <x v="1"/>
    <x v="2"/>
    <x v="10"/>
    <n v="0"/>
    <x v="0"/>
  </r>
  <r>
    <x v="4"/>
    <x v="1"/>
    <x v="2"/>
    <x v="11"/>
    <n v="0"/>
    <x v="0"/>
  </r>
  <r>
    <x v="4"/>
    <x v="1"/>
    <x v="3"/>
    <x v="0"/>
    <n v="1"/>
    <x v="0"/>
  </r>
  <r>
    <x v="4"/>
    <x v="1"/>
    <x v="3"/>
    <x v="1"/>
    <n v="0"/>
    <x v="0"/>
  </r>
  <r>
    <x v="4"/>
    <x v="1"/>
    <x v="3"/>
    <x v="2"/>
    <n v="0"/>
    <x v="0"/>
  </r>
  <r>
    <x v="4"/>
    <x v="1"/>
    <x v="3"/>
    <x v="3"/>
    <n v="0"/>
    <x v="0"/>
  </r>
  <r>
    <x v="4"/>
    <x v="1"/>
    <x v="3"/>
    <x v="4"/>
    <n v="0"/>
    <x v="0"/>
  </r>
  <r>
    <x v="4"/>
    <x v="1"/>
    <x v="3"/>
    <x v="5"/>
    <n v="0"/>
    <x v="0"/>
  </r>
  <r>
    <x v="4"/>
    <x v="1"/>
    <x v="3"/>
    <x v="6"/>
    <n v="0"/>
    <x v="0"/>
  </r>
  <r>
    <x v="4"/>
    <x v="1"/>
    <x v="3"/>
    <x v="7"/>
    <n v="0"/>
    <x v="0"/>
  </r>
  <r>
    <x v="4"/>
    <x v="1"/>
    <x v="3"/>
    <x v="8"/>
    <n v="0"/>
    <x v="0"/>
  </r>
  <r>
    <x v="4"/>
    <x v="1"/>
    <x v="3"/>
    <x v="9"/>
    <n v="0"/>
    <x v="0"/>
  </r>
  <r>
    <x v="4"/>
    <x v="1"/>
    <x v="3"/>
    <x v="10"/>
    <n v="0"/>
    <x v="0"/>
  </r>
  <r>
    <x v="4"/>
    <x v="1"/>
    <x v="3"/>
    <x v="11"/>
    <n v="0"/>
    <x v="0"/>
  </r>
  <r>
    <x v="4"/>
    <x v="1"/>
    <x v="4"/>
    <x v="0"/>
    <n v="0"/>
    <x v="1"/>
  </r>
  <r>
    <x v="4"/>
    <x v="1"/>
    <x v="4"/>
    <x v="1"/>
    <n v="0"/>
    <x v="1"/>
  </r>
  <r>
    <x v="4"/>
    <x v="1"/>
    <x v="4"/>
    <x v="2"/>
    <n v="0"/>
    <x v="1"/>
  </r>
  <r>
    <x v="4"/>
    <x v="1"/>
    <x v="4"/>
    <x v="3"/>
    <n v="0"/>
    <x v="1"/>
  </r>
  <r>
    <x v="4"/>
    <x v="1"/>
    <x v="4"/>
    <x v="4"/>
    <n v="0"/>
    <x v="1"/>
  </r>
  <r>
    <x v="4"/>
    <x v="1"/>
    <x v="4"/>
    <x v="5"/>
    <n v="0"/>
    <x v="1"/>
  </r>
  <r>
    <x v="4"/>
    <x v="1"/>
    <x v="4"/>
    <x v="6"/>
    <n v="0"/>
    <x v="1"/>
  </r>
  <r>
    <x v="4"/>
    <x v="1"/>
    <x v="4"/>
    <x v="7"/>
    <n v="0"/>
    <x v="1"/>
  </r>
  <r>
    <x v="4"/>
    <x v="1"/>
    <x v="4"/>
    <x v="8"/>
    <n v="0"/>
    <x v="1"/>
  </r>
  <r>
    <x v="4"/>
    <x v="1"/>
    <x v="4"/>
    <x v="9"/>
    <n v="0"/>
    <x v="1"/>
  </r>
  <r>
    <x v="4"/>
    <x v="1"/>
    <x v="4"/>
    <x v="10"/>
    <n v="0"/>
    <x v="1"/>
  </r>
  <r>
    <x v="4"/>
    <x v="1"/>
    <x v="4"/>
    <x v="11"/>
    <n v="0"/>
    <x v="1"/>
  </r>
  <r>
    <x v="4"/>
    <x v="1"/>
    <x v="5"/>
    <x v="0"/>
    <n v="0"/>
    <x v="1"/>
  </r>
  <r>
    <x v="4"/>
    <x v="1"/>
    <x v="6"/>
    <x v="0"/>
    <n v="0"/>
    <x v="1"/>
  </r>
  <r>
    <x v="4"/>
    <x v="2"/>
    <x v="0"/>
    <x v="0"/>
    <n v="0"/>
    <x v="0"/>
  </r>
  <r>
    <x v="4"/>
    <x v="2"/>
    <x v="0"/>
    <x v="1"/>
    <n v="0"/>
    <x v="0"/>
  </r>
  <r>
    <x v="4"/>
    <x v="2"/>
    <x v="0"/>
    <x v="2"/>
    <n v="0"/>
    <x v="0"/>
  </r>
  <r>
    <x v="4"/>
    <x v="2"/>
    <x v="0"/>
    <x v="3"/>
    <n v="0"/>
    <x v="0"/>
  </r>
  <r>
    <x v="4"/>
    <x v="2"/>
    <x v="0"/>
    <x v="4"/>
    <n v="0"/>
    <x v="0"/>
  </r>
  <r>
    <x v="4"/>
    <x v="2"/>
    <x v="0"/>
    <x v="5"/>
    <n v="0"/>
    <x v="0"/>
  </r>
  <r>
    <x v="4"/>
    <x v="2"/>
    <x v="0"/>
    <x v="6"/>
    <n v="0"/>
    <x v="0"/>
  </r>
  <r>
    <x v="4"/>
    <x v="2"/>
    <x v="0"/>
    <x v="7"/>
    <n v="0"/>
    <x v="0"/>
  </r>
  <r>
    <x v="4"/>
    <x v="2"/>
    <x v="0"/>
    <x v="8"/>
    <n v="0"/>
    <x v="0"/>
  </r>
  <r>
    <x v="4"/>
    <x v="2"/>
    <x v="0"/>
    <x v="9"/>
    <n v="0"/>
    <x v="0"/>
  </r>
  <r>
    <x v="4"/>
    <x v="2"/>
    <x v="0"/>
    <x v="10"/>
    <n v="0"/>
    <x v="0"/>
  </r>
  <r>
    <x v="4"/>
    <x v="2"/>
    <x v="0"/>
    <x v="11"/>
    <n v="0"/>
    <x v="0"/>
  </r>
  <r>
    <x v="4"/>
    <x v="2"/>
    <x v="1"/>
    <x v="0"/>
    <n v="0"/>
    <x v="0"/>
  </r>
  <r>
    <x v="4"/>
    <x v="2"/>
    <x v="1"/>
    <x v="1"/>
    <n v="0"/>
    <x v="0"/>
  </r>
  <r>
    <x v="4"/>
    <x v="2"/>
    <x v="1"/>
    <x v="2"/>
    <n v="0"/>
    <x v="0"/>
  </r>
  <r>
    <x v="4"/>
    <x v="2"/>
    <x v="1"/>
    <x v="3"/>
    <n v="0"/>
    <x v="0"/>
  </r>
  <r>
    <x v="4"/>
    <x v="2"/>
    <x v="1"/>
    <x v="4"/>
    <n v="0"/>
    <x v="0"/>
  </r>
  <r>
    <x v="4"/>
    <x v="2"/>
    <x v="1"/>
    <x v="5"/>
    <n v="0"/>
    <x v="0"/>
  </r>
  <r>
    <x v="4"/>
    <x v="2"/>
    <x v="1"/>
    <x v="6"/>
    <n v="0"/>
    <x v="0"/>
  </r>
  <r>
    <x v="4"/>
    <x v="2"/>
    <x v="1"/>
    <x v="7"/>
    <n v="0"/>
    <x v="0"/>
  </r>
  <r>
    <x v="4"/>
    <x v="2"/>
    <x v="1"/>
    <x v="8"/>
    <n v="0"/>
    <x v="0"/>
  </r>
  <r>
    <x v="4"/>
    <x v="2"/>
    <x v="1"/>
    <x v="9"/>
    <n v="0"/>
    <x v="0"/>
  </r>
  <r>
    <x v="4"/>
    <x v="2"/>
    <x v="1"/>
    <x v="10"/>
    <n v="0"/>
    <x v="0"/>
  </r>
  <r>
    <x v="4"/>
    <x v="2"/>
    <x v="1"/>
    <x v="11"/>
    <n v="0"/>
    <x v="0"/>
  </r>
  <r>
    <x v="4"/>
    <x v="2"/>
    <x v="2"/>
    <x v="0"/>
    <n v="0"/>
    <x v="0"/>
  </r>
  <r>
    <x v="4"/>
    <x v="2"/>
    <x v="2"/>
    <x v="1"/>
    <n v="0"/>
    <x v="0"/>
  </r>
  <r>
    <x v="4"/>
    <x v="2"/>
    <x v="2"/>
    <x v="2"/>
    <n v="0"/>
    <x v="0"/>
  </r>
  <r>
    <x v="4"/>
    <x v="2"/>
    <x v="2"/>
    <x v="3"/>
    <n v="0"/>
    <x v="0"/>
  </r>
  <r>
    <x v="4"/>
    <x v="2"/>
    <x v="2"/>
    <x v="4"/>
    <n v="0"/>
    <x v="0"/>
  </r>
  <r>
    <x v="4"/>
    <x v="2"/>
    <x v="2"/>
    <x v="5"/>
    <n v="0"/>
    <x v="0"/>
  </r>
  <r>
    <x v="4"/>
    <x v="2"/>
    <x v="2"/>
    <x v="6"/>
    <n v="0"/>
    <x v="0"/>
  </r>
  <r>
    <x v="4"/>
    <x v="2"/>
    <x v="2"/>
    <x v="7"/>
    <n v="0"/>
    <x v="0"/>
  </r>
  <r>
    <x v="4"/>
    <x v="2"/>
    <x v="2"/>
    <x v="8"/>
    <n v="0"/>
    <x v="0"/>
  </r>
  <r>
    <x v="4"/>
    <x v="2"/>
    <x v="2"/>
    <x v="9"/>
    <n v="0"/>
    <x v="0"/>
  </r>
  <r>
    <x v="4"/>
    <x v="2"/>
    <x v="2"/>
    <x v="10"/>
    <n v="0"/>
    <x v="0"/>
  </r>
  <r>
    <x v="4"/>
    <x v="2"/>
    <x v="2"/>
    <x v="11"/>
    <n v="0"/>
    <x v="0"/>
  </r>
  <r>
    <x v="4"/>
    <x v="2"/>
    <x v="3"/>
    <x v="0"/>
    <n v="0"/>
    <x v="0"/>
  </r>
  <r>
    <x v="4"/>
    <x v="2"/>
    <x v="3"/>
    <x v="1"/>
    <n v="0"/>
    <x v="0"/>
  </r>
  <r>
    <x v="4"/>
    <x v="2"/>
    <x v="3"/>
    <x v="2"/>
    <n v="0"/>
    <x v="0"/>
  </r>
  <r>
    <x v="4"/>
    <x v="2"/>
    <x v="3"/>
    <x v="3"/>
    <n v="0"/>
    <x v="0"/>
  </r>
  <r>
    <x v="4"/>
    <x v="2"/>
    <x v="3"/>
    <x v="4"/>
    <n v="0"/>
    <x v="0"/>
  </r>
  <r>
    <x v="4"/>
    <x v="2"/>
    <x v="3"/>
    <x v="5"/>
    <n v="0"/>
    <x v="0"/>
  </r>
  <r>
    <x v="4"/>
    <x v="2"/>
    <x v="3"/>
    <x v="6"/>
    <n v="0"/>
    <x v="0"/>
  </r>
  <r>
    <x v="4"/>
    <x v="2"/>
    <x v="3"/>
    <x v="7"/>
    <n v="0"/>
    <x v="0"/>
  </r>
  <r>
    <x v="4"/>
    <x v="2"/>
    <x v="3"/>
    <x v="8"/>
    <n v="0"/>
    <x v="0"/>
  </r>
  <r>
    <x v="4"/>
    <x v="2"/>
    <x v="3"/>
    <x v="9"/>
    <n v="0"/>
    <x v="0"/>
  </r>
  <r>
    <x v="4"/>
    <x v="2"/>
    <x v="3"/>
    <x v="10"/>
    <n v="0"/>
    <x v="0"/>
  </r>
  <r>
    <x v="4"/>
    <x v="2"/>
    <x v="3"/>
    <x v="11"/>
    <n v="0"/>
    <x v="0"/>
  </r>
  <r>
    <x v="4"/>
    <x v="2"/>
    <x v="4"/>
    <x v="0"/>
    <n v="1"/>
    <x v="1"/>
  </r>
  <r>
    <x v="4"/>
    <x v="2"/>
    <x v="4"/>
    <x v="1"/>
    <n v="0"/>
    <x v="1"/>
  </r>
  <r>
    <x v="4"/>
    <x v="2"/>
    <x v="4"/>
    <x v="2"/>
    <n v="0"/>
    <x v="1"/>
  </r>
  <r>
    <x v="4"/>
    <x v="2"/>
    <x v="4"/>
    <x v="3"/>
    <n v="0"/>
    <x v="1"/>
  </r>
  <r>
    <x v="4"/>
    <x v="2"/>
    <x v="4"/>
    <x v="4"/>
    <n v="0"/>
    <x v="1"/>
  </r>
  <r>
    <x v="4"/>
    <x v="2"/>
    <x v="4"/>
    <x v="5"/>
    <n v="0"/>
    <x v="1"/>
  </r>
  <r>
    <x v="4"/>
    <x v="2"/>
    <x v="4"/>
    <x v="6"/>
    <n v="0"/>
    <x v="1"/>
  </r>
  <r>
    <x v="4"/>
    <x v="2"/>
    <x v="4"/>
    <x v="7"/>
    <n v="0"/>
    <x v="1"/>
  </r>
  <r>
    <x v="4"/>
    <x v="2"/>
    <x v="4"/>
    <x v="8"/>
    <n v="0"/>
    <x v="1"/>
  </r>
  <r>
    <x v="4"/>
    <x v="2"/>
    <x v="4"/>
    <x v="9"/>
    <n v="0"/>
    <x v="1"/>
  </r>
  <r>
    <x v="4"/>
    <x v="2"/>
    <x v="4"/>
    <x v="10"/>
    <n v="0"/>
    <x v="1"/>
  </r>
  <r>
    <x v="4"/>
    <x v="2"/>
    <x v="4"/>
    <x v="11"/>
    <n v="0"/>
    <x v="1"/>
  </r>
  <r>
    <x v="4"/>
    <x v="2"/>
    <x v="5"/>
    <x v="0"/>
    <n v="1"/>
    <x v="1"/>
  </r>
  <r>
    <x v="4"/>
    <x v="2"/>
    <x v="6"/>
    <x v="0"/>
    <n v="1"/>
    <x v="1"/>
  </r>
  <r>
    <x v="4"/>
    <x v="3"/>
    <x v="0"/>
    <x v="0"/>
    <n v="1"/>
    <x v="0"/>
  </r>
  <r>
    <x v="4"/>
    <x v="3"/>
    <x v="0"/>
    <x v="1"/>
    <n v="0"/>
    <x v="0"/>
  </r>
  <r>
    <x v="4"/>
    <x v="3"/>
    <x v="0"/>
    <x v="2"/>
    <n v="0"/>
    <x v="0"/>
  </r>
  <r>
    <x v="4"/>
    <x v="3"/>
    <x v="0"/>
    <x v="3"/>
    <n v="0"/>
    <x v="0"/>
  </r>
  <r>
    <x v="4"/>
    <x v="3"/>
    <x v="0"/>
    <x v="4"/>
    <n v="0"/>
    <x v="0"/>
  </r>
  <r>
    <x v="4"/>
    <x v="3"/>
    <x v="0"/>
    <x v="5"/>
    <n v="0"/>
    <x v="0"/>
  </r>
  <r>
    <x v="4"/>
    <x v="3"/>
    <x v="0"/>
    <x v="6"/>
    <n v="0"/>
    <x v="0"/>
  </r>
  <r>
    <x v="4"/>
    <x v="3"/>
    <x v="0"/>
    <x v="7"/>
    <n v="0"/>
    <x v="0"/>
  </r>
  <r>
    <x v="4"/>
    <x v="3"/>
    <x v="0"/>
    <x v="8"/>
    <n v="0"/>
    <x v="0"/>
  </r>
  <r>
    <x v="4"/>
    <x v="3"/>
    <x v="0"/>
    <x v="9"/>
    <n v="0"/>
    <x v="0"/>
  </r>
  <r>
    <x v="4"/>
    <x v="3"/>
    <x v="0"/>
    <x v="10"/>
    <n v="0"/>
    <x v="0"/>
  </r>
  <r>
    <x v="4"/>
    <x v="3"/>
    <x v="0"/>
    <x v="11"/>
    <n v="0"/>
    <x v="0"/>
  </r>
  <r>
    <x v="4"/>
    <x v="3"/>
    <x v="1"/>
    <x v="0"/>
    <n v="1"/>
    <x v="0"/>
  </r>
  <r>
    <x v="4"/>
    <x v="3"/>
    <x v="1"/>
    <x v="1"/>
    <n v="0"/>
    <x v="0"/>
  </r>
  <r>
    <x v="4"/>
    <x v="3"/>
    <x v="1"/>
    <x v="2"/>
    <n v="0"/>
    <x v="0"/>
  </r>
  <r>
    <x v="4"/>
    <x v="3"/>
    <x v="1"/>
    <x v="3"/>
    <n v="0"/>
    <x v="0"/>
  </r>
  <r>
    <x v="4"/>
    <x v="3"/>
    <x v="1"/>
    <x v="4"/>
    <n v="0"/>
    <x v="0"/>
  </r>
  <r>
    <x v="4"/>
    <x v="3"/>
    <x v="1"/>
    <x v="5"/>
    <n v="0"/>
    <x v="0"/>
  </r>
  <r>
    <x v="4"/>
    <x v="3"/>
    <x v="1"/>
    <x v="6"/>
    <n v="0"/>
    <x v="0"/>
  </r>
  <r>
    <x v="4"/>
    <x v="3"/>
    <x v="1"/>
    <x v="7"/>
    <n v="0"/>
    <x v="0"/>
  </r>
  <r>
    <x v="4"/>
    <x v="3"/>
    <x v="1"/>
    <x v="8"/>
    <n v="0"/>
    <x v="0"/>
  </r>
  <r>
    <x v="4"/>
    <x v="3"/>
    <x v="1"/>
    <x v="9"/>
    <n v="0"/>
    <x v="0"/>
  </r>
  <r>
    <x v="4"/>
    <x v="3"/>
    <x v="1"/>
    <x v="10"/>
    <n v="0"/>
    <x v="0"/>
  </r>
  <r>
    <x v="4"/>
    <x v="3"/>
    <x v="1"/>
    <x v="11"/>
    <n v="0"/>
    <x v="0"/>
  </r>
  <r>
    <x v="4"/>
    <x v="3"/>
    <x v="2"/>
    <x v="0"/>
    <n v="1"/>
    <x v="0"/>
  </r>
  <r>
    <x v="4"/>
    <x v="3"/>
    <x v="2"/>
    <x v="1"/>
    <n v="0"/>
    <x v="0"/>
  </r>
  <r>
    <x v="4"/>
    <x v="3"/>
    <x v="2"/>
    <x v="2"/>
    <n v="0"/>
    <x v="0"/>
  </r>
  <r>
    <x v="4"/>
    <x v="3"/>
    <x v="2"/>
    <x v="3"/>
    <n v="0"/>
    <x v="0"/>
  </r>
  <r>
    <x v="4"/>
    <x v="3"/>
    <x v="2"/>
    <x v="4"/>
    <n v="0"/>
    <x v="0"/>
  </r>
  <r>
    <x v="4"/>
    <x v="3"/>
    <x v="2"/>
    <x v="5"/>
    <n v="0"/>
    <x v="0"/>
  </r>
  <r>
    <x v="4"/>
    <x v="3"/>
    <x v="2"/>
    <x v="6"/>
    <n v="0"/>
    <x v="0"/>
  </r>
  <r>
    <x v="4"/>
    <x v="3"/>
    <x v="2"/>
    <x v="7"/>
    <n v="0"/>
    <x v="0"/>
  </r>
  <r>
    <x v="4"/>
    <x v="3"/>
    <x v="2"/>
    <x v="8"/>
    <n v="0"/>
    <x v="0"/>
  </r>
  <r>
    <x v="4"/>
    <x v="3"/>
    <x v="2"/>
    <x v="9"/>
    <n v="0"/>
    <x v="0"/>
  </r>
  <r>
    <x v="4"/>
    <x v="3"/>
    <x v="2"/>
    <x v="10"/>
    <n v="0"/>
    <x v="0"/>
  </r>
  <r>
    <x v="4"/>
    <x v="3"/>
    <x v="2"/>
    <x v="11"/>
    <n v="0"/>
    <x v="0"/>
  </r>
  <r>
    <x v="4"/>
    <x v="3"/>
    <x v="3"/>
    <x v="0"/>
    <n v="1"/>
    <x v="0"/>
  </r>
  <r>
    <x v="4"/>
    <x v="3"/>
    <x v="3"/>
    <x v="1"/>
    <n v="0"/>
    <x v="0"/>
  </r>
  <r>
    <x v="4"/>
    <x v="3"/>
    <x v="3"/>
    <x v="2"/>
    <n v="0"/>
    <x v="0"/>
  </r>
  <r>
    <x v="4"/>
    <x v="3"/>
    <x v="3"/>
    <x v="3"/>
    <n v="0"/>
    <x v="0"/>
  </r>
  <r>
    <x v="4"/>
    <x v="3"/>
    <x v="3"/>
    <x v="4"/>
    <n v="0"/>
    <x v="0"/>
  </r>
  <r>
    <x v="4"/>
    <x v="3"/>
    <x v="3"/>
    <x v="5"/>
    <n v="0"/>
    <x v="0"/>
  </r>
  <r>
    <x v="4"/>
    <x v="3"/>
    <x v="3"/>
    <x v="6"/>
    <n v="0"/>
    <x v="0"/>
  </r>
  <r>
    <x v="4"/>
    <x v="3"/>
    <x v="3"/>
    <x v="7"/>
    <n v="0"/>
    <x v="0"/>
  </r>
  <r>
    <x v="4"/>
    <x v="3"/>
    <x v="3"/>
    <x v="8"/>
    <n v="0"/>
    <x v="0"/>
  </r>
  <r>
    <x v="4"/>
    <x v="3"/>
    <x v="3"/>
    <x v="9"/>
    <n v="0"/>
    <x v="0"/>
  </r>
  <r>
    <x v="4"/>
    <x v="3"/>
    <x v="3"/>
    <x v="10"/>
    <n v="0"/>
    <x v="0"/>
  </r>
  <r>
    <x v="4"/>
    <x v="3"/>
    <x v="3"/>
    <x v="11"/>
    <n v="0"/>
    <x v="0"/>
  </r>
  <r>
    <x v="4"/>
    <x v="3"/>
    <x v="4"/>
    <x v="0"/>
    <n v="0"/>
    <x v="1"/>
  </r>
  <r>
    <x v="4"/>
    <x v="3"/>
    <x v="4"/>
    <x v="1"/>
    <n v="0"/>
    <x v="1"/>
  </r>
  <r>
    <x v="4"/>
    <x v="3"/>
    <x v="4"/>
    <x v="2"/>
    <n v="0"/>
    <x v="1"/>
  </r>
  <r>
    <x v="4"/>
    <x v="3"/>
    <x v="4"/>
    <x v="3"/>
    <n v="0"/>
    <x v="1"/>
  </r>
  <r>
    <x v="4"/>
    <x v="3"/>
    <x v="4"/>
    <x v="4"/>
    <n v="0"/>
    <x v="1"/>
  </r>
  <r>
    <x v="4"/>
    <x v="3"/>
    <x v="4"/>
    <x v="5"/>
    <n v="0"/>
    <x v="1"/>
  </r>
  <r>
    <x v="4"/>
    <x v="3"/>
    <x v="4"/>
    <x v="6"/>
    <n v="0"/>
    <x v="1"/>
  </r>
  <r>
    <x v="4"/>
    <x v="3"/>
    <x v="4"/>
    <x v="7"/>
    <n v="0"/>
    <x v="1"/>
  </r>
  <r>
    <x v="4"/>
    <x v="3"/>
    <x v="4"/>
    <x v="8"/>
    <n v="0"/>
    <x v="1"/>
  </r>
  <r>
    <x v="4"/>
    <x v="3"/>
    <x v="4"/>
    <x v="9"/>
    <n v="0"/>
    <x v="1"/>
  </r>
  <r>
    <x v="4"/>
    <x v="3"/>
    <x v="4"/>
    <x v="10"/>
    <n v="0"/>
    <x v="1"/>
  </r>
  <r>
    <x v="4"/>
    <x v="3"/>
    <x v="4"/>
    <x v="11"/>
    <n v="0"/>
    <x v="1"/>
  </r>
  <r>
    <x v="4"/>
    <x v="3"/>
    <x v="5"/>
    <x v="0"/>
    <n v="0"/>
    <x v="1"/>
  </r>
  <r>
    <x v="4"/>
    <x v="3"/>
    <x v="6"/>
    <x v="0"/>
    <n v="0"/>
    <x v="1"/>
  </r>
  <r>
    <x v="4"/>
    <x v="4"/>
    <x v="0"/>
    <x v="0"/>
    <n v="0"/>
    <x v="0"/>
  </r>
  <r>
    <x v="4"/>
    <x v="4"/>
    <x v="0"/>
    <x v="1"/>
    <n v="0"/>
    <x v="0"/>
  </r>
  <r>
    <x v="4"/>
    <x v="4"/>
    <x v="0"/>
    <x v="2"/>
    <n v="0"/>
    <x v="0"/>
  </r>
  <r>
    <x v="4"/>
    <x v="4"/>
    <x v="0"/>
    <x v="3"/>
    <n v="0"/>
    <x v="0"/>
  </r>
  <r>
    <x v="4"/>
    <x v="4"/>
    <x v="0"/>
    <x v="4"/>
    <n v="0"/>
    <x v="0"/>
  </r>
  <r>
    <x v="4"/>
    <x v="4"/>
    <x v="0"/>
    <x v="5"/>
    <n v="0"/>
    <x v="0"/>
  </r>
  <r>
    <x v="4"/>
    <x v="4"/>
    <x v="0"/>
    <x v="6"/>
    <n v="0"/>
    <x v="0"/>
  </r>
  <r>
    <x v="4"/>
    <x v="4"/>
    <x v="0"/>
    <x v="7"/>
    <n v="0"/>
    <x v="0"/>
  </r>
  <r>
    <x v="4"/>
    <x v="4"/>
    <x v="0"/>
    <x v="8"/>
    <n v="0"/>
    <x v="0"/>
  </r>
  <r>
    <x v="4"/>
    <x v="4"/>
    <x v="0"/>
    <x v="9"/>
    <n v="0"/>
    <x v="0"/>
  </r>
  <r>
    <x v="4"/>
    <x v="4"/>
    <x v="0"/>
    <x v="10"/>
    <n v="0"/>
    <x v="0"/>
  </r>
  <r>
    <x v="4"/>
    <x v="4"/>
    <x v="0"/>
    <x v="11"/>
    <n v="0"/>
    <x v="0"/>
  </r>
  <r>
    <x v="4"/>
    <x v="4"/>
    <x v="1"/>
    <x v="0"/>
    <n v="0"/>
    <x v="0"/>
  </r>
  <r>
    <x v="4"/>
    <x v="4"/>
    <x v="1"/>
    <x v="1"/>
    <n v="0"/>
    <x v="0"/>
  </r>
  <r>
    <x v="4"/>
    <x v="4"/>
    <x v="1"/>
    <x v="2"/>
    <n v="0"/>
    <x v="0"/>
  </r>
  <r>
    <x v="4"/>
    <x v="4"/>
    <x v="1"/>
    <x v="3"/>
    <n v="0"/>
    <x v="0"/>
  </r>
  <r>
    <x v="4"/>
    <x v="4"/>
    <x v="1"/>
    <x v="4"/>
    <n v="0"/>
    <x v="0"/>
  </r>
  <r>
    <x v="4"/>
    <x v="4"/>
    <x v="1"/>
    <x v="5"/>
    <n v="0"/>
    <x v="0"/>
  </r>
  <r>
    <x v="4"/>
    <x v="4"/>
    <x v="1"/>
    <x v="6"/>
    <n v="0"/>
    <x v="0"/>
  </r>
  <r>
    <x v="4"/>
    <x v="4"/>
    <x v="1"/>
    <x v="7"/>
    <n v="0"/>
    <x v="0"/>
  </r>
  <r>
    <x v="4"/>
    <x v="4"/>
    <x v="1"/>
    <x v="8"/>
    <n v="0"/>
    <x v="0"/>
  </r>
  <r>
    <x v="4"/>
    <x v="4"/>
    <x v="1"/>
    <x v="9"/>
    <n v="0"/>
    <x v="0"/>
  </r>
  <r>
    <x v="4"/>
    <x v="4"/>
    <x v="1"/>
    <x v="10"/>
    <n v="0"/>
    <x v="0"/>
  </r>
  <r>
    <x v="4"/>
    <x v="4"/>
    <x v="1"/>
    <x v="11"/>
    <n v="0"/>
    <x v="0"/>
  </r>
  <r>
    <x v="4"/>
    <x v="4"/>
    <x v="2"/>
    <x v="0"/>
    <n v="0"/>
    <x v="0"/>
  </r>
  <r>
    <x v="4"/>
    <x v="4"/>
    <x v="2"/>
    <x v="1"/>
    <n v="0"/>
    <x v="0"/>
  </r>
  <r>
    <x v="4"/>
    <x v="4"/>
    <x v="2"/>
    <x v="2"/>
    <n v="0"/>
    <x v="0"/>
  </r>
  <r>
    <x v="4"/>
    <x v="4"/>
    <x v="2"/>
    <x v="3"/>
    <n v="0"/>
    <x v="0"/>
  </r>
  <r>
    <x v="4"/>
    <x v="4"/>
    <x v="2"/>
    <x v="4"/>
    <n v="0"/>
    <x v="0"/>
  </r>
  <r>
    <x v="4"/>
    <x v="4"/>
    <x v="2"/>
    <x v="5"/>
    <n v="0"/>
    <x v="0"/>
  </r>
  <r>
    <x v="4"/>
    <x v="4"/>
    <x v="2"/>
    <x v="6"/>
    <n v="0"/>
    <x v="0"/>
  </r>
  <r>
    <x v="4"/>
    <x v="4"/>
    <x v="2"/>
    <x v="7"/>
    <n v="0"/>
    <x v="0"/>
  </r>
  <r>
    <x v="4"/>
    <x v="4"/>
    <x v="2"/>
    <x v="8"/>
    <n v="0"/>
    <x v="0"/>
  </r>
  <r>
    <x v="4"/>
    <x v="4"/>
    <x v="2"/>
    <x v="9"/>
    <n v="0"/>
    <x v="0"/>
  </r>
  <r>
    <x v="4"/>
    <x v="4"/>
    <x v="2"/>
    <x v="10"/>
    <n v="0"/>
    <x v="0"/>
  </r>
  <r>
    <x v="4"/>
    <x v="4"/>
    <x v="2"/>
    <x v="11"/>
    <n v="0"/>
    <x v="0"/>
  </r>
  <r>
    <x v="4"/>
    <x v="4"/>
    <x v="3"/>
    <x v="0"/>
    <n v="0"/>
    <x v="0"/>
  </r>
  <r>
    <x v="4"/>
    <x v="4"/>
    <x v="3"/>
    <x v="1"/>
    <n v="0"/>
    <x v="0"/>
  </r>
  <r>
    <x v="4"/>
    <x v="4"/>
    <x v="3"/>
    <x v="2"/>
    <n v="0"/>
    <x v="0"/>
  </r>
  <r>
    <x v="4"/>
    <x v="4"/>
    <x v="3"/>
    <x v="3"/>
    <n v="0"/>
    <x v="0"/>
  </r>
  <r>
    <x v="4"/>
    <x v="4"/>
    <x v="3"/>
    <x v="4"/>
    <n v="0"/>
    <x v="0"/>
  </r>
  <r>
    <x v="4"/>
    <x v="4"/>
    <x v="3"/>
    <x v="5"/>
    <n v="0"/>
    <x v="0"/>
  </r>
  <r>
    <x v="4"/>
    <x v="4"/>
    <x v="3"/>
    <x v="6"/>
    <n v="0"/>
    <x v="0"/>
  </r>
  <r>
    <x v="4"/>
    <x v="4"/>
    <x v="3"/>
    <x v="7"/>
    <n v="0"/>
    <x v="0"/>
  </r>
  <r>
    <x v="4"/>
    <x v="4"/>
    <x v="3"/>
    <x v="8"/>
    <n v="0"/>
    <x v="0"/>
  </r>
  <r>
    <x v="4"/>
    <x v="4"/>
    <x v="3"/>
    <x v="9"/>
    <n v="0"/>
    <x v="0"/>
  </r>
  <r>
    <x v="4"/>
    <x v="4"/>
    <x v="3"/>
    <x v="10"/>
    <n v="0"/>
    <x v="0"/>
  </r>
  <r>
    <x v="4"/>
    <x v="4"/>
    <x v="3"/>
    <x v="11"/>
    <n v="0"/>
    <x v="0"/>
  </r>
  <r>
    <x v="4"/>
    <x v="4"/>
    <x v="4"/>
    <x v="0"/>
    <n v="0"/>
    <x v="1"/>
  </r>
  <r>
    <x v="4"/>
    <x v="4"/>
    <x v="4"/>
    <x v="1"/>
    <n v="0"/>
    <x v="1"/>
  </r>
  <r>
    <x v="4"/>
    <x v="4"/>
    <x v="4"/>
    <x v="2"/>
    <n v="0"/>
    <x v="1"/>
  </r>
  <r>
    <x v="4"/>
    <x v="4"/>
    <x v="4"/>
    <x v="3"/>
    <n v="0"/>
    <x v="1"/>
  </r>
  <r>
    <x v="4"/>
    <x v="4"/>
    <x v="4"/>
    <x v="4"/>
    <n v="0"/>
    <x v="1"/>
  </r>
  <r>
    <x v="4"/>
    <x v="4"/>
    <x v="4"/>
    <x v="5"/>
    <n v="0"/>
    <x v="1"/>
  </r>
  <r>
    <x v="4"/>
    <x v="4"/>
    <x v="4"/>
    <x v="6"/>
    <n v="0"/>
    <x v="1"/>
  </r>
  <r>
    <x v="4"/>
    <x v="4"/>
    <x v="4"/>
    <x v="7"/>
    <n v="0"/>
    <x v="1"/>
  </r>
  <r>
    <x v="4"/>
    <x v="4"/>
    <x v="4"/>
    <x v="8"/>
    <n v="0"/>
    <x v="1"/>
  </r>
  <r>
    <x v="4"/>
    <x v="4"/>
    <x v="4"/>
    <x v="9"/>
    <n v="0"/>
    <x v="1"/>
  </r>
  <r>
    <x v="4"/>
    <x v="4"/>
    <x v="4"/>
    <x v="10"/>
    <n v="0"/>
    <x v="1"/>
  </r>
  <r>
    <x v="4"/>
    <x v="4"/>
    <x v="4"/>
    <x v="11"/>
    <n v="0"/>
    <x v="1"/>
  </r>
  <r>
    <x v="4"/>
    <x v="4"/>
    <x v="5"/>
    <x v="0"/>
    <n v="0"/>
    <x v="1"/>
  </r>
  <r>
    <x v="4"/>
    <x v="4"/>
    <x v="6"/>
    <x v="0"/>
    <n v="0"/>
    <x v="1"/>
  </r>
  <r>
    <x v="4"/>
    <x v="5"/>
    <x v="0"/>
    <x v="0"/>
    <n v="1"/>
    <x v="0"/>
  </r>
  <r>
    <x v="4"/>
    <x v="5"/>
    <x v="0"/>
    <x v="1"/>
    <n v="0"/>
    <x v="0"/>
  </r>
  <r>
    <x v="4"/>
    <x v="5"/>
    <x v="0"/>
    <x v="2"/>
    <n v="0"/>
    <x v="0"/>
  </r>
  <r>
    <x v="4"/>
    <x v="5"/>
    <x v="0"/>
    <x v="3"/>
    <n v="0"/>
    <x v="0"/>
  </r>
  <r>
    <x v="4"/>
    <x v="5"/>
    <x v="0"/>
    <x v="4"/>
    <n v="0"/>
    <x v="0"/>
  </r>
  <r>
    <x v="4"/>
    <x v="5"/>
    <x v="0"/>
    <x v="5"/>
    <n v="0"/>
    <x v="0"/>
  </r>
  <r>
    <x v="4"/>
    <x v="5"/>
    <x v="0"/>
    <x v="6"/>
    <n v="0"/>
    <x v="0"/>
  </r>
  <r>
    <x v="4"/>
    <x v="5"/>
    <x v="0"/>
    <x v="7"/>
    <n v="0"/>
    <x v="0"/>
  </r>
  <r>
    <x v="4"/>
    <x v="5"/>
    <x v="0"/>
    <x v="8"/>
    <n v="0"/>
    <x v="0"/>
  </r>
  <r>
    <x v="4"/>
    <x v="5"/>
    <x v="0"/>
    <x v="9"/>
    <n v="0"/>
    <x v="0"/>
  </r>
  <r>
    <x v="4"/>
    <x v="5"/>
    <x v="0"/>
    <x v="10"/>
    <n v="0"/>
    <x v="0"/>
  </r>
  <r>
    <x v="4"/>
    <x v="5"/>
    <x v="0"/>
    <x v="11"/>
    <n v="0"/>
    <x v="0"/>
  </r>
  <r>
    <x v="4"/>
    <x v="5"/>
    <x v="1"/>
    <x v="0"/>
    <n v="1"/>
    <x v="0"/>
  </r>
  <r>
    <x v="4"/>
    <x v="5"/>
    <x v="1"/>
    <x v="1"/>
    <n v="0"/>
    <x v="0"/>
  </r>
  <r>
    <x v="4"/>
    <x v="5"/>
    <x v="1"/>
    <x v="2"/>
    <n v="0"/>
    <x v="0"/>
  </r>
  <r>
    <x v="4"/>
    <x v="5"/>
    <x v="1"/>
    <x v="3"/>
    <n v="0"/>
    <x v="0"/>
  </r>
  <r>
    <x v="4"/>
    <x v="5"/>
    <x v="1"/>
    <x v="4"/>
    <n v="0"/>
    <x v="0"/>
  </r>
  <r>
    <x v="4"/>
    <x v="5"/>
    <x v="1"/>
    <x v="5"/>
    <n v="0"/>
    <x v="0"/>
  </r>
  <r>
    <x v="4"/>
    <x v="5"/>
    <x v="1"/>
    <x v="6"/>
    <n v="0"/>
    <x v="0"/>
  </r>
  <r>
    <x v="4"/>
    <x v="5"/>
    <x v="1"/>
    <x v="7"/>
    <n v="0"/>
    <x v="0"/>
  </r>
  <r>
    <x v="4"/>
    <x v="5"/>
    <x v="1"/>
    <x v="8"/>
    <n v="0"/>
    <x v="0"/>
  </r>
  <r>
    <x v="4"/>
    <x v="5"/>
    <x v="1"/>
    <x v="9"/>
    <n v="0"/>
    <x v="0"/>
  </r>
  <r>
    <x v="4"/>
    <x v="5"/>
    <x v="1"/>
    <x v="10"/>
    <n v="0"/>
    <x v="0"/>
  </r>
  <r>
    <x v="4"/>
    <x v="5"/>
    <x v="1"/>
    <x v="11"/>
    <n v="0"/>
    <x v="0"/>
  </r>
  <r>
    <x v="4"/>
    <x v="5"/>
    <x v="2"/>
    <x v="0"/>
    <n v="1"/>
    <x v="0"/>
  </r>
  <r>
    <x v="4"/>
    <x v="5"/>
    <x v="2"/>
    <x v="1"/>
    <n v="0"/>
    <x v="0"/>
  </r>
  <r>
    <x v="4"/>
    <x v="5"/>
    <x v="2"/>
    <x v="2"/>
    <n v="0"/>
    <x v="0"/>
  </r>
  <r>
    <x v="4"/>
    <x v="5"/>
    <x v="2"/>
    <x v="3"/>
    <n v="0"/>
    <x v="0"/>
  </r>
  <r>
    <x v="4"/>
    <x v="5"/>
    <x v="2"/>
    <x v="4"/>
    <n v="0"/>
    <x v="0"/>
  </r>
  <r>
    <x v="4"/>
    <x v="5"/>
    <x v="2"/>
    <x v="5"/>
    <n v="0"/>
    <x v="0"/>
  </r>
  <r>
    <x v="4"/>
    <x v="5"/>
    <x v="2"/>
    <x v="6"/>
    <n v="0"/>
    <x v="0"/>
  </r>
  <r>
    <x v="4"/>
    <x v="5"/>
    <x v="2"/>
    <x v="7"/>
    <n v="0"/>
    <x v="0"/>
  </r>
  <r>
    <x v="4"/>
    <x v="5"/>
    <x v="2"/>
    <x v="8"/>
    <n v="0"/>
    <x v="0"/>
  </r>
  <r>
    <x v="4"/>
    <x v="5"/>
    <x v="2"/>
    <x v="9"/>
    <n v="0"/>
    <x v="0"/>
  </r>
  <r>
    <x v="4"/>
    <x v="5"/>
    <x v="2"/>
    <x v="10"/>
    <n v="0"/>
    <x v="0"/>
  </r>
  <r>
    <x v="4"/>
    <x v="5"/>
    <x v="2"/>
    <x v="11"/>
    <n v="0"/>
    <x v="0"/>
  </r>
  <r>
    <x v="4"/>
    <x v="5"/>
    <x v="3"/>
    <x v="0"/>
    <n v="1"/>
    <x v="0"/>
  </r>
  <r>
    <x v="4"/>
    <x v="5"/>
    <x v="3"/>
    <x v="1"/>
    <n v="0"/>
    <x v="0"/>
  </r>
  <r>
    <x v="4"/>
    <x v="5"/>
    <x v="3"/>
    <x v="2"/>
    <n v="0"/>
    <x v="0"/>
  </r>
  <r>
    <x v="4"/>
    <x v="5"/>
    <x v="3"/>
    <x v="3"/>
    <n v="0"/>
    <x v="0"/>
  </r>
  <r>
    <x v="4"/>
    <x v="5"/>
    <x v="3"/>
    <x v="4"/>
    <n v="0"/>
    <x v="0"/>
  </r>
  <r>
    <x v="4"/>
    <x v="5"/>
    <x v="3"/>
    <x v="5"/>
    <n v="0"/>
    <x v="0"/>
  </r>
  <r>
    <x v="4"/>
    <x v="5"/>
    <x v="3"/>
    <x v="6"/>
    <n v="0"/>
    <x v="0"/>
  </r>
  <r>
    <x v="4"/>
    <x v="5"/>
    <x v="3"/>
    <x v="7"/>
    <n v="0"/>
    <x v="0"/>
  </r>
  <r>
    <x v="4"/>
    <x v="5"/>
    <x v="3"/>
    <x v="8"/>
    <n v="0"/>
    <x v="0"/>
  </r>
  <r>
    <x v="4"/>
    <x v="5"/>
    <x v="3"/>
    <x v="9"/>
    <n v="0"/>
    <x v="0"/>
  </r>
  <r>
    <x v="4"/>
    <x v="5"/>
    <x v="3"/>
    <x v="10"/>
    <n v="0"/>
    <x v="0"/>
  </r>
  <r>
    <x v="4"/>
    <x v="5"/>
    <x v="3"/>
    <x v="11"/>
    <n v="0"/>
    <x v="0"/>
  </r>
  <r>
    <x v="4"/>
    <x v="5"/>
    <x v="4"/>
    <x v="0"/>
    <n v="0"/>
    <x v="1"/>
  </r>
  <r>
    <x v="4"/>
    <x v="5"/>
    <x v="4"/>
    <x v="1"/>
    <n v="0"/>
    <x v="1"/>
  </r>
  <r>
    <x v="4"/>
    <x v="5"/>
    <x v="4"/>
    <x v="2"/>
    <n v="0"/>
    <x v="1"/>
  </r>
  <r>
    <x v="4"/>
    <x v="5"/>
    <x v="4"/>
    <x v="3"/>
    <n v="0"/>
    <x v="1"/>
  </r>
  <r>
    <x v="4"/>
    <x v="5"/>
    <x v="4"/>
    <x v="4"/>
    <n v="0"/>
    <x v="1"/>
  </r>
  <r>
    <x v="4"/>
    <x v="5"/>
    <x v="4"/>
    <x v="5"/>
    <n v="0"/>
    <x v="1"/>
  </r>
  <r>
    <x v="4"/>
    <x v="5"/>
    <x v="4"/>
    <x v="6"/>
    <n v="0"/>
    <x v="1"/>
  </r>
  <r>
    <x v="4"/>
    <x v="5"/>
    <x v="4"/>
    <x v="7"/>
    <n v="0"/>
    <x v="1"/>
  </r>
  <r>
    <x v="4"/>
    <x v="5"/>
    <x v="4"/>
    <x v="8"/>
    <n v="0"/>
    <x v="1"/>
  </r>
  <r>
    <x v="4"/>
    <x v="5"/>
    <x v="4"/>
    <x v="9"/>
    <n v="0"/>
    <x v="1"/>
  </r>
  <r>
    <x v="4"/>
    <x v="5"/>
    <x v="4"/>
    <x v="10"/>
    <n v="0"/>
    <x v="1"/>
  </r>
  <r>
    <x v="4"/>
    <x v="5"/>
    <x v="4"/>
    <x v="11"/>
    <n v="0"/>
    <x v="1"/>
  </r>
  <r>
    <x v="4"/>
    <x v="5"/>
    <x v="5"/>
    <x v="0"/>
    <n v="0"/>
    <x v="1"/>
  </r>
  <r>
    <x v="4"/>
    <x v="5"/>
    <x v="6"/>
    <x v="0"/>
    <n v="0"/>
    <x v="1"/>
  </r>
  <r>
    <x v="4"/>
    <x v="6"/>
    <x v="0"/>
    <x v="0"/>
    <n v="1"/>
    <x v="0"/>
  </r>
  <r>
    <x v="4"/>
    <x v="6"/>
    <x v="0"/>
    <x v="1"/>
    <n v="0"/>
    <x v="0"/>
  </r>
  <r>
    <x v="4"/>
    <x v="6"/>
    <x v="0"/>
    <x v="2"/>
    <n v="0"/>
    <x v="0"/>
  </r>
  <r>
    <x v="4"/>
    <x v="6"/>
    <x v="0"/>
    <x v="3"/>
    <n v="0"/>
    <x v="0"/>
  </r>
  <r>
    <x v="4"/>
    <x v="6"/>
    <x v="0"/>
    <x v="4"/>
    <n v="0"/>
    <x v="0"/>
  </r>
  <r>
    <x v="4"/>
    <x v="6"/>
    <x v="0"/>
    <x v="5"/>
    <n v="0"/>
    <x v="0"/>
  </r>
  <r>
    <x v="4"/>
    <x v="6"/>
    <x v="0"/>
    <x v="6"/>
    <n v="0"/>
    <x v="0"/>
  </r>
  <r>
    <x v="4"/>
    <x v="6"/>
    <x v="0"/>
    <x v="7"/>
    <n v="0"/>
    <x v="0"/>
  </r>
  <r>
    <x v="4"/>
    <x v="6"/>
    <x v="0"/>
    <x v="8"/>
    <n v="0"/>
    <x v="0"/>
  </r>
  <r>
    <x v="4"/>
    <x v="6"/>
    <x v="0"/>
    <x v="9"/>
    <n v="0"/>
    <x v="0"/>
  </r>
  <r>
    <x v="4"/>
    <x v="6"/>
    <x v="0"/>
    <x v="10"/>
    <n v="0"/>
    <x v="0"/>
  </r>
  <r>
    <x v="4"/>
    <x v="6"/>
    <x v="0"/>
    <x v="11"/>
    <n v="0"/>
    <x v="0"/>
  </r>
  <r>
    <x v="4"/>
    <x v="6"/>
    <x v="1"/>
    <x v="0"/>
    <n v="1"/>
    <x v="0"/>
  </r>
  <r>
    <x v="4"/>
    <x v="6"/>
    <x v="1"/>
    <x v="1"/>
    <n v="0"/>
    <x v="0"/>
  </r>
  <r>
    <x v="4"/>
    <x v="6"/>
    <x v="1"/>
    <x v="2"/>
    <n v="0"/>
    <x v="0"/>
  </r>
  <r>
    <x v="4"/>
    <x v="6"/>
    <x v="1"/>
    <x v="3"/>
    <n v="0"/>
    <x v="0"/>
  </r>
  <r>
    <x v="4"/>
    <x v="6"/>
    <x v="1"/>
    <x v="4"/>
    <n v="0"/>
    <x v="0"/>
  </r>
  <r>
    <x v="4"/>
    <x v="6"/>
    <x v="1"/>
    <x v="5"/>
    <n v="0"/>
    <x v="0"/>
  </r>
  <r>
    <x v="4"/>
    <x v="6"/>
    <x v="1"/>
    <x v="6"/>
    <n v="0"/>
    <x v="0"/>
  </r>
  <r>
    <x v="4"/>
    <x v="6"/>
    <x v="1"/>
    <x v="7"/>
    <n v="0"/>
    <x v="0"/>
  </r>
  <r>
    <x v="4"/>
    <x v="6"/>
    <x v="1"/>
    <x v="8"/>
    <n v="0"/>
    <x v="0"/>
  </r>
  <r>
    <x v="4"/>
    <x v="6"/>
    <x v="1"/>
    <x v="9"/>
    <n v="0"/>
    <x v="0"/>
  </r>
  <r>
    <x v="4"/>
    <x v="6"/>
    <x v="1"/>
    <x v="10"/>
    <n v="0"/>
    <x v="0"/>
  </r>
  <r>
    <x v="4"/>
    <x v="6"/>
    <x v="1"/>
    <x v="11"/>
    <n v="0"/>
    <x v="0"/>
  </r>
  <r>
    <x v="4"/>
    <x v="6"/>
    <x v="2"/>
    <x v="0"/>
    <n v="1"/>
    <x v="0"/>
  </r>
  <r>
    <x v="4"/>
    <x v="6"/>
    <x v="2"/>
    <x v="1"/>
    <n v="0"/>
    <x v="0"/>
  </r>
  <r>
    <x v="4"/>
    <x v="6"/>
    <x v="2"/>
    <x v="2"/>
    <n v="0"/>
    <x v="0"/>
  </r>
  <r>
    <x v="4"/>
    <x v="6"/>
    <x v="2"/>
    <x v="3"/>
    <n v="0"/>
    <x v="0"/>
  </r>
  <r>
    <x v="4"/>
    <x v="6"/>
    <x v="2"/>
    <x v="4"/>
    <n v="0"/>
    <x v="0"/>
  </r>
  <r>
    <x v="4"/>
    <x v="6"/>
    <x v="2"/>
    <x v="5"/>
    <n v="0"/>
    <x v="0"/>
  </r>
  <r>
    <x v="4"/>
    <x v="6"/>
    <x v="2"/>
    <x v="6"/>
    <n v="0"/>
    <x v="0"/>
  </r>
  <r>
    <x v="4"/>
    <x v="6"/>
    <x v="2"/>
    <x v="7"/>
    <n v="0"/>
    <x v="0"/>
  </r>
  <r>
    <x v="4"/>
    <x v="6"/>
    <x v="2"/>
    <x v="8"/>
    <n v="0"/>
    <x v="0"/>
  </r>
  <r>
    <x v="4"/>
    <x v="6"/>
    <x v="2"/>
    <x v="9"/>
    <n v="0"/>
    <x v="0"/>
  </r>
  <r>
    <x v="4"/>
    <x v="6"/>
    <x v="2"/>
    <x v="10"/>
    <n v="0"/>
    <x v="0"/>
  </r>
  <r>
    <x v="4"/>
    <x v="6"/>
    <x v="2"/>
    <x v="11"/>
    <n v="0"/>
    <x v="0"/>
  </r>
  <r>
    <x v="4"/>
    <x v="6"/>
    <x v="3"/>
    <x v="0"/>
    <n v="1"/>
    <x v="0"/>
  </r>
  <r>
    <x v="4"/>
    <x v="6"/>
    <x v="3"/>
    <x v="1"/>
    <n v="0"/>
    <x v="0"/>
  </r>
  <r>
    <x v="4"/>
    <x v="6"/>
    <x v="3"/>
    <x v="2"/>
    <n v="0"/>
    <x v="0"/>
  </r>
  <r>
    <x v="4"/>
    <x v="6"/>
    <x v="3"/>
    <x v="3"/>
    <n v="0"/>
    <x v="0"/>
  </r>
  <r>
    <x v="4"/>
    <x v="6"/>
    <x v="3"/>
    <x v="4"/>
    <n v="0"/>
    <x v="0"/>
  </r>
  <r>
    <x v="4"/>
    <x v="6"/>
    <x v="3"/>
    <x v="5"/>
    <n v="0"/>
    <x v="0"/>
  </r>
  <r>
    <x v="4"/>
    <x v="6"/>
    <x v="3"/>
    <x v="6"/>
    <n v="0"/>
    <x v="0"/>
  </r>
  <r>
    <x v="4"/>
    <x v="6"/>
    <x v="3"/>
    <x v="7"/>
    <n v="0"/>
    <x v="0"/>
  </r>
  <r>
    <x v="4"/>
    <x v="6"/>
    <x v="3"/>
    <x v="8"/>
    <n v="0"/>
    <x v="0"/>
  </r>
  <r>
    <x v="4"/>
    <x v="6"/>
    <x v="3"/>
    <x v="9"/>
    <n v="0"/>
    <x v="0"/>
  </r>
  <r>
    <x v="4"/>
    <x v="6"/>
    <x v="3"/>
    <x v="10"/>
    <n v="0"/>
    <x v="0"/>
  </r>
  <r>
    <x v="4"/>
    <x v="6"/>
    <x v="3"/>
    <x v="11"/>
    <n v="0"/>
    <x v="0"/>
  </r>
  <r>
    <x v="4"/>
    <x v="6"/>
    <x v="4"/>
    <x v="0"/>
    <n v="1"/>
    <x v="1"/>
  </r>
  <r>
    <x v="4"/>
    <x v="6"/>
    <x v="4"/>
    <x v="1"/>
    <n v="0"/>
    <x v="1"/>
  </r>
  <r>
    <x v="4"/>
    <x v="6"/>
    <x v="4"/>
    <x v="2"/>
    <n v="0"/>
    <x v="1"/>
  </r>
  <r>
    <x v="4"/>
    <x v="6"/>
    <x v="4"/>
    <x v="3"/>
    <n v="0"/>
    <x v="1"/>
  </r>
  <r>
    <x v="4"/>
    <x v="6"/>
    <x v="4"/>
    <x v="4"/>
    <n v="0"/>
    <x v="1"/>
  </r>
  <r>
    <x v="4"/>
    <x v="6"/>
    <x v="4"/>
    <x v="5"/>
    <n v="0"/>
    <x v="1"/>
  </r>
  <r>
    <x v="4"/>
    <x v="6"/>
    <x v="4"/>
    <x v="6"/>
    <n v="0"/>
    <x v="1"/>
  </r>
  <r>
    <x v="4"/>
    <x v="6"/>
    <x v="4"/>
    <x v="7"/>
    <n v="0"/>
    <x v="1"/>
  </r>
  <r>
    <x v="4"/>
    <x v="6"/>
    <x v="4"/>
    <x v="8"/>
    <n v="0"/>
    <x v="1"/>
  </r>
  <r>
    <x v="4"/>
    <x v="6"/>
    <x v="4"/>
    <x v="9"/>
    <n v="0"/>
    <x v="1"/>
  </r>
  <r>
    <x v="4"/>
    <x v="6"/>
    <x v="4"/>
    <x v="10"/>
    <n v="0"/>
    <x v="1"/>
  </r>
  <r>
    <x v="4"/>
    <x v="6"/>
    <x v="4"/>
    <x v="11"/>
    <n v="0"/>
    <x v="1"/>
  </r>
  <r>
    <x v="4"/>
    <x v="6"/>
    <x v="5"/>
    <x v="0"/>
    <n v="1"/>
    <x v="1"/>
  </r>
  <r>
    <x v="4"/>
    <x v="6"/>
    <x v="6"/>
    <x v="0"/>
    <n v="1"/>
    <x v="1"/>
  </r>
  <r>
    <x v="4"/>
    <x v="7"/>
    <x v="0"/>
    <x v="0"/>
    <n v="0"/>
    <x v="0"/>
  </r>
  <r>
    <x v="4"/>
    <x v="7"/>
    <x v="0"/>
    <x v="1"/>
    <n v="0"/>
    <x v="0"/>
  </r>
  <r>
    <x v="4"/>
    <x v="7"/>
    <x v="0"/>
    <x v="2"/>
    <n v="0"/>
    <x v="0"/>
  </r>
  <r>
    <x v="4"/>
    <x v="7"/>
    <x v="0"/>
    <x v="3"/>
    <n v="0"/>
    <x v="0"/>
  </r>
  <r>
    <x v="4"/>
    <x v="7"/>
    <x v="0"/>
    <x v="4"/>
    <n v="0"/>
    <x v="0"/>
  </r>
  <r>
    <x v="4"/>
    <x v="7"/>
    <x v="0"/>
    <x v="5"/>
    <n v="0"/>
    <x v="0"/>
  </r>
  <r>
    <x v="4"/>
    <x v="7"/>
    <x v="0"/>
    <x v="6"/>
    <n v="0"/>
    <x v="0"/>
  </r>
  <r>
    <x v="4"/>
    <x v="7"/>
    <x v="0"/>
    <x v="7"/>
    <n v="0"/>
    <x v="0"/>
  </r>
  <r>
    <x v="4"/>
    <x v="7"/>
    <x v="0"/>
    <x v="8"/>
    <n v="0"/>
    <x v="0"/>
  </r>
  <r>
    <x v="4"/>
    <x v="7"/>
    <x v="0"/>
    <x v="9"/>
    <n v="0"/>
    <x v="0"/>
  </r>
  <r>
    <x v="4"/>
    <x v="7"/>
    <x v="0"/>
    <x v="10"/>
    <n v="0"/>
    <x v="0"/>
  </r>
  <r>
    <x v="4"/>
    <x v="7"/>
    <x v="0"/>
    <x v="11"/>
    <n v="0"/>
    <x v="0"/>
  </r>
  <r>
    <x v="4"/>
    <x v="7"/>
    <x v="1"/>
    <x v="0"/>
    <n v="0"/>
    <x v="0"/>
  </r>
  <r>
    <x v="4"/>
    <x v="7"/>
    <x v="1"/>
    <x v="1"/>
    <n v="0"/>
    <x v="0"/>
  </r>
  <r>
    <x v="4"/>
    <x v="7"/>
    <x v="1"/>
    <x v="2"/>
    <n v="0"/>
    <x v="0"/>
  </r>
  <r>
    <x v="4"/>
    <x v="7"/>
    <x v="1"/>
    <x v="3"/>
    <n v="0"/>
    <x v="0"/>
  </r>
  <r>
    <x v="4"/>
    <x v="7"/>
    <x v="1"/>
    <x v="4"/>
    <n v="0"/>
    <x v="0"/>
  </r>
  <r>
    <x v="4"/>
    <x v="7"/>
    <x v="1"/>
    <x v="5"/>
    <n v="0"/>
    <x v="0"/>
  </r>
  <r>
    <x v="4"/>
    <x v="7"/>
    <x v="1"/>
    <x v="6"/>
    <n v="0"/>
    <x v="0"/>
  </r>
  <r>
    <x v="4"/>
    <x v="7"/>
    <x v="1"/>
    <x v="7"/>
    <n v="0"/>
    <x v="0"/>
  </r>
  <r>
    <x v="4"/>
    <x v="7"/>
    <x v="1"/>
    <x v="8"/>
    <n v="0"/>
    <x v="0"/>
  </r>
  <r>
    <x v="4"/>
    <x v="7"/>
    <x v="1"/>
    <x v="9"/>
    <n v="0"/>
    <x v="0"/>
  </r>
  <r>
    <x v="4"/>
    <x v="7"/>
    <x v="1"/>
    <x v="10"/>
    <n v="0"/>
    <x v="0"/>
  </r>
  <r>
    <x v="4"/>
    <x v="7"/>
    <x v="1"/>
    <x v="11"/>
    <n v="0"/>
    <x v="0"/>
  </r>
  <r>
    <x v="4"/>
    <x v="7"/>
    <x v="2"/>
    <x v="0"/>
    <n v="0"/>
    <x v="0"/>
  </r>
  <r>
    <x v="4"/>
    <x v="7"/>
    <x v="2"/>
    <x v="1"/>
    <n v="0"/>
    <x v="0"/>
  </r>
  <r>
    <x v="4"/>
    <x v="7"/>
    <x v="2"/>
    <x v="2"/>
    <n v="0"/>
    <x v="0"/>
  </r>
  <r>
    <x v="4"/>
    <x v="7"/>
    <x v="2"/>
    <x v="3"/>
    <n v="0"/>
    <x v="0"/>
  </r>
  <r>
    <x v="4"/>
    <x v="7"/>
    <x v="2"/>
    <x v="4"/>
    <n v="0"/>
    <x v="0"/>
  </r>
  <r>
    <x v="4"/>
    <x v="7"/>
    <x v="2"/>
    <x v="5"/>
    <n v="0"/>
    <x v="0"/>
  </r>
  <r>
    <x v="4"/>
    <x v="7"/>
    <x v="2"/>
    <x v="6"/>
    <n v="0"/>
    <x v="0"/>
  </r>
  <r>
    <x v="4"/>
    <x v="7"/>
    <x v="2"/>
    <x v="7"/>
    <n v="0"/>
    <x v="0"/>
  </r>
  <r>
    <x v="4"/>
    <x v="7"/>
    <x v="2"/>
    <x v="8"/>
    <n v="0"/>
    <x v="0"/>
  </r>
  <r>
    <x v="4"/>
    <x v="7"/>
    <x v="2"/>
    <x v="9"/>
    <n v="0"/>
    <x v="0"/>
  </r>
  <r>
    <x v="4"/>
    <x v="7"/>
    <x v="2"/>
    <x v="10"/>
    <n v="0"/>
    <x v="0"/>
  </r>
  <r>
    <x v="4"/>
    <x v="7"/>
    <x v="2"/>
    <x v="11"/>
    <n v="0"/>
    <x v="0"/>
  </r>
  <r>
    <x v="4"/>
    <x v="7"/>
    <x v="3"/>
    <x v="0"/>
    <n v="0"/>
    <x v="0"/>
  </r>
  <r>
    <x v="4"/>
    <x v="7"/>
    <x v="3"/>
    <x v="1"/>
    <n v="0"/>
    <x v="0"/>
  </r>
  <r>
    <x v="4"/>
    <x v="7"/>
    <x v="3"/>
    <x v="2"/>
    <n v="0"/>
    <x v="0"/>
  </r>
  <r>
    <x v="4"/>
    <x v="7"/>
    <x v="3"/>
    <x v="3"/>
    <n v="0"/>
    <x v="0"/>
  </r>
  <r>
    <x v="4"/>
    <x v="7"/>
    <x v="3"/>
    <x v="4"/>
    <n v="0"/>
    <x v="0"/>
  </r>
  <r>
    <x v="4"/>
    <x v="7"/>
    <x v="3"/>
    <x v="5"/>
    <n v="0"/>
    <x v="0"/>
  </r>
  <r>
    <x v="4"/>
    <x v="7"/>
    <x v="3"/>
    <x v="6"/>
    <n v="0"/>
    <x v="0"/>
  </r>
  <r>
    <x v="4"/>
    <x v="7"/>
    <x v="3"/>
    <x v="7"/>
    <n v="0"/>
    <x v="0"/>
  </r>
  <r>
    <x v="4"/>
    <x v="7"/>
    <x v="3"/>
    <x v="8"/>
    <n v="0"/>
    <x v="0"/>
  </r>
  <r>
    <x v="4"/>
    <x v="7"/>
    <x v="3"/>
    <x v="9"/>
    <n v="0"/>
    <x v="0"/>
  </r>
  <r>
    <x v="4"/>
    <x v="7"/>
    <x v="3"/>
    <x v="10"/>
    <n v="0"/>
    <x v="0"/>
  </r>
  <r>
    <x v="4"/>
    <x v="7"/>
    <x v="3"/>
    <x v="11"/>
    <n v="0"/>
    <x v="0"/>
  </r>
  <r>
    <x v="4"/>
    <x v="7"/>
    <x v="4"/>
    <x v="0"/>
    <n v="1"/>
    <x v="1"/>
  </r>
  <r>
    <x v="4"/>
    <x v="7"/>
    <x v="4"/>
    <x v="1"/>
    <n v="0"/>
    <x v="1"/>
  </r>
  <r>
    <x v="4"/>
    <x v="7"/>
    <x v="4"/>
    <x v="2"/>
    <n v="0"/>
    <x v="1"/>
  </r>
  <r>
    <x v="4"/>
    <x v="7"/>
    <x v="4"/>
    <x v="3"/>
    <n v="0"/>
    <x v="1"/>
  </r>
  <r>
    <x v="4"/>
    <x v="7"/>
    <x v="4"/>
    <x v="4"/>
    <n v="0"/>
    <x v="1"/>
  </r>
  <r>
    <x v="4"/>
    <x v="7"/>
    <x v="4"/>
    <x v="5"/>
    <n v="0"/>
    <x v="1"/>
  </r>
  <r>
    <x v="4"/>
    <x v="7"/>
    <x v="4"/>
    <x v="6"/>
    <n v="0"/>
    <x v="1"/>
  </r>
  <r>
    <x v="4"/>
    <x v="7"/>
    <x v="4"/>
    <x v="7"/>
    <n v="0"/>
    <x v="1"/>
  </r>
  <r>
    <x v="4"/>
    <x v="7"/>
    <x v="4"/>
    <x v="8"/>
    <n v="0"/>
    <x v="1"/>
  </r>
  <r>
    <x v="4"/>
    <x v="7"/>
    <x v="4"/>
    <x v="9"/>
    <n v="0"/>
    <x v="1"/>
  </r>
  <r>
    <x v="4"/>
    <x v="7"/>
    <x v="4"/>
    <x v="10"/>
    <n v="0"/>
    <x v="1"/>
  </r>
  <r>
    <x v="4"/>
    <x v="7"/>
    <x v="4"/>
    <x v="11"/>
    <n v="0"/>
    <x v="1"/>
  </r>
  <r>
    <x v="4"/>
    <x v="7"/>
    <x v="5"/>
    <x v="0"/>
    <n v="1"/>
    <x v="1"/>
  </r>
  <r>
    <x v="4"/>
    <x v="7"/>
    <x v="6"/>
    <x v="0"/>
    <n v="1"/>
    <x v="1"/>
  </r>
  <r>
    <x v="4"/>
    <x v="8"/>
    <x v="0"/>
    <x v="0"/>
    <n v="1"/>
    <x v="0"/>
  </r>
  <r>
    <x v="4"/>
    <x v="8"/>
    <x v="0"/>
    <x v="1"/>
    <n v="0"/>
    <x v="0"/>
  </r>
  <r>
    <x v="4"/>
    <x v="8"/>
    <x v="0"/>
    <x v="2"/>
    <n v="0"/>
    <x v="0"/>
  </r>
  <r>
    <x v="4"/>
    <x v="8"/>
    <x v="0"/>
    <x v="3"/>
    <n v="0"/>
    <x v="0"/>
  </r>
  <r>
    <x v="4"/>
    <x v="8"/>
    <x v="0"/>
    <x v="4"/>
    <n v="0"/>
    <x v="0"/>
  </r>
  <r>
    <x v="4"/>
    <x v="8"/>
    <x v="0"/>
    <x v="5"/>
    <n v="0"/>
    <x v="0"/>
  </r>
  <r>
    <x v="4"/>
    <x v="8"/>
    <x v="0"/>
    <x v="6"/>
    <n v="0"/>
    <x v="0"/>
  </r>
  <r>
    <x v="4"/>
    <x v="8"/>
    <x v="0"/>
    <x v="7"/>
    <n v="0"/>
    <x v="0"/>
  </r>
  <r>
    <x v="4"/>
    <x v="8"/>
    <x v="0"/>
    <x v="8"/>
    <n v="0"/>
    <x v="0"/>
  </r>
  <r>
    <x v="4"/>
    <x v="8"/>
    <x v="0"/>
    <x v="9"/>
    <n v="0"/>
    <x v="0"/>
  </r>
  <r>
    <x v="4"/>
    <x v="8"/>
    <x v="0"/>
    <x v="10"/>
    <n v="0"/>
    <x v="0"/>
  </r>
  <r>
    <x v="4"/>
    <x v="8"/>
    <x v="0"/>
    <x v="11"/>
    <n v="0"/>
    <x v="0"/>
  </r>
  <r>
    <x v="4"/>
    <x v="8"/>
    <x v="1"/>
    <x v="0"/>
    <n v="1"/>
    <x v="0"/>
  </r>
  <r>
    <x v="4"/>
    <x v="8"/>
    <x v="1"/>
    <x v="1"/>
    <n v="0"/>
    <x v="0"/>
  </r>
  <r>
    <x v="4"/>
    <x v="8"/>
    <x v="1"/>
    <x v="2"/>
    <n v="0"/>
    <x v="0"/>
  </r>
  <r>
    <x v="4"/>
    <x v="8"/>
    <x v="1"/>
    <x v="3"/>
    <n v="0"/>
    <x v="0"/>
  </r>
  <r>
    <x v="4"/>
    <x v="8"/>
    <x v="1"/>
    <x v="4"/>
    <n v="0"/>
    <x v="0"/>
  </r>
  <r>
    <x v="4"/>
    <x v="8"/>
    <x v="1"/>
    <x v="5"/>
    <n v="0"/>
    <x v="0"/>
  </r>
  <r>
    <x v="4"/>
    <x v="8"/>
    <x v="1"/>
    <x v="6"/>
    <n v="0"/>
    <x v="0"/>
  </r>
  <r>
    <x v="4"/>
    <x v="8"/>
    <x v="1"/>
    <x v="7"/>
    <n v="0"/>
    <x v="0"/>
  </r>
  <r>
    <x v="4"/>
    <x v="8"/>
    <x v="1"/>
    <x v="8"/>
    <n v="0"/>
    <x v="0"/>
  </r>
  <r>
    <x v="4"/>
    <x v="8"/>
    <x v="1"/>
    <x v="9"/>
    <n v="0"/>
    <x v="0"/>
  </r>
  <r>
    <x v="4"/>
    <x v="8"/>
    <x v="1"/>
    <x v="10"/>
    <n v="0"/>
    <x v="0"/>
  </r>
  <r>
    <x v="4"/>
    <x v="8"/>
    <x v="1"/>
    <x v="11"/>
    <n v="0"/>
    <x v="0"/>
  </r>
  <r>
    <x v="4"/>
    <x v="8"/>
    <x v="2"/>
    <x v="0"/>
    <n v="1"/>
    <x v="0"/>
  </r>
  <r>
    <x v="4"/>
    <x v="8"/>
    <x v="2"/>
    <x v="1"/>
    <n v="0"/>
    <x v="0"/>
  </r>
  <r>
    <x v="4"/>
    <x v="8"/>
    <x v="2"/>
    <x v="2"/>
    <n v="0"/>
    <x v="0"/>
  </r>
  <r>
    <x v="4"/>
    <x v="8"/>
    <x v="2"/>
    <x v="3"/>
    <n v="0"/>
    <x v="0"/>
  </r>
  <r>
    <x v="4"/>
    <x v="8"/>
    <x v="2"/>
    <x v="4"/>
    <n v="0"/>
    <x v="0"/>
  </r>
  <r>
    <x v="4"/>
    <x v="8"/>
    <x v="2"/>
    <x v="5"/>
    <n v="0"/>
    <x v="0"/>
  </r>
  <r>
    <x v="4"/>
    <x v="8"/>
    <x v="2"/>
    <x v="6"/>
    <n v="0"/>
    <x v="0"/>
  </r>
  <r>
    <x v="4"/>
    <x v="8"/>
    <x v="2"/>
    <x v="7"/>
    <n v="0"/>
    <x v="0"/>
  </r>
  <r>
    <x v="4"/>
    <x v="8"/>
    <x v="2"/>
    <x v="8"/>
    <n v="0"/>
    <x v="0"/>
  </r>
  <r>
    <x v="4"/>
    <x v="8"/>
    <x v="2"/>
    <x v="9"/>
    <n v="0"/>
    <x v="0"/>
  </r>
  <r>
    <x v="4"/>
    <x v="8"/>
    <x v="2"/>
    <x v="10"/>
    <n v="0"/>
    <x v="0"/>
  </r>
  <r>
    <x v="4"/>
    <x v="8"/>
    <x v="2"/>
    <x v="11"/>
    <n v="0"/>
    <x v="0"/>
  </r>
  <r>
    <x v="4"/>
    <x v="8"/>
    <x v="3"/>
    <x v="0"/>
    <n v="1"/>
    <x v="0"/>
  </r>
  <r>
    <x v="4"/>
    <x v="8"/>
    <x v="3"/>
    <x v="1"/>
    <n v="0"/>
    <x v="0"/>
  </r>
  <r>
    <x v="4"/>
    <x v="8"/>
    <x v="3"/>
    <x v="2"/>
    <n v="0"/>
    <x v="0"/>
  </r>
  <r>
    <x v="4"/>
    <x v="8"/>
    <x v="3"/>
    <x v="3"/>
    <n v="0"/>
    <x v="0"/>
  </r>
  <r>
    <x v="4"/>
    <x v="8"/>
    <x v="3"/>
    <x v="4"/>
    <n v="0"/>
    <x v="0"/>
  </r>
  <r>
    <x v="4"/>
    <x v="8"/>
    <x v="3"/>
    <x v="5"/>
    <n v="0"/>
    <x v="0"/>
  </r>
  <r>
    <x v="4"/>
    <x v="8"/>
    <x v="3"/>
    <x v="6"/>
    <n v="0"/>
    <x v="0"/>
  </r>
  <r>
    <x v="4"/>
    <x v="8"/>
    <x v="3"/>
    <x v="7"/>
    <n v="0"/>
    <x v="0"/>
  </r>
  <r>
    <x v="4"/>
    <x v="8"/>
    <x v="3"/>
    <x v="8"/>
    <n v="0"/>
    <x v="0"/>
  </r>
  <r>
    <x v="4"/>
    <x v="8"/>
    <x v="3"/>
    <x v="9"/>
    <n v="0"/>
    <x v="0"/>
  </r>
  <r>
    <x v="4"/>
    <x v="8"/>
    <x v="3"/>
    <x v="10"/>
    <n v="0"/>
    <x v="0"/>
  </r>
  <r>
    <x v="4"/>
    <x v="8"/>
    <x v="3"/>
    <x v="11"/>
    <n v="0"/>
    <x v="0"/>
  </r>
  <r>
    <x v="4"/>
    <x v="8"/>
    <x v="4"/>
    <x v="0"/>
    <n v="0"/>
    <x v="1"/>
  </r>
  <r>
    <x v="4"/>
    <x v="8"/>
    <x v="4"/>
    <x v="1"/>
    <n v="0"/>
    <x v="1"/>
  </r>
  <r>
    <x v="4"/>
    <x v="8"/>
    <x v="4"/>
    <x v="2"/>
    <n v="0"/>
    <x v="1"/>
  </r>
  <r>
    <x v="4"/>
    <x v="8"/>
    <x v="4"/>
    <x v="3"/>
    <n v="0"/>
    <x v="1"/>
  </r>
  <r>
    <x v="4"/>
    <x v="8"/>
    <x v="4"/>
    <x v="4"/>
    <n v="0"/>
    <x v="1"/>
  </r>
  <r>
    <x v="4"/>
    <x v="8"/>
    <x v="4"/>
    <x v="5"/>
    <n v="0"/>
    <x v="1"/>
  </r>
  <r>
    <x v="4"/>
    <x v="8"/>
    <x v="4"/>
    <x v="6"/>
    <n v="0"/>
    <x v="1"/>
  </r>
  <r>
    <x v="4"/>
    <x v="8"/>
    <x v="4"/>
    <x v="7"/>
    <n v="0"/>
    <x v="1"/>
  </r>
  <r>
    <x v="4"/>
    <x v="8"/>
    <x v="4"/>
    <x v="8"/>
    <n v="0"/>
    <x v="1"/>
  </r>
  <r>
    <x v="4"/>
    <x v="8"/>
    <x v="4"/>
    <x v="9"/>
    <n v="0"/>
    <x v="1"/>
  </r>
  <r>
    <x v="4"/>
    <x v="8"/>
    <x v="4"/>
    <x v="10"/>
    <n v="0"/>
    <x v="1"/>
  </r>
  <r>
    <x v="4"/>
    <x v="8"/>
    <x v="4"/>
    <x v="11"/>
    <n v="0"/>
    <x v="1"/>
  </r>
  <r>
    <x v="4"/>
    <x v="8"/>
    <x v="5"/>
    <x v="0"/>
    <n v="0"/>
    <x v="1"/>
  </r>
  <r>
    <x v="4"/>
    <x v="8"/>
    <x v="6"/>
    <x v="0"/>
    <n v="0"/>
    <x v="1"/>
  </r>
  <r>
    <x v="4"/>
    <x v="9"/>
    <x v="0"/>
    <x v="0"/>
    <n v="0"/>
    <x v="0"/>
  </r>
  <r>
    <x v="4"/>
    <x v="9"/>
    <x v="0"/>
    <x v="1"/>
    <n v="0"/>
    <x v="0"/>
  </r>
  <r>
    <x v="4"/>
    <x v="9"/>
    <x v="0"/>
    <x v="2"/>
    <n v="0"/>
    <x v="0"/>
  </r>
  <r>
    <x v="4"/>
    <x v="9"/>
    <x v="0"/>
    <x v="3"/>
    <n v="0"/>
    <x v="0"/>
  </r>
  <r>
    <x v="4"/>
    <x v="9"/>
    <x v="0"/>
    <x v="4"/>
    <n v="0"/>
    <x v="0"/>
  </r>
  <r>
    <x v="4"/>
    <x v="9"/>
    <x v="0"/>
    <x v="5"/>
    <n v="0"/>
    <x v="0"/>
  </r>
  <r>
    <x v="4"/>
    <x v="9"/>
    <x v="0"/>
    <x v="6"/>
    <n v="0"/>
    <x v="0"/>
  </r>
  <r>
    <x v="4"/>
    <x v="9"/>
    <x v="0"/>
    <x v="7"/>
    <n v="0"/>
    <x v="0"/>
  </r>
  <r>
    <x v="4"/>
    <x v="9"/>
    <x v="0"/>
    <x v="8"/>
    <n v="0"/>
    <x v="0"/>
  </r>
  <r>
    <x v="4"/>
    <x v="9"/>
    <x v="0"/>
    <x v="9"/>
    <n v="0"/>
    <x v="0"/>
  </r>
  <r>
    <x v="4"/>
    <x v="9"/>
    <x v="0"/>
    <x v="10"/>
    <n v="0"/>
    <x v="0"/>
  </r>
  <r>
    <x v="4"/>
    <x v="9"/>
    <x v="0"/>
    <x v="11"/>
    <n v="0"/>
    <x v="0"/>
  </r>
  <r>
    <x v="4"/>
    <x v="9"/>
    <x v="1"/>
    <x v="0"/>
    <n v="0"/>
    <x v="0"/>
  </r>
  <r>
    <x v="4"/>
    <x v="9"/>
    <x v="1"/>
    <x v="1"/>
    <n v="0"/>
    <x v="0"/>
  </r>
  <r>
    <x v="4"/>
    <x v="9"/>
    <x v="1"/>
    <x v="2"/>
    <n v="0"/>
    <x v="0"/>
  </r>
  <r>
    <x v="4"/>
    <x v="9"/>
    <x v="1"/>
    <x v="3"/>
    <n v="0"/>
    <x v="0"/>
  </r>
  <r>
    <x v="4"/>
    <x v="9"/>
    <x v="1"/>
    <x v="4"/>
    <n v="0"/>
    <x v="0"/>
  </r>
  <r>
    <x v="4"/>
    <x v="9"/>
    <x v="1"/>
    <x v="5"/>
    <n v="0"/>
    <x v="0"/>
  </r>
  <r>
    <x v="4"/>
    <x v="9"/>
    <x v="1"/>
    <x v="6"/>
    <n v="0"/>
    <x v="0"/>
  </r>
  <r>
    <x v="4"/>
    <x v="9"/>
    <x v="1"/>
    <x v="7"/>
    <n v="0"/>
    <x v="0"/>
  </r>
  <r>
    <x v="4"/>
    <x v="9"/>
    <x v="1"/>
    <x v="8"/>
    <n v="0"/>
    <x v="0"/>
  </r>
  <r>
    <x v="4"/>
    <x v="9"/>
    <x v="1"/>
    <x v="9"/>
    <n v="0"/>
    <x v="0"/>
  </r>
  <r>
    <x v="4"/>
    <x v="9"/>
    <x v="1"/>
    <x v="10"/>
    <n v="0"/>
    <x v="0"/>
  </r>
  <r>
    <x v="4"/>
    <x v="9"/>
    <x v="1"/>
    <x v="11"/>
    <n v="0"/>
    <x v="0"/>
  </r>
  <r>
    <x v="4"/>
    <x v="9"/>
    <x v="2"/>
    <x v="0"/>
    <n v="0"/>
    <x v="0"/>
  </r>
  <r>
    <x v="4"/>
    <x v="9"/>
    <x v="2"/>
    <x v="1"/>
    <n v="0"/>
    <x v="0"/>
  </r>
  <r>
    <x v="4"/>
    <x v="9"/>
    <x v="2"/>
    <x v="2"/>
    <n v="0"/>
    <x v="0"/>
  </r>
  <r>
    <x v="4"/>
    <x v="9"/>
    <x v="2"/>
    <x v="3"/>
    <n v="0"/>
    <x v="0"/>
  </r>
  <r>
    <x v="4"/>
    <x v="9"/>
    <x v="2"/>
    <x v="4"/>
    <n v="0"/>
    <x v="0"/>
  </r>
  <r>
    <x v="4"/>
    <x v="9"/>
    <x v="2"/>
    <x v="5"/>
    <n v="0"/>
    <x v="0"/>
  </r>
  <r>
    <x v="4"/>
    <x v="9"/>
    <x v="2"/>
    <x v="6"/>
    <n v="0"/>
    <x v="0"/>
  </r>
  <r>
    <x v="4"/>
    <x v="9"/>
    <x v="2"/>
    <x v="7"/>
    <n v="0"/>
    <x v="0"/>
  </r>
  <r>
    <x v="4"/>
    <x v="9"/>
    <x v="2"/>
    <x v="8"/>
    <n v="0"/>
    <x v="0"/>
  </r>
  <r>
    <x v="4"/>
    <x v="9"/>
    <x v="2"/>
    <x v="9"/>
    <n v="0"/>
    <x v="0"/>
  </r>
  <r>
    <x v="4"/>
    <x v="9"/>
    <x v="2"/>
    <x v="10"/>
    <n v="0"/>
    <x v="0"/>
  </r>
  <r>
    <x v="4"/>
    <x v="9"/>
    <x v="2"/>
    <x v="11"/>
    <n v="0"/>
    <x v="0"/>
  </r>
  <r>
    <x v="4"/>
    <x v="9"/>
    <x v="3"/>
    <x v="0"/>
    <n v="0"/>
    <x v="0"/>
  </r>
  <r>
    <x v="4"/>
    <x v="9"/>
    <x v="3"/>
    <x v="1"/>
    <n v="0"/>
    <x v="0"/>
  </r>
  <r>
    <x v="4"/>
    <x v="9"/>
    <x v="3"/>
    <x v="2"/>
    <n v="0"/>
    <x v="0"/>
  </r>
  <r>
    <x v="4"/>
    <x v="9"/>
    <x v="3"/>
    <x v="3"/>
    <n v="0"/>
    <x v="0"/>
  </r>
  <r>
    <x v="4"/>
    <x v="9"/>
    <x v="3"/>
    <x v="4"/>
    <n v="0"/>
    <x v="0"/>
  </r>
  <r>
    <x v="4"/>
    <x v="9"/>
    <x v="3"/>
    <x v="5"/>
    <n v="0"/>
    <x v="0"/>
  </r>
  <r>
    <x v="4"/>
    <x v="9"/>
    <x v="3"/>
    <x v="6"/>
    <n v="0"/>
    <x v="0"/>
  </r>
  <r>
    <x v="4"/>
    <x v="9"/>
    <x v="3"/>
    <x v="7"/>
    <n v="0"/>
    <x v="0"/>
  </r>
  <r>
    <x v="4"/>
    <x v="9"/>
    <x v="3"/>
    <x v="8"/>
    <n v="0"/>
    <x v="0"/>
  </r>
  <r>
    <x v="4"/>
    <x v="9"/>
    <x v="3"/>
    <x v="9"/>
    <n v="0"/>
    <x v="0"/>
  </r>
  <r>
    <x v="4"/>
    <x v="9"/>
    <x v="3"/>
    <x v="10"/>
    <n v="0"/>
    <x v="0"/>
  </r>
  <r>
    <x v="4"/>
    <x v="9"/>
    <x v="3"/>
    <x v="11"/>
    <n v="0"/>
    <x v="0"/>
  </r>
  <r>
    <x v="4"/>
    <x v="9"/>
    <x v="4"/>
    <x v="0"/>
    <n v="1"/>
    <x v="1"/>
  </r>
  <r>
    <x v="4"/>
    <x v="9"/>
    <x v="4"/>
    <x v="1"/>
    <n v="0"/>
    <x v="1"/>
  </r>
  <r>
    <x v="4"/>
    <x v="9"/>
    <x v="4"/>
    <x v="2"/>
    <n v="0"/>
    <x v="1"/>
  </r>
  <r>
    <x v="4"/>
    <x v="9"/>
    <x v="4"/>
    <x v="3"/>
    <n v="0"/>
    <x v="1"/>
  </r>
  <r>
    <x v="4"/>
    <x v="9"/>
    <x v="4"/>
    <x v="4"/>
    <n v="0"/>
    <x v="1"/>
  </r>
  <r>
    <x v="4"/>
    <x v="9"/>
    <x v="4"/>
    <x v="5"/>
    <n v="0"/>
    <x v="1"/>
  </r>
  <r>
    <x v="4"/>
    <x v="9"/>
    <x v="4"/>
    <x v="6"/>
    <n v="0"/>
    <x v="1"/>
  </r>
  <r>
    <x v="4"/>
    <x v="9"/>
    <x v="4"/>
    <x v="7"/>
    <n v="0"/>
    <x v="1"/>
  </r>
  <r>
    <x v="4"/>
    <x v="9"/>
    <x v="4"/>
    <x v="8"/>
    <n v="0"/>
    <x v="1"/>
  </r>
  <r>
    <x v="4"/>
    <x v="9"/>
    <x v="4"/>
    <x v="9"/>
    <n v="0"/>
    <x v="1"/>
  </r>
  <r>
    <x v="4"/>
    <x v="9"/>
    <x v="4"/>
    <x v="10"/>
    <n v="0"/>
    <x v="1"/>
  </r>
  <r>
    <x v="4"/>
    <x v="9"/>
    <x v="4"/>
    <x v="11"/>
    <n v="0"/>
    <x v="1"/>
  </r>
  <r>
    <x v="4"/>
    <x v="9"/>
    <x v="5"/>
    <x v="0"/>
    <n v="1"/>
    <x v="1"/>
  </r>
  <r>
    <x v="4"/>
    <x v="9"/>
    <x v="6"/>
    <x v="0"/>
    <n v="1"/>
    <x v="1"/>
  </r>
  <r>
    <x v="4"/>
    <x v="10"/>
    <x v="0"/>
    <x v="0"/>
    <n v="1"/>
    <x v="0"/>
  </r>
  <r>
    <x v="4"/>
    <x v="10"/>
    <x v="0"/>
    <x v="1"/>
    <n v="0"/>
    <x v="0"/>
  </r>
  <r>
    <x v="4"/>
    <x v="10"/>
    <x v="0"/>
    <x v="2"/>
    <n v="0"/>
    <x v="0"/>
  </r>
  <r>
    <x v="4"/>
    <x v="10"/>
    <x v="0"/>
    <x v="3"/>
    <n v="0"/>
    <x v="0"/>
  </r>
  <r>
    <x v="4"/>
    <x v="10"/>
    <x v="0"/>
    <x v="4"/>
    <n v="0"/>
    <x v="0"/>
  </r>
  <r>
    <x v="4"/>
    <x v="10"/>
    <x v="0"/>
    <x v="5"/>
    <n v="0"/>
    <x v="0"/>
  </r>
  <r>
    <x v="4"/>
    <x v="10"/>
    <x v="0"/>
    <x v="6"/>
    <n v="0"/>
    <x v="0"/>
  </r>
  <r>
    <x v="4"/>
    <x v="10"/>
    <x v="0"/>
    <x v="7"/>
    <n v="0"/>
    <x v="0"/>
  </r>
  <r>
    <x v="4"/>
    <x v="10"/>
    <x v="0"/>
    <x v="8"/>
    <n v="0"/>
    <x v="0"/>
  </r>
  <r>
    <x v="4"/>
    <x v="10"/>
    <x v="0"/>
    <x v="9"/>
    <n v="0"/>
    <x v="0"/>
  </r>
  <r>
    <x v="4"/>
    <x v="10"/>
    <x v="0"/>
    <x v="10"/>
    <n v="0"/>
    <x v="0"/>
  </r>
  <r>
    <x v="4"/>
    <x v="10"/>
    <x v="0"/>
    <x v="11"/>
    <n v="0"/>
    <x v="0"/>
  </r>
  <r>
    <x v="4"/>
    <x v="10"/>
    <x v="1"/>
    <x v="0"/>
    <n v="1"/>
    <x v="0"/>
  </r>
  <r>
    <x v="4"/>
    <x v="10"/>
    <x v="1"/>
    <x v="1"/>
    <n v="0"/>
    <x v="0"/>
  </r>
  <r>
    <x v="4"/>
    <x v="10"/>
    <x v="1"/>
    <x v="2"/>
    <n v="0"/>
    <x v="0"/>
  </r>
  <r>
    <x v="4"/>
    <x v="10"/>
    <x v="1"/>
    <x v="3"/>
    <n v="0"/>
    <x v="0"/>
  </r>
  <r>
    <x v="4"/>
    <x v="10"/>
    <x v="1"/>
    <x v="4"/>
    <n v="0"/>
    <x v="0"/>
  </r>
  <r>
    <x v="4"/>
    <x v="10"/>
    <x v="1"/>
    <x v="5"/>
    <n v="0"/>
    <x v="0"/>
  </r>
  <r>
    <x v="4"/>
    <x v="10"/>
    <x v="1"/>
    <x v="6"/>
    <n v="0"/>
    <x v="0"/>
  </r>
  <r>
    <x v="4"/>
    <x v="10"/>
    <x v="1"/>
    <x v="7"/>
    <n v="0"/>
    <x v="0"/>
  </r>
  <r>
    <x v="4"/>
    <x v="10"/>
    <x v="1"/>
    <x v="8"/>
    <n v="0"/>
    <x v="0"/>
  </r>
  <r>
    <x v="4"/>
    <x v="10"/>
    <x v="1"/>
    <x v="9"/>
    <n v="0"/>
    <x v="0"/>
  </r>
  <r>
    <x v="4"/>
    <x v="10"/>
    <x v="1"/>
    <x v="10"/>
    <n v="0"/>
    <x v="0"/>
  </r>
  <r>
    <x v="4"/>
    <x v="10"/>
    <x v="1"/>
    <x v="11"/>
    <n v="0"/>
    <x v="0"/>
  </r>
  <r>
    <x v="4"/>
    <x v="10"/>
    <x v="2"/>
    <x v="0"/>
    <n v="1"/>
    <x v="0"/>
  </r>
  <r>
    <x v="4"/>
    <x v="10"/>
    <x v="2"/>
    <x v="1"/>
    <n v="0"/>
    <x v="0"/>
  </r>
  <r>
    <x v="4"/>
    <x v="10"/>
    <x v="2"/>
    <x v="2"/>
    <n v="0"/>
    <x v="0"/>
  </r>
  <r>
    <x v="4"/>
    <x v="10"/>
    <x v="2"/>
    <x v="3"/>
    <n v="0"/>
    <x v="0"/>
  </r>
  <r>
    <x v="4"/>
    <x v="10"/>
    <x v="2"/>
    <x v="4"/>
    <n v="0"/>
    <x v="0"/>
  </r>
  <r>
    <x v="4"/>
    <x v="10"/>
    <x v="2"/>
    <x v="5"/>
    <n v="0"/>
    <x v="0"/>
  </r>
  <r>
    <x v="4"/>
    <x v="10"/>
    <x v="2"/>
    <x v="6"/>
    <n v="0"/>
    <x v="0"/>
  </r>
  <r>
    <x v="4"/>
    <x v="10"/>
    <x v="2"/>
    <x v="7"/>
    <n v="0"/>
    <x v="0"/>
  </r>
  <r>
    <x v="4"/>
    <x v="10"/>
    <x v="2"/>
    <x v="8"/>
    <n v="0"/>
    <x v="0"/>
  </r>
  <r>
    <x v="4"/>
    <x v="10"/>
    <x v="2"/>
    <x v="9"/>
    <n v="0"/>
    <x v="0"/>
  </r>
  <r>
    <x v="4"/>
    <x v="10"/>
    <x v="2"/>
    <x v="10"/>
    <n v="0"/>
    <x v="0"/>
  </r>
  <r>
    <x v="4"/>
    <x v="10"/>
    <x v="2"/>
    <x v="11"/>
    <n v="0"/>
    <x v="0"/>
  </r>
  <r>
    <x v="4"/>
    <x v="10"/>
    <x v="3"/>
    <x v="0"/>
    <n v="1"/>
    <x v="0"/>
  </r>
  <r>
    <x v="4"/>
    <x v="10"/>
    <x v="3"/>
    <x v="1"/>
    <n v="0"/>
    <x v="0"/>
  </r>
  <r>
    <x v="4"/>
    <x v="10"/>
    <x v="3"/>
    <x v="2"/>
    <n v="0"/>
    <x v="0"/>
  </r>
  <r>
    <x v="4"/>
    <x v="10"/>
    <x v="3"/>
    <x v="3"/>
    <n v="0"/>
    <x v="0"/>
  </r>
  <r>
    <x v="4"/>
    <x v="10"/>
    <x v="3"/>
    <x v="4"/>
    <n v="0"/>
    <x v="0"/>
  </r>
  <r>
    <x v="4"/>
    <x v="10"/>
    <x v="3"/>
    <x v="5"/>
    <n v="0"/>
    <x v="0"/>
  </r>
  <r>
    <x v="4"/>
    <x v="10"/>
    <x v="3"/>
    <x v="6"/>
    <n v="0"/>
    <x v="0"/>
  </r>
  <r>
    <x v="4"/>
    <x v="10"/>
    <x v="3"/>
    <x v="7"/>
    <n v="0"/>
    <x v="0"/>
  </r>
  <r>
    <x v="4"/>
    <x v="10"/>
    <x v="3"/>
    <x v="8"/>
    <n v="0"/>
    <x v="0"/>
  </r>
  <r>
    <x v="4"/>
    <x v="10"/>
    <x v="3"/>
    <x v="9"/>
    <n v="0"/>
    <x v="0"/>
  </r>
  <r>
    <x v="4"/>
    <x v="10"/>
    <x v="3"/>
    <x v="10"/>
    <n v="0"/>
    <x v="0"/>
  </r>
  <r>
    <x v="4"/>
    <x v="10"/>
    <x v="3"/>
    <x v="11"/>
    <n v="0"/>
    <x v="0"/>
  </r>
  <r>
    <x v="4"/>
    <x v="10"/>
    <x v="4"/>
    <x v="0"/>
    <n v="1"/>
    <x v="1"/>
  </r>
  <r>
    <x v="4"/>
    <x v="10"/>
    <x v="4"/>
    <x v="1"/>
    <n v="0"/>
    <x v="1"/>
  </r>
  <r>
    <x v="4"/>
    <x v="10"/>
    <x v="4"/>
    <x v="2"/>
    <n v="0"/>
    <x v="1"/>
  </r>
  <r>
    <x v="4"/>
    <x v="10"/>
    <x v="4"/>
    <x v="3"/>
    <n v="0"/>
    <x v="1"/>
  </r>
  <r>
    <x v="4"/>
    <x v="10"/>
    <x v="4"/>
    <x v="4"/>
    <n v="0"/>
    <x v="1"/>
  </r>
  <r>
    <x v="4"/>
    <x v="10"/>
    <x v="4"/>
    <x v="5"/>
    <n v="0"/>
    <x v="1"/>
  </r>
  <r>
    <x v="4"/>
    <x v="10"/>
    <x v="4"/>
    <x v="6"/>
    <n v="0"/>
    <x v="1"/>
  </r>
  <r>
    <x v="4"/>
    <x v="10"/>
    <x v="4"/>
    <x v="7"/>
    <n v="0"/>
    <x v="1"/>
  </r>
  <r>
    <x v="4"/>
    <x v="10"/>
    <x v="4"/>
    <x v="8"/>
    <n v="0"/>
    <x v="1"/>
  </r>
  <r>
    <x v="4"/>
    <x v="10"/>
    <x v="4"/>
    <x v="9"/>
    <n v="0"/>
    <x v="1"/>
  </r>
  <r>
    <x v="4"/>
    <x v="10"/>
    <x v="4"/>
    <x v="10"/>
    <n v="0"/>
    <x v="1"/>
  </r>
  <r>
    <x v="4"/>
    <x v="10"/>
    <x v="4"/>
    <x v="11"/>
    <n v="0"/>
    <x v="1"/>
  </r>
  <r>
    <x v="4"/>
    <x v="10"/>
    <x v="5"/>
    <x v="0"/>
    <n v="1"/>
    <x v="1"/>
  </r>
  <r>
    <x v="4"/>
    <x v="10"/>
    <x v="6"/>
    <x v="0"/>
    <n v="1"/>
    <x v="1"/>
  </r>
  <r>
    <x v="4"/>
    <x v="11"/>
    <x v="0"/>
    <x v="0"/>
    <n v="0"/>
    <x v="0"/>
  </r>
  <r>
    <x v="4"/>
    <x v="11"/>
    <x v="0"/>
    <x v="1"/>
    <n v="0"/>
    <x v="0"/>
  </r>
  <r>
    <x v="4"/>
    <x v="11"/>
    <x v="0"/>
    <x v="2"/>
    <n v="0"/>
    <x v="0"/>
  </r>
  <r>
    <x v="4"/>
    <x v="11"/>
    <x v="0"/>
    <x v="3"/>
    <n v="0"/>
    <x v="0"/>
  </r>
  <r>
    <x v="4"/>
    <x v="11"/>
    <x v="0"/>
    <x v="4"/>
    <n v="0"/>
    <x v="0"/>
  </r>
  <r>
    <x v="4"/>
    <x v="11"/>
    <x v="0"/>
    <x v="5"/>
    <n v="0"/>
    <x v="0"/>
  </r>
  <r>
    <x v="4"/>
    <x v="11"/>
    <x v="0"/>
    <x v="6"/>
    <n v="0"/>
    <x v="0"/>
  </r>
  <r>
    <x v="4"/>
    <x v="11"/>
    <x v="0"/>
    <x v="7"/>
    <n v="0"/>
    <x v="0"/>
  </r>
  <r>
    <x v="4"/>
    <x v="11"/>
    <x v="0"/>
    <x v="8"/>
    <n v="0"/>
    <x v="0"/>
  </r>
  <r>
    <x v="4"/>
    <x v="11"/>
    <x v="0"/>
    <x v="9"/>
    <n v="0"/>
    <x v="0"/>
  </r>
  <r>
    <x v="4"/>
    <x v="11"/>
    <x v="0"/>
    <x v="10"/>
    <n v="0"/>
    <x v="0"/>
  </r>
  <r>
    <x v="4"/>
    <x v="11"/>
    <x v="0"/>
    <x v="11"/>
    <n v="0"/>
    <x v="0"/>
  </r>
  <r>
    <x v="4"/>
    <x v="11"/>
    <x v="1"/>
    <x v="0"/>
    <n v="0"/>
    <x v="0"/>
  </r>
  <r>
    <x v="4"/>
    <x v="11"/>
    <x v="1"/>
    <x v="1"/>
    <n v="0"/>
    <x v="0"/>
  </r>
  <r>
    <x v="4"/>
    <x v="11"/>
    <x v="1"/>
    <x v="2"/>
    <n v="0"/>
    <x v="0"/>
  </r>
  <r>
    <x v="4"/>
    <x v="11"/>
    <x v="1"/>
    <x v="3"/>
    <n v="0"/>
    <x v="0"/>
  </r>
  <r>
    <x v="4"/>
    <x v="11"/>
    <x v="1"/>
    <x v="4"/>
    <n v="0"/>
    <x v="0"/>
  </r>
  <r>
    <x v="4"/>
    <x v="11"/>
    <x v="1"/>
    <x v="5"/>
    <n v="0"/>
    <x v="0"/>
  </r>
  <r>
    <x v="4"/>
    <x v="11"/>
    <x v="1"/>
    <x v="6"/>
    <n v="0"/>
    <x v="0"/>
  </r>
  <r>
    <x v="4"/>
    <x v="11"/>
    <x v="1"/>
    <x v="7"/>
    <n v="0"/>
    <x v="0"/>
  </r>
  <r>
    <x v="4"/>
    <x v="11"/>
    <x v="1"/>
    <x v="8"/>
    <n v="0"/>
    <x v="0"/>
  </r>
  <r>
    <x v="4"/>
    <x v="11"/>
    <x v="1"/>
    <x v="9"/>
    <n v="0"/>
    <x v="0"/>
  </r>
  <r>
    <x v="4"/>
    <x v="11"/>
    <x v="1"/>
    <x v="10"/>
    <n v="0"/>
    <x v="0"/>
  </r>
  <r>
    <x v="4"/>
    <x v="11"/>
    <x v="1"/>
    <x v="11"/>
    <n v="0"/>
    <x v="0"/>
  </r>
  <r>
    <x v="4"/>
    <x v="11"/>
    <x v="2"/>
    <x v="0"/>
    <n v="0"/>
    <x v="0"/>
  </r>
  <r>
    <x v="4"/>
    <x v="11"/>
    <x v="2"/>
    <x v="1"/>
    <n v="0"/>
    <x v="0"/>
  </r>
  <r>
    <x v="4"/>
    <x v="11"/>
    <x v="2"/>
    <x v="2"/>
    <n v="0"/>
    <x v="0"/>
  </r>
  <r>
    <x v="4"/>
    <x v="11"/>
    <x v="2"/>
    <x v="3"/>
    <n v="0"/>
    <x v="0"/>
  </r>
  <r>
    <x v="4"/>
    <x v="11"/>
    <x v="2"/>
    <x v="4"/>
    <n v="0"/>
    <x v="0"/>
  </r>
  <r>
    <x v="4"/>
    <x v="11"/>
    <x v="2"/>
    <x v="5"/>
    <n v="0"/>
    <x v="0"/>
  </r>
  <r>
    <x v="4"/>
    <x v="11"/>
    <x v="2"/>
    <x v="6"/>
    <n v="0"/>
    <x v="0"/>
  </r>
  <r>
    <x v="4"/>
    <x v="11"/>
    <x v="2"/>
    <x v="7"/>
    <n v="0"/>
    <x v="0"/>
  </r>
  <r>
    <x v="4"/>
    <x v="11"/>
    <x v="2"/>
    <x v="8"/>
    <n v="0"/>
    <x v="0"/>
  </r>
  <r>
    <x v="4"/>
    <x v="11"/>
    <x v="2"/>
    <x v="9"/>
    <n v="0"/>
    <x v="0"/>
  </r>
  <r>
    <x v="4"/>
    <x v="11"/>
    <x v="2"/>
    <x v="10"/>
    <n v="0"/>
    <x v="0"/>
  </r>
  <r>
    <x v="4"/>
    <x v="11"/>
    <x v="2"/>
    <x v="11"/>
    <n v="0"/>
    <x v="0"/>
  </r>
  <r>
    <x v="4"/>
    <x v="11"/>
    <x v="3"/>
    <x v="0"/>
    <n v="0"/>
    <x v="0"/>
  </r>
  <r>
    <x v="4"/>
    <x v="11"/>
    <x v="3"/>
    <x v="1"/>
    <n v="0"/>
    <x v="0"/>
  </r>
  <r>
    <x v="4"/>
    <x v="11"/>
    <x v="3"/>
    <x v="2"/>
    <n v="0"/>
    <x v="0"/>
  </r>
  <r>
    <x v="4"/>
    <x v="11"/>
    <x v="3"/>
    <x v="3"/>
    <n v="0"/>
    <x v="0"/>
  </r>
  <r>
    <x v="4"/>
    <x v="11"/>
    <x v="3"/>
    <x v="4"/>
    <n v="0"/>
    <x v="0"/>
  </r>
  <r>
    <x v="4"/>
    <x v="11"/>
    <x v="3"/>
    <x v="5"/>
    <n v="0"/>
    <x v="0"/>
  </r>
  <r>
    <x v="4"/>
    <x v="11"/>
    <x v="3"/>
    <x v="6"/>
    <n v="0"/>
    <x v="0"/>
  </r>
  <r>
    <x v="4"/>
    <x v="11"/>
    <x v="3"/>
    <x v="7"/>
    <n v="0"/>
    <x v="0"/>
  </r>
  <r>
    <x v="4"/>
    <x v="11"/>
    <x v="3"/>
    <x v="8"/>
    <n v="0"/>
    <x v="0"/>
  </r>
  <r>
    <x v="4"/>
    <x v="11"/>
    <x v="3"/>
    <x v="9"/>
    <n v="0"/>
    <x v="0"/>
  </r>
  <r>
    <x v="4"/>
    <x v="11"/>
    <x v="3"/>
    <x v="10"/>
    <n v="0"/>
    <x v="0"/>
  </r>
  <r>
    <x v="4"/>
    <x v="11"/>
    <x v="3"/>
    <x v="11"/>
    <n v="0"/>
    <x v="0"/>
  </r>
  <r>
    <x v="4"/>
    <x v="11"/>
    <x v="4"/>
    <x v="0"/>
    <n v="1"/>
    <x v="1"/>
  </r>
  <r>
    <x v="4"/>
    <x v="11"/>
    <x v="4"/>
    <x v="1"/>
    <n v="0"/>
    <x v="1"/>
  </r>
  <r>
    <x v="4"/>
    <x v="11"/>
    <x v="4"/>
    <x v="2"/>
    <n v="0"/>
    <x v="1"/>
  </r>
  <r>
    <x v="4"/>
    <x v="11"/>
    <x v="4"/>
    <x v="3"/>
    <n v="0"/>
    <x v="1"/>
  </r>
  <r>
    <x v="4"/>
    <x v="11"/>
    <x v="4"/>
    <x v="4"/>
    <n v="0"/>
    <x v="1"/>
  </r>
  <r>
    <x v="4"/>
    <x v="11"/>
    <x v="4"/>
    <x v="5"/>
    <n v="0"/>
    <x v="1"/>
  </r>
  <r>
    <x v="4"/>
    <x v="11"/>
    <x v="4"/>
    <x v="6"/>
    <n v="0"/>
    <x v="1"/>
  </r>
  <r>
    <x v="4"/>
    <x v="11"/>
    <x v="4"/>
    <x v="7"/>
    <n v="0"/>
    <x v="1"/>
  </r>
  <r>
    <x v="4"/>
    <x v="11"/>
    <x v="4"/>
    <x v="8"/>
    <n v="0"/>
    <x v="1"/>
  </r>
  <r>
    <x v="4"/>
    <x v="11"/>
    <x v="4"/>
    <x v="9"/>
    <n v="0"/>
    <x v="1"/>
  </r>
  <r>
    <x v="4"/>
    <x v="11"/>
    <x v="4"/>
    <x v="10"/>
    <n v="0"/>
    <x v="1"/>
  </r>
  <r>
    <x v="4"/>
    <x v="11"/>
    <x v="4"/>
    <x v="11"/>
    <n v="0"/>
    <x v="1"/>
  </r>
  <r>
    <x v="4"/>
    <x v="11"/>
    <x v="5"/>
    <x v="0"/>
    <n v="1"/>
    <x v="1"/>
  </r>
  <r>
    <x v="4"/>
    <x v="11"/>
    <x v="6"/>
    <x v="0"/>
    <n v="1"/>
    <x v="1"/>
  </r>
  <r>
    <x v="5"/>
    <x v="0"/>
    <x v="0"/>
    <x v="0"/>
    <n v="1"/>
    <x v="0"/>
  </r>
  <r>
    <x v="5"/>
    <x v="0"/>
    <x v="0"/>
    <x v="1"/>
    <n v="0"/>
    <x v="0"/>
  </r>
  <r>
    <x v="5"/>
    <x v="0"/>
    <x v="0"/>
    <x v="2"/>
    <n v="0"/>
    <x v="0"/>
  </r>
  <r>
    <x v="5"/>
    <x v="0"/>
    <x v="0"/>
    <x v="3"/>
    <n v="0"/>
    <x v="0"/>
  </r>
  <r>
    <x v="5"/>
    <x v="0"/>
    <x v="0"/>
    <x v="4"/>
    <n v="0"/>
    <x v="0"/>
  </r>
  <r>
    <x v="5"/>
    <x v="0"/>
    <x v="0"/>
    <x v="5"/>
    <n v="0"/>
    <x v="0"/>
  </r>
  <r>
    <x v="5"/>
    <x v="0"/>
    <x v="0"/>
    <x v="6"/>
    <n v="0"/>
    <x v="0"/>
  </r>
  <r>
    <x v="5"/>
    <x v="0"/>
    <x v="0"/>
    <x v="7"/>
    <n v="0"/>
    <x v="0"/>
  </r>
  <r>
    <x v="5"/>
    <x v="0"/>
    <x v="0"/>
    <x v="8"/>
    <n v="0"/>
    <x v="0"/>
  </r>
  <r>
    <x v="5"/>
    <x v="0"/>
    <x v="0"/>
    <x v="9"/>
    <n v="0"/>
    <x v="0"/>
  </r>
  <r>
    <x v="5"/>
    <x v="0"/>
    <x v="0"/>
    <x v="10"/>
    <n v="3"/>
    <x v="0"/>
  </r>
  <r>
    <x v="5"/>
    <x v="0"/>
    <x v="0"/>
    <x v="11"/>
    <n v="0"/>
    <x v="0"/>
  </r>
  <r>
    <x v="5"/>
    <x v="0"/>
    <x v="1"/>
    <x v="0"/>
    <n v="1"/>
    <x v="0"/>
  </r>
  <r>
    <x v="5"/>
    <x v="0"/>
    <x v="1"/>
    <x v="1"/>
    <n v="3"/>
    <x v="0"/>
  </r>
  <r>
    <x v="5"/>
    <x v="0"/>
    <x v="1"/>
    <x v="2"/>
    <n v="0"/>
    <x v="0"/>
  </r>
  <r>
    <x v="5"/>
    <x v="0"/>
    <x v="1"/>
    <x v="3"/>
    <n v="0"/>
    <x v="0"/>
  </r>
  <r>
    <x v="5"/>
    <x v="0"/>
    <x v="1"/>
    <x v="4"/>
    <n v="0"/>
    <x v="0"/>
  </r>
  <r>
    <x v="5"/>
    <x v="0"/>
    <x v="1"/>
    <x v="5"/>
    <n v="0"/>
    <x v="0"/>
  </r>
  <r>
    <x v="5"/>
    <x v="0"/>
    <x v="1"/>
    <x v="6"/>
    <n v="0"/>
    <x v="0"/>
  </r>
  <r>
    <x v="5"/>
    <x v="0"/>
    <x v="1"/>
    <x v="7"/>
    <n v="0"/>
    <x v="0"/>
  </r>
  <r>
    <x v="5"/>
    <x v="0"/>
    <x v="1"/>
    <x v="8"/>
    <n v="0"/>
    <x v="0"/>
  </r>
  <r>
    <x v="5"/>
    <x v="0"/>
    <x v="1"/>
    <x v="9"/>
    <n v="0"/>
    <x v="0"/>
  </r>
  <r>
    <x v="5"/>
    <x v="0"/>
    <x v="1"/>
    <x v="10"/>
    <n v="0"/>
    <x v="0"/>
  </r>
  <r>
    <x v="5"/>
    <x v="0"/>
    <x v="1"/>
    <x v="11"/>
    <n v="0"/>
    <x v="0"/>
  </r>
  <r>
    <x v="5"/>
    <x v="0"/>
    <x v="2"/>
    <x v="0"/>
    <n v="1"/>
    <x v="0"/>
  </r>
  <r>
    <x v="5"/>
    <x v="0"/>
    <x v="2"/>
    <x v="1"/>
    <n v="3"/>
    <x v="0"/>
  </r>
  <r>
    <x v="5"/>
    <x v="0"/>
    <x v="2"/>
    <x v="2"/>
    <n v="0"/>
    <x v="0"/>
  </r>
  <r>
    <x v="5"/>
    <x v="0"/>
    <x v="2"/>
    <x v="3"/>
    <n v="0"/>
    <x v="0"/>
  </r>
  <r>
    <x v="5"/>
    <x v="0"/>
    <x v="2"/>
    <x v="4"/>
    <n v="0"/>
    <x v="0"/>
  </r>
  <r>
    <x v="5"/>
    <x v="0"/>
    <x v="2"/>
    <x v="5"/>
    <n v="0"/>
    <x v="0"/>
  </r>
  <r>
    <x v="5"/>
    <x v="0"/>
    <x v="2"/>
    <x v="6"/>
    <n v="0"/>
    <x v="0"/>
  </r>
  <r>
    <x v="5"/>
    <x v="0"/>
    <x v="2"/>
    <x v="7"/>
    <n v="0"/>
    <x v="0"/>
  </r>
  <r>
    <x v="5"/>
    <x v="0"/>
    <x v="2"/>
    <x v="8"/>
    <n v="0"/>
    <x v="0"/>
  </r>
  <r>
    <x v="5"/>
    <x v="0"/>
    <x v="2"/>
    <x v="9"/>
    <n v="0"/>
    <x v="0"/>
  </r>
  <r>
    <x v="5"/>
    <x v="0"/>
    <x v="2"/>
    <x v="10"/>
    <n v="0"/>
    <x v="0"/>
  </r>
  <r>
    <x v="5"/>
    <x v="0"/>
    <x v="2"/>
    <x v="11"/>
    <n v="0"/>
    <x v="0"/>
  </r>
  <r>
    <x v="5"/>
    <x v="0"/>
    <x v="3"/>
    <x v="0"/>
    <n v="1"/>
    <x v="0"/>
  </r>
  <r>
    <x v="5"/>
    <x v="0"/>
    <x v="3"/>
    <x v="1"/>
    <n v="3"/>
    <x v="0"/>
  </r>
  <r>
    <x v="5"/>
    <x v="0"/>
    <x v="3"/>
    <x v="2"/>
    <n v="0"/>
    <x v="0"/>
  </r>
  <r>
    <x v="5"/>
    <x v="0"/>
    <x v="3"/>
    <x v="3"/>
    <n v="0"/>
    <x v="0"/>
  </r>
  <r>
    <x v="5"/>
    <x v="0"/>
    <x v="3"/>
    <x v="4"/>
    <n v="0"/>
    <x v="0"/>
  </r>
  <r>
    <x v="5"/>
    <x v="0"/>
    <x v="3"/>
    <x v="5"/>
    <n v="0"/>
    <x v="0"/>
  </r>
  <r>
    <x v="5"/>
    <x v="0"/>
    <x v="3"/>
    <x v="6"/>
    <n v="0"/>
    <x v="0"/>
  </r>
  <r>
    <x v="5"/>
    <x v="0"/>
    <x v="3"/>
    <x v="7"/>
    <n v="0"/>
    <x v="0"/>
  </r>
  <r>
    <x v="5"/>
    <x v="0"/>
    <x v="3"/>
    <x v="8"/>
    <n v="0"/>
    <x v="0"/>
  </r>
  <r>
    <x v="5"/>
    <x v="0"/>
    <x v="3"/>
    <x v="9"/>
    <n v="0"/>
    <x v="0"/>
  </r>
  <r>
    <x v="5"/>
    <x v="0"/>
    <x v="3"/>
    <x v="10"/>
    <n v="0"/>
    <x v="0"/>
  </r>
  <r>
    <x v="5"/>
    <x v="0"/>
    <x v="3"/>
    <x v="11"/>
    <n v="1"/>
    <x v="0"/>
  </r>
  <r>
    <x v="5"/>
    <x v="0"/>
    <x v="4"/>
    <x v="0"/>
    <n v="0"/>
    <x v="1"/>
  </r>
  <r>
    <x v="5"/>
    <x v="0"/>
    <x v="4"/>
    <x v="1"/>
    <n v="0"/>
    <x v="1"/>
  </r>
  <r>
    <x v="5"/>
    <x v="0"/>
    <x v="4"/>
    <x v="2"/>
    <n v="0"/>
    <x v="1"/>
  </r>
  <r>
    <x v="5"/>
    <x v="0"/>
    <x v="4"/>
    <x v="3"/>
    <n v="0"/>
    <x v="1"/>
  </r>
  <r>
    <x v="5"/>
    <x v="0"/>
    <x v="4"/>
    <x v="4"/>
    <n v="0"/>
    <x v="1"/>
  </r>
  <r>
    <x v="5"/>
    <x v="0"/>
    <x v="4"/>
    <x v="5"/>
    <n v="0"/>
    <x v="1"/>
  </r>
  <r>
    <x v="5"/>
    <x v="0"/>
    <x v="4"/>
    <x v="6"/>
    <n v="0"/>
    <x v="1"/>
  </r>
  <r>
    <x v="5"/>
    <x v="0"/>
    <x v="4"/>
    <x v="7"/>
    <n v="0"/>
    <x v="1"/>
  </r>
  <r>
    <x v="5"/>
    <x v="0"/>
    <x v="4"/>
    <x v="8"/>
    <n v="0"/>
    <x v="1"/>
  </r>
  <r>
    <x v="5"/>
    <x v="0"/>
    <x v="4"/>
    <x v="9"/>
    <n v="0"/>
    <x v="1"/>
  </r>
  <r>
    <x v="5"/>
    <x v="0"/>
    <x v="4"/>
    <x v="10"/>
    <n v="0"/>
    <x v="1"/>
  </r>
  <r>
    <x v="5"/>
    <x v="0"/>
    <x v="4"/>
    <x v="11"/>
    <n v="1"/>
    <x v="1"/>
  </r>
  <r>
    <x v="5"/>
    <x v="0"/>
    <x v="5"/>
    <x v="0"/>
    <n v="0"/>
    <x v="1"/>
  </r>
  <r>
    <x v="5"/>
    <x v="0"/>
    <x v="6"/>
    <x v="0"/>
    <n v="0"/>
    <x v="1"/>
  </r>
  <r>
    <x v="5"/>
    <x v="1"/>
    <x v="0"/>
    <x v="0"/>
    <n v="0"/>
    <x v="0"/>
  </r>
  <r>
    <x v="5"/>
    <x v="1"/>
    <x v="0"/>
    <x v="1"/>
    <n v="0"/>
    <x v="0"/>
  </r>
  <r>
    <x v="5"/>
    <x v="1"/>
    <x v="0"/>
    <x v="2"/>
    <n v="0"/>
    <x v="0"/>
  </r>
  <r>
    <x v="5"/>
    <x v="1"/>
    <x v="0"/>
    <x v="3"/>
    <n v="0"/>
    <x v="0"/>
  </r>
  <r>
    <x v="5"/>
    <x v="1"/>
    <x v="0"/>
    <x v="4"/>
    <n v="0"/>
    <x v="0"/>
  </r>
  <r>
    <x v="5"/>
    <x v="1"/>
    <x v="0"/>
    <x v="5"/>
    <n v="0"/>
    <x v="0"/>
  </r>
  <r>
    <x v="5"/>
    <x v="1"/>
    <x v="0"/>
    <x v="6"/>
    <n v="0"/>
    <x v="0"/>
  </r>
  <r>
    <x v="5"/>
    <x v="1"/>
    <x v="0"/>
    <x v="7"/>
    <n v="0"/>
    <x v="0"/>
  </r>
  <r>
    <x v="5"/>
    <x v="1"/>
    <x v="0"/>
    <x v="8"/>
    <n v="0"/>
    <x v="0"/>
  </r>
  <r>
    <x v="5"/>
    <x v="1"/>
    <x v="0"/>
    <x v="9"/>
    <n v="0"/>
    <x v="0"/>
  </r>
  <r>
    <x v="5"/>
    <x v="1"/>
    <x v="0"/>
    <x v="10"/>
    <n v="0"/>
    <x v="0"/>
  </r>
  <r>
    <x v="5"/>
    <x v="1"/>
    <x v="0"/>
    <x v="11"/>
    <n v="0"/>
    <x v="0"/>
  </r>
  <r>
    <x v="5"/>
    <x v="1"/>
    <x v="1"/>
    <x v="0"/>
    <n v="0"/>
    <x v="0"/>
  </r>
  <r>
    <x v="5"/>
    <x v="1"/>
    <x v="1"/>
    <x v="1"/>
    <n v="0"/>
    <x v="0"/>
  </r>
  <r>
    <x v="5"/>
    <x v="1"/>
    <x v="1"/>
    <x v="2"/>
    <n v="0"/>
    <x v="0"/>
  </r>
  <r>
    <x v="5"/>
    <x v="1"/>
    <x v="1"/>
    <x v="3"/>
    <n v="0"/>
    <x v="0"/>
  </r>
  <r>
    <x v="5"/>
    <x v="1"/>
    <x v="1"/>
    <x v="4"/>
    <n v="0"/>
    <x v="0"/>
  </r>
  <r>
    <x v="5"/>
    <x v="1"/>
    <x v="1"/>
    <x v="5"/>
    <n v="0"/>
    <x v="0"/>
  </r>
  <r>
    <x v="5"/>
    <x v="1"/>
    <x v="1"/>
    <x v="6"/>
    <n v="0"/>
    <x v="0"/>
  </r>
  <r>
    <x v="5"/>
    <x v="1"/>
    <x v="1"/>
    <x v="7"/>
    <n v="0"/>
    <x v="0"/>
  </r>
  <r>
    <x v="5"/>
    <x v="1"/>
    <x v="1"/>
    <x v="8"/>
    <n v="0"/>
    <x v="0"/>
  </r>
  <r>
    <x v="5"/>
    <x v="1"/>
    <x v="1"/>
    <x v="9"/>
    <n v="0"/>
    <x v="0"/>
  </r>
  <r>
    <x v="5"/>
    <x v="1"/>
    <x v="1"/>
    <x v="10"/>
    <n v="0"/>
    <x v="0"/>
  </r>
  <r>
    <x v="5"/>
    <x v="1"/>
    <x v="1"/>
    <x v="11"/>
    <n v="0"/>
    <x v="0"/>
  </r>
  <r>
    <x v="5"/>
    <x v="1"/>
    <x v="2"/>
    <x v="0"/>
    <n v="0"/>
    <x v="0"/>
  </r>
  <r>
    <x v="5"/>
    <x v="1"/>
    <x v="2"/>
    <x v="1"/>
    <n v="0"/>
    <x v="0"/>
  </r>
  <r>
    <x v="5"/>
    <x v="1"/>
    <x v="2"/>
    <x v="2"/>
    <n v="0"/>
    <x v="0"/>
  </r>
  <r>
    <x v="5"/>
    <x v="1"/>
    <x v="2"/>
    <x v="3"/>
    <n v="0"/>
    <x v="0"/>
  </r>
  <r>
    <x v="5"/>
    <x v="1"/>
    <x v="2"/>
    <x v="4"/>
    <n v="0"/>
    <x v="0"/>
  </r>
  <r>
    <x v="5"/>
    <x v="1"/>
    <x v="2"/>
    <x v="5"/>
    <n v="0"/>
    <x v="0"/>
  </r>
  <r>
    <x v="5"/>
    <x v="1"/>
    <x v="2"/>
    <x v="6"/>
    <n v="0"/>
    <x v="0"/>
  </r>
  <r>
    <x v="5"/>
    <x v="1"/>
    <x v="2"/>
    <x v="7"/>
    <n v="0"/>
    <x v="0"/>
  </r>
  <r>
    <x v="5"/>
    <x v="1"/>
    <x v="2"/>
    <x v="8"/>
    <n v="0"/>
    <x v="0"/>
  </r>
  <r>
    <x v="5"/>
    <x v="1"/>
    <x v="2"/>
    <x v="9"/>
    <n v="0"/>
    <x v="0"/>
  </r>
  <r>
    <x v="5"/>
    <x v="1"/>
    <x v="2"/>
    <x v="10"/>
    <n v="0"/>
    <x v="0"/>
  </r>
  <r>
    <x v="5"/>
    <x v="1"/>
    <x v="2"/>
    <x v="11"/>
    <n v="0"/>
    <x v="0"/>
  </r>
  <r>
    <x v="5"/>
    <x v="1"/>
    <x v="3"/>
    <x v="0"/>
    <n v="0"/>
    <x v="0"/>
  </r>
  <r>
    <x v="5"/>
    <x v="1"/>
    <x v="3"/>
    <x v="1"/>
    <n v="0"/>
    <x v="0"/>
  </r>
  <r>
    <x v="5"/>
    <x v="1"/>
    <x v="3"/>
    <x v="2"/>
    <n v="0"/>
    <x v="0"/>
  </r>
  <r>
    <x v="5"/>
    <x v="1"/>
    <x v="3"/>
    <x v="3"/>
    <n v="0"/>
    <x v="0"/>
  </r>
  <r>
    <x v="5"/>
    <x v="1"/>
    <x v="3"/>
    <x v="4"/>
    <n v="0"/>
    <x v="0"/>
  </r>
  <r>
    <x v="5"/>
    <x v="1"/>
    <x v="3"/>
    <x v="5"/>
    <n v="0"/>
    <x v="0"/>
  </r>
  <r>
    <x v="5"/>
    <x v="1"/>
    <x v="3"/>
    <x v="6"/>
    <n v="0"/>
    <x v="0"/>
  </r>
  <r>
    <x v="5"/>
    <x v="1"/>
    <x v="3"/>
    <x v="7"/>
    <n v="0"/>
    <x v="0"/>
  </r>
  <r>
    <x v="5"/>
    <x v="1"/>
    <x v="3"/>
    <x v="8"/>
    <n v="0"/>
    <x v="0"/>
  </r>
  <r>
    <x v="5"/>
    <x v="1"/>
    <x v="3"/>
    <x v="9"/>
    <n v="0"/>
    <x v="0"/>
  </r>
  <r>
    <x v="5"/>
    <x v="1"/>
    <x v="3"/>
    <x v="10"/>
    <n v="0"/>
    <x v="0"/>
  </r>
  <r>
    <x v="5"/>
    <x v="1"/>
    <x v="3"/>
    <x v="11"/>
    <n v="0"/>
    <x v="0"/>
  </r>
  <r>
    <x v="5"/>
    <x v="1"/>
    <x v="4"/>
    <x v="0"/>
    <n v="1"/>
    <x v="1"/>
  </r>
  <r>
    <x v="5"/>
    <x v="1"/>
    <x v="4"/>
    <x v="1"/>
    <n v="0"/>
    <x v="1"/>
  </r>
  <r>
    <x v="5"/>
    <x v="1"/>
    <x v="4"/>
    <x v="2"/>
    <n v="0"/>
    <x v="1"/>
  </r>
  <r>
    <x v="5"/>
    <x v="1"/>
    <x v="4"/>
    <x v="3"/>
    <n v="0"/>
    <x v="1"/>
  </r>
  <r>
    <x v="5"/>
    <x v="1"/>
    <x v="4"/>
    <x v="4"/>
    <n v="0"/>
    <x v="1"/>
  </r>
  <r>
    <x v="5"/>
    <x v="1"/>
    <x v="4"/>
    <x v="5"/>
    <n v="0"/>
    <x v="1"/>
  </r>
  <r>
    <x v="5"/>
    <x v="1"/>
    <x v="4"/>
    <x v="6"/>
    <n v="0"/>
    <x v="1"/>
  </r>
  <r>
    <x v="5"/>
    <x v="1"/>
    <x v="4"/>
    <x v="7"/>
    <n v="0"/>
    <x v="1"/>
  </r>
  <r>
    <x v="5"/>
    <x v="1"/>
    <x v="4"/>
    <x v="8"/>
    <n v="0"/>
    <x v="1"/>
  </r>
  <r>
    <x v="5"/>
    <x v="1"/>
    <x v="4"/>
    <x v="9"/>
    <n v="0"/>
    <x v="1"/>
  </r>
  <r>
    <x v="5"/>
    <x v="1"/>
    <x v="4"/>
    <x v="10"/>
    <n v="0"/>
    <x v="1"/>
  </r>
  <r>
    <x v="5"/>
    <x v="1"/>
    <x v="4"/>
    <x v="11"/>
    <n v="0"/>
    <x v="1"/>
  </r>
  <r>
    <x v="5"/>
    <x v="1"/>
    <x v="5"/>
    <x v="0"/>
    <n v="1"/>
    <x v="1"/>
  </r>
  <r>
    <x v="5"/>
    <x v="1"/>
    <x v="6"/>
    <x v="0"/>
    <n v="1"/>
    <x v="1"/>
  </r>
  <r>
    <x v="5"/>
    <x v="2"/>
    <x v="0"/>
    <x v="0"/>
    <n v="0"/>
    <x v="0"/>
  </r>
  <r>
    <x v="5"/>
    <x v="2"/>
    <x v="0"/>
    <x v="1"/>
    <n v="0"/>
    <x v="0"/>
  </r>
  <r>
    <x v="5"/>
    <x v="2"/>
    <x v="0"/>
    <x v="2"/>
    <n v="0"/>
    <x v="0"/>
  </r>
  <r>
    <x v="5"/>
    <x v="2"/>
    <x v="0"/>
    <x v="3"/>
    <n v="0"/>
    <x v="0"/>
  </r>
  <r>
    <x v="5"/>
    <x v="2"/>
    <x v="0"/>
    <x v="4"/>
    <n v="0"/>
    <x v="0"/>
  </r>
  <r>
    <x v="5"/>
    <x v="2"/>
    <x v="0"/>
    <x v="5"/>
    <n v="0"/>
    <x v="0"/>
  </r>
  <r>
    <x v="5"/>
    <x v="2"/>
    <x v="0"/>
    <x v="6"/>
    <n v="0"/>
    <x v="0"/>
  </r>
  <r>
    <x v="5"/>
    <x v="2"/>
    <x v="0"/>
    <x v="7"/>
    <n v="0"/>
    <x v="0"/>
  </r>
  <r>
    <x v="5"/>
    <x v="2"/>
    <x v="0"/>
    <x v="8"/>
    <n v="0"/>
    <x v="0"/>
  </r>
  <r>
    <x v="5"/>
    <x v="2"/>
    <x v="0"/>
    <x v="9"/>
    <n v="0"/>
    <x v="0"/>
  </r>
  <r>
    <x v="5"/>
    <x v="2"/>
    <x v="0"/>
    <x v="10"/>
    <n v="0"/>
    <x v="0"/>
  </r>
  <r>
    <x v="5"/>
    <x v="2"/>
    <x v="0"/>
    <x v="11"/>
    <n v="0"/>
    <x v="0"/>
  </r>
  <r>
    <x v="5"/>
    <x v="2"/>
    <x v="1"/>
    <x v="0"/>
    <n v="0"/>
    <x v="0"/>
  </r>
  <r>
    <x v="5"/>
    <x v="2"/>
    <x v="1"/>
    <x v="1"/>
    <n v="0"/>
    <x v="0"/>
  </r>
  <r>
    <x v="5"/>
    <x v="2"/>
    <x v="1"/>
    <x v="2"/>
    <n v="0"/>
    <x v="0"/>
  </r>
  <r>
    <x v="5"/>
    <x v="2"/>
    <x v="1"/>
    <x v="3"/>
    <n v="0"/>
    <x v="0"/>
  </r>
  <r>
    <x v="5"/>
    <x v="2"/>
    <x v="1"/>
    <x v="4"/>
    <n v="0"/>
    <x v="0"/>
  </r>
  <r>
    <x v="5"/>
    <x v="2"/>
    <x v="1"/>
    <x v="5"/>
    <n v="0"/>
    <x v="0"/>
  </r>
  <r>
    <x v="5"/>
    <x v="2"/>
    <x v="1"/>
    <x v="6"/>
    <n v="0"/>
    <x v="0"/>
  </r>
  <r>
    <x v="5"/>
    <x v="2"/>
    <x v="1"/>
    <x v="7"/>
    <n v="0"/>
    <x v="0"/>
  </r>
  <r>
    <x v="5"/>
    <x v="2"/>
    <x v="1"/>
    <x v="8"/>
    <n v="0"/>
    <x v="0"/>
  </r>
  <r>
    <x v="5"/>
    <x v="2"/>
    <x v="1"/>
    <x v="9"/>
    <n v="0"/>
    <x v="0"/>
  </r>
  <r>
    <x v="5"/>
    <x v="2"/>
    <x v="1"/>
    <x v="10"/>
    <n v="0"/>
    <x v="0"/>
  </r>
  <r>
    <x v="5"/>
    <x v="2"/>
    <x v="1"/>
    <x v="11"/>
    <n v="0"/>
    <x v="0"/>
  </r>
  <r>
    <x v="5"/>
    <x v="2"/>
    <x v="2"/>
    <x v="0"/>
    <n v="0"/>
    <x v="0"/>
  </r>
  <r>
    <x v="5"/>
    <x v="2"/>
    <x v="2"/>
    <x v="1"/>
    <n v="0"/>
    <x v="0"/>
  </r>
  <r>
    <x v="5"/>
    <x v="2"/>
    <x v="2"/>
    <x v="2"/>
    <n v="0"/>
    <x v="0"/>
  </r>
  <r>
    <x v="5"/>
    <x v="2"/>
    <x v="2"/>
    <x v="3"/>
    <n v="0"/>
    <x v="0"/>
  </r>
  <r>
    <x v="5"/>
    <x v="2"/>
    <x v="2"/>
    <x v="4"/>
    <n v="0"/>
    <x v="0"/>
  </r>
  <r>
    <x v="5"/>
    <x v="2"/>
    <x v="2"/>
    <x v="5"/>
    <n v="0"/>
    <x v="0"/>
  </r>
  <r>
    <x v="5"/>
    <x v="2"/>
    <x v="2"/>
    <x v="6"/>
    <n v="0"/>
    <x v="0"/>
  </r>
  <r>
    <x v="5"/>
    <x v="2"/>
    <x v="2"/>
    <x v="7"/>
    <n v="0"/>
    <x v="0"/>
  </r>
  <r>
    <x v="5"/>
    <x v="2"/>
    <x v="2"/>
    <x v="8"/>
    <n v="0"/>
    <x v="0"/>
  </r>
  <r>
    <x v="5"/>
    <x v="2"/>
    <x v="2"/>
    <x v="9"/>
    <n v="0"/>
    <x v="0"/>
  </r>
  <r>
    <x v="5"/>
    <x v="2"/>
    <x v="2"/>
    <x v="10"/>
    <n v="0"/>
    <x v="0"/>
  </r>
  <r>
    <x v="5"/>
    <x v="2"/>
    <x v="2"/>
    <x v="11"/>
    <n v="0"/>
    <x v="0"/>
  </r>
  <r>
    <x v="5"/>
    <x v="2"/>
    <x v="3"/>
    <x v="0"/>
    <n v="0"/>
    <x v="0"/>
  </r>
  <r>
    <x v="5"/>
    <x v="2"/>
    <x v="3"/>
    <x v="1"/>
    <n v="0"/>
    <x v="0"/>
  </r>
  <r>
    <x v="5"/>
    <x v="2"/>
    <x v="3"/>
    <x v="2"/>
    <n v="0"/>
    <x v="0"/>
  </r>
  <r>
    <x v="5"/>
    <x v="2"/>
    <x v="3"/>
    <x v="3"/>
    <n v="0"/>
    <x v="0"/>
  </r>
  <r>
    <x v="5"/>
    <x v="2"/>
    <x v="3"/>
    <x v="4"/>
    <n v="0"/>
    <x v="0"/>
  </r>
  <r>
    <x v="5"/>
    <x v="2"/>
    <x v="3"/>
    <x v="5"/>
    <n v="0"/>
    <x v="0"/>
  </r>
  <r>
    <x v="5"/>
    <x v="2"/>
    <x v="3"/>
    <x v="6"/>
    <n v="0"/>
    <x v="0"/>
  </r>
  <r>
    <x v="5"/>
    <x v="2"/>
    <x v="3"/>
    <x v="7"/>
    <n v="0"/>
    <x v="0"/>
  </r>
  <r>
    <x v="5"/>
    <x v="2"/>
    <x v="3"/>
    <x v="8"/>
    <n v="0"/>
    <x v="0"/>
  </r>
  <r>
    <x v="5"/>
    <x v="2"/>
    <x v="3"/>
    <x v="9"/>
    <n v="0"/>
    <x v="0"/>
  </r>
  <r>
    <x v="5"/>
    <x v="2"/>
    <x v="3"/>
    <x v="10"/>
    <n v="0"/>
    <x v="0"/>
  </r>
  <r>
    <x v="5"/>
    <x v="2"/>
    <x v="3"/>
    <x v="11"/>
    <n v="0"/>
    <x v="0"/>
  </r>
  <r>
    <x v="5"/>
    <x v="2"/>
    <x v="4"/>
    <x v="0"/>
    <n v="1"/>
    <x v="1"/>
  </r>
  <r>
    <x v="5"/>
    <x v="2"/>
    <x v="4"/>
    <x v="1"/>
    <n v="0"/>
    <x v="1"/>
  </r>
  <r>
    <x v="5"/>
    <x v="2"/>
    <x v="4"/>
    <x v="2"/>
    <n v="0"/>
    <x v="1"/>
  </r>
  <r>
    <x v="5"/>
    <x v="2"/>
    <x v="4"/>
    <x v="3"/>
    <n v="0"/>
    <x v="1"/>
  </r>
  <r>
    <x v="5"/>
    <x v="2"/>
    <x v="4"/>
    <x v="4"/>
    <n v="0"/>
    <x v="1"/>
  </r>
  <r>
    <x v="5"/>
    <x v="2"/>
    <x v="4"/>
    <x v="5"/>
    <n v="0"/>
    <x v="1"/>
  </r>
  <r>
    <x v="5"/>
    <x v="2"/>
    <x v="4"/>
    <x v="6"/>
    <n v="0"/>
    <x v="1"/>
  </r>
  <r>
    <x v="5"/>
    <x v="2"/>
    <x v="4"/>
    <x v="7"/>
    <n v="0"/>
    <x v="1"/>
  </r>
  <r>
    <x v="5"/>
    <x v="2"/>
    <x v="4"/>
    <x v="8"/>
    <n v="0"/>
    <x v="1"/>
  </r>
  <r>
    <x v="5"/>
    <x v="2"/>
    <x v="4"/>
    <x v="9"/>
    <n v="0"/>
    <x v="1"/>
  </r>
  <r>
    <x v="5"/>
    <x v="2"/>
    <x v="4"/>
    <x v="10"/>
    <n v="0"/>
    <x v="1"/>
  </r>
  <r>
    <x v="5"/>
    <x v="2"/>
    <x v="4"/>
    <x v="11"/>
    <n v="0"/>
    <x v="1"/>
  </r>
  <r>
    <x v="5"/>
    <x v="2"/>
    <x v="5"/>
    <x v="0"/>
    <n v="1"/>
    <x v="1"/>
  </r>
  <r>
    <x v="5"/>
    <x v="2"/>
    <x v="6"/>
    <x v="0"/>
    <n v="1"/>
    <x v="1"/>
  </r>
  <r>
    <x v="5"/>
    <x v="3"/>
    <x v="0"/>
    <x v="0"/>
    <n v="1"/>
    <x v="0"/>
  </r>
  <r>
    <x v="5"/>
    <x v="3"/>
    <x v="0"/>
    <x v="1"/>
    <n v="0"/>
    <x v="0"/>
  </r>
  <r>
    <x v="5"/>
    <x v="3"/>
    <x v="0"/>
    <x v="2"/>
    <n v="0"/>
    <x v="0"/>
  </r>
  <r>
    <x v="5"/>
    <x v="3"/>
    <x v="0"/>
    <x v="3"/>
    <n v="0"/>
    <x v="0"/>
  </r>
  <r>
    <x v="5"/>
    <x v="3"/>
    <x v="0"/>
    <x v="4"/>
    <n v="0"/>
    <x v="0"/>
  </r>
  <r>
    <x v="5"/>
    <x v="3"/>
    <x v="0"/>
    <x v="5"/>
    <n v="0"/>
    <x v="0"/>
  </r>
  <r>
    <x v="5"/>
    <x v="3"/>
    <x v="0"/>
    <x v="6"/>
    <n v="0"/>
    <x v="0"/>
  </r>
  <r>
    <x v="5"/>
    <x v="3"/>
    <x v="0"/>
    <x v="7"/>
    <n v="0"/>
    <x v="0"/>
  </r>
  <r>
    <x v="5"/>
    <x v="3"/>
    <x v="0"/>
    <x v="8"/>
    <n v="0"/>
    <x v="0"/>
  </r>
  <r>
    <x v="5"/>
    <x v="3"/>
    <x v="0"/>
    <x v="9"/>
    <n v="0"/>
    <x v="0"/>
  </r>
  <r>
    <x v="5"/>
    <x v="3"/>
    <x v="0"/>
    <x v="10"/>
    <n v="0"/>
    <x v="0"/>
  </r>
  <r>
    <x v="5"/>
    <x v="3"/>
    <x v="0"/>
    <x v="11"/>
    <n v="0"/>
    <x v="0"/>
  </r>
  <r>
    <x v="5"/>
    <x v="3"/>
    <x v="1"/>
    <x v="0"/>
    <n v="1"/>
    <x v="0"/>
  </r>
  <r>
    <x v="5"/>
    <x v="3"/>
    <x v="1"/>
    <x v="1"/>
    <n v="0"/>
    <x v="0"/>
  </r>
  <r>
    <x v="5"/>
    <x v="3"/>
    <x v="1"/>
    <x v="2"/>
    <n v="0"/>
    <x v="0"/>
  </r>
  <r>
    <x v="5"/>
    <x v="3"/>
    <x v="1"/>
    <x v="3"/>
    <n v="0"/>
    <x v="0"/>
  </r>
  <r>
    <x v="5"/>
    <x v="3"/>
    <x v="1"/>
    <x v="4"/>
    <n v="0"/>
    <x v="0"/>
  </r>
  <r>
    <x v="5"/>
    <x v="3"/>
    <x v="1"/>
    <x v="5"/>
    <n v="0"/>
    <x v="0"/>
  </r>
  <r>
    <x v="5"/>
    <x v="3"/>
    <x v="1"/>
    <x v="6"/>
    <n v="0"/>
    <x v="0"/>
  </r>
  <r>
    <x v="5"/>
    <x v="3"/>
    <x v="1"/>
    <x v="7"/>
    <n v="0"/>
    <x v="0"/>
  </r>
  <r>
    <x v="5"/>
    <x v="3"/>
    <x v="1"/>
    <x v="8"/>
    <n v="0"/>
    <x v="0"/>
  </r>
  <r>
    <x v="5"/>
    <x v="3"/>
    <x v="1"/>
    <x v="9"/>
    <n v="0"/>
    <x v="0"/>
  </r>
  <r>
    <x v="5"/>
    <x v="3"/>
    <x v="1"/>
    <x v="10"/>
    <n v="0"/>
    <x v="0"/>
  </r>
  <r>
    <x v="5"/>
    <x v="3"/>
    <x v="1"/>
    <x v="11"/>
    <n v="0"/>
    <x v="0"/>
  </r>
  <r>
    <x v="5"/>
    <x v="3"/>
    <x v="2"/>
    <x v="0"/>
    <n v="1"/>
    <x v="0"/>
  </r>
  <r>
    <x v="5"/>
    <x v="3"/>
    <x v="2"/>
    <x v="1"/>
    <n v="0"/>
    <x v="0"/>
  </r>
  <r>
    <x v="5"/>
    <x v="3"/>
    <x v="2"/>
    <x v="2"/>
    <n v="0"/>
    <x v="0"/>
  </r>
  <r>
    <x v="5"/>
    <x v="3"/>
    <x v="2"/>
    <x v="3"/>
    <n v="0"/>
    <x v="0"/>
  </r>
  <r>
    <x v="5"/>
    <x v="3"/>
    <x v="2"/>
    <x v="4"/>
    <n v="0"/>
    <x v="0"/>
  </r>
  <r>
    <x v="5"/>
    <x v="3"/>
    <x v="2"/>
    <x v="5"/>
    <n v="0"/>
    <x v="0"/>
  </r>
  <r>
    <x v="5"/>
    <x v="3"/>
    <x v="2"/>
    <x v="6"/>
    <n v="0"/>
    <x v="0"/>
  </r>
  <r>
    <x v="5"/>
    <x v="3"/>
    <x v="2"/>
    <x v="7"/>
    <n v="0"/>
    <x v="0"/>
  </r>
  <r>
    <x v="5"/>
    <x v="3"/>
    <x v="2"/>
    <x v="8"/>
    <n v="0"/>
    <x v="0"/>
  </r>
  <r>
    <x v="5"/>
    <x v="3"/>
    <x v="2"/>
    <x v="9"/>
    <n v="0"/>
    <x v="0"/>
  </r>
  <r>
    <x v="5"/>
    <x v="3"/>
    <x v="2"/>
    <x v="10"/>
    <n v="0"/>
    <x v="0"/>
  </r>
  <r>
    <x v="5"/>
    <x v="3"/>
    <x v="2"/>
    <x v="11"/>
    <n v="0"/>
    <x v="0"/>
  </r>
  <r>
    <x v="5"/>
    <x v="3"/>
    <x v="3"/>
    <x v="0"/>
    <n v="1"/>
    <x v="0"/>
  </r>
  <r>
    <x v="5"/>
    <x v="3"/>
    <x v="3"/>
    <x v="1"/>
    <n v="0"/>
    <x v="0"/>
  </r>
  <r>
    <x v="5"/>
    <x v="3"/>
    <x v="3"/>
    <x v="2"/>
    <n v="0"/>
    <x v="0"/>
  </r>
  <r>
    <x v="5"/>
    <x v="3"/>
    <x v="3"/>
    <x v="3"/>
    <n v="0"/>
    <x v="0"/>
  </r>
  <r>
    <x v="5"/>
    <x v="3"/>
    <x v="3"/>
    <x v="4"/>
    <n v="0"/>
    <x v="0"/>
  </r>
  <r>
    <x v="5"/>
    <x v="3"/>
    <x v="3"/>
    <x v="5"/>
    <n v="0"/>
    <x v="0"/>
  </r>
  <r>
    <x v="5"/>
    <x v="3"/>
    <x v="3"/>
    <x v="6"/>
    <n v="0"/>
    <x v="0"/>
  </r>
  <r>
    <x v="5"/>
    <x v="3"/>
    <x v="3"/>
    <x v="7"/>
    <n v="0"/>
    <x v="0"/>
  </r>
  <r>
    <x v="5"/>
    <x v="3"/>
    <x v="3"/>
    <x v="8"/>
    <n v="0"/>
    <x v="0"/>
  </r>
  <r>
    <x v="5"/>
    <x v="3"/>
    <x v="3"/>
    <x v="9"/>
    <n v="0"/>
    <x v="0"/>
  </r>
  <r>
    <x v="5"/>
    <x v="3"/>
    <x v="3"/>
    <x v="10"/>
    <n v="0"/>
    <x v="0"/>
  </r>
  <r>
    <x v="5"/>
    <x v="3"/>
    <x v="3"/>
    <x v="11"/>
    <n v="0"/>
    <x v="0"/>
  </r>
  <r>
    <x v="5"/>
    <x v="3"/>
    <x v="4"/>
    <x v="0"/>
    <n v="0"/>
    <x v="1"/>
  </r>
  <r>
    <x v="5"/>
    <x v="3"/>
    <x v="4"/>
    <x v="1"/>
    <n v="0"/>
    <x v="1"/>
  </r>
  <r>
    <x v="5"/>
    <x v="3"/>
    <x v="4"/>
    <x v="2"/>
    <n v="0"/>
    <x v="1"/>
  </r>
  <r>
    <x v="5"/>
    <x v="3"/>
    <x v="4"/>
    <x v="3"/>
    <n v="0"/>
    <x v="1"/>
  </r>
  <r>
    <x v="5"/>
    <x v="3"/>
    <x v="4"/>
    <x v="4"/>
    <n v="0"/>
    <x v="1"/>
  </r>
  <r>
    <x v="5"/>
    <x v="3"/>
    <x v="4"/>
    <x v="5"/>
    <n v="0"/>
    <x v="1"/>
  </r>
  <r>
    <x v="5"/>
    <x v="3"/>
    <x v="4"/>
    <x v="6"/>
    <n v="0"/>
    <x v="1"/>
  </r>
  <r>
    <x v="5"/>
    <x v="3"/>
    <x v="4"/>
    <x v="7"/>
    <n v="0"/>
    <x v="1"/>
  </r>
  <r>
    <x v="5"/>
    <x v="3"/>
    <x v="4"/>
    <x v="8"/>
    <n v="0"/>
    <x v="1"/>
  </r>
  <r>
    <x v="5"/>
    <x v="3"/>
    <x v="4"/>
    <x v="9"/>
    <n v="0"/>
    <x v="1"/>
  </r>
  <r>
    <x v="5"/>
    <x v="3"/>
    <x v="4"/>
    <x v="10"/>
    <n v="0"/>
    <x v="1"/>
  </r>
  <r>
    <x v="5"/>
    <x v="3"/>
    <x v="4"/>
    <x v="11"/>
    <n v="0"/>
    <x v="1"/>
  </r>
  <r>
    <x v="5"/>
    <x v="3"/>
    <x v="5"/>
    <x v="0"/>
    <n v="0"/>
    <x v="1"/>
  </r>
  <r>
    <x v="5"/>
    <x v="3"/>
    <x v="6"/>
    <x v="0"/>
    <n v="0"/>
    <x v="1"/>
  </r>
  <r>
    <x v="5"/>
    <x v="4"/>
    <x v="0"/>
    <x v="0"/>
    <n v="0"/>
    <x v="0"/>
  </r>
  <r>
    <x v="5"/>
    <x v="4"/>
    <x v="0"/>
    <x v="1"/>
    <n v="0"/>
    <x v="0"/>
  </r>
  <r>
    <x v="5"/>
    <x v="4"/>
    <x v="0"/>
    <x v="2"/>
    <n v="0"/>
    <x v="0"/>
  </r>
  <r>
    <x v="5"/>
    <x v="4"/>
    <x v="0"/>
    <x v="3"/>
    <n v="0"/>
    <x v="0"/>
  </r>
  <r>
    <x v="5"/>
    <x v="4"/>
    <x v="0"/>
    <x v="4"/>
    <n v="0"/>
    <x v="0"/>
  </r>
  <r>
    <x v="5"/>
    <x v="4"/>
    <x v="0"/>
    <x v="5"/>
    <n v="0"/>
    <x v="0"/>
  </r>
  <r>
    <x v="5"/>
    <x v="4"/>
    <x v="0"/>
    <x v="6"/>
    <n v="0"/>
    <x v="0"/>
  </r>
  <r>
    <x v="5"/>
    <x v="4"/>
    <x v="0"/>
    <x v="7"/>
    <n v="0"/>
    <x v="0"/>
  </r>
  <r>
    <x v="5"/>
    <x v="4"/>
    <x v="0"/>
    <x v="8"/>
    <n v="0"/>
    <x v="0"/>
  </r>
  <r>
    <x v="5"/>
    <x v="4"/>
    <x v="0"/>
    <x v="9"/>
    <n v="0"/>
    <x v="0"/>
  </r>
  <r>
    <x v="5"/>
    <x v="4"/>
    <x v="0"/>
    <x v="10"/>
    <n v="0"/>
    <x v="0"/>
  </r>
  <r>
    <x v="5"/>
    <x v="4"/>
    <x v="0"/>
    <x v="11"/>
    <n v="0"/>
    <x v="0"/>
  </r>
  <r>
    <x v="5"/>
    <x v="4"/>
    <x v="1"/>
    <x v="0"/>
    <n v="0"/>
    <x v="0"/>
  </r>
  <r>
    <x v="5"/>
    <x v="4"/>
    <x v="1"/>
    <x v="1"/>
    <n v="0"/>
    <x v="0"/>
  </r>
  <r>
    <x v="5"/>
    <x v="4"/>
    <x v="1"/>
    <x v="2"/>
    <n v="0"/>
    <x v="0"/>
  </r>
  <r>
    <x v="5"/>
    <x v="4"/>
    <x v="1"/>
    <x v="3"/>
    <n v="0"/>
    <x v="0"/>
  </r>
  <r>
    <x v="5"/>
    <x v="4"/>
    <x v="1"/>
    <x v="4"/>
    <n v="0"/>
    <x v="0"/>
  </r>
  <r>
    <x v="5"/>
    <x v="4"/>
    <x v="1"/>
    <x v="5"/>
    <n v="0"/>
    <x v="0"/>
  </r>
  <r>
    <x v="5"/>
    <x v="4"/>
    <x v="1"/>
    <x v="6"/>
    <n v="0"/>
    <x v="0"/>
  </r>
  <r>
    <x v="5"/>
    <x v="4"/>
    <x v="1"/>
    <x v="7"/>
    <n v="0"/>
    <x v="0"/>
  </r>
  <r>
    <x v="5"/>
    <x v="4"/>
    <x v="1"/>
    <x v="8"/>
    <n v="0"/>
    <x v="0"/>
  </r>
  <r>
    <x v="5"/>
    <x v="4"/>
    <x v="1"/>
    <x v="9"/>
    <n v="0"/>
    <x v="0"/>
  </r>
  <r>
    <x v="5"/>
    <x v="4"/>
    <x v="1"/>
    <x v="10"/>
    <n v="0"/>
    <x v="0"/>
  </r>
  <r>
    <x v="5"/>
    <x v="4"/>
    <x v="1"/>
    <x v="11"/>
    <n v="0"/>
    <x v="0"/>
  </r>
  <r>
    <x v="5"/>
    <x v="4"/>
    <x v="2"/>
    <x v="0"/>
    <n v="0"/>
    <x v="0"/>
  </r>
  <r>
    <x v="5"/>
    <x v="4"/>
    <x v="2"/>
    <x v="1"/>
    <n v="0"/>
    <x v="0"/>
  </r>
  <r>
    <x v="5"/>
    <x v="4"/>
    <x v="2"/>
    <x v="2"/>
    <n v="0"/>
    <x v="0"/>
  </r>
  <r>
    <x v="5"/>
    <x v="4"/>
    <x v="2"/>
    <x v="3"/>
    <n v="0"/>
    <x v="0"/>
  </r>
  <r>
    <x v="5"/>
    <x v="4"/>
    <x v="2"/>
    <x v="4"/>
    <n v="0"/>
    <x v="0"/>
  </r>
  <r>
    <x v="5"/>
    <x v="4"/>
    <x v="2"/>
    <x v="5"/>
    <n v="0"/>
    <x v="0"/>
  </r>
  <r>
    <x v="5"/>
    <x v="4"/>
    <x v="2"/>
    <x v="6"/>
    <n v="0"/>
    <x v="0"/>
  </r>
  <r>
    <x v="5"/>
    <x v="4"/>
    <x v="2"/>
    <x v="7"/>
    <n v="0"/>
    <x v="0"/>
  </r>
  <r>
    <x v="5"/>
    <x v="4"/>
    <x v="2"/>
    <x v="8"/>
    <n v="0"/>
    <x v="0"/>
  </r>
  <r>
    <x v="5"/>
    <x v="4"/>
    <x v="2"/>
    <x v="9"/>
    <n v="0"/>
    <x v="0"/>
  </r>
  <r>
    <x v="5"/>
    <x v="4"/>
    <x v="2"/>
    <x v="10"/>
    <n v="0"/>
    <x v="0"/>
  </r>
  <r>
    <x v="5"/>
    <x v="4"/>
    <x v="2"/>
    <x v="11"/>
    <n v="0"/>
    <x v="0"/>
  </r>
  <r>
    <x v="5"/>
    <x v="4"/>
    <x v="3"/>
    <x v="0"/>
    <n v="0"/>
    <x v="0"/>
  </r>
  <r>
    <x v="5"/>
    <x v="4"/>
    <x v="3"/>
    <x v="1"/>
    <n v="0"/>
    <x v="0"/>
  </r>
  <r>
    <x v="5"/>
    <x v="4"/>
    <x v="3"/>
    <x v="2"/>
    <n v="0"/>
    <x v="0"/>
  </r>
  <r>
    <x v="5"/>
    <x v="4"/>
    <x v="3"/>
    <x v="3"/>
    <n v="0"/>
    <x v="0"/>
  </r>
  <r>
    <x v="5"/>
    <x v="4"/>
    <x v="3"/>
    <x v="4"/>
    <n v="0"/>
    <x v="0"/>
  </r>
  <r>
    <x v="5"/>
    <x v="4"/>
    <x v="3"/>
    <x v="5"/>
    <n v="0"/>
    <x v="0"/>
  </r>
  <r>
    <x v="5"/>
    <x v="4"/>
    <x v="3"/>
    <x v="6"/>
    <n v="0"/>
    <x v="0"/>
  </r>
  <r>
    <x v="5"/>
    <x v="4"/>
    <x v="3"/>
    <x v="7"/>
    <n v="0"/>
    <x v="0"/>
  </r>
  <r>
    <x v="5"/>
    <x v="4"/>
    <x v="3"/>
    <x v="8"/>
    <n v="0"/>
    <x v="0"/>
  </r>
  <r>
    <x v="5"/>
    <x v="4"/>
    <x v="3"/>
    <x v="9"/>
    <n v="0"/>
    <x v="0"/>
  </r>
  <r>
    <x v="5"/>
    <x v="4"/>
    <x v="3"/>
    <x v="10"/>
    <n v="0"/>
    <x v="0"/>
  </r>
  <r>
    <x v="5"/>
    <x v="4"/>
    <x v="3"/>
    <x v="11"/>
    <n v="0"/>
    <x v="0"/>
  </r>
  <r>
    <x v="5"/>
    <x v="4"/>
    <x v="4"/>
    <x v="0"/>
    <n v="1"/>
    <x v="1"/>
  </r>
  <r>
    <x v="5"/>
    <x v="4"/>
    <x v="4"/>
    <x v="1"/>
    <n v="0"/>
    <x v="1"/>
  </r>
  <r>
    <x v="5"/>
    <x v="4"/>
    <x v="4"/>
    <x v="2"/>
    <n v="0"/>
    <x v="1"/>
  </r>
  <r>
    <x v="5"/>
    <x v="4"/>
    <x v="4"/>
    <x v="3"/>
    <n v="0"/>
    <x v="1"/>
  </r>
  <r>
    <x v="5"/>
    <x v="4"/>
    <x v="4"/>
    <x v="4"/>
    <n v="0"/>
    <x v="1"/>
  </r>
  <r>
    <x v="5"/>
    <x v="4"/>
    <x v="4"/>
    <x v="5"/>
    <n v="0"/>
    <x v="1"/>
  </r>
  <r>
    <x v="5"/>
    <x v="4"/>
    <x v="4"/>
    <x v="6"/>
    <n v="0"/>
    <x v="1"/>
  </r>
  <r>
    <x v="5"/>
    <x v="4"/>
    <x v="4"/>
    <x v="7"/>
    <n v="0"/>
    <x v="1"/>
  </r>
  <r>
    <x v="5"/>
    <x v="4"/>
    <x v="4"/>
    <x v="8"/>
    <n v="0"/>
    <x v="1"/>
  </r>
  <r>
    <x v="5"/>
    <x v="4"/>
    <x v="4"/>
    <x v="9"/>
    <n v="0"/>
    <x v="1"/>
  </r>
  <r>
    <x v="5"/>
    <x v="4"/>
    <x v="4"/>
    <x v="10"/>
    <n v="0"/>
    <x v="1"/>
  </r>
  <r>
    <x v="5"/>
    <x v="4"/>
    <x v="4"/>
    <x v="11"/>
    <n v="0"/>
    <x v="1"/>
  </r>
  <r>
    <x v="5"/>
    <x v="4"/>
    <x v="5"/>
    <x v="0"/>
    <n v="1"/>
    <x v="1"/>
  </r>
  <r>
    <x v="5"/>
    <x v="4"/>
    <x v="6"/>
    <x v="0"/>
    <n v="1"/>
    <x v="1"/>
  </r>
  <r>
    <x v="5"/>
    <x v="5"/>
    <x v="0"/>
    <x v="0"/>
    <n v="1"/>
    <x v="0"/>
  </r>
  <r>
    <x v="5"/>
    <x v="5"/>
    <x v="0"/>
    <x v="1"/>
    <n v="0"/>
    <x v="0"/>
  </r>
  <r>
    <x v="5"/>
    <x v="5"/>
    <x v="0"/>
    <x v="2"/>
    <n v="0"/>
    <x v="0"/>
  </r>
  <r>
    <x v="5"/>
    <x v="5"/>
    <x v="0"/>
    <x v="3"/>
    <n v="0"/>
    <x v="0"/>
  </r>
  <r>
    <x v="5"/>
    <x v="5"/>
    <x v="0"/>
    <x v="4"/>
    <n v="0"/>
    <x v="0"/>
  </r>
  <r>
    <x v="5"/>
    <x v="5"/>
    <x v="0"/>
    <x v="5"/>
    <n v="0"/>
    <x v="0"/>
  </r>
  <r>
    <x v="5"/>
    <x v="5"/>
    <x v="0"/>
    <x v="6"/>
    <n v="0"/>
    <x v="0"/>
  </r>
  <r>
    <x v="5"/>
    <x v="5"/>
    <x v="0"/>
    <x v="7"/>
    <n v="0"/>
    <x v="0"/>
  </r>
  <r>
    <x v="5"/>
    <x v="5"/>
    <x v="0"/>
    <x v="8"/>
    <n v="0"/>
    <x v="0"/>
  </r>
  <r>
    <x v="5"/>
    <x v="5"/>
    <x v="0"/>
    <x v="9"/>
    <n v="0"/>
    <x v="0"/>
  </r>
  <r>
    <x v="5"/>
    <x v="5"/>
    <x v="0"/>
    <x v="10"/>
    <n v="0"/>
    <x v="0"/>
  </r>
  <r>
    <x v="5"/>
    <x v="5"/>
    <x v="0"/>
    <x v="11"/>
    <n v="0"/>
    <x v="0"/>
  </r>
  <r>
    <x v="5"/>
    <x v="5"/>
    <x v="1"/>
    <x v="0"/>
    <n v="1"/>
    <x v="0"/>
  </r>
  <r>
    <x v="5"/>
    <x v="5"/>
    <x v="1"/>
    <x v="1"/>
    <n v="0"/>
    <x v="0"/>
  </r>
  <r>
    <x v="5"/>
    <x v="5"/>
    <x v="1"/>
    <x v="2"/>
    <n v="0"/>
    <x v="0"/>
  </r>
  <r>
    <x v="5"/>
    <x v="5"/>
    <x v="1"/>
    <x v="3"/>
    <n v="0"/>
    <x v="0"/>
  </r>
  <r>
    <x v="5"/>
    <x v="5"/>
    <x v="1"/>
    <x v="4"/>
    <n v="0"/>
    <x v="0"/>
  </r>
  <r>
    <x v="5"/>
    <x v="5"/>
    <x v="1"/>
    <x v="5"/>
    <n v="0"/>
    <x v="0"/>
  </r>
  <r>
    <x v="5"/>
    <x v="5"/>
    <x v="1"/>
    <x v="6"/>
    <n v="0"/>
    <x v="0"/>
  </r>
  <r>
    <x v="5"/>
    <x v="5"/>
    <x v="1"/>
    <x v="7"/>
    <n v="0"/>
    <x v="0"/>
  </r>
  <r>
    <x v="5"/>
    <x v="5"/>
    <x v="1"/>
    <x v="8"/>
    <n v="0"/>
    <x v="0"/>
  </r>
  <r>
    <x v="5"/>
    <x v="5"/>
    <x v="1"/>
    <x v="9"/>
    <n v="0"/>
    <x v="0"/>
  </r>
  <r>
    <x v="5"/>
    <x v="5"/>
    <x v="1"/>
    <x v="10"/>
    <n v="0"/>
    <x v="0"/>
  </r>
  <r>
    <x v="5"/>
    <x v="5"/>
    <x v="1"/>
    <x v="11"/>
    <n v="0"/>
    <x v="0"/>
  </r>
  <r>
    <x v="5"/>
    <x v="5"/>
    <x v="2"/>
    <x v="0"/>
    <n v="1"/>
    <x v="0"/>
  </r>
  <r>
    <x v="5"/>
    <x v="5"/>
    <x v="2"/>
    <x v="1"/>
    <n v="0"/>
    <x v="0"/>
  </r>
  <r>
    <x v="5"/>
    <x v="5"/>
    <x v="2"/>
    <x v="2"/>
    <n v="0"/>
    <x v="0"/>
  </r>
  <r>
    <x v="5"/>
    <x v="5"/>
    <x v="2"/>
    <x v="3"/>
    <n v="0"/>
    <x v="0"/>
  </r>
  <r>
    <x v="5"/>
    <x v="5"/>
    <x v="2"/>
    <x v="4"/>
    <n v="0"/>
    <x v="0"/>
  </r>
  <r>
    <x v="5"/>
    <x v="5"/>
    <x v="2"/>
    <x v="5"/>
    <n v="0"/>
    <x v="0"/>
  </r>
  <r>
    <x v="5"/>
    <x v="5"/>
    <x v="2"/>
    <x v="6"/>
    <n v="0"/>
    <x v="0"/>
  </r>
  <r>
    <x v="5"/>
    <x v="5"/>
    <x v="2"/>
    <x v="7"/>
    <n v="0"/>
    <x v="0"/>
  </r>
  <r>
    <x v="5"/>
    <x v="5"/>
    <x v="2"/>
    <x v="8"/>
    <n v="0"/>
    <x v="0"/>
  </r>
  <r>
    <x v="5"/>
    <x v="5"/>
    <x v="2"/>
    <x v="9"/>
    <n v="0"/>
    <x v="0"/>
  </r>
  <r>
    <x v="5"/>
    <x v="5"/>
    <x v="2"/>
    <x v="10"/>
    <n v="0"/>
    <x v="0"/>
  </r>
  <r>
    <x v="5"/>
    <x v="5"/>
    <x v="2"/>
    <x v="11"/>
    <n v="0"/>
    <x v="0"/>
  </r>
  <r>
    <x v="5"/>
    <x v="5"/>
    <x v="3"/>
    <x v="0"/>
    <n v="1"/>
    <x v="0"/>
  </r>
  <r>
    <x v="5"/>
    <x v="5"/>
    <x v="3"/>
    <x v="1"/>
    <n v="0"/>
    <x v="0"/>
  </r>
  <r>
    <x v="5"/>
    <x v="5"/>
    <x v="3"/>
    <x v="2"/>
    <n v="0"/>
    <x v="0"/>
  </r>
  <r>
    <x v="5"/>
    <x v="5"/>
    <x v="3"/>
    <x v="3"/>
    <n v="0"/>
    <x v="0"/>
  </r>
  <r>
    <x v="5"/>
    <x v="5"/>
    <x v="3"/>
    <x v="4"/>
    <n v="0"/>
    <x v="0"/>
  </r>
  <r>
    <x v="5"/>
    <x v="5"/>
    <x v="3"/>
    <x v="5"/>
    <n v="0"/>
    <x v="0"/>
  </r>
  <r>
    <x v="5"/>
    <x v="5"/>
    <x v="3"/>
    <x v="6"/>
    <n v="0"/>
    <x v="0"/>
  </r>
  <r>
    <x v="5"/>
    <x v="5"/>
    <x v="3"/>
    <x v="7"/>
    <n v="0"/>
    <x v="0"/>
  </r>
  <r>
    <x v="5"/>
    <x v="5"/>
    <x v="3"/>
    <x v="8"/>
    <n v="0"/>
    <x v="0"/>
  </r>
  <r>
    <x v="5"/>
    <x v="5"/>
    <x v="3"/>
    <x v="9"/>
    <n v="0"/>
    <x v="0"/>
  </r>
  <r>
    <x v="5"/>
    <x v="5"/>
    <x v="3"/>
    <x v="10"/>
    <n v="0"/>
    <x v="0"/>
  </r>
  <r>
    <x v="5"/>
    <x v="5"/>
    <x v="3"/>
    <x v="11"/>
    <n v="0"/>
    <x v="0"/>
  </r>
  <r>
    <x v="5"/>
    <x v="5"/>
    <x v="4"/>
    <x v="0"/>
    <n v="0"/>
    <x v="1"/>
  </r>
  <r>
    <x v="5"/>
    <x v="5"/>
    <x v="4"/>
    <x v="1"/>
    <n v="0"/>
    <x v="1"/>
  </r>
  <r>
    <x v="5"/>
    <x v="5"/>
    <x v="4"/>
    <x v="2"/>
    <n v="0"/>
    <x v="1"/>
  </r>
  <r>
    <x v="5"/>
    <x v="5"/>
    <x v="4"/>
    <x v="3"/>
    <n v="0"/>
    <x v="1"/>
  </r>
  <r>
    <x v="5"/>
    <x v="5"/>
    <x v="4"/>
    <x v="4"/>
    <n v="0"/>
    <x v="1"/>
  </r>
  <r>
    <x v="5"/>
    <x v="5"/>
    <x v="4"/>
    <x v="5"/>
    <n v="0"/>
    <x v="1"/>
  </r>
  <r>
    <x v="5"/>
    <x v="5"/>
    <x v="4"/>
    <x v="6"/>
    <n v="0"/>
    <x v="1"/>
  </r>
  <r>
    <x v="5"/>
    <x v="5"/>
    <x v="4"/>
    <x v="7"/>
    <n v="0"/>
    <x v="1"/>
  </r>
  <r>
    <x v="5"/>
    <x v="5"/>
    <x v="4"/>
    <x v="8"/>
    <n v="0"/>
    <x v="1"/>
  </r>
  <r>
    <x v="5"/>
    <x v="5"/>
    <x v="4"/>
    <x v="9"/>
    <n v="0"/>
    <x v="1"/>
  </r>
  <r>
    <x v="5"/>
    <x v="5"/>
    <x v="4"/>
    <x v="10"/>
    <n v="0"/>
    <x v="1"/>
  </r>
  <r>
    <x v="5"/>
    <x v="5"/>
    <x v="4"/>
    <x v="11"/>
    <n v="0"/>
    <x v="1"/>
  </r>
  <r>
    <x v="5"/>
    <x v="5"/>
    <x v="5"/>
    <x v="0"/>
    <n v="0"/>
    <x v="1"/>
  </r>
  <r>
    <x v="5"/>
    <x v="5"/>
    <x v="6"/>
    <x v="0"/>
    <n v="0"/>
    <x v="1"/>
  </r>
  <r>
    <x v="5"/>
    <x v="6"/>
    <x v="0"/>
    <x v="0"/>
    <n v="0"/>
    <x v="0"/>
  </r>
  <r>
    <x v="5"/>
    <x v="6"/>
    <x v="0"/>
    <x v="1"/>
    <n v="0"/>
    <x v="0"/>
  </r>
  <r>
    <x v="5"/>
    <x v="6"/>
    <x v="0"/>
    <x v="2"/>
    <n v="0"/>
    <x v="0"/>
  </r>
  <r>
    <x v="5"/>
    <x v="6"/>
    <x v="0"/>
    <x v="3"/>
    <n v="0"/>
    <x v="0"/>
  </r>
  <r>
    <x v="5"/>
    <x v="6"/>
    <x v="0"/>
    <x v="4"/>
    <n v="0"/>
    <x v="0"/>
  </r>
  <r>
    <x v="5"/>
    <x v="6"/>
    <x v="0"/>
    <x v="5"/>
    <n v="0"/>
    <x v="0"/>
  </r>
  <r>
    <x v="5"/>
    <x v="6"/>
    <x v="0"/>
    <x v="6"/>
    <n v="0"/>
    <x v="0"/>
  </r>
  <r>
    <x v="5"/>
    <x v="6"/>
    <x v="0"/>
    <x v="7"/>
    <n v="0"/>
    <x v="0"/>
  </r>
  <r>
    <x v="5"/>
    <x v="6"/>
    <x v="0"/>
    <x v="8"/>
    <n v="0"/>
    <x v="0"/>
  </r>
  <r>
    <x v="5"/>
    <x v="6"/>
    <x v="0"/>
    <x v="9"/>
    <n v="0"/>
    <x v="0"/>
  </r>
  <r>
    <x v="5"/>
    <x v="6"/>
    <x v="0"/>
    <x v="10"/>
    <n v="0"/>
    <x v="0"/>
  </r>
  <r>
    <x v="5"/>
    <x v="6"/>
    <x v="0"/>
    <x v="11"/>
    <n v="0"/>
    <x v="0"/>
  </r>
  <r>
    <x v="5"/>
    <x v="6"/>
    <x v="1"/>
    <x v="0"/>
    <n v="0"/>
    <x v="0"/>
  </r>
  <r>
    <x v="5"/>
    <x v="6"/>
    <x v="1"/>
    <x v="1"/>
    <n v="0"/>
    <x v="0"/>
  </r>
  <r>
    <x v="5"/>
    <x v="6"/>
    <x v="1"/>
    <x v="2"/>
    <n v="0"/>
    <x v="0"/>
  </r>
  <r>
    <x v="5"/>
    <x v="6"/>
    <x v="1"/>
    <x v="3"/>
    <n v="0"/>
    <x v="0"/>
  </r>
  <r>
    <x v="5"/>
    <x v="6"/>
    <x v="1"/>
    <x v="4"/>
    <n v="0"/>
    <x v="0"/>
  </r>
  <r>
    <x v="5"/>
    <x v="6"/>
    <x v="1"/>
    <x v="5"/>
    <n v="0"/>
    <x v="0"/>
  </r>
  <r>
    <x v="5"/>
    <x v="6"/>
    <x v="1"/>
    <x v="6"/>
    <n v="0"/>
    <x v="0"/>
  </r>
  <r>
    <x v="5"/>
    <x v="6"/>
    <x v="1"/>
    <x v="7"/>
    <n v="0"/>
    <x v="0"/>
  </r>
  <r>
    <x v="5"/>
    <x v="6"/>
    <x v="1"/>
    <x v="8"/>
    <n v="0"/>
    <x v="0"/>
  </r>
  <r>
    <x v="5"/>
    <x v="6"/>
    <x v="1"/>
    <x v="9"/>
    <n v="0"/>
    <x v="0"/>
  </r>
  <r>
    <x v="5"/>
    <x v="6"/>
    <x v="1"/>
    <x v="10"/>
    <n v="0"/>
    <x v="0"/>
  </r>
  <r>
    <x v="5"/>
    <x v="6"/>
    <x v="1"/>
    <x v="11"/>
    <n v="0"/>
    <x v="0"/>
  </r>
  <r>
    <x v="5"/>
    <x v="6"/>
    <x v="2"/>
    <x v="0"/>
    <n v="0"/>
    <x v="0"/>
  </r>
  <r>
    <x v="5"/>
    <x v="6"/>
    <x v="2"/>
    <x v="1"/>
    <n v="0"/>
    <x v="0"/>
  </r>
  <r>
    <x v="5"/>
    <x v="6"/>
    <x v="2"/>
    <x v="2"/>
    <n v="0"/>
    <x v="0"/>
  </r>
  <r>
    <x v="5"/>
    <x v="6"/>
    <x v="2"/>
    <x v="3"/>
    <n v="0"/>
    <x v="0"/>
  </r>
  <r>
    <x v="5"/>
    <x v="6"/>
    <x v="2"/>
    <x v="4"/>
    <n v="0"/>
    <x v="0"/>
  </r>
  <r>
    <x v="5"/>
    <x v="6"/>
    <x v="2"/>
    <x v="5"/>
    <n v="0"/>
    <x v="0"/>
  </r>
  <r>
    <x v="5"/>
    <x v="6"/>
    <x v="2"/>
    <x v="6"/>
    <n v="0"/>
    <x v="0"/>
  </r>
  <r>
    <x v="5"/>
    <x v="6"/>
    <x v="2"/>
    <x v="7"/>
    <n v="0"/>
    <x v="0"/>
  </r>
  <r>
    <x v="5"/>
    <x v="6"/>
    <x v="2"/>
    <x v="8"/>
    <n v="0"/>
    <x v="0"/>
  </r>
  <r>
    <x v="5"/>
    <x v="6"/>
    <x v="2"/>
    <x v="9"/>
    <n v="0"/>
    <x v="0"/>
  </r>
  <r>
    <x v="5"/>
    <x v="6"/>
    <x v="2"/>
    <x v="10"/>
    <n v="0"/>
    <x v="0"/>
  </r>
  <r>
    <x v="5"/>
    <x v="6"/>
    <x v="2"/>
    <x v="11"/>
    <n v="0"/>
    <x v="0"/>
  </r>
  <r>
    <x v="5"/>
    <x v="6"/>
    <x v="3"/>
    <x v="0"/>
    <n v="0"/>
    <x v="0"/>
  </r>
  <r>
    <x v="5"/>
    <x v="6"/>
    <x v="3"/>
    <x v="1"/>
    <n v="0"/>
    <x v="0"/>
  </r>
  <r>
    <x v="5"/>
    <x v="6"/>
    <x v="3"/>
    <x v="2"/>
    <n v="0"/>
    <x v="0"/>
  </r>
  <r>
    <x v="5"/>
    <x v="6"/>
    <x v="3"/>
    <x v="3"/>
    <n v="0"/>
    <x v="0"/>
  </r>
  <r>
    <x v="5"/>
    <x v="6"/>
    <x v="3"/>
    <x v="4"/>
    <n v="0"/>
    <x v="0"/>
  </r>
  <r>
    <x v="5"/>
    <x v="6"/>
    <x v="3"/>
    <x v="5"/>
    <n v="0"/>
    <x v="0"/>
  </r>
  <r>
    <x v="5"/>
    <x v="6"/>
    <x v="3"/>
    <x v="6"/>
    <n v="0"/>
    <x v="0"/>
  </r>
  <r>
    <x v="5"/>
    <x v="6"/>
    <x v="3"/>
    <x v="7"/>
    <n v="0"/>
    <x v="0"/>
  </r>
  <r>
    <x v="5"/>
    <x v="6"/>
    <x v="3"/>
    <x v="8"/>
    <n v="0"/>
    <x v="0"/>
  </r>
  <r>
    <x v="5"/>
    <x v="6"/>
    <x v="3"/>
    <x v="9"/>
    <n v="0"/>
    <x v="0"/>
  </r>
  <r>
    <x v="5"/>
    <x v="6"/>
    <x v="3"/>
    <x v="10"/>
    <n v="0"/>
    <x v="0"/>
  </r>
  <r>
    <x v="5"/>
    <x v="6"/>
    <x v="3"/>
    <x v="11"/>
    <n v="0"/>
    <x v="0"/>
  </r>
  <r>
    <x v="5"/>
    <x v="6"/>
    <x v="4"/>
    <x v="0"/>
    <n v="1"/>
    <x v="1"/>
  </r>
  <r>
    <x v="5"/>
    <x v="6"/>
    <x v="4"/>
    <x v="1"/>
    <n v="0"/>
    <x v="1"/>
  </r>
  <r>
    <x v="5"/>
    <x v="6"/>
    <x v="4"/>
    <x v="2"/>
    <n v="0"/>
    <x v="1"/>
  </r>
  <r>
    <x v="5"/>
    <x v="6"/>
    <x v="4"/>
    <x v="3"/>
    <n v="0"/>
    <x v="1"/>
  </r>
  <r>
    <x v="5"/>
    <x v="6"/>
    <x v="4"/>
    <x v="4"/>
    <n v="0"/>
    <x v="1"/>
  </r>
  <r>
    <x v="5"/>
    <x v="6"/>
    <x v="4"/>
    <x v="5"/>
    <n v="0"/>
    <x v="1"/>
  </r>
  <r>
    <x v="5"/>
    <x v="6"/>
    <x v="4"/>
    <x v="6"/>
    <n v="0"/>
    <x v="1"/>
  </r>
  <r>
    <x v="5"/>
    <x v="6"/>
    <x v="4"/>
    <x v="7"/>
    <n v="0"/>
    <x v="1"/>
  </r>
  <r>
    <x v="5"/>
    <x v="6"/>
    <x v="4"/>
    <x v="8"/>
    <n v="0"/>
    <x v="1"/>
  </r>
  <r>
    <x v="5"/>
    <x v="6"/>
    <x v="4"/>
    <x v="9"/>
    <n v="0"/>
    <x v="1"/>
  </r>
  <r>
    <x v="5"/>
    <x v="6"/>
    <x v="4"/>
    <x v="10"/>
    <n v="0"/>
    <x v="1"/>
  </r>
  <r>
    <x v="5"/>
    <x v="6"/>
    <x v="4"/>
    <x v="11"/>
    <n v="0"/>
    <x v="1"/>
  </r>
  <r>
    <x v="5"/>
    <x v="6"/>
    <x v="5"/>
    <x v="0"/>
    <n v="1"/>
    <x v="1"/>
  </r>
  <r>
    <x v="5"/>
    <x v="6"/>
    <x v="6"/>
    <x v="0"/>
    <n v="1"/>
    <x v="1"/>
  </r>
  <r>
    <x v="5"/>
    <x v="7"/>
    <x v="0"/>
    <x v="0"/>
    <n v="1"/>
    <x v="0"/>
  </r>
  <r>
    <x v="5"/>
    <x v="7"/>
    <x v="0"/>
    <x v="1"/>
    <n v="0"/>
    <x v="0"/>
  </r>
  <r>
    <x v="5"/>
    <x v="7"/>
    <x v="0"/>
    <x v="2"/>
    <n v="0"/>
    <x v="0"/>
  </r>
  <r>
    <x v="5"/>
    <x v="7"/>
    <x v="0"/>
    <x v="3"/>
    <n v="0"/>
    <x v="0"/>
  </r>
  <r>
    <x v="5"/>
    <x v="7"/>
    <x v="0"/>
    <x v="4"/>
    <n v="0"/>
    <x v="0"/>
  </r>
  <r>
    <x v="5"/>
    <x v="7"/>
    <x v="0"/>
    <x v="5"/>
    <n v="0"/>
    <x v="0"/>
  </r>
  <r>
    <x v="5"/>
    <x v="7"/>
    <x v="0"/>
    <x v="6"/>
    <n v="0"/>
    <x v="0"/>
  </r>
  <r>
    <x v="5"/>
    <x v="7"/>
    <x v="0"/>
    <x v="7"/>
    <n v="0"/>
    <x v="0"/>
  </r>
  <r>
    <x v="5"/>
    <x v="7"/>
    <x v="0"/>
    <x v="8"/>
    <n v="0"/>
    <x v="0"/>
  </r>
  <r>
    <x v="5"/>
    <x v="7"/>
    <x v="0"/>
    <x v="9"/>
    <n v="0"/>
    <x v="0"/>
  </r>
  <r>
    <x v="5"/>
    <x v="7"/>
    <x v="0"/>
    <x v="10"/>
    <n v="0"/>
    <x v="0"/>
  </r>
  <r>
    <x v="5"/>
    <x v="7"/>
    <x v="0"/>
    <x v="11"/>
    <n v="0"/>
    <x v="0"/>
  </r>
  <r>
    <x v="5"/>
    <x v="7"/>
    <x v="1"/>
    <x v="0"/>
    <n v="1"/>
    <x v="0"/>
  </r>
  <r>
    <x v="5"/>
    <x v="7"/>
    <x v="1"/>
    <x v="1"/>
    <n v="0"/>
    <x v="0"/>
  </r>
  <r>
    <x v="5"/>
    <x v="7"/>
    <x v="1"/>
    <x v="2"/>
    <n v="0"/>
    <x v="0"/>
  </r>
  <r>
    <x v="5"/>
    <x v="7"/>
    <x v="1"/>
    <x v="3"/>
    <n v="0"/>
    <x v="0"/>
  </r>
  <r>
    <x v="5"/>
    <x v="7"/>
    <x v="1"/>
    <x v="4"/>
    <n v="0"/>
    <x v="0"/>
  </r>
  <r>
    <x v="5"/>
    <x v="7"/>
    <x v="1"/>
    <x v="5"/>
    <n v="0"/>
    <x v="0"/>
  </r>
  <r>
    <x v="5"/>
    <x v="7"/>
    <x v="1"/>
    <x v="6"/>
    <n v="0"/>
    <x v="0"/>
  </r>
  <r>
    <x v="5"/>
    <x v="7"/>
    <x v="1"/>
    <x v="7"/>
    <n v="0"/>
    <x v="0"/>
  </r>
  <r>
    <x v="5"/>
    <x v="7"/>
    <x v="1"/>
    <x v="8"/>
    <n v="0"/>
    <x v="0"/>
  </r>
  <r>
    <x v="5"/>
    <x v="7"/>
    <x v="1"/>
    <x v="9"/>
    <n v="0"/>
    <x v="0"/>
  </r>
  <r>
    <x v="5"/>
    <x v="7"/>
    <x v="1"/>
    <x v="10"/>
    <n v="0"/>
    <x v="0"/>
  </r>
  <r>
    <x v="5"/>
    <x v="7"/>
    <x v="1"/>
    <x v="11"/>
    <n v="0"/>
    <x v="0"/>
  </r>
  <r>
    <x v="5"/>
    <x v="7"/>
    <x v="2"/>
    <x v="0"/>
    <n v="1"/>
    <x v="0"/>
  </r>
  <r>
    <x v="5"/>
    <x v="7"/>
    <x v="2"/>
    <x v="1"/>
    <n v="0"/>
    <x v="0"/>
  </r>
  <r>
    <x v="5"/>
    <x v="7"/>
    <x v="2"/>
    <x v="2"/>
    <n v="0"/>
    <x v="0"/>
  </r>
  <r>
    <x v="5"/>
    <x v="7"/>
    <x v="2"/>
    <x v="3"/>
    <n v="0"/>
    <x v="0"/>
  </r>
  <r>
    <x v="5"/>
    <x v="7"/>
    <x v="2"/>
    <x v="4"/>
    <n v="0"/>
    <x v="0"/>
  </r>
  <r>
    <x v="5"/>
    <x v="7"/>
    <x v="2"/>
    <x v="5"/>
    <n v="0"/>
    <x v="0"/>
  </r>
  <r>
    <x v="5"/>
    <x v="7"/>
    <x v="2"/>
    <x v="6"/>
    <n v="0"/>
    <x v="0"/>
  </r>
  <r>
    <x v="5"/>
    <x v="7"/>
    <x v="2"/>
    <x v="7"/>
    <n v="0"/>
    <x v="0"/>
  </r>
  <r>
    <x v="5"/>
    <x v="7"/>
    <x v="2"/>
    <x v="8"/>
    <n v="0"/>
    <x v="0"/>
  </r>
  <r>
    <x v="5"/>
    <x v="7"/>
    <x v="2"/>
    <x v="9"/>
    <n v="0"/>
    <x v="0"/>
  </r>
  <r>
    <x v="5"/>
    <x v="7"/>
    <x v="2"/>
    <x v="10"/>
    <n v="0"/>
    <x v="0"/>
  </r>
  <r>
    <x v="5"/>
    <x v="7"/>
    <x v="2"/>
    <x v="11"/>
    <n v="0"/>
    <x v="0"/>
  </r>
  <r>
    <x v="5"/>
    <x v="7"/>
    <x v="3"/>
    <x v="0"/>
    <n v="1"/>
    <x v="0"/>
  </r>
  <r>
    <x v="5"/>
    <x v="7"/>
    <x v="3"/>
    <x v="1"/>
    <n v="0"/>
    <x v="0"/>
  </r>
  <r>
    <x v="5"/>
    <x v="7"/>
    <x v="3"/>
    <x v="2"/>
    <n v="0"/>
    <x v="0"/>
  </r>
  <r>
    <x v="5"/>
    <x v="7"/>
    <x v="3"/>
    <x v="3"/>
    <n v="0"/>
    <x v="0"/>
  </r>
  <r>
    <x v="5"/>
    <x v="7"/>
    <x v="3"/>
    <x v="4"/>
    <n v="0"/>
    <x v="0"/>
  </r>
  <r>
    <x v="5"/>
    <x v="7"/>
    <x v="3"/>
    <x v="5"/>
    <n v="0"/>
    <x v="0"/>
  </r>
  <r>
    <x v="5"/>
    <x v="7"/>
    <x v="3"/>
    <x v="6"/>
    <n v="0"/>
    <x v="0"/>
  </r>
  <r>
    <x v="5"/>
    <x v="7"/>
    <x v="3"/>
    <x v="7"/>
    <n v="0"/>
    <x v="0"/>
  </r>
  <r>
    <x v="5"/>
    <x v="7"/>
    <x v="3"/>
    <x v="8"/>
    <n v="0"/>
    <x v="0"/>
  </r>
  <r>
    <x v="5"/>
    <x v="7"/>
    <x v="3"/>
    <x v="9"/>
    <n v="0"/>
    <x v="0"/>
  </r>
  <r>
    <x v="5"/>
    <x v="7"/>
    <x v="3"/>
    <x v="10"/>
    <n v="0"/>
    <x v="0"/>
  </r>
  <r>
    <x v="5"/>
    <x v="7"/>
    <x v="3"/>
    <x v="11"/>
    <n v="0"/>
    <x v="0"/>
  </r>
  <r>
    <x v="5"/>
    <x v="7"/>
    <x v="4"/>
    <x v="0"/>
    <n v="0"/>
    <x v="1"/>
  </r>
  <r>
    <x v="5"/>
    <x v="7"/>
    <x v="4"/>
    <x v="1"/>
    <n v="0"/>
    <x v="1"/>
  </r>
  <r>
    <x v="5"/>
    <x v="7"/>
    <x v="4"/>
    <x v="2"/>
    <n v="0"/>
    <x v="1"/>
  </r>
  <r>
    <x v="5"/>
    <x v="7"/>
    <x v="4"/>
    <x v="3"/>
    <n v="0"/>
    <x v="1"/>
  </r>
  <r>
    <x v="5"/>
    <x v="7"/>
    <x v="4"/>
    <x v="4"/>
    <n v="0"/>
    <x v="1"/>
  </r>
  <r>
    <x v="5"/>
    <x v="7"/>
    <x v="4"/>
    <x v="5"/>
    <n v="0"/>
    <x v="1"/>
  </r>
  <r>
    <x v="5"/>
    <x v="7"/>
    <x v="4"/>
    <x v="6"/>
    <n v="0"/>
    <x v="1"/>
  </r>
  <r>
    <x v="5"/>
    <x v="7"/>
    <x v="4"/>
    <x v="7"/>
    <n v="0"/>
    <x v="1"/>
  </r>
  <r>
    <x v="5"/>
    <x v="7"/>
    <x v="4"/>
    <x v="8"/>
    <n v="0"/>
    <x v="1"/>
  </r>
  <r>
    <x v="5"/>
    <x v="7"/>
    <x v="4"/>
    <x v="9"/>
    <n v="0"/>
    <x v="1"/>
  </r>
  <r>
    <x v="5"/>
    <x v="7"/>
    <x v="4"/>
    <x v="10"/>
    <n v="0"/>
    <x v="1"/>
  </r>
  <r>
    <x v="5"/>
    <x v="7"/>
    <x v="4"/>
    <x v="11"/>
    <n v="0"/>
    <x v="1"/>
  </r>
  <r>
    <x v="5"/>
    <x v="7"/>
    <x v="5"/>
    <x v="0"/>
    <n v="0"/>
    <x v="1"/>
  </r>
  <r>
    <x v="5"/>
    <x v="7"/>
    <x v="6"/>
    <x v="0"/>
    <n v="0"/>
    <x v="1"/>
  </r>
  <r>
    <x v="5"/>
    <x v="8"/>
    <x v="0"/>
    <x v="0"/>
    <n v="1"/>
    <x v="0"/>
  </r>
  <r>
    <x v="5"/>
    <x v="8"/>
    <x v="0"/>
    <x v="1"/>
    <n v="0"/>
    <x v="0"/>
  </r>
  <r>
    <x v="5"/>
    <x v="8"/>
    <x v="0"/>
    <x v="2"/>
    <n v="0"/>
    <x v="0"/>
  </r>
  <r>
    <x v="5"/>
    <x v="8"/>
    <x v="0"/>
    <x v="3"/>
    <n v="0"/>
    <x v="0"/>
  </r>
  <r>
    <x v="5"/>
    <x v="8"/>
    <x v="0"/>
    <x v="4"/>
    <n v="0"/>
    <x v="0"/>
  </r>
  <r>
    <x v="5"/>
    <x v="8"/>
    <x v="0"/>
    <x v="5"/>
    <n v="0"/>
    <x v="0"/>
  </r>
  <r>
    <x v="5"/>
    <x v="8"/>
    <x v="0"/>
    <x v="6"/>
    <n v="0"/>
    <x v="0"/>
  </r>
  <r>
    <x v="5"/>
    <x v="8"/>
    <x v="0"/>
    <x v="7"/>
    <n v="0"/>
    <x v="0"/>
  </r>
  <r>
    <x v="5"/>
    <x v="8"/>
    <x v="0"/>
    <x v="8"/>
    <n v="0"/>
    <x v="0"/>
  </r>
  <r>
    <x v="5"/>
    <x v="8"/>
    <x v="0"/>
    <x v="9"/>
    <n v="0"/>
    <x v="0"/>
  </r>
  <r>
    <x v="5"/>
    <x v="8"/>
    <x v="0"/>
    <x v="10"/>
    <n v="0"/>
    <x v="0"/>
  </r>
  <r>
    <x v="5"/>
    <x v="8"/>
    <x v="0"/>
    <x v="11"/>
    <n v="0"/>
    <x v="0"/>
  </r>
  <r>
    <x v="5"/>
    <x v="8"/>
    <x v="1"/>
    <x v="0"/>
    <n v="1"/>
    <x v="0"/>
  </r>
  <r>
    <x v="5"/>
    <x v="8"/>
    <x v="1"/>
    <x v="1"/>
    <n v="0"/>
    <x v="0"/>
  </r>
  <r>
    <x v="5"/>
    <x v="8"/>
    <x v="1"/>
    <x v="2"/>
    <n v="0"/>
    <x v="0"/>
  </r>
  <r>
    <x v="5"/>
    <x v="8"/>
    <x v="1"/>
    <x v="3"/>
    <n v="0"/>
    <x v="0"/>
  </r>
  <r>
    <x v="5"/>
    <x v="8"/>
    <x v="1"/>
    <x v="4"/>
    <n v="0"/>
    <x v="0"/>
  </r>
  <r>
    <x v="5"/>
    <x v="8"/>
    <x v="1"/>
    <x v="5"/>
    <n v="0"/>
    <x v="0"/>
  </r>
  <r>
    <x v="5"/>
    <x v="8"/>
    <x v="1"/>
    <x v="6"/>
    <n v="0"/>
    <x v="0"/>
  </r>
  <r>
    <x v="5"/>
    <x v="8"/>
    <x v="1"/>
    <x v="7"/>
    <n v="0"/>
    <x v="0"/>
  </r>
  <r>
    <x v="5"/>
    <x v="8"/>
    <x v="1"/>
    <x v="8"/>
    <n v="0"/>
    <x v="0"/>
  </r>
  <r>
    <x v="5"/>
    <x v="8"/>
    <x v="1"/>
    <x v="9"/>
    <n v="0"/>
    <x v="0"/>
  </r>
  <r>
    <x v="5"/>
    <x v="8"/>
    <x v="1"/>
    <x v="10"/>
    <n v="0"/>
    <x v="0"/>
  </r>
  <r>
    <x v="5"/>
    <x v="8"/>
    <x v="1"/>
    <x v="11"/>
    <n v="0"/>
    <x v="0"/>
  </r>
  <r>
    <x v="5"/>
    <x v="8"/>
    <x v="2"/>
    <x v="0"/>
    <n v="1"/>
    <x v="0"/>
  </r>
  <r>
    <x v="5"/>
    <x v="8"/>
    <x v="2"/>
    <x v="1"/>
    <n v="0"/>
    <x v="0"/>
  </r>
  <r>
    <x v="5"/>
    <x v="8"/>
    <x v="2"/>
    <x v="2"/>
    <n v="0"/>
    <x v="0"/>
  </r>
  <r>
    <x v="5"/>
    <x v="8"/>
    <x v="2"/>
    <x v="3"/>
    <n v="0"/>
    <x v="0"/>
  </r>
  <r>
    <x v="5"/>
    <x v="8"/>
    <x v="2"/>
    <x v="4"/>
    <n v="0"/>
    <x v="0"/>
  </r>
  <r>
    <x v="5"/>
    <x v="8"/>
    <x v="2"/>
    <x v="5"/>
    <n v="0"/>
    <x v="0"/>
  </r>
  <r>
    <x v="5"/>
    <x v="8"/>
    <x v="2"/>
    <x v="6"/>
    <n v="0"/>
    <x v="0"/>
  </r>
  <r>
    <x v="5"/>
    <x v="8"/>
    <x v="2"/>
    <x v="7"/>
    <n v="0"/>
    <x v="0"/>
  </r>
  <r>
    <x v="5"/>
    <x v="8"/>
    <x v="2"/>
    <x v="8"/>
    <n v="0"/>
    <x v="0"/>
  </r>
  <r>
    <x v="5"/>
    <x v="8"/>
    <x v="2"/>
    <x v="9"/>
    <n v="0"/>
    <x v="0"/>
  </r>
  <r>
    <x v="5"/>
    <x v="8"/>
    <x v="2"/>
    <x v="10"/>
    <n v="0"/>
    <x v="0"/>
  </r>
  <r>
    <x v="5"/>
    <x v="8"/>
    <x v="2"/>
    <x v="11"/>
    <n v="0"/>
    <x v="0"/>
  </r>
  <r>
    <x v="5"/>
    <x v="8"/>
    <x v="3"/>
    <x v="0"/>
    <n v="1"/>
    <x v="0"/>
  </r>
  <r>
    <x v="5"/>
    <x v="8"/>
    <x v="3"/>
    <x v="1"/>
    <n v="0"/>
    <x v="0"/>
  </r>
  <r>
    <x v="5"/>
    <x v="8"/>
    <x v="3"/>
    <x v="2"/>
    <n v="0"/>
    <x v="0"/>
  </r>
  <r>
    <x v="5"/>
    <x v="8"/>
    <x v="3"/>
    <x v="3"/>
    <n v="0"/>
    <x v="0"/>
  </r>
  <r>
    <x v="5"/>
    <x v="8"/>
    <x v="3"/>
    <x v="4"/>
    <n v="0"/>
    <x v="0"/>
  </r>
  <r>
    <x v="5"/>
    <x v="8"/>
    <x v="3"/>
    <x v="5"/>
    <n v="0"/>
    <x v="0"/>
  </r>
  <r>
    <x v="5"/>
    <x v="8"/>
    <x v="3"/>
    <x v="6"/>
    <n v="0"/>
    <x v="0"/>
  </r>
  <r>
    <x v="5"/>
    <x v="8"/>
    <x v="3"/>
    <x v="7"/>
    <n v="0"/>
    <x v="0"/>
  </r>
  <r>
    <x v="5"/>
    <x v="8"/>
    <x v="3"/>
    <x v="8"/>
    <n v="0"/>
    <x v="0"/>
  </r>
  <r>
    <x v="5"/>
    <x v="8"/>
    <x v="3"/>
    <x v="9"/>
    <n v="0"/>
    <x v="0"/>
  </r>
  <r>
    <x v="5"/>
    <x v="8"/>
    <x v="3"/>
    <x v="10"/>
    <n v="0"/>
    <x v="0"/>
  </r>
  <r>
    <x v="5"/>
    <x v="8"/>
    <x v="3"/>
    <x v="11"/>
    <n v="0"/>
    <x v="0"/>
  </r>
  <r>
    <x v="5"/>
    <x v="8"/>
    <x v="4"/>
    <x v="0"/>
    <n v="0"/>
    <x v="1"/>
  </r>
  <r>
    <x v="5"/>
    <x v="8"/>
    <x v="4"/>
    <x v="1"/>
    <n v="0"/>
    <x v="1"/>
  </r>
  <r>
    <x v="5"/>
    <x v="8"/>
    <x v="4"/>
    <x v="2"/>
    <n v="0"/>
    <x v="1"/>
  </r>
  <r>
    <x v="5"/>
    <x v="8"/>
    <x v="4"/>
    <x v="3"/>
    <n v="0"/>
    <x v="1"/>
  </r>
  <r>
    <x v="5"/>
    <x v="8"/>
    <x v="4"/>
    <x v="4"/>
    <n v="0"/>
    <x v="1"/>
  </r>
  <r>
    <x v="5"/>
    <x v="8"/>
    <x v="4"/>
    <x v="5"/>
    <n v="0"/>
    <x v="1"/>
  </r>
  <r>
    <x v="5"/>
    <x v="8"/>
    <x v="4"/>
    <x v="6"/>
    <n v="0"/>
    <x v="1"/>
  </r>
  <r>
    <x v="5"/>
    <x v="8"/>
    <x v="4"/>
    <x v="7"/>
    <n v="0"/>
    <x v="1"/>
  </r>
  <r>
    <x v="5"/>
    <x v="8"/>
    <x v="4"/>
    <x v="8"/>
    <n v="0"/>
    <x v="1"/>
  </r>
  <r>
    <x v="5"/>
    <x v="8"/>
    <x v="4"/>
    <x v="9"/>
    <n v="0"/>
    <x v="1"/>
  </r>
  <r>
    <x v="5"/>
    <x v="8"/>
    <x v="4"/>
    <x v="10"/>
    <n v="0"/>
    <x v="1"/>
  </r>
  <r>
    <x v="5"/>
    <x v="8"/>
    <x v="4"/>
    <x v="11"/>
    <n v="0"/>
    <x v="1"/>
  </r>
  <r>
    <x v="5"/>
    <x v="8"/>
    <x v="5"/>
    <x v="0"/>
    <n v="0"/>
    <x v="1"/>
  </r>
  <r>
    <x v="5"/>
    <x v="8"/>
    <x v="6"/>
    <x v="0"/>
    <n v="0"/>
    <x v="1"/>
  </r>
  <r>
    <x v="5"/>
    <x v="9"/>
    <x v="0"/>
    <x v="0"/>
    <n v="1"/>
    <x v="0"/>
  </r>
  <r>
    <x v="5"/>
    <x v="9"/>
    <x v="0"/>
    <x v="1"/>
    <n v="0"/>
    <x v="0"/>
  </r>
  <r>
    <x v="5"/>
    <x v="9"/>
    <x v="0"/>
    <x v="2"/>
    <n v="0"/>
    <x v="0"/>
  </r>
  <r>
    <x v="5"/>
    <x v="9"/>
    <x v="0"/>
    <x v="3"/>
    <n v="0"/>
    <x v="0"/>
  </r>
  <r>
    <x v="5"/>
    <x v="9"/>
    <x v="0"/>
    <x v="4"/>
    <n v="0"/>
    <x v="0"/>
  </r>
  <r>
    <x v="5"/>
    <x v="9"/>
    <x v="0"/>
    <x v="5"/>
    <n v="0"/>
    <x v="0"/>
  </r>
  <r>
    <x v="5"/>
    <x v="9"/>
    <x v="0"/>
    <x v="6"/>
    <n v="0"/>
    <x v="0"/>
  </r>
  <r>
    <x v="5"/>
    <x v="9"/>
    <x v="0"/>
    <x v="7"/>
    <n v="0"/>
    <x v="0"/>
  </r>
  <r>
    <x v="5"/>
    <x v="9"/>
    <x v="0"/>
    <x v="8"/>
    <n v="0"/>
    <x v="0"/>
  </r>
  <r>
    <x v="5"/>
    <x v="9"/>
    <x v="0"/>
    <x v="9"/>
    <n v="0"/>
    <x v="0"/>
  </r>
  <r>
    <x v="5"/>
    <x v="9"/>
    <x v="0"/>
    <x v="10"/>
    <n v="0"/>
    <x v="0"/>
  </r>
  <r>
    <x v="5"/>
    <x v="9"/>
    <x v="0"/>
    <x v="11"/>
    <n v="0"/>
    <x v="0"/>
  </r>
  <r>
    <x v="5"/>
    <x v="9"/>
    <x v="1"/>
    <x v="0"/>
    <n v="1"/>
    <x v="0"/>
  </r>
  <r>
    <x v="5"/>
    <x v="9"/>
    <x v="1"/>
    <x v="1"/>
    <n v="0"/>
    <x v="0"/>
  </r>
  <r>
    <x v="5"/>
    <x v="9"/>
    <x v="1"/>
    <x v="2"/>
    <n v="0"/>
    <x v="0"/>
  </r>
  <r>
    <x v="5"/>
    <x v="9"/>
    <x v="1"/>
    <x v="3"/>
    <n v="0"/>
    <x v="0"/>
  </r>
  <r>
    <x v="5"/>
    <x v="9"/>
    <x v="1"/>
    <x v="4"/>
    <n v="0"/>
    <x v="0"/>
  </r>
  <r>
    <x v="5"/>
    <x v="9"/>
    <x v="1"/>
    <x v="5"/>
    <n v="0"/>
    <x v="0"/>
  </r>
  <r>
    <x v="5"/>
    <x v="9"/>
    <x v="1"/>
    <x v="6"/>
    <n v="0"/>
    <x v="0"/>
  </r>
  <r>
    <x v="5"/>
    <x v="9"/>
    <x v="1"/>
    <x v="7"/>
    <n v="0"/>
    <x v="0"/>
  </r>
  <r>
    <x v="5"/>
    <x v="9"/>
    <x v="1"/>
    <x v="8"/>
    <n v="0"/>
    <x v="0"/>
  </r>
  <r>
    <x v="5"/>
    <x v="9"/>
    <x v="1"/>
    <x v="9"/>
    <n v="0"/>
    <x v="0"/>
  </r>
  <r>
    <x v="5"/>
    <x v="9"/>
    <x v="1"/>
    <x v="10"/>
    <n v="0"/>
    <x v="0"/>
  </r>
  <r>
    <x v="5"/>
    <x v="9"/>
    <x v="1"/>
    <x v="11"/>
    <n v="0"/>
    <x v="0"/>
  </r>
  <r>
    <x v="5"/>
    <x v="9"/>
    <x v="2"/>
    <x v="0"/>
    <n v="1"/>
    <x v="0"/>
  </r>
  <r>
    <x v="5"/>
    <x v="9"/>
    <x v="2"/>
    <x v="1"/>
    <n v="0"/>
    <x v="0"/>
  </r>
  <r>
    <x v="5"/>
    <x v="9"/>
    <x v="2"/>
    <x v="2"/>
    <n v="0"/>
    <x v="0"/>
  </r>
  <r>
    <x v="5"/>
    <x v="9"/>
    <x v="2"/>
    <x v="3"/>
    <n v="0"/>
    <x v="0"/>
  </r>
  <r>
    <x v="5"/>
    <x v="9"/>
    <x v="2"/>
    <x v="4"/>
    <n v="0"/>
    <x v="0"/>
  </r>
  <r>
    <x v="5"/>
    <x v="9"/>
    <x v="2"/>
    <x v="5"/>
    <n v="0"/>
    <x v="0"/>
  </r>
  <r>
    <x v="5"/>
    <x v="9"/>
    <x v="2"/>
    <x v="6"/>
    <n v="0"/>
    <x v="0"/>
  </r>
  <r>
    <x v="5"/>
    <x v="9"/>
    <x v="2"/>
    <x v="7"/>
    <n v="0"/>
    <x v="0"/>
  </r>
  <r>
    <x v="5"/>
    <x v="9"/>
    <x v="2"/>
    <x v="8"/>
    <n v="0"/>
    <x v="0"/>
  </r>
  <r>
    <x v="5"/>
    <x v="9"/>
    <x v="2"/>
    <x v="9"/>
    <n v="0"/>
    <x v="0"/>
  </r>
  <r>
    <x v="5"/>
    <x v="9"/>
    <x v="2"/>
    <x v="10"/>
    <n v="0"/>
    <x v="0"/>
  </r>
  <r>
    <x v="5"/>
    <x v="9"/>
    <x v="2"/>
    <x v="11"/>
    <n v="0"/>
    <x v="0"/>
  </r>
  <r>
    <x v="5"/>
    <x v="9"/>
    <x v="3"/>
    <x v="0"/>
    <n v="1"/>
    <x v="0"/>
  </r>
  <r>
    <x v="5"/>
    <x v="9"/>
    <x v="3"/>
    <x v="1"/>
    <n v="0"/>
    <x v="0"/>
  </r>
  <r>
    <x v="5"/>
    <x v="9"/>
    <x v="3"/>
    <x v="2"/>
    <n v="0"/>
    <x v="0"/>
  </r>
  <r>
    <x v="5"/>
    <x v="9"/>
    <x v="3"/>
    <x v="3"/>
    <n v="0"/>
    <x v="0"/>
  </r>
  <r>
    <x v="5"/>
    <x v="9"/>
    <x v="3"/>
    <x v="4"/>
    <n v="0"/>
    <x v="0"/>
  </r>
  <r>
    <x v="5"/>
    <x v="9"/>
    <x v="3"/>
    <x v="5"/>
    <n v="0"/>
    <x v="0"/>
  </r>
  <r>
    <x v="5"/>
    <x v="9"/>
    <x v="3"/>
    <x v="6"/>
    <n v="0"/>
    <x v="0"/>
  </r>
  <r>
    <x v="5"/>
    <x v="9"/>
    <x v="3"/>
    <x v="7"/>
    <n v="0"/>
    <x v="0"/>
  </r>
  <r>
    <x v="5"/>
    <x v="9"/>
    <x v="3"/>
    <x v="8"/>
    <n v="0"/>
    <x v="0"/>
  </r>
  <r>
    <x v="5"/>
    <x v="9"/>
    <x v="3"/>
    <x v="9"/>
    <n v="0"/>
    <x v="0"/>
  </r>
  <r>
    <x v="5"/>
    <x v="9"/>
    <x v="3"/>
    <x v="10"/>
    <n v="0"/>
    <x v="0"/>
  </r>
  <r>
    <x v="5"/>
    <x v="9"/>
    <x v="3"/>
    <x v="11"/>
    <n v="0"/>
    <x v="0"/>
  </r>
  <r>
    <x v="5"/>
    <x v="9"/>
    <x v="4"/>
    <x v="0"/>
    <n v="1"/>
    <x v="1"/>
  </r>
  <r>
    <x v="5"/>
    <x v="9"/>
    <x v="4"/>
    <x v="1"/>
    <n v="0"/>
    <x v="1"/>
  </r>
  <r>
    <x v="5"/>
    <x v="9"/>
    <x v="4"/>
    <x v="2"/>
    <n v="0"/>
    <x v="1"/>
  </r>
  <r>
    <x v="5"/>
    <x v="9"/>
    <x v="4"/>
    <x v="3"/>
    <n v="0"/>
    <x v="1"/>
  </r>
  <r>
    <x v="5"/>
    <x v="9"/>
    <x v="4"/>
    <x v="4"/>
    <n v="0"/>
    <x v="1"/>
  </r>
  <r>
    <x v="5"/>
    <x v="9"/>
    <x v="4"/>
    <x v="5"/>
    <n v="0"/>
    <x v="1"/>
  </r>
  <r>
    <x v="5"/>
    <x v="9"/>
    <x v="4"/>
    <x v="6"/>
    <n v="0"/>
    <x v="1"/>
  </r>
  <r>
    <x v="5"/>
    <x v="9"/>
    <x v="4"/>
    <x v="7"/>
    <n v="0"/>
    <x v="1"/>
  </r>
  <r>
    <x v="5"/>
    <x v="9"/>
    <x v="4"/>
    <x v="8"/>
    <n v="0"/>
    <x v="1"/>
  </r>
  <r>
    <x v="5"/>
    <x v="9"/>
    <x v="4"/>
    <x v="9"/>
    <n v="0"/>
    <x v="1"/>
  </r>
  <r>
    <x v="5"/>
    <x v="9"/>
    <x v="4"/>
    <x v="10"/>
    <n v="0"/>
    <x v="1"/>
  </r>
  <r>
    <x v="5"/>
    <x v="9"/>
    <x v="4"/>
    <x v="11"/>
    <n v="0"/>
    <x v="1"/>
  </r>
  <r>
    <x v="5"/>
    <x v="9"/>
    <x v="5"/>
    <x v="0"/>
    <n v="1"/>
    <x v="1"/>
  </r>
  <r>
    <x v="5"/>
    <x v="9"/>
    <x v="6"/>
    <x v="0"/>
    <n v="1"/>
    <x v="1"/>
  </r>
  <r>
    <x v="5"/>
    <x v="10"/>
    <x v="0"/>
    <x v="0"/>
    <n v="1"/>
    <x v="0"/>
  </r>
  <r>
    <x v="5"/>
    <x v="10"/>
    <x v="0"/>
    <x v="1"/>
    <n v="0"/>
    <x v="0"/>
  </r>
  <r>
    <x v="5"/>
    <x v="10"/>
    <x v="0"/>
    <x v="2"/>
    <n v="0"/>
    <x v="0"/>
  </r>
  <r>
    <x v="5"/>
    <x v="10"/>
    <x v="0"/>
    <x v="3"/>
    <n v="0"/>
    <x v="0"/>
  </r>
  <r>
    <x v="5"/>
    <x v="10"/>
    <x v="0"/>
    <x v="4"/>
    <n v="0"/>
    <x v="0"/>
  </r>
  <r>
    <x v="5"/>
    <x v="10"/>
    <x v="0"/>
    <x v="5"/>
    <n v="0"/>
    <x v="0"/>
  </r>
  <r>
    <x v="5"/>
    <x v="10"/>
    <x v="0"/>
    <x v="6"/>
    <n v="0"/>
    <x v="0"/>
  </r>
  <r>
    <x v="5"/>
    <x v="10"/>
    <x v="0"/>
    <x v="7"/>
    <n v="0"/>
    <x v="0"/>
  </r>
  <r>
    <x v="5"/>
    <x v="10"/>
    <x v="0"/>
    <x v="8"/>
    <n v="0"/>
    <x v="0"/>
  </r>
  <r>
    <x v="5"/>
    <x v="10"/>
    <x v="0"/>
    <x v="9"/>
    <n v="0"/>
    <x v="0"/>
  </r>
  <r>
    <x v="5"/>
    <x v="10"/>
    <x v="0"/>
    <x v="10"/>
    <n v="0"/>
    <x v="0"/>
  </r>
  <r>
    <x v="5"/>
    <x v="10"/>
    <x v="0"/>
    <x v="11"/>
    <n v="0"/>
    <x v="0"/>
  </r>
  <r>
    <x v="5"/>
    <x v="10"/>
    <x v="1"/>
    <x v="0"/>
    <n v="1"/>
    <x v="0"/>
  </r>
  <r>
    <x v="5"/>
    <x v="10"/>
    <x v="1"/>
    <x v="1"/>
    <n v="0"/>
    <x v="0"/>
  </r>
  <r>
    <x v="5"/>
    <x v="10"/>
    <x v="1"/>
    <x v="2"/>
    <n v="0"/>
    <x v="0"/>
  </r>
  <r>
    <x v="5"/>
    <x v="10"/>
    <x v="1"/>
    <x v="3"/>
    <n v="0"/>
    <x v="0"/>
  </r>
  <r>
    <x v="5"/>
    <x v="10"/>
    <x v="1"/>
    <x v="4"/>
    <n v="0"/>
    <x v="0"/>
  </r>
  <r>
    <x v="5"/>
    <x v="10"/>
    <x v="1"/>
    <x v="5"/>
    <n v="0"/>
    <x v="0"/>
  </r>
  <r>
    <x v="5"/>
    <x v="10"/>
    <x v="1"/>
    <x v="6"/>
    <n v="0"/>
    <x v="0"/>
  </r>
  <r>
    <x v="5"/>
    <x v="10"/>
    <x v="1"/>
    <x v="7"/>
    <n v="0"/>
    <x v="0"/>
  </r>
  <r>
    <x v="5"/>
    <x v="10"/>
    <x v="1"/>
    <x v="8"/>
    <n v="0"/>
    <x v="0"/>
  </r>
  <r>
    <x v="5"/>
    <x v="10"/>
    <x v="1"/>
    <x v="9"/>
    <n v="0"/>
    <x v="0"/>
  </r>
  <r>
    <x v="5"/>
    <x v="10"/>
    <x v="1"/>
    <x v="10"/>
    <n v="0"/>
    <x v="0"/>
  </r>
  <r>
    <x v="5"/>
    <x v="10"/>
    <x v="1"/>
    <x v="11"/>
    <n v="0"/>
    <x v="0"/>
  </r>
  <r>
    <x v="5"/>
    <x v="10"/>
    <x v="2"/>
    <x v="0"/>
    <n v="1"/>
    <x v="0"/>
  </r>
  <r>
    <x v="5"/>
    <x v="10"/>
    <x v="2"/>
    <x v="1"/>
    <n v="0"/>
    <x v="0"/>
  </r>
  <r>
    <x v="5"/>
    <x v="10"/>
    <x v="2"/>
    <x v="2"/>
    <n v="0"/>
    <x v="0"/>
  </r>
  <r>
    <x v="5"/>
    <x v="10"/>
    <x v="2"/>
    <x v="3"/>
    <n v="0"/>
    <x v="0"/>
  </r>
  <r>
    <x v="5"/>
    <x v="10"/>
    <x v="2"/>
    <x v="4"/>
    <n v="0"/>
    <x v="0"/>
  </r>
  <r>
    <x v="5"/>
    <x v="10"/>
    <x v="2"/>
    <x v="5"/>
    <n v="0"/>
    <x v="0"/>
  </r>
  <r>
    <x v="5"/>
    <x v="10"/>
    <x v="2"/>
    <x v="6"/>
    <n v="0"/>
    <x v="0"/>
  </r>
  <r>
    <x v="5"/>
    <x v="10"/>
    <x v="2"/>
    <x v="7"/>
    <n v="0"/>
    <x v="0"/>
  </r>
  <r>
    <x v="5"/>
    <x v="10"/>
    <x v="2"/>
    <x v="8"/>
    <n v="0"/>
    <x v="0"/>
  </r>
  <r>
    <x v="5"/>
    <x v="10"/>
    <x v="2"/>
    <x v="9"/>
    <n v="0"/>
    <x v="0"/>
  </r>
  <r>
    <x v="5"/>
    <x v="10"/>
    <x v="2"/>
    <x v="10"/>
    <n v="0"/>
    <x v="0"/>
  </r>
  <r>
    <x v="5"/>
    <x v="10"/>
    <x v="2"/>
    <x v="11"/>
    <n v="0"/>
    <x v="0"/>
  </r>
  <r>
    <x v="5"/>
    <x v="10"/>
    <x v="3"/>
    <x v="0"/>
    <n v="1"/>
    <x v="0"/>
  </r>
  <r>
    <x v="5"/>
    <x v="10"/>
    <x v="3"/>
    <x v="1"/>
    <n v="0"/>
    <x v="0"/>
  </r>
  <r>
    <x v="5"/>
    <x v="10"/>
    <x v="3"/>
    <x v="2"/>
    <n v="0"/>
    <x v="0"/>
  </r>
  <r>
    <x v="5"/>
    <x v="10"/>
    <x v="3"/>
    <x v="3"/>
    <n v="0"/>
    <x v="0"/>
  </r>
  <r>
    <x v="5"/>
    <x v="10"/>
    <x v="3"/>
    <x v="4"/>
    <n v="0"/>
    <x v="0"/>
  </r>
  <r>
    <x v="5"/>
    <x v="10"/>
    <x v="3"/>
    <x v="5"/>
    <n v="0"/>
    <x v="0"/>
  </r>
  <r>
    <x v="5"/>
    <x v="10"/>
    <x v="3"/>
    <x v="6"/>
    <n v="0"/>
    <x v="0"/>
  </r>
  <r>
    <x v="5"/>
    <x v="10"/>
    <x v="3"/>
    <x v="7"/>
    <n v="0"/>
    <x v="0"/>
  </r>
  <r>
    <x v="5"/>
    <x v="10"/>
    <x v="3"/>
    <x v="8"/>
    <n v="0"/>
    <x v="0"/>
  </r>
  <r>
    <x v="5"/>
    <x v="10"/>
    <x v="3"/>
    <x v="9"/>
    <n v="0"/>
    <x v="0"/>
  </r>
  <r>
    <x v="5"/>
    <x v="10"/>
    <x v="3"/>
    <x v="10"/>
    <n v="0"/>
    <x v="0"/>
  </r>
  <r>
    <x v="5"/>
    <x v="10"/>
    <x v="3"/>
    <x v="11"/>
    <n v="0"/>
    <x v="0"/>
  </r>
  <r>
    <x v="5"/>
    <x v="10"/>
    <x v="4"/>
    <x v="0"/>
    <n v="1"/>
    <x v="1"/>
  </r>
  <r>
    <x v="5"/>
    <x v="10"/>
    <x v="4"/>
    <x v="1"/>
    <n v="0"/>
    <x v="1"/>
  </r>
  <r>
    <x v="5"/>
    <x v="10"/>
    <x v="4"/>
    <x v="2"/>
    <n v="0"/>
    <x v="1"/>
  </r>
  <r>
    <x v="5"/>
    <x v="10"/>
    <x v="4"/>
    <x v="3"/>
    <n v="0"/>
    <x v="1"/>
  </r>
  <r>
    <x v="5"/>
    <x v="10"/>
    <x v="4"/>
    <x v="4"/>
    <n v="0"/>
    <x v="1"/>
  </r>
  <r>
    <x v="5"/>
    <x v="10"/>
    <x v="4"/>
    <x v="5"/>
    <n v="0"/>
    <x v="1"/>
  </r>
  <r>
    <x v="5"/>
    <x v="10"/>
    <x v="4"/>
    <x v="6"/>
    <n v="0"/>
    <x v="1"/>
  </r>
  <r>
    <x v="5"/>
    <x v="10"/>
    <x v="4"/>
    <x v="7"/>
    <n v="0"/>
    <x v="1"/>
  </r>
  <r>
    <x v="5"/>
    <x v="10"/>
    <x v="4"/>
    <x v="8"/>
    <n v="0"/>
    <x v="1"/>
  </r>
  <r>
    <x v="5"/>
    <x v="10"/>
    <x v="4"/>
    <x v="9"/>
    <n v="0"/>
    <x v="1"/>
  </r>
  <r>
    <x v="5"/>
    <x v="10"/>
    <x v="4"/>
    <x v="10"/>
    <n v="0"/>
    <x v="1"/>
  </r>
  <r>
    <x v="5"/>
    <x v="10"/>
    <x v="4"/>
    <x v="11"/>
    <n v="0"/>
    <x v="1"/>
  </r>
  <r>
    <x v="5"/>
    <x v="10"/>
    <x v="5"/>
    <x v="0"/>
    <n v="1"/>
    <x v="1"/>
  </r>
  <r>
    <x v="5"/>
    <x v="10"/>
    <x v="6"/>
    <x v="0"/>
    <n v="1"/>
    <x v="1"/>
  </r>
  <r>
    <x v="5"/>
    <x v="11"/>
    <x v="0"/>
    <x v="0"/>
    <n v="0"/>
    <x v="0"/>
  </r>
  <r>
    <x v="5"/>
    <x v="11"/>
    <x v="0"/>
    <x v="1"/>
    <n v="0"/>
    <x v="0"/>
  </r>
  <r>
    <x v="5"/>
    <x v="11"/>
    <x v="0"/>
    <x v="2"/>
    <n v="0"/>
    <x v="0"/>
  </r>
  <r>
    <x v="5"/>
    <x v="11"/>
    <x v="0"/>
    <x v="3"/>
    <n v="0"/>
    <x v="0"/>
  </r>
  <r>
    <x v="5"/>
    <x v="11"/>
    <x v="0"/>
    <x v="4"/>
    <n v="0"/>
    <x v="0"/>
  </r>
  <r>
    <x v="5"/>
    <x v="11"/>
    <x v="0"/>
    <x v="5"/>
    <n v="0"/>
    <x v="0"/>
  </r>
  <r>
    <x v="5"/>
    <x v="11"/>
    <x v="0"/>
    <x v="6"/>
    <n v="0"/>
    <x v="0"/>
  </r>
  <r>
    <x v="5"/>
    <x v="11"/>
    <x v="0"/>
    <x v="7"/>
    <n v="0"/>
    <x v="0"/>
  </r>
  <r>
    <x v="5"/>
    <x v="11"/>
    <x v="0"/>
    <x v="8"/>
    <n v="0"/>
    <x v="0"/>
  </r>
  <r>
    <x v="5"/>
    <x v="11"/>
    <x v="0"/>
    <x v="9"/>
    <n v="0"/>
    <x v="0"/>
  </r>
  <r>
    <x v="5"/>
    <x v="11"/>
    <x v="0"/>
    <x v="10"/>
    <n v="0"/>
    <x v="0"/>
  </r>
  <r>
    <x v="5"/>
    <x v="11"/>
    <x v="0"/>
    <x v="11"/>
    <n v="0"/>
    <x v="0"/>
  </r>
  <r>
    <x v="5"/>
    <x v="11"/>
    <x v="1"/>
    <x v="0"/>
    <n v="0"/>
    <x v="0"/>
  </r>
  <r>
    <x v="5"/>
    <x v="11"/>
    <x v="1"/>
    <x v="1"/>
    <n v="0"/>
    <x v="0"/>
  </r>
  <r>
    <x v="5"/>
    <x v="11"/>
    <x v="1"/>
    <x v="2"/>
    <n v="0"/>
    <x v="0"/>
  </r>
  <r>
    <x v="5"/>
    <x v="11"/>
    <x v="1"/>
    <x v="3"/>
    <n v="0"/>
    <x v="0"/>
  </r>
  <r>
    <x v="5"/>
    <x v="11"/>
    <x v="1"/>
    <x v="4"/>
    <n v="0"/>
    <x v="0"/>
  </r>
  <r>
    <x v="5"/>
    <x v="11"/>
    <x v="1"/>
    <x v="5"/>
    <n v="0"/>
    <x v="0"/>
  </r>
  <r>
    <x v="5"/>
    <x v="11"/>
    <x v="1"/>
    <x v="6"/>
    <n v="0"/>
    <x v="0"/>
  </r>
  <r>
    <x v="5"/>
    <x v="11"/>
    <x v="1"/>
    <x v="7"/>
    <n v="0"/>
    <x v="0"/>
  </r>
  <r>
    <x v="5"/>
    <x v="11"/>
    <x v="1"/>
    <x v="8"/>
    <n v="0"/>
    <x v="0"/>
  </r>
  <r>
    <x v="5"/>
    <x v="11"/>
    <x v="1"/>
    <x v="9"/>
    <n v="0"/>
    <x v="0"/>
  </r>
  <r>
    <x v="5"/>
    <x v="11"/>
    <x v="1"/>
    <x v="10"/>
    <n v="0"/>
    <x v="0"/>
  </r>
  <r>
    <x v="5"/>
    <x v="11"/>
    <x v="1"/>
    <x v="11"/>
    <n v="0"/>
    <x v="0"/>
  </r>
  <r>
    <x v="5"/>
    <x v="11"/>
    <x v="2"/>
    <x v="0"/>
    <n v="0"/>
    <x v="0"/>
  </r>
  <r>
    <x v="5"/>
    <x v="11"/>
    <x v="2"/>
    <x v="1"/>
    <n v="0"/>
    <x v="0"/>
  </r>
  <r>
    <x v="5"/>
    <x v="11"/>
    <x v="2"/>
    <x v="2"/>
    <n v="0"/>
    <x v="0"/>
  </r>
  <r>
    <x v="5"/>
    <x v="11"/>
    <x v="2"/>
    <x v="3"/>
    <n v="0"/>
    <x v="0"/>
  </r>
  <r>
    <x v="5"/>
    <x v="11"/>
    <x v="2"/>
    <x v="4"/>
    <n v="0"/>
    <x v="0"/>
  </r>
  <r>
    <x v="5"/>
    <x v="11"/>
    <x v="2"/>
    <x v="5"/>
    <n v="0"/>
    <x v="0"/>
  </r>
  <r>
    <x v="5"/>
    <x v="11"/>
    <x v="2"/>
    <x v="6"/>
    <n v="0"/>
    <x v="0"/>
  </r>
  <r>
    <x v="5"/>
    <x v="11"/>
    <x v="2"/>
    <x v="7"/>
    <n v="0"/>
    <x v="0"/>
  </r>
  <r>
    <x v="5"/>
    <x v="11"/>
    <x v="2"/>
    <x v="8"/>
    <n v="0"/>
    <x v="0"/>
  </r>
  <r>
    <x v="5"/>
    <x v="11"/>
    <x v="2"/>
    <x v="9"/>
    <n v="0"/>
    <x v="0"/>
  </r>
  <r>
    <x v="5"/>
    <x v="11"/>
    <x v="2"/>
    <x v="10"/>
    <n v="0"/>
    <x v="0"/>
  </r>
  <r>
    <x v="5"/>
    <x v="11"/>
    <x v="2"/>
    <x v="11"/>
    <n v="0"/>
    <x v="0"/>
  </r>
  <r>
    <x v="5"/>
    <x v="11"/>
    <x v="3"/>
    <x v="0"/>
    <n v="0"/>
    <x v="0"/>
  </r>
  <r>
    <x v="5"/>
    <x v="11"/>
    <x v="3"/>
    <x v="1"/>
    <n v="0"/>
    <x v="0"/>
  </r>
  <r>
    <x v="5"/>
    <x v="11"/>
    <x v="3"/>
    <x v="2"/>
    <n v="0"/>
    <x v="0"/>
  </r>
  <r>
    <x v="5"/>
    <x v="11"/>
    <x v="3"/>
    <x v="3"/>
    <n v="0"/>
    <x v="0"/>
  </r>
  <r>
    <x v="5"/>
    <x v="11"/>
    <x v="3"/>
    <x v="4"/>
    <n v="0"/>
    <x v="0"/>
  </r>
  <r>
    <x v="5"/>
    <x v="11"/>
    <x v="3"/>
    <x v="5"/>
    <n v="0"/>
    <x v="0"/>
  </r>
  <r>
    <x v="5"/>
    <x v="11"/>
    <x v="3"/>
    <x v="6"/>
    <n v="0"/>
    <x v="0"/>
  </r>
  <r>
    <x v="5"/>
    <x v="11"/>
    <x v="3"/>
    <x v="7"/>
    <n v="0"/>
    <x v="0"/>
  </r>
  <r>
    <x v="5"/>
    <x v="11"/>
    <x v="3"/>
    <x v="8"/>
    <n v="0"/>
    <x v="0"/>
  </r>
  <r>
    <x v="5"/>
    <x v="11"/>
    <x v="3"/>
    <x v="9"/>
    <n v="0"/>
    <x v="0"/>
  </r>
  <r>
    <x v="5"/>
    <x v="11"/>
    <x v="3"/>
    <x v="10"/>
    <n v="0"/>
    <x v="0"/>
  </r>
  <r>
    <x v="5"/>
    <x v="11"/>
    <x v="3"/>
    <x v="11"/>
    <n v="0"/>
    <x v="0"/>
  </r>
  <r>
    <x v="5"/>
    <x v="11"/>
    <x v="4"/>
    <x v="0"/>
    <n v="0"/>
    <x v="1"/>
  </r>
  <r>
    <x v="5"/>
    <x v="11"/>
    <x v="4"/>
    <x v="1"/>
    <n v="0"/>
    <x v="1"/>
  </r>
  <r>
    <x v="5"/>
    <x v="11"/>
    <x v="4"/>
    <x v="2"/>
    <n v="0"/>
    <x v="1"/>
  </r>
  <r>
    <x v="5"/>
    <x v="11"/>
    <x v="4"/>
    <x v="3"/>
    <n v="0"/>
    <x v="1"/>
  </r>
  <r>
    <x v="5"/>
    <x v="11"/>
    <x v="4"/>
    <x v="4"/>
    <n v="0"/>
    <x v="1"/>
  </r>
  <r>
    <x v="5"/>
    <x v="11"/>
    <x v="4"/>
    <x v="5"/>
    <n v="0"/>
    <x v="1"/>
  </r>
  <r>
    <x v="5"/>
    <x v="11"/>
    <x v="4"/>
    <x v="6"/>
    <n v="0"/>
    <x v="1"/>
  </r>
  <r>
    <x v="5"/>
    <x v="11"/>
    <x v="4"/>
    <x v="7"/>
    <n v="0"/>
    <x v="1"/>
  </r>
  <r>
    <x v="5"/>
    <x v="11"/>
    <x v="4"/>
    <x v="8"/>
    <n v="0"/>
    <x v="1"/>
  </r>
  <r>
    <x v="5"/>
    <x v="11"/>
    <x v="4"/>
    <x v="9"/>
    <n v="0"/>
    <x v="1"/>
  </r>
  <r>
    <x v="5"/>
    <x v="11"/>
    <x v="4"/>
    <x v="10"/>
    <n v="0"/>
    <x v="1"/>
  </r>
  <r>
    <x v="5"/>
    <x v="11"/>
    <x v="4"/>
    <x v="11"/>
    <n v="0"/>
    <x v="1"/>
  </r>
  <r>
    <x v="5"/>
    <x v="11"/>
    <x v="5"/>
    <x v="0"/>
    <n v="0"/>
    <x v="1"/>
  </r>
  <r>
    <x v="5"/>
    <x v="11"/>
    <x v="6"/>
    <x v="0"/>
    <n v="0"/>
    <x v="1"/>
  </r>
  <r>
    <x v="6"/>
    <x v="0"/>
    <x v="0"/>
    <x v="0"/>
    <n v="0"/>
    <x v="0"/>
  </r>
  <r>
    <x v="6"/>
    <x v="0"/>
    <x v="0"/>
    <x v="1"/>
    <n v="0"/>
    <x v="0"/>
  </r>
  <r>
    <x v="6"/>
    <x v="0"/>
    <x v="0"/>
    <x v="2"/>
    <n v="2"/>
    <x v="0"/>
  </r>
  <r>
    <x v="6"/>
    <x v="0"/>
    <x v="0"/>
    <x v="3"/>
    <n v="0"/>
    <x v="0"/>
  </r>
  <r>
    <x v="6"/>
    <x v="0"/>
    <x v="0"/>
    <x v="4"/>
    <n v="1"/>
    <x v="0"/>
  </r>
  <r>
    <x v="6"/>
    <x v="0"/>
    <x v="0"/>
    <x v="5"/>
    <n v="1"/>
    <x v="0"/>
  </r>
  <r>
    <x v="6"/>
    <x v="0"/>
    <x v="0"/>
    <x v="6"/>
    <n v="0"/>
    <x v="0"/>
  </r>
  <r>
    <x v="6"/>
    <x v="0"/>
    <x v="0"/>
    <x v="7"/>
    <n v="0"/>
    <x v="0"/>
  </r>
  <r>
    <x v="6"/>
    <x v="0"/>
    <x v="0"/>
    <x v="8"/>
    <n v="0"/>
    <x v="0"/>
  </r>
  <r>
    <x v="6"/>
    <x v="0"/>
    <x v="0"/>
    <x v="9"/>
    <n v="0"/>
    <x v="0"/>
  </r>
  <r>
    <x v="6"/>
    <x v="0"/>
    <x v="0"/>
    <x v="10"/>
    <n v="0"/>
    <x v="0"/>
  </r>
  <r>
    <x v="6"/>
    <x v="0"/>
    <x v="0"/>
    <x v="11"/>
    <n v="0"/>
    <x v="0"/>
  </r>
  <r>
    <x v="6"/>
    <x v="0"/>
    <x v="1"/>
    <x v="0"/>
    <n v="0"/>
    <x v="0"/>
  </r>
  <r>
    <x v="6"/>
    <x v="0"/>
    <x v="1"/>
    <x v="1"/>
    <n v="0"/>
    <x v="0"/>
  </r>
  <r>
    <x v="6"/>
    <x v="0"/>
    <x v="1"/>
    <x v="2"/>
    <n v="0"/>
    <x v="0"/>
  </r>
  <r>
    <x v="6"/>
    <x v="0"/>
    <x v="1"/>
    <x v="3"/>
    <n v="0"/>
    <x v="0"/>
  </r>
  <r>
    <x v="6"/>
    <x v="0"/>
    <x v="1"/>
    <x v="4"/>
    <n v="0"/>
    <x v="0"/>
  </r>
  <r>
    <x v="6"/>
    <x v="0"/>
    <x v="1"/>
    <x v="5"/>
    <n v="2"/>
    <x v="0"/>
  </r>
  <r>
    <x v="6"/>
    <x v="0"/>
    <x v="1"/>
    <x v="6"/>
    <n v="1"/>
    <x v="0"/>
  </r>
  <r>
    <x v="6"/>
    <x v="0"/>
    <x v="1"/>
    <x v="7"/>
    <n v="0"/>
    <x v="0"/>
  </r>
  <r>
    <x v="6"/>
    <x v="0"/>
    <x v="1"/>
    <x v="8"/>
    <n v="0"/>
    <x v="0"/>
  </r>
  <r>
    <x v="6"/>
    <x v="0"/>
    <x v="1"/>
    <x v="9"/>
    <n v="0"/>
    <x v="0"/>
  </r>
  <r>
    <x v="6"/>
    <x v="0"/>
    <x v="1"/>
    <x v="10"/>
    <n v="1"/>
    <x v="0"/>
  </r>
  <r>
    <x v="6"/>
    <x v="0"/>
    <x v="1"/>
    <x v="11"/>
    <n v="0"/>
    <x v="0"/>
  </r>
  <r>
    <x v="6"/>
    <x v="0"/>
    <x v="2"/>
    <x v="0"/>
    <n v="0"/>
    <x v="0"/>
  </r>
  <r>
    <x v="6"/>
    <x v="0"/>
    <x v="2"/>
    <x v="1"/>
    <n v="0"/>
    <x v="0"/>
  </r>
  <r>
    <x v="6"/>
    <x v="0"/>
    <x v="2"/>
    <x v="2"/>
    <n v="0"/>
    <x v="0"/>
  </r>
  <r>
    <x v="6"/>
    <x v="0"/>
    <x v="2"/>
    <x v="3"/>
    <n v="0"/>
    <x v="0"/>
  </r>
  <r>
    <x v="6"/>
    <x v="0"/>
    <x v="2"/>
    <x v="4"/>
    <n v="0"/>
    <x v="0"/>
  </r>
  <r>
    <x v="6"/>
    <x v="0"/>
    <x v="2"/>
    <x v="5"/>
    <n v="1"/>
    <x v="0"/>
  </r>
  <r>
    <x v="6"/>
    <x v="0"/>
    <x v="2"/>
    <x v="6"/>
    <n v="1"/>
    <x v="0"/>
  </r>
  <r>
    <x v="6"/>
    <x v="0"/>
    <x v="2"/>
    <x v="7"/>
    <n v="0"/>
    <x v="0"/>
  </r>
  <r>
    <x v="6"/>
    <x v="0"/>
    <x v="2"/>
    <x v="8"/>
    <n v="0"/>
    <x v="0"/>
  </r>
  <r>
    <x v="6"/>
    <x v="0"/>
    <x v="2"/>
    <x v="9"/>
    <n v="0"/>
    <x v="0"/>
  </r>
  <r>
    <x v="6"/>
    <x v="0"/>
    <x v="2"/>
    <x v="10"/>
    <n v="2"/>
    <x v="0"/>
  </r>
  <r>
    <x v="6"/>
    <x v="0"/>
    <x v="2"/>
    <x v="11"/>
    <n v="0"/>
    <x v="0"/>
  </r>
  <r>
    <x v="6"/>
    <x v="0"/>
    <x v="3"/>
    <x v="0"/>
    <n v="1"/>
    <x v="0"/>
  </r>
  <r>
    <x v="6"/>
    <x v="0"/>
    <x v="3"/>
    <x v="1"/>
    <n v="0"/>
    <x v="0"/>
  </r>
  <r>
    <x v="6"/>
    <x v="0"/>
    <x v="3"/>
    <x v="2"/>
    <n v="0"/>
    <x v="0"/>
  </r>
  <r>
    <x v="6"/>
    <x v="0"/>
    <x v="3"/>
    <x v="3"/>
    <n v="0"/>
    <x v="0"/>
  </r>
  <r>
    <x v="6"/>
    <x v="0"/>
    <x v="3"/>
    <x v="4"/>
    <n v="1"/>
    <x v="0"/>
  </r>
  <r>
    <x v="6"/>
    <x v="0"/>
    <x v="3"/>
    <x v="5"/>
    <n v="1"/>
    <x v="0"/>
  </r>
  <r>
    <x v="6"/>
    <x v="0"/>
    <x v="3"/>
    <x v="6"/>
    <n v="0"/>
    <x v="0"/>
  </r>
  <r>
    <x v="6"/>
    <x v="0"/>
    <x v="3"/>
    <x v="7"/>
    <n v="0"/>
    <x v="0"/>
  </r>
  <r>
    <x v="6"/>
    <x v="0"/>
    <x v="3"/>
    <x v="8"/>
    <n v="1"/>
    <x v="0"/>
  </r>
  <r>
    <x v="6"/>
    <x v="0"/>
    <x v="3"/>
    <x v="9"/>
    <n v="0"/>
    <x v="0"/>
  </r>
  <r>
    <x v="6"/>
    <x v="0"/>
    <x v="3"/>
    <x v="10"/>
    <n v="1"/>
    <x v="0"/>
  </r>
  <r>
    <x v="6"/>
    <x v="0"/>
    <x v="3"/>
    <x v="11"/>
    <n v="0"/>
    <x v="0"/>
  </r>
  <r>
    <x v="6"/>
    <x v="0"/>
    <x v="4"/>
    <x v="0"/>
    <n v="2"/>
    <x v="1"/>
  </r>
  <r>
    <x v="6"/>
    <x v="0"/>
    <x v="4"/>
    <x v="1"/>
    <n v="0"/>
    <x v="1"/>
  </r>
  <r>
    <x v="6"/>
    <x v="0"/>
    <x v="4"/>
    <x v="2"/>
    <n v="0"/>
    <x v="1"/>
  </r>
  <r>
    <x v="6"/>
    <x v="0"/>
    <x v="4"/>
    <x v="3"/>
    <n v="0"/>
    <x v="1"/>
  </r>
  <r>
    <x v="6"/>
    <x v="0"/>
    <x v="4"/>
    <x v="4"/>
    <n v="0"/>
    <x v="1"/>
  </r>
  <r>
    <x v="6"/>
    <x v="0"/>
    <x v="4"/>
    <x v="5"/>
    <n v="0"/>
    <x v="1"/>
  </r>
  <r>
    <x v="6"/>
    <x v="0"/>
    <x v="4"/>
    <x v="6"/>
    <n v="0"/>
    <x v="1"/>
  </r>
  <r>
    <x v="6"/>
    <x v="0"/>
    <x v="4"/>
    <x v="7"/>
    <n v="0"/>
    <x v="1"/>
  </r>
  <r>
    <x v="6"/>
    <x v="0"/>
    <x v="4"/>
    <x v="8"/>
    <n v="0"/>
    <x v="1"/>
  </r>
  <r>
    <x v="6"/>
    <x v="0"/>
    <x v="4"/>
    <x v="9"/>
    <n v="0"/>
    <x v="1"/>
  </r>
  <r>
    <x v="6"/>
    <x v="0"/>
    <x v="4"/>
    <x v="10"/>
    <n v="0"/>
    <x v="1"/>
  </r>
  <r>
    <x v="6"/>
    <x v="0"/>
    <x v="4"/>
    <x v="11"/>
    <n v="0"/>
    <x v="1"/>
  </r>
  <r>
    <x v="6"/>
    <x v="0"/>
    <x v="5"/>
    <x v="0"/>
    <n v="2"/>
    <x v="1"/>
  </r>
  <r>
    <x v="6"/>
    <x v="0"/>
    <x v="6"/>
    <x v="0"/>
    <n v="2"/>
    <x v="1"/>
  </r>
  <r>
    <x v="6"/>
    <x v="1"/>
    <x v="0"/>
    <x v="0"/>
    <n v="0"/>
    <x v="0"/>
  </r>
  <r>
    <x v="6"/>
    <x v="1"/>
    <x v="0"/>
    <x v="1"/>
    <n v="0"/>
    <x v="0"/>
  </r>
  <r>
    <x v="6"/>
    <x v="1"/>
    <x v="0"/>
    <x v="2"/>
    <n v="0"/>
    <x v="0"/>
  </r>
  <r>
    <x v="6"/>
    <x v="1"/>
    <x v="0"/>
    <x v="3"/>
    <n v="0"/>
    <x v="0"/>
  </r>
  <r>
    <x v="6"/>
    <x v="1"/>
    <x v="0"/>
    <x v="4"/>
    <n v="0"/>
    <x v="0"/>
  </r>
  <r>
    <x v="6"/>
    <x v="1"/>
    <x v="0"/>
    <x v="5"/>
    <n v="0"/>
    <x v="0"/>
  </r>
  <r>
    <x v="6"/>
    <x v="1"/>
    <x v="0"/>
    <x v="6"/>
    <n v="0"/>
    <x v="0"/>
  </r>
  <r>
    <x v="6"/>
    <x v="1"/>
    <x v="0"/>
    <x v="7"/>
    <n v="0"/>
    <x v="0"/>
  </r>
  <r>
    <x v="6"/>
    <x v="1"/>
    <x v="0"/>
    <x v="8"/>
    <n v="0"/>
    <x v="0"/>
  </r>
  <r>
    <x v="6"/>
    <x v="1"/>
    <x v="0"/>
    <x v="9"/>
    <n v="0"/>
    <x v="0"/>
  </r>
  <r>
    <x v="6"/>
    <x v="1"/>
    <x v="0"/>
    <x v="10"/>
    <n v="0"/>
    <x v="0"/>
  </r>
  <r>
    <x v="6"/>
    <x v="1"/>
    <x v="0"/>
    <x v="11"/>
    <n v="0"/>
    <x v="0"/>
  </r>
  <r>
    <x v="6"/>
    <x v="1"/>
    <x v="1"/>
    <x v="0"/>
    <n v="0"/>
    <x v="0"/>
  </r>
  <r>
    <x v="6"/>
    <x v="1"/>
    <x v="1"/>
    <x v="1"/>
    <n v="0"/>
    <x v="0"/>
  </r>
  <r>
    <x v="6"/>
    <x v="1"/>
    <x v="1"/>
    <x v="2"/>
    <n v="0"/>
    <x v="0"/>
  </r>
  <r>
    <x v="6"/>
    <x v="1"/>
    <x v="1"/>
    <x v="3"/>
    <n v="0"/>
    <x v="0"/>
  </r>
  <r>
    <x v="6"/>
    <x v="1"/>
    <x v="1"/>
    <x v="4"/>
    <n v="0"/>
    <x v="0"/>
  </r>
  <r>
    <x v="6"/>
    <x v="1"/>
    <x v="1"/>
    <x v="5"/>
    <n v="0"/>
    <x v="0"/>
  </r>
  <r>
    <x v="6"/>
    <x v="1"/>
    <x v="1"/>
    <x v="6"/>
    <n v="0"/>
    <x v="0"/>
  </r>
  <r>
    <x v="6"/>
    <x v="1"/>
    <x v="1"/>
    <x v="7"/>
    <n v="0"/>
    <x v="0"/>
  </r>
  <r>
    <x v="6"/>
    <x v="1"/>
    <x v="1"/>
    <x v="8"/>
    <n v="0"/>
    <x v="0"/>
  </r>
  <r>
    <x v="6"/>
    <x v="1"/>
    <x v="1"/>
    <x v="9"/>
    <n v="0"/>
    <x v="0"/>
  </r>
  <r>
    <x v="6"/>
    <x v="1"/>
    <x v="1"/>
    <x v="10"/>
    <n v="0"/>
    <x v="0"/>
  </r>
  <r>
    <x v="6"/>
    <x v="1"/>
    <x v="1"/>
    <x v="11"/>
    <n v="0"/>
    <x v="0"/>
  </r>
  <r>
    <x v="6"/>
    <x v="1"/>
    <x v="2"/>
    <x v="0"/>
    <n v="0"/>
    <x v="0"/>
  </r>
  <r>
    <x v="6"/>
    <x v="1"/>
    <x v="2"/>
    <x v="1"/>
    <n v="0"/>
    <x v="0"/>
  </r>
  <r>
    <x v="6"/>
    <x v="1"/>
    <x v="2"/>
    <x v="2"/>
    <n v="0"/>
    <x v="0"/>
  </r>
  <r>
    <x v="6"/>
    <x v="1"/>
    <x v="2"/>
    <x v="3"/>
    <n v="0"/>
    <x v="0"/>
  </r>
  <r>
    <x v="6"/>
    <x v="1"/>
    <x v="2"/>
    <x v="4"/>
    <n v="0"/>
    <x v="0"/>
  </r>
  <r>
    <x v="6"/>
    <x v="1"/>
    <x v="2"/>
    <x v="5"/>
    <n v="0"/>
    <x v="0"/>
  </r>
  <r>
    <x v="6"/>
    <x v="1"/>
    <x v="2"/>
    <x v="6"/>
    <n v="0"/>
    <x v="0"/>
  </r>
  <r>
    <x v="6"/>
    <x v="1"/>
    <x v="2"/>
    <x v="7"/>
    <n v="0"/>
    <x v="0"/>
  </r>
  <r>
    <x v="6"/>
    <x v="1"/>
    <x v="2"/>
    <x v="8"/>
    <n v="0"/>
    <x v="0"/>
  </r>
  <r>
    <x v="6"/>
    <x v="1"/>
    <x v="2"/>
    <x v="9"/>
    <n v="0"/>
    <x v="0"/>
  </r>
  <r>
    <x v="6"/>
    <x v="1"/>
    <x v="2"/>
    <x v="10"/>
    <n v="0"/>
    <x v="0"/>
  </r>
  <r>
    <x v="6"/>
    <x v="1"/>
    <x v="2"/>
    <x v="11"/>
    <n v="0"/>
    <x v="0"/>
  </r>
  <r>
    <x v="6"/>
    <x v="1"/>
    <x v="3"/>
    <x v="0"/>
    <n v="0"/>
    <x v="0"/>
  </r>
  <r>
    <x v="6"/>
    <x v="1"/>
    <x v="3"/>
    <x v="1"/>
    <n v="0"/>
    <x v="0"/>
  </r>
  <r>
    <x v="6"/>
    <x v="1"/>
    <x v="3"/>
    <x v="2"/>
    <n v="0"/>
    <x v="0"/>
  </r>
  <r>
    <x v="6"/>
    <x v="1"/>
    <x v="3"/>
    <x v="3"/>
    <n v="0"/>
    <x v="0"/>
  </r>
  <r>
    <x v="6"/>
    <x v="1"/>
    <x v="3"/>
    <x v="4"/>
    <n v="0"/>
    <x v="0"/>
  </r>
  <r>
    <x v="6"/>
    <x v="1"/>
    <x v="3"/>
    <x v="5"/>
    <n v="0"/>
    <x v="0"/>
  </r>
  <r>
    <x v="6"/>
    <x v="1"/>
    <x v="3"/>
    <x v="6"/>
    <n v="0"/>
    <x v="0"/>
  </r>
  <r>
    <x v="6"/>
    <x v="1"/>
    <x v="3"/>
    <x v="7"/>
    <n v="0"/>
    <x v="0"/>
  </r>
  <r>
    <x v="6"/>
    <x v="1"/>
    <x v="3"/>
    <x v="8"/>
    <n v="0"/>
    <x v="0"/>
  </r>
  <r>
    <x v="6"/>
    <x v="1"/>
    <x v="3"/>
    <x v="9"/>
    <n v="0"/>
    <x v="0"/>
  </r>
  <r>
    <x v="6"/>
    <x v="1"/>
    <x v="3"/>
    <x v="10"/>
    <n v="0"/>
    <x v="0"/>
  </r>
  <r>
    <x v="6"/>
    <x v="1"/>
    <x v="3"/>
    <x v="11"/>
    <n v="0"/>
    <x v="0"/>
  </r>
  <r>
    <x v="6"/>
    <x v="1"/>
    <x v="4"/>
    <x v="0"/>
    <n v="1"/>
    <x v="1"/>
  </r>
  <r>
    <x v="6"/>
    <x v="1"/>
    <x v="4"/>
    <x v="1"/>
    <n v="0"/>
    <x v="1"/>
  </r>
  <r>
    <x v="6"/>
    <x v="1"/>
    <x v="4"/>
    <x v="2"/>
    <n v="0"/>
    <x v="1"/>
  </r>
  <r>
    <x v="6"/>
    <x v="1"/>
    <x v="4"/>
    <x v="3"/>
    <n v="0"/>
    <x v="1"/>
  </r>
  <r>
    <x v="6"/>
    <x v="1"/>
    <x v="4"/>
    <x v="4"/>
    <n v="0"/>
    <x v="1"/>
  </r>
  <r>
    <x v="6"/>
    <x v="1"/>
    <x v="4"/>
    <x v="5"/>
    <n v="0"/>
    <x v="1"/>
  </r>
  <r>
    <x v="6"/>
    <x v="1"/>
    <x v="4"/>
    <x v="6"/>
    <n v="0"/>
    <x v="1"/>
  </r>
  <r>
    <x v="6"/>
    <x v="1"/>
    <x v="4"/>
    <x v="7"/>
    <n v="0"/>
    <x v="1"/>
  </r>
  <r>
    <x v="6"/>
    <x v="1"/>
    <x v="4"/>
    <x v="8"/>
    <n v="0"/>
    <x v="1"/>
  </r>
  <r>
    <x v="6"/>
    <x v="1"/>
    <x v="4"/>
    <x v="9"/>
    <n v="0"/>
    <x v="1"/>
  </r>
  <r>
    <x v="6"/>
    <x v="1"/>
    <x v="4"/>
    <x v="10"/>
    <n v="0"/>
    <x v="1"/>
  </r>
  <r>
    <x v="6"/>
    <x v="1"/>
    <x v="4"/>
    <x v="11"/>
    <n v="0"/>
    <x v="1"/>
  </r>
  <r>
    <x v="6"/>
    <x v="1"/>
    <x v="5"/>
    <x v="0"/>
    <n v="1"/>
    <x v="1"/>
  </r>
  <r>
    <x v="6"/>
    <x v="1"/>
    <x v="6"/>
    <x v="0"/>
    <n v="1"/>
    <x v="1"/>
  </r>
  <r>
    <x v="6"/>
    <x v="2"/>
    <x v="0"/>
    <x v="0"/>
    <n v="1"/>
    <x v="0"/>
  </r>
  <r>
    <x v="6"/>
    <x v="2"/>
    <x v="0"/>
    <x v="1"/>
    <n v="0"/>
    <x v="0"/>
  </r>
  <r>
    <x v="6"/>
    <x v="2"/>
    <x v="0"/>
    <x v="2"/>
    <n v="0"/>
    <x v="0"/>
  </r>
  <r>
    <x v="6"/>
    <x v="2"/>
    <x v="0"/>
    <x v="3"/>
    <n v="0"/>
    <x v="0"/>
  </r>
  <r>
    <x v="6"/>
    <x v="2"/>
    <x v="0"/>
    <x v="4"/>
    <n v="0"/>
    <x v="0"/>
  </r>
  <r>
    <x v="6"/>
    <x v="2"/>
    <x v="0"/>
    <x v="5"/>
    <n v="0"/>
    <x v="0"/>
  </r>
  <r>
    <x v="6"/>
    <x v="2"/>
    <x v="0"/>
    <x v="6"/>
    <n v="0"/>
    <x v="0"/>
  </r>
  <r>
    <x v="6"/>
    <x v="2"/>
    <x v="0"/>
    <x v="7"/>
    <n v="0"/>
    <x v="0"/>
  </r>
  <r>
    <x v="6"/>
    <x v="2"/>
    <x v="0"/>
    <x v="8"/>
    <n v="0"/>
    <x v="0"/>
  </r>
  <r>
    <x v="6"/>
    <x v="2"/>
    <x v="0"/>
    <x v="9"/>
    <n v="0"/>
    <x v="0"/>
  </r>
  <r>
    <x v="6"/>
    <x v="2"/>
    <x v="0"/>
    <x v="10"/>
    <n v="0"/>
    <x v="0"/>
  </r>
  <r>
    <x v="6"/>
    <x v="2"/>
    <x v="0"/>
    <x v="11"/>
    <n v="0"/>
    <x v="0"/>
  </r>
  <r>
    <x v="6"/>
    <x v="2"/>
    <x v="1"/>
    <x v="0"/>
    <n v="1"/>
    <x v="0"/>
  </r>
  <r>
    <x v="6"/>
    <x v="2"/>
    <x v="1"/>
    <x v="1"/>
    <n v="0"/>
    <x v="0"/>
  </r>
  <r>
    <x v="6"/>
    <x v="2"/>
    <x v="1"/>
    <x v="2"/>
    <n v="0"/>
    <x v="0"/>
  </r>
  <r>
    <x v="6"/>
    <x v="2"/>
    <x v="1"/>
    <x v="3"/>
    <n v="0"/>
    <x v="0"/>
  </r>
  <r>
    <x v="6"/>
    <x v="2"/>
    <x v="1"/>
    <x v="4"/>
    <n v="0"/>
    <x v="0"/>
  </r>
  <r>
    <x v="6"/>
    <x v="2"/>
    <x v="1"/>
    <x v="5"/>
    <n v="0"/>
    <x v="0"/>
  </r>
  <r>
    <x v="6"/>
    <x v="2"/>
    <x v="1"/>
    <x v="6"/>
    <n v="0"/>
    <x v="0"/>
  </r>
  <r>
    <x v="6"/>
    <x v="2"/>
    <x v="1"/>
    <x v="7"/>
    <n v="0"/>
    <x v="0"/>
  </r>
  <r>
    <x v="6"/>
    <x v="2"/>
    <x v="1"/>
    <x v="8"/>
    <n v="0"/>
    <x v="0"/>
  </r>
  <r>
    <x v="6"/>
    <x v="2"/>
    <x v="1"/>
    <x v="9"/>
    <n v="0"/>
    <x v="0"/>
  </r>
  <r>
    <x v="6"/>
    <x v="2"/>
    <x v="1"/>
    <x v="10"/>
    <n v="0"/>
    <x v="0"/>
  </r>
  <r>
    <x v="6"/>
    <x v="2"/>
    <x v="1"/>
    <x v="11"/>
    <n v="0"/>
    <x v="0"/>
  </r>
  <r>
    <x v="6"/>
    <x v="2"/>
    <x v="2"/>
    <x v="0"/>
    <n v="1"/>
    <x v="0"/>
  </r>
  <r>
    <x v="6"/>
    <x v="2"/>
    <x v="2"/>
    <x v="1"/>
    <n v="0"/>
    <x v="0"/>
  </r>
  <r>
    <x v="6"/>
    <x v="2"/>
    <x v="2"/>
    <x v="2"/>
    <n v="0"/>
    <x v="0"/>
  </r>
  <r>
    <x v="6"/>
    <x v="2"/>
    <x v="2"/>
    <x v="3"/>
    <n v="0"/>
    <x v="0"/>
  </r>
  <r>
    <x v="6"/>
    <x v="2"/>
    <x v="2"/>
    <x v="4"/>
    <n v="0"/>
    <x v="0"/>
  </r>
  <r>
    <x v="6"/>
    <x v="2"/>
    <x v="2"/>
    <x v="5"/>
    <n v="0"/>
    <x v="0"/>
  </r>
  <r>
    <x v="6"/>
    <x v="2"/>
    <x v="2"/>
    <x v="6"/>
    <n v="0"/>
    <x v="0"/>
  </r>
  <r>
    <x v="6"/>
    <x v="2"/>
    <x v="2"/>
    <x v="7"/>
    <n v="0"/>
    <x v="0"/>
  </r>
  <r>
    <x v="6"/>
    <x v="2"/>
    <x v="2"/>
    <x v="8"/>
    <n v="0"/>
    <x v="0"/>
  </r>
  <r>
    <x v="6"/>
    <x v="2"/>
    <x v="2"/>
    <x v="9"/>
    <n v="0"/>
    <x v="0"/>
  </r>
  <r>
    <x v="6"/>
    <x v="2"/>
    <x v="2"/>
    <x v="10"/>
    <n v="0"/>
    <x v="0"/>
  </r>
  <r>
    <x v="6"/>
    <x v="2"/>
    <x v="2"/>
    <x v="11"/>
    <n v="0"/>
    <x v="0"/>
  </r>
  <r>
    <x v="6"/>
    <x v="2"/>
    <x v="3"/>
    <x v="0"/>
    <n v="1"/>
    <x v="0"/>
  </r>
  <r>
    <x v="6"/>
    <x v="2"/>
    <x v="3"/>
    <x v="1"/>
    <n v="0"/>
    <x v="0"/>
  </r>
  <r>
    <x v="6"/>
    <x v="2"/>
    <x v="3"/>
    <x v="2"/>
    <n v="0"/>
    <x v="0"/>
  </r>
  <r>
    <x v="6"/>
    <x v="2"/>
    <x v="3"/>
    <x v="3"/>
    <n v="0"/>
    <x v="0"/>
  </r>
  <r>
    <x v="6"/>
    <x v="2"/>
    <x v="3"/>
    <x v="4"/>
    <n v="0"/>
    <x v="0"/>
  </r>
  <r>
    <x v="6"/>
    <x v="2"/>
    <x v="3"/>
    <x v="5"/>
    <n v="0"/>
    <x v="0"/>
  </r>
  <r>
    <x v="6"/>
    <x v="2"/>
    <x v="3"/>
    <x v="6"/>
    <n v="0"/>
    <x v="0"/>
  </r>
  <r>
    <x v="6"/>
    <x v="2"/>
    <x v="3"/>
    <x v="7"/>
    <n v="0"/>
    <x v="0"/>
  </r>
  <r>
    <x v="6"/>
    <x v="2"/>
    <x v="3"/>
    <x v="8"/>
    <n v="0"/>
    <x v="0"/>
  </r>
  <r>
    <x v="6"/>
    <x v="2"/>
    <x v="3"/>
    <x v="9"/>
    <n v="0"/>
    <x v="0"/>
  </r>
  <r>
    <x v="6"/>
    <x v="2"/>
    <x v="3"/>
    <x v="10"/>
    <n v="0"/>
    <x v="0"/>
  </r>
  <r>
    <x v="6"/>
    <x v="2"/>
    <x v="3"/>
    <x v="11"/>
    <n v="0"/>
    <x v="0"/>
  </r>
  <r>
    <x v="6"/>
    <x v="2"/>
    <x v="4"/>
    <x v="0"/>
    <n v="0"/>
    <x v="1"/>
  </r>
  <r>
    <x v="6"/>
    <x v="2"/>
    <x v="4"/>
    <x v="1"/>
    <n v="0"/>
    <x v="1"/>
  </r>
  <r>
    <x v="6"/>
    <x v="2"/>
    <x v="4"/>
    <x v="2"/>
    <n v="0"/>
    <x v="1"/>
  </r>
  <r>
    <x v="6"/>
    <x v="2"/>
    <x v="4"/>
    <x v="3"/>
    <n v="0"/>
    <x v="1"/>
  </r>
  <r>
    <x v="6"/>
    <x v="2"/>
    <x v="4"/>
    <x v="4"/>
    <n v="0"/>
    <x v="1"/>
  </r>
  <r>
    <x v="6"/>
    <x v="2"/>
    <x v="4"/>
    <x v="5"/>
    <n v="0"/>
    <x v="1"/>
  </r>
  <r>
    <x v="6"/>
    <x v="2"/>
    <x v="4"/>
    <x v="6"/>
    <n v="0"/>
    <x v="1"/>
  </r>
  <r>
    <x v="6"/>
    <x v="2"/>
    <x v="4"/>
    <x v="7"/>
    <n v="0"/>
    <x v="1"/>
  </r>
  <r>
    <x v="6"/>
    <x v="2"/>
    <x v="4"/>
    <x v="8"/>
    <n v="0"/>
    <x v="1"/>
  </r>
  <r>
    <x v="6"/>
    <x v="2"/>
    <x v="4"/>
    <x v="9"/>
    <n v="0"/>
    <x v="1"/>
  </r>
  <r>
    <x v="6"/>
    <x v="2"/>
    <x v="4"/>
    <x v="10"/>
    <n v="0"/>
    <x v="1"/>
  </r>
  <r>
    <x v="6"/>
    <x v="2"/>
    <x v="4"/>
    <x v="11"/>
    <n v="0"/>
    <x v="1"/>
  </r>
  <r>
    <x v="6"/>
    <x v="2"/>
    <x v="5"/>
    <x v="0"/>
    <n v="0"/>
    <x v="1"/>
  </r>
  <r>
    <x v="6"/>
    <x v="2"/>
    <x v="6"/>
    <x v="0"/>
    <n v="0"/>
    <x v="1"/>
  </r>
  <r>
    <x v="6"/>
    <x v="3"/>
    <x v="0"/>
    <x v="0"/>
    <n v="1"/>
    <x v="0"/>
  </r>
  <r>
    <x v="6"/>
    <x v="3"/>
    <x v="0"/>
    <x v="1"/>
    <n v="0"/>
    <x v="0"/>
  </r>
  <r>
    <x v="6"/>
    <x v="3"/>
    <x v="0"/>
    <x v="2"/>
    <n v="0"/>
    <x v="0"/>
  </r>
  <r>
    <x v="6"/>
    <x v="3"/>
    <x v="0"/>
    <x v="3"/>
    <n v="0"/>
    <x v="0"/>
  </r>
  <r>
    <x v="6"/>
    <x v="3"/>
    <x v="0"/>
    <x v="4"/>
    <n v="0"/>
    <x v="0"/>
  </r>
  <r>
    <x v="6"/>
    <x v="3"/>
    <x v="0"/>
    <x v="5"/>
    <n v="0"/>
    <x v="0"/>
  </r>
  <r>
    <x v="6"/>
    <x v="3"/>
    <x v="0"/>
    <x v="6"/>
    <n v="0"/>
    <x v="0"/>
  </r>
  <r>
    <x v="6"/>
    <x v="3"/>
    <x v="0"/>
    <x v="7"/>
    <n v="0"/>
    <x v="0"/>
  </r>
  <r>
    <x v="6"/>
    <x v="3"/>
    <x v="0"/>
    <x v="8"/>
    <n v="0"/>
    <x v="0"/>
  </r>
  <r>
    <x v="6"/>
    <x v="3"/>
    <x v="0"/>
    <x v="9"/>
    <n v="0"/>
    <x v="0"/>
  </r>
  <r>
    <x v="6"/>
    <x v="3"/>
    <x v="0"/>
    <x v="10"/>
    <n v="0"/>
    <x v="0"/>
  </r>
  <r>
    <x v="6"/>
    <x v="3"/>
    <x v="0"/>
    <x v="11"/>
    <n v="0"/>
    <x v="0"/>
  </r>
  <r>
    <x v="6"/>
    <x v="3"/>
    <x v="1"/>
    <x v="0"/>
    <n v="1"/>
    <x v="0"/>
  </r>
  <r>
    <x v="6"/>
    <x v="3"/>
    <x v="1"/>
    <x v="1"/>
    <n v="0"/>
    <x v="0"/>
  </r>
  <r>
    <x v="6"/>
    <x v="3"/>
    <x v="1"/>
    <x v="2"/>
    <n v="0"/>
    <x v="0"/>
  </r>
  <r>
    <x v="6"/>
    <x v="3"/>
    <x v="1"/>
    <x v="3"/>
    <n v="0"/>
    <x v="0"/>
  </r>
  <r>
    <x v="6"/>
    <x v="3"/>
    <x v="1"/>
    <x v="4"/>
    <n v="0"/>
    <x v="0"/>
  </r>
  <r>
    <x v="6"/>
    <x v="3"/>
    <x v="1"/>
    <x v="5"/>
    <n v="0"/>
    <x v="0"/>
  </r>
  <r>
    <x v="6"/>
    <x v="3"/>
    <x v="1"/>
    <x v="6"/>
    <n v="0"/>
    <x v="0"/>
  </r>
  <r>
    <x v="6"/>
    <x v="3"/>
    <x v="1"/>
    <x v="7"/>
    <n v="0"/>
    <x v="0"/>
  </r>
  <r>
    <x v="6"/>
    <x v="3"/>
    <x v="1"/>
    <x v="8"/>
    <n v="0"/>
    <x v="0"/>
  </r>
  <r>
    <x v="6"/>
    <x v="3"/>
    <x v="1"/>
    <x v="9"/>
    <n v="0"/>
    <x v="0"/>
  </r>
  <r>
    <x v="6"/>
    <x v="3"/>
    <x v="1"/>
    <x v="10"/>
    <n v="0"/>
    <x v="0"/>
  </r>
  <r>
    <x v="6"/>
    <x v="3"/>
    <x v="1"/>
    <x v="11"/>
    <n v="0"/>
    <x v="0"/>
  </r>
  <r>
    <x v="6"/>
    <x v="3"/>
    <x v="2"/>
    <x v="0"/>
    <n v="1"/>
    <x v="0"/>
  </r>
  <r>
    <x v="6"/>
    <x v="3"/>
    <x v="2"/>
    <x v="1"/>
    <n v="0"/>
    <x v="0"/>
  </r>
  <r>
    <x v="6"/>
    <x v="3"/>
    <x v="2"/>
    <x v="2"/>
    <n v="0"/>
    <x v="0"/>
  </r>
  <r>
    <x v="6"/>
    <x v="3"/>
    <x v="2"/>
    <x v="3"/>
    <n v="0"/>
    <x v="0"/>
  </r>
  <r>
    <x v="6"/>
    <x v="3"/>
    <x v="2"/>
    <x v="4"/>
    <n v="0"/>
    <x v="0"/>
  </r>
  <r>
    <x v="6"/>
    <x v="3"/>
    <x v="2"/>
    <x v="5"/>
    <n v="0"/>
    <x v="0"/>
  </r>
  <r>
    <x v="6"/>
    <x v="3"/>
    <x v="2"/>
    <x v="6"/>
    <n v="0"/>
    <x v="0"/>
  </r>
  <r>
    <x v="6"/>
    <x v="3"/>
    <x v="2"/>
    <x v="7"/>
    <n v="0"/>
    <x v="0"/>
  </r>
  <r>
    <x v="6"/>
    <x v="3"/>
    <x v="2"/>
    <x v="8"/>
    <n v="0"/>
    <x v="0"/>
  </r>
  <r>
    <x v="6"/>
    <x v="3"/>
    <x v="2"/>
    <x v="9"/>
    <n v="0"/>
    <x v="0"/>
  </r>
  <r>
    <x v="6"/>
    <x v="3"/>
    <x v="2"/>
    <x v="10"/>
    <n v="0"/>
    <x v="0"/>
  </r>
  <r>
    <x v="6"/>
    <x v="3"/>
    <x v="2"/>
    <x v="11"/>
    <n v="0"/>
    <x v="0"/>
  </r>
  <r>
    <x v="6"/>
    <x v="3"/>
    <x v="3"/>
    <x v="0"/>
    <n v="1"/>
    <x v="0"/>
  </r>
  <r>
    <x v="6"/>
    <x v="3"/>
    <x v="3"/>
    <x v="1"/>
    <n v="0"/>
    <x v="0"/>
  </r>
  <r>
    <x v="6"/>
    <x v="3"/>
    <x v="3"/>
    <x v="2"/>
    <n v="0"/>
    <x v="0"/>
  </r>
  <r>
    <x v="6"/>
    <x v="3"/>
    <x v="3"/>
    <x v="3"/>
    <n v="0"/>
    <x v="0"/>
  </r>
  <r>
    <x v="6"/>
    <x v="3"/>
    <x v="3"/>
    <x v="4"/>
    <n v="0"/>
    <x v="0"/>
  </r>
  <r>
    <x v="6"/>
    <x v="3"/>
    <x v="3"/>
    <x v="5"/>
    <n v="0"/>
    <x v="0"/>
  </r>
  <r>
    <x v="6"/>
    <x v="3"/>
    <x v="3"/>
    <x v="6"/>
    <n v="0"/>
    <x v="0"/>
  </r>
  <r>
    <x v="6"/>
    <x v="3"/>
    <x v="3"/>
    <x v="7"/>
    <n v="0"/>
    <x v="0"/>
  </r>
  <r>
    <x v="6"/>
    <x v="3"/>
    <x v="3"/>
    <x v="8"/>
    <n v="0"/>
    <x v="0"/>
  </r>
  <r>
    <x v="6"/>
    <x v="3"/>
    <x v="3"/>
    <x v="9"/>
    <n v="0"/>
    <x v="0"/>
  </r>
  <r>
    <x v="6"/>
    <x v="3"/>
    <x v="3"/>
    <x v="10"/>
    <n v="0"/>
    <x v="0"/>
  </r>
  <r>
    <x v="6"/>
    <x v="3"/>
    <x v="3"/>
    <x v="11"/>
    <n v="0"/>
    <x v="0"/>
  </r>
  <r>
    <x v="6"/>
    <x v="3"/>
    <x v="4"/>
    <x v="0"/>
    <n v="0"/>
    <x v="1"/>
  </r>
  <r>
    <x v="6"/>
    <x v="3"/>
    <x v="4"/>
    <x v="1"/>
    <n v="0"/>
    <x v="1"/>
  </r>
  <r>
    <x v="6"/>
    <x v="3"/>
    <x v="4"/>
    <x v="2"/>
    <n v="0"/>
    <x v="1"/>
  </r>
  <r>
    <x v="6"/>
    <x v="3"/>
    <x v="4"/>
    <x v="3"/>
    <n v="0"/>
    <x v="1"/>
  </r>
  <r>
    <x v="6"/>
    <x v="3"/>
    <x v="4"/>
    <x v="4"/>
    <n v="0"/>
    <x v="1"/>
  </r>
  <r>
    <x v="6"/>
    <x v="3"/>
    <x v="4"/>
    <x v="5"/>
    <n v="0"/>
    <x v="1"/>
  </r>
  <r>
    <x v="6"/>
    <x v="3"/>
    <x v="4"/>
    <x v="6"/>
    <n v="0"/>
    <x v="1"/>
  </r>
  <r>
    <x v="6"/>
    <x v="3"/>
    <x v="4"/>
    <x v="7"/>
    <n v="0"/>
    <x v="1"/>
  </r>
  <r>
    <x v="6"/>
    <x v="3"/>
    <x v="4"/>
    <x v="8"/>
    <n v="0"/>
    <x v="1"/>
  </r>
  <r>
    <x v="6"/>
    <x v="3"/>
    <x v="4"/>
    <x v="9"/>
    <n v="0"/>
    <x v="1"/>
  </r>
  <r>
    <x v="6"/>
    <x v="3"/>
    <x v="4"/>
    <x v="10"/>
    <n v="0"/>
    <x v="1"/>
  </r>
  <r>
    <x v="6"/>
    <x v="3"/>
    <x v="4"/>
    <x v="11"/>
    <n v="0"/>
    <x v="1"/>
  </r>
  <r>
    <x v="6"/>
    <x v="3"/>
    <x v="5"/>
    <x v="0"/>
    <n v="0"/>
    <x v="1"/>
  </r>
  <r>
    <x v="6"/>
    <x v="3"/>
    <x v="6"/>
    <x v="0"/>
    <n v="0"/>
    <x v="1"/>
  </r>
  <r>
    <x v="6"/>
    <x v="4"/>
    <x v="0"/>
    <x v="0"/>
    <n v="0"/>
    <x v="0"/>
  </r>
  <r>
    <x v="6"/>
    <x v="4"/>
    <x v="0"/>
    <x v="1"/>
    <n v="0"/>
    <x v="0"/>
  </r>
  <r>
    <x v="6"/>
    <x v="4"/>
    <x v="0"/>
    <x v="2"/>
    <n v="0"/>
    <x v="0"/>
  </r>
  <r>
    <x v="6"/>
    <x v="4"/>
    <x v="0"/>
    <x v="3"/>
    <n v="0"/>
    <x v="0"/>
  </r>
  <r>
    <x v="6"/>
    <x v="4"/>
    <x v="0"/>
    <x v="4"/>
    <n v="0"/>
    <x v="0"/>
  </r>
  <r>
    <x v="6"/>
    <x v="4"/>
    <x v="0"/>
    <x v="5"/>
    <n v="0"/>
    <x v="0"/>
  </r>
  <r>
    <x v="6"/>
    <x v="4"/>
    <x v="0"/>
    <x v="6"/>
    <n v="0"/>
    <x v="0"/>
  </r>
  <r>
    <x v="6"/>
    <x v="4"/>
    <x v="0"/>
    <x v="7"/>
    <n v="0"/>
    <x v="0"/>
  </r>
  <r>
    <x v="6"/>
    <x v="4"/>
    <x v="0"/>
    <x v="8"/>
    <n v="0"/>
    <x v="0"/>
  </r>
  <r>
    <x v="6"/>
    <x v="4"/>
    <x v="0"/>
    <x v="9"/>
    <n v="0"/>
    <x v="0"/>
  </r>
  <r>
    <x v="6"/>
    <x v="4"/>
    <x v="0"/>
    <x v="10"/>
    <n v="0"/>
    <x v="0"/>
  </r>
  <r>
    <x v="6"/>
    <x v="4"/>
    <x v="0"/>
    <x v="11"/>
    <n v="0"/>
    <x v="0"/>
  </r>
  <r>
    <x v="6"/>
    <x v="4"/>
    <x v="1"/>
    <x v="0"/>
    <n v="0"/>
    <x v="0"/>
  </r>
  <r>
    <x v="6"/>
    <x v="4"/>
    <x v="1"/>
    <x v="1"/>
    <n v="0"/>
    <x v="0"/>
  </r>
  <r>
    <x v="6"/>
    <x v="4"/>
    <x v="1"/>
    <x v="2"/>
    <n v="0"/>
    <x v="0"/>
  </r>
  <r>
    <x v="6"/>
    <x v="4"/>
    <x v="1"/>
    <x v="3"/>
    <n v="0"/>
    <x v="0"/>
  </r>
  <r>
    <x v="6"/>
    <x v="4"/>
    <x v="1"/>
    <x v="4"/>
    <n v="0"/>
    <x v="0"/>
  </r>
  <r>
    <x v="6"/>
    <x v="4"/>
    <x v="1"/>
    <x v="5"/>
    <n v="0"/>
    <x v="0"/>
  </r>
  <r>
    <x v="6"/>
    <x v="4"/>
    <x v="1"/>
    <x v="6"/>
    <n v="0"/>
    <x v="0"/>
  </r>
  <r>
    <x v="6"/>
    <x v="4"/>
    <x v="1"/>
    <x v="7"/>
    <n v="0"/>
    <x v="0"/>
  </r>
  <r>
    <x v="6"/>
    <x v="4"/>
    <x v="1"/>
    <x v="8"/>
    <n v="0"/>
    <x v="0"/>
  </r>
  <r>
    <x v="6"/>
    <x v="4"/>
    <x v="1"/>
    <x v="9"/>
    <n v="0"/>
    <x v="0"/>
  </r>
  <r>
    <x v="6"/>
    <x v="4"/>
    <x v="1"/>
    <x v="10"/>
    <n v="0"/>
    <x v="0"/>
  </r>
  <r>
    <x v="6"/>
    <x v="4"/>
    <x v="1"/>
    <x v="11"/>
    <n v="0"/>
    <x v="0"/>
  </r>
  <r>
    <x v="6"/>
    <x v="4"/>
    <x v="2"/>
    <x v="0"/>
    <n v="0"/>
    <x v="0"/>
  </r>
  <r>
    <x v="6"/>
    <x v="4"/>
    <x v="2"/>
    <x v="1"/>
    <n v="0"/>
    <x v="0"/>
  </r>
  <r>
    <x v="6"/>
    <x v="4"/>
    <x v="2"/>
    <x v="2"/>
    <n v="0"/>
    <x v="0"/>
  </r>
  <r>
    <x v="6"/>
    <x v="4"/>
    <x v="2"/>
    <x v="3"/>
    <n v="0"/>
    <x v="0"/>
  </r>
  <r>
    <x v="6"/>
    <x v="4"/>
    <x v="2"/>
    <x v="4"/>
    <n v="0"/>
    <x v="0"/>
  </r>
  <r>
    <x v="6"/>
    <x v="4"/>
    <x v="2"/>
    <x v="5"/>
    <n v="0"/>
    <x v="0"/>
  </r>
  <r>
    <x v="6"/>
    <x v="4"/>
    <x v="2"/>
    <x v="6"/>
    <n v="0"/>
    <x v="0"/>
  </r>
  <r>
    <x v="6"/>
    <x v="4"/>
    <x v="2"/>
    <x v="7"/>
    <n v="0"/>
    <x v="0"/>
  </r>
  <r>
    <x v="6"/>
    <x v="4"/>
    <x v="2"/>
    <x v="8"/>
    <n v="0"/>
    <x v="0"/>
  </r>
  <r>
    <x v="6"/>
    <x v="4"/>
    <x v="2"/>
    <x v="9"/>
    <n v="0"/>
    <x v="0"/>
  </r>
  <r>
    <x v="6"/>
    <x v="4"/>
    <x v="2"/>
    <x v="10"/>
    <n v="0"/>
    <x v="0"/>
  </r>
  <r>
    <x v="6"/>
    <x v="4"/>
    <x v="2"/>
    <x v="11"/>
    <n v="0"/>
    <x v="0"/>
  </r>
  <r>
    <x v="6"/>
    <x v="4"/>
    <x v="3"/>
    <x v="0"/>
    <n v="0"/>
    <x v="0"/>
  </r>
  <r>
    <x v="6"/>
    <x v="4"/>
    <x v="3"/>
    <x v="1"/>
    <n v="0"/>
    <x v="0"/>
  </r>
  <r>
    <x v="6"/>
    <x v="4"/>
    <x v="3"/>
    <x v="2"/>
    <n v="0"/>
    <x v="0"/>
  </r>
  <r>
    <x v="6"/>
    <x v="4"/>
    <x v="3"/>
    <x v="3"/>
    <n v="0"/>
    <x v="0"/>
  </r>
  <r>
    <x v="6"/>
    <x v="4"/>
    <x v="3"/>
    <x v="4"/>
    <n v="0"/>
    <x v="0"/>
  </r>
  <r>
    <x v="6"/>
    <x v="4"/>
    <x v="3"/>
    <x v="5"/>
    <n v="0"/>
    <x v="0"/>
  </r>
  <r>
    <x v="6"/>
    <x v="4"/>
    <x v="3"/>
    <x v="6"/>
    <n v="0"/>
    <x v="0"/>
  </r>
  <r>
    <x v="6"/>
    <x v="4"/>
    <x v="3"/>
    <x v="7"/>
    <n v="0"/>
    <x v="0"/>
  </r>
  <r>
    <x v="6"/>
    <x v="4"/>
    <x v="3"/>
    <x v="8"/>
    <n v="0"/>
    <x v="0"/>
  </r>
  <r>
    <x v="6"/>
    <x v="4"/>
    <x v="3"/>
    <x v="9"/>
    <n v="0"/>
    <x v="0"/>
  </r>
  <r>
    <x v="6"/>
    <x v="4"/>
    <x v="3"/>
    <x v="10"/>
    <n v="0"/>
    <x v="0"/>
  </r>
  <r>
    <x v="6"/>
    <x v="4"/>
    <x v="3"/>
    <x v="11"/>
    <n v="0"/>
    <x v="0"/>
  </r>
  <r>
    <x v="6"/>
    <x v="4"/>
    <x v="4"/>
    <x v="0"/>
    <n v="1"/>
    <x v="1"/>
  </r>
  <r>
    <x v="6"/>
    <x v="4"/>
    <x v="4"/>
    <x v="1"/>
    <n v="0"/>
    <x v="1"/>
  </r>
  <r>
    <x v="6"/>
    <x v="4"/>
    <x v="4"/>
    <x v="2"/>
    <n v="0"/>
    <x v="1"/>
  </r>
  <r>
    <x v="6"/>
    <x v="4"/>
    <x v="4"/>
    <x v="3"/>
    <n v="0"/>
    <x v="1"/>
  </r>
  <r>
    <x v="6"/>
    <x v="4"/>
    <x v="4"/>
    <x v="4"/>
    <n v="0"/>
    <x v="1"/>
  </r>
  <r>
    <x v="6"/>
    <x v="4"/>
    <x v="4"/>
    <x v="5"/>
    <n v="0"/>
    <x v="1"/>
  </r>
  <r>
    <x v="6"/>
    <x v="4"/>
    <x v="4"/>
    <x v="6"/>
    <n v="0"/>
    <x v="1"/>
  </r>
  <r>
    <x v="6"/>
    <x v="4"/>
    <x v="4"/>
    <x v="7"/>
    <n v="0"/>
    <x v="1"/>
  </r>
  <r>
    <x v="6"/>
    <x v="4"/>
    <x v="4"/>
    <x v="8"/>
    <n v="0"/>
    <x v="1"/>
  </r>
  <r>
    <x v="6"/>
    <x v="4"/>
    <x v="4"/>
    <x v="9"/>
    <n v="0"/>
    <x v="1"/>
  </r>
  <r>
    <x v="6"/>
    <x v="4"/>
    <x v="4"/>
    <x v="10"/>
    <n v="0"/>
    <x v="1"/>
  </r>
  <r>
    <x v="6"/>
    <x v="4"/>
    <x v="4"/>
    <x v="11"/>
    <n v="0"/>
    <x v="1"/>
  </r>
  <r>
    <x v="6"/>
    <x v="4"/>
    <x v="5"/>
    <x v="0"/>
    <n v="1"/>
    <x v="1"/>
  </r>
  <r>
    <x v="6"/>
    <x v="4"/>
    <x v="6"/>
    <x v="0"/>
    <n v="1"/>
    <x v="1"/>
  </r>
  <r>
    <x v="6"/>
    <x v="5"/>
    <x v="0"/>
    <x v="0"/>
    <n v="1"/>
    <x v="0"/>
  </r>
  <r>
    <x v="6"/>
    <x v="5"/>
    <x v="0"/>
    <x v="1"/>
    <n v="0"/>
    <x v="0"/>
  </r>
  <r>
    <x v="6"/>
    <x v="5"/>
    <x v="0"/>
    <x v="2"/>
    <n v="0"/>
    <x v="0"/>
  </r>
  <r>
    <x v="6"/>
    <x v="5"/>
    <x v="0"/>
    <x v="3"/>
    <n v="0"/>
    <x v="0"/>
  </r>
  <r>
    <x v="6"/>
    <x v="5"/>
    <x v="0"/>
    <x v="4"/>
    <n v="0"/>
    <x v="0"/>
  </r>
  <r>
    <x v="6"/>
    <x v="5"/>
    <x v="0"/>
    <x v="5"/>
    <n v="0"/>
    <x v="0"/>
  </r>
  <r>
    <x v="6"/>
    <x v="5"/>
    <x v="0"/>
    <x v="6"/>
    <n v="0"/>
    <x v="0"/>
  </r>
  <r>
    <x v="6"/>
    <x v="5"/>
    <x v="0"/>
    <x v="7"/>
    <n v="0"/>
    <x v="0"/>
  </r>
  <r>
    <x v="6"/>
    <x v="5"/>
    <x v="0"/>
    <x v="8"/>
    <n v="0"/>
    <x v="0"/>
  </r>
  <r>
    <x v="6"/>
    <x v="5"/>
    <x v="0"/>
    <x v="9"/>
    <n v="0"/>
    <x v="0"/>
  </r>
  <r>
    <x v="6"/>
    <x v="5"/>
    <x v="0"/>
    <x v="10"/>
    <n v="0"/>
    <x v="0"/>
  </r>
  <r>
    <x v="6"/>
    <x v="5"/>
    <x v="0"/>
    <x v="11"/>
    <n v="0"/>
    <x v="0"/>
  </r>
  <r>
    <x v="6"/>
    <x v="5"/>
    <x v="1"/>
    <x v="0"/>
    <n v="1"/>
    <x v="0"/>
  </r>
  <r>
    <x v="6"/>
    <x v="5"/>
    <x v="1"/>
    <x v="1"/>
    <n v="0"/>
    <x v="0"/>
  </r>
  <r>
    <x v="6"/>
    <x v="5"/>
    <x v="1"/>
    <x v="2"/>
    <n v="0"/>
    <x v="0"/>
  </r>
  <r>
    <x v="6"/>
    <x v="5"/>
    <x v="1"/>
    <x v="3"/>
    <n v="0"/>
    <x v="0"/>
  </r>
  <r>
    <x v="6"/>
    <x v="5"/>
    <x v="1"/>
    <x v="4"/>
    <n v="0"/>
    <x v="0"/>
  </r>
  <r>
    <x v="6"/>
    <x v="5"/>
    <x v="1"/>
    <x v="5"/>
    <n v="0"/>
    <x v="0"/>
  </r>
  <r>
    <x v="6"/>
    <x v="5"/>
    <x v="1"/>
    <x v="6"/>
    <n v="0"/>
    <x v="0"/>
  </r>
  <r>
    <x v="6"/>
    <x v="5"/>
    <x v="1"/>
    <x v="7"/>
    <n v="0"/>
    <x v="0"/>
  </r>
  <r>
    <x v="6"/>
    <x v="5"/>
    <x v="1"/>
    <x v="8"/>
    <n v="0"/>
    <x v="0"/>
  </r>
  <r>
    <x v="6"/>
    <x v="5"/>
    <x v="1"/>
    <x v="9"/>
    <n v="0"/>
    <x v="0"/>
  </r>
  <r>
    <x v="6"/>
    <x v="5"/>
    <x v="1"/>
    <x v="10"/>
    <n v="0"/>
    <x v="0"/>
  </r>
  <r>
    <x v="6"/>
    <x v="5"/>
    <x v="1"/>
    <x v="11"/>
    <n v="0"/>
    <x v="0"/>
  </r>
  <r>
    <x v="6"/>
    <x v="5"/>
    <x v="2"/>
    <x v="0"/>
    <n v="1"/>
    <x v="0"/>
  </r>
  <r>
    <x v="6"/>
    <x v="5"/>
    <x v="2"/>
    <x v="1"/>
    <n v="0"/>
    <x v="0"/>
  </r>
  <r>
    <x v="6"/>
    <x v="5"/>
    <x v="2"/>
    <x v="2"/>
    <n v="0"/>
    <x v="0"/>
  </r>
  <r>
    <x v="6"/>
    <x v="5"/>
    <x v="2"/>
    <x v="3"/>
    <n v="0"/>
    <x v="0"/>
  </r>
  <r>
    <x v="6"/>
    <x v="5"/>
    <x v="2"/>
    <x v="4"/>
    <n v="0"/>
    <x v="0"/>
  </r>
  <r>
    <x v="6"/>
    <x v="5"/>
    <x v="2"/>
    <x v="5"/>
    <n v="0"/>
    <x v="0"/>
  </r>
  <r>
    <x v="6"/>
    <x v="5"/>
    <x v="2"/>
    <x v="6"/>
    <n v="0"/>
    <x v="0"/>
  </r>
  <r>
    <x v="6"/>
    <x v="5"/>
    <x v="2"/>
    <x v="7"/>
    <n v="0"/>
    <x v="0"/>
  </r>
  <r>
    <x v="6"/>
    <x v="5"/>
    <x v="2"/>
    <x v="8"/>
    <n v="0"/>
    <x v="0"/>
  </r>
  <r>
    <x v="6"/>
    <x v="5"/>
    <x v="2"/>
    <x v="9"/>
    <n v="0"/>
    <x v="0"/>
  </r>
  <r>
    <x v="6"/>
    <x v="5"/>
    <x v="2"/>
    <x v="10"/>
    <n v="0"/>
    <x v="0"/>
  </r>
  <r>
    <x v="6"/>
    <x v="5"/>
    <x v="2"/>
    <x v="11"/>
    <n v="0"/>
    <x v="0"/>
  </r>
  <r>
    <x v="6"/>
    <x v="5"/>
    <x v="3"/>
    <x v="0"/>
    <n v="1"/>
    <x v="0"/>
  </r>
  <r>
    <x v="6"/>
    <x v="5"/>
    <x v="3"/>
    <x v="1"/>
    <n v="0"/>
    <x v="0"/>
  </r>
  <r>
    <x v="6"/>
    <x v="5"/>
    <x v="3"/>
    <x v="2"/>
    <n v="0"/>
    <x v="0"/>
  </r>
  <r>
    <x v="6"/>
    <x v="5"/>
    <x v="3"/>
    <x v="3"/>
    <n v="0"/>
    <x v="0"/>
  </r>
  <r>
    <x v="6"/>
    <x v="5"/>
    <x v="3"/>
    <x v="4"/>
    <n v="0"/>
    <x v="0"/>
  </r>
  <r>
    <x v="6"/>
    <x v="5"/>
    <x v="3"/>
    <x v="5"/>
    <n v="0"/>
    <x v="0"/>
  </r>
  <r>
    <x v="6"/>
    <x v="5"/>
    <x v="3"/>
    <x v="6"/>
    <n v="0"/>
    <x v="0"/>
  </r>
  <r>
    <x v="6"/>
    <x v="5"/>
    <x v="3"/>
    <x v="7"/>
    <n v="0"/>
    <x v="0"/>
  </r>
  <r>
    <x v="6"/>
    <x v="5"/>
    <x v="3"/>
    <x v="8"/>
    <n v="0"/>
    <x v="0"/>
  </r>
  <r>
    <x v="6"/>
    <x v="5"/>
    <x v="3"/>
    <x v="9"/>
    <n v="0"/>
    <x v="0"/>
  </r>
  <r>
    <x v="6"/>
    <x v="5"/>
    <x v="3"/>
    <x v="10"/>
    <n v="0"/>
    <x v="0"/>
  </r>
  <r>
    <x v="6"/>
    <x v="5"/>
    <x v="3"/>
    <x v="11"/>
    <n v="0"/>
    <x v="0"/>
  </r>
  <r>
    <x v="6"/>
    <x v="5"/>
    <x v="4"/>
    <x v="0"/>
    <n v="1"/>
    <x v="1"/>
  </r>
  <r>
    <x v="6"/>
    <x v="5"/>
    <x v="4"/>
    <x v="1"/>
    <n v="0"/>
    <x v="1"/>
  </r>
  <r>
    <x v="6"/>
    <x v="5"/>
    <x v="4"/>
    <x v="2"/>
    <n v="0"/>
    <x v="1"/>
  </r>
  <r>
    <x v="6"/>
    <x v="5"/>
    <x v="4"/>
    <x v="3"/>
    <n v="0"/>
    <x v="1"/>
  </r>
  <r>
    <x v="6"/>
    <x v="5"/>
    <x v="4"/>
    <x v="4"/>
    <n v="0"/>
    <x v="1"/>
  </r>
  <r>
    <x v="6"/>
    <x v="5"/>
    <x v="4"/>
    <x v="5"/>
    <n v="0"/>
    <x v="1"/>
  </r>
  <r>
    <x v="6"/>
    <x v="5"/>
    <x v="4"/>
    <x v="6"/>
    <n v="0"/>
    <x v="1"/>
  </r>
  <r>
    <x v="6"/>
    <x v="5"/>
    <x v="4"/>
    <x v="7"/>
    <n v="0"/>
    <x v="1"/>
  </r>
  <r>
    <x v="6"/>
    <x v="5"/>
    <x v="4"/>
    <x v="8"/>
    <n v="0"/>
    <x v="1"/>
  </r>
  <r>
    <x v="6"/>
    <x v="5"/>
    <x v="4"/>
    <x v="9"/>
    <n v="0"/>
    <x v="1"/>
  </r>
  <r>
    <x v="6"/>
    <x v="5"/>
    <x v="4"/>
    <x v="10"/>
    <n v="0"/>
    <x v="1"/>
  </r>
  <r>
    <x v="6"/>
    <x v="5"/>
    <x v="4"/>
    <x v="11"/>
    <n v="0"/>
    <x v="1"/>
  </r>
  <r>
    <x v="6"/>
    <x v="5"/>
    <x v="5"/>
    <x v="0"/>
    <n v="1"/>
    <x v="1"/>
  </r>
  <r>
    <x v="6"/>
    <x v="5"/>
    <x v="6"/>
    <x v="0"/>
    <n v="1"/>
    <x v="1"/>
  </r>
  <r>
    <x v="6"/>
    <x v="6"/>
    <x v="0"/>
    <x v="0"/>
    <n v="0"/>
    <x v="0"/>
  </r>
  <r>
    <x v="6"/>
    <x v="6"/>
    <x v="0"/>
    <x v="1"/>
    <n v="0"/>
    <x v="0"/>
  </r>
  <r>
    <x v="6"/>
    <x v="6"/>
    <x v="0"/>
    <x v="2"/>
    <n v="0"/>
    <x v="0"/>
  </r>
  <r>
    <x v="6"/>
    <x v="6"/>
    <x v="0"/>
    <x v="3"/>
    <n v="0"/>
    <x v="0"/>
  </r>
  <r>
    <x v="6"/>
    <x v="6"/>
    <x v="0"/>
    <x v="4"/>
    <n v="0"/>
    <x v="0"/>
  </r>
  <r>
    <x v="6"/>
    <x v="6"/>
    <x v="0"/>
    <x v="5"/>
    <n v="0"/>
    <x v="0"/>
  </r>
  <r>
    <x v="6"/>
    <x v="6"/>
    <x v="0"/>
    <x v="6"/>
    <n v="0"/>
    <x v="0"/>
  </r>
  <r>
    <x v="6"/>
    <x v="6"/>
    <x v="0"/>
    <x v="7"/>
    <n v="0"/>
    <x v="0"/>
  </r>
  <r>
    <x v="6"/>
    <x v="6"/>
    <x v="0"/>
    <x v="8"/>
    <n v="0"/>
    <x v="0"/>
  </r>
  <r>
    <x v="6"/>
    <x v="6"/>
    <x v="0"/>
    <x v="9"/>
    <n v="0"/>
    <x v="0"/>
  </r>
  <r>
    <x v="6"/>
    <x v="6"/>
    <x v="0"/>
    <x v="10"/>
    <n v="0"/>
    <x v="0"/>
  </r>
  <r>
    <x v="6"/>
    <x v="6"/>
    <x v="0"/>
    <x v="11"/>
    <n v="0"/>
    <x v="0"/>
  </r>
  <r>
    <x v="6"/>
    <x v="6"/>
    <x v="1"/>
    <x v="0"/>
    <n v="0"/>
    <x v="0"/>
  </r>
  <r>
    <x v="6"/>
    <x v="6"/>
    <x v="1"/>
    <x v="1"/>
    <n v="0"/>
    <x v="0"/>
  </r>
  <r>
    <x v="6"/>
    <x v="6"/>
    <x v="1"/>
    <x v="2"/>
    <n v="0"/>
    <x v="0"/>
  </r>
  <r>
    <x v="6"/>
    <x v="6"/>
    <x v="1"/>
    <x v="3"/>
    <n v="0"/>
    <x v="0"/>
  </r>
  <r>
    <x v="6"/>
    <x v="6"/>
    <x v="1"/>
    <x v="4"/>
    <n v="0"/>
    <x v="0"/>
  </r>
  <r>
    <x v="6"/>
    <x v="6"/>
    <x v="1"/>
    <x v="5"/>
    <n v="0"/>
    <x v="0"/>
  </r>
  <r>
    <x v="6"/>
    <x v="6"/>
    <x v="1"/>
    <x v="6"/>
    <n v="0"/>
    <x v="0"/>
  </r>
  <r>
    <x v="6"/>
    <x v="6"/>
    <x v="1"/>
    <x v="7"/>
    <n v="0"/>
    <x v="0"/>
  </r>
  <r>
    <x v="6"/>
    <x v="6"/>
    <x v="1"/>
    <x v="8"/>
    <n v="0"/>
    <x v="0"/>
  </r>
  <r>
    <x v="6"/>
    <x v="6"/>
    <x v="1"/>
    <x v="9"/>
    <n v="0"/>
    <x v="0"/>
  </r>
  <r>
    <x v="6"/>
    <x v="6"/>
    <x v="1"/>
    <x v="10"/>
    <n v="0"/>
    <x v="0"/>
  </r>
  <r>
    <x v="6"/>
    <x v="6"/>
    <x v="1"/>
    <x v="11"/>
    <n v="0"/>
    <x v="0"/>
  </r>
  <r>
    <x v="6"/>
    <x v="6"/>
    <x v="2"/>
    <x v="0"/>
    <n v="0"/>
    <x v="0"/>
  </r>
  <r>
    <x v="6"/>
    <x v="6"/>
    <x v="2"/>
    <x v="1"/>
    <n v="0"/>
    <x v="0"/>
  </r>
  <r>
    <x v="6"/>
    <x v="6"/>
    <x v="2"/>
    <x v="2"/>
    <n v="0"/>
    <x v="0"/>
  </r>
  <r>
    <x v="6"/>
    <x v="6"/>
    <x v="2"/>
    <x v="3"/>
    <n v="0"/>
    <x v="0"/>
  </r>
  <r>
    <x v="6"/>
    <x v="6"/>
    <x v="2"/>
    <x v="4"/>
    <n v="0"/>
    <x v="0"/>
  </r>
  <r>
    <x v="6"/>
    <x v="6"/>
    <x v="2"/>
    <x v="5"/>
    <n v="0"/>
    <x v="0"/>
  </r>
  <r>
    <x v="6"/>
    <x v="6"/>
    <x v="2"/>
    <x v="6"/>
    <n v="0"/>
    <x v="0"/>
  </r>
  <r>
    <x v="6"/>
    <x v="6"/>
    <x v="2"/>
    <x v="7"/>
    <n v="0"/>
    <x v="0"/>
  </r>
  <r>
    <x v="6"/>
    <x v="6"/>
    <x v="2"/>
    <x v="8"/>
    <n v="0"/>
    <x v="0"/>
  </r>
  <r>
    <x v="6"/>
    <x v="6"/>
    <x v="2"/>
    <x v="9"/>
    <n v="0"/>
    <x v="0"/>
  </r>
  <r>
    <x v="6"/>
    <x v="6"/>
    <x v="2"/>
    <x v="10"/>
    <n v="0"/>
    <x v="0"/>
  </r>
  <r>
    <x v="6"/>
    <x v="6"/>
    <x v="2"/>
    <x v="11"/>
    <n v="0"/>
    <x v="0"/>
  </r>
  <r>
    <x v="6"/>
    <x v="6"/>
    <x v="3"/>
    <x v="0"/>
    <n v="0"/>
    <x v="0"/>
  </r>
  <r>
    <x v="6"/>
    <x v="6"/>
    <x v="3"/>
    <x v="1"/>
    <n v="0"/>
    <x v="0"/>
  </r>
  <r>
    <x v="6"/>
    <x v="6"/>
    <x v="3"/>
    <x v="2"/>
    <n v="0"/>
    <x v="0"/>
  </r>
  <r>
    <x v="6"/>
    <x v="6"/>
    <x v="3"/>
    <x v="3"/>
    <n v="0"/>
    <x v="0"/>
  </r>
  <r>
    <x v="6"/>
    <x v="6"/>
    <x v="3"/>
    <x v="4"/>
    <n v="0"/>
    <x v="0"/>
  </r>
  <r>
    <x v="6"/>
    <x v="6"/>
    <x v="3"/>
    <x v="5"/>
    <n v="0"/>
    <x v="0"/>
  </r>
  <r>
    <x v="6"/>
    <x v="6"/>
    <x v="3"/>
    <x v="6"/>
    <n v="0"/>
    <x v="0"/>
  </r>
  <r>
    <x v="6"/>
    <x v="6"/>
    <x v="3"/>
    <x v="7"/>
    <n v="0"/>
    <x v="0"/>
  </r>
  <r>
    <x v="6"/>
    <x v="6"/>
    <x v="3"/>
    <x v="8"/>
    <n v="0"/>
    <x v="0"/>
  </r>
  <r>
    <x v="6"/>
    <x v="6"/>
    <x v="3"/>
    <x v="9"/>
    <n v="0"/>
    <x v="0"/>
  </r>
  <r>
    <x v="6"/>
    <x v="6"/>
    <x v="3"/>
    <x v="10"/>
    <n v="0"/>
    <x v="0"/>
  </r>
  <r>
    <x v="6"/>
    <x v="6"/>
    <x v="3"/>
    <x v="11"/>
    <n v="0"/>
    <x v="0"/>
  </r>
  <r>
    <x v="6"/>
    <x v="6"/>
    <x v="4"/>
    <x v="0"/>
    <n v="1"/>
    <x v="1"/>
  </r>
  <r>
    <x v="6"/>
    <x v="6"/>
    <x v="4"/>
    <x v="1"/>
    <n v="0"/>
    <x v="1"/>
  </r>
  <r>
    <x v="6"/>
    <x v="6"/>
    <x v="4"/>
    <x v="2"/>
    <n v="0"/>
    <x v="1"/>
  </r>
  <r>
    <x v="6"/>
    <x v="6"/>
    <x v="4"/>
    <x v="3"/>
    <n v="0"/>
    <x v="1"/>
  </r>
  <r>
    <x v="6"/>
    <x v="6"/>
    <x v="4"/>
    <x v="4"/>
    <n v="0"/>
    <x v="1"/>
  </r>
  <r>
    <x v="6"/>
    <x v="6"/>
    <x v="4"/>
    <x v="5"/>
    <n v="0"/>
    <x v="1"/>
  </r>
  <r>
    <x v="6"/>
    <x v="6"/>
    <x v="4"/>
    <x v="6"/>
    <n v="0"/>
    <x v="1"/>
  </r>
  <r>
    <x v="6"/>
    <x v="6"/>
    <x v="4"/>
    <x v="7"/>
    <n v="0"/>
    <x v="1"/>
  </r>
  <r>
    <x v="6"/>
    <x v="6"/>
    <x v="4"/>
    <x v="8"/>
    <n v="0"/>
    <x v="1"/>
  </r>
  <r>
    <x v="6"/>
    <x v="6"/>
    <x v="4"/>
    <x v="9"/>
    <n v="0"/>
    <x v="1"/>
  </r>
  <r>
    <x v="6"/>
    <x v="6"/>
    <x v="4"/>
    <x v="10"/>
    <n v="0"/>
    <x v="1"/>
  </r>
  <r>
    <x v="6"/>
    <x v="6"/>
    <x v="4"/>
    <x v="11"/>
    <n v="0"/>
    <x v="1"/>
  </r>
  <r>
    <x v="6"/>
    <x v="6"/>
    <x v="5"/>
    <x v="0"/>
    <n v="1"/>
    <x v="1"/>
  </r>
  <r>
    <x v="6"/>
    <x v="6"/>
    <x v="6"/>
    <x v="0"/>
    <n v="1"/>
    <x v="1"/>
  </r>
  <r>
    <x v="6"/>
    <x v="7"/>
    <x v="0"/>
    <x v="0"/>
    <n v="2"/>
    <x v="0"/>
  </r>
  <r>
    <x v="6"/>
    <x v="7"/>
    <x v="0"/>
    <x v="1"/>
    <n v="0"/>
    <x v="0"/>
  </r>
  <r>
    <x v="6"/>
    <x v="7"/>
    <x v="0"/>
    <x v="2"/>
    <n v="0"/>
    <x v="0"/>
  </r>
  <r>
    <x v="6"/>
    <x v="7"/>
    <x v="0"/>
    <x v="3"/>
    <n v="0"/>
    <x v="0"/>
  </r>
  <r>
    <x v="6"/>
    <x v="7"/>
    <x v="0"/>
    <x v="4"/>
    <n v="0"/>
    <x v="0"/>
  </r>
  <r>
    <x v="6"/>
    <x v="7"/>
    <x v="0"/>
    <x v="5"/>
    <n v="0"/>
    <x v="0"/>
  </r>
  <r>
    <x v="6"/>
    <x v="7"/>
    <x v="0"/>
    <x v="6"/>
    <n v="0"/>
    <x v="0"/>
  </r>
  <r>
    <x v="6"/>
    <x v="7"/>
    <x v="0"/>
    <x v="7"/>
    <n v="0"/>
    <x v="0"/>
  </r>
  <r>
    <x v="6"/>
    <x v="7"/>
    <x v="0"/>
    <x v="8"/>
    <n v="0"/>
    <x v="0"/>
  </r>
  <r>
    <x v="6"/>
    <x v="7"/>
    <x v="0"/>
    <x v="9"/>
    <n v="0"/>
    <x v="0"/>
  </r>
  <r>
    <x v="6"/>
    <x v="7"/>
    <x v="0"/>
    <x v="10"/>
    <n v="0"/>
    <x v="0"/>
  </r>
  <r>
    <x v="6"/>
    <x v="7"/>
    <x v="0"/>
    <x v="11"/>
    <n v="0"/>
    <x v="0"/>
  </r>
  <r>
    <x v="6"/>
    <x v="7"/>
    <x v="1"/>
    <x v="0"/>
    <n v="1"/>
    <x v="0"/>
  </r>
  <r>
    <x v="6"/>
    <x v="7"/>
    <x v="1"/>
    <x v="1"/>
    <n v="0"/>
    <x v="0"/>
  </r>
  <r>
    <x v="6"/>
    <x v="7"/>
    <x v="1"/>
    <x v="2"/>
    <n v="0"/>
    <x v="0"/>
  </r>
  <r>
    <x v="6"/>
    <x v="7"/>
    <x v="1"/>
    <x v="3"/>
    <n v="0"/>
    <x v="0"/>
  </r>
  <r>
    <x v="6"/>
    <x v="7"/>
    <x v="1"/>
    <x v="4"/>
    <n v="0"/>
    <x v="0"/>
  </r>
  <r>
    <x v="6"/>
    <x v="7"/>
    <x v="1"/>
    <x v="5"/>
    <n v="0"/>
    <x v="0"/>
  </r>
  <r>
    <x v="6"/>
    <x v="7"/>
    <x v="1"/>
    <x v="6"/>
    <n v="0"/>
    <x v="0"/>
  </r>
  <r>
    <x v="6"/>
    <x v="7"/>
    <x v="1"/>
    <x v="7"/>
    <n v="0"/>
    <x v="0"/>
  </r>
  <r>
    <x v="6"/>
    <x v="7"/>
    <x v="1"/>
    <x v="8"/>
    <n v="0"/>
    <x v="0"/>
  </r>
  <r>
    <x v="6"/>
    <x v="7"/>
    <x v="1"/>
    <x v="9"/>
    <n v="0"/>
    <x v="0"/>
  </r>
  <r>
    <x v="6"/>
    <x v="7"/>
    <x v="1"/>
    <x v="10"/>
    <n v="0"/>
    <x v="0"/>
  </r>
  <r>
    <x v="6"/>
    <x v="7"/>
    <x v="1"/>
    <x v="11"/>
    <n v="0"/>
    <x v="0"/>
  </r>
  <r>
    <x v="6"/>
    <x v="7"/>
    <x v="2"/>
    <x v="0"/>
    <n v="1"/>
    <x v="0"/>
  </r>
  <r>
    <x v="6"/>
    <x v="7"/>
    <x v="2"/>
    <x v="1"/>
    <n v="0"/>
    <x v="0"/>
  </r>
  <r>
    <x v="6"/>
    <x v="7"/>
    <x v="2"/>
    <x v="2"/>
    <n v="0"/>
    <x v="0"/>
  </r>
  <r>
    <x v="6"/>
    <x v="7"/>
    <x v="2"/>
    <x v="3"/>
    <n v="0"/>
    <x v="0"/>
  </r>
  <r>
    <x v="6"/>
    <x v="7"/>
    <x v="2"/>
    <x v="4"/>
    <n v="0"/>
    <x v="0"/>
  </r>
  <r>
    <x v="6"/>
    <x v="7"/>
    <x v="2"/>
    <x v="5"/>
    <n v="0"/>
    <x v="0"/>
  </r>
  <r>
    <x v="6"/>
    <x v="7"/>
    <x v="2"/>
    <x v="6"/>
    <n v="0"/>
    <x v="0"/>
  </r>
  <r>
    <x v="6"/>
    <x v="7"/>
    <x v="2"/>
    <x v="7"/>
    <n v="0"/>
    <x v="0"/>
  </r>
  <r>
    <x v="6"/>
    <x v="7"/>
    <x v="2"/>
    <x v="8"/>
    <n v="0"/>
    <x v="0"/>
  </r>
  <r>
    <x v="6"/>
    <x v="7"/>
    <x v="2"/>
    <x v="9"/>
    <n v="0"/>
    <x v="0"/>
  </r>
  <r>
    <x v="6"/>
    <x v="7"/>
    <x v="2"/>
    <x v="10"/>
    <n v="0"/>
    <x v="0"/>
  </r>
  <r>
    <x v="6"/>
    <x v="7"/>
    <x v="2"/>
    <x v="11"/>
    <n v="0"/>
    <x v="0"/>
  </r>
  <r>
    <x v="6"/>
    <x v="7"/>
    <x v="3"/>
    <x v="0"/>
    <n v="1"/>
    <x v="0"/>
  </r>
  <r>
    <x v="6"/>
    <x v="7"/>
    <x v="3"/>
    <x v="1"/>
    <n v="0"/>
    <x v="0"/>
  </r>
  <r>
    <x v="6"/>
    <x v="7"/>
    <x v="3"/>
    <x v="2"/>
    <n v="0"/>
    <x v="0"/>
  </r>
  <r>
    <x v="6"/>
    <x v="7"/>
    <x v="3"/>
    <x v="3"/>
    <n v="0"/>
    <x v="0"/>
  </r>
  <r>
    <x v="6"/>
    <x v="7"/>
    <x v="3"/>
    <x v="4"/>
    <n v="0"/>
    <x v="0"/>
  </r>
  <r>
    <x v="6"/>
    <x v="7"/>
    <x v="3"/>
    <x v="5"/>
    <n v="0"/>
    <x v="0"/>
  </r>
  <r>
    <x v="6"/>
    <x v="7"/>
    <x v="3"/>
    <x v="6"/>
    <n v="0"/>
    <x v="0"/>
  </r>
  <r>
    <x v="6"/>
    <x v="7"/>
    <x v="3"/>
    <x v="7"/>
    <n v="0"/>
    <x v="0"/>
  </r>
  <r>
    <x v="6"/>
    <x v="7"/>
    <x v="3"/>
    <x v="8"/>
    <n v="0"/>
    <x v="0"/>
  </r>
  <r>
    <x v="6"/>
    <x v="7"/>
    <x v="3"/>
    <x v="9"/>
    <n v="0"/>
    <x v="0"/>
  </r>
  <r>
    <x v="6"/>
    <x v="7"/>
    <x v="3"/>
    <x v="10"/>
    <n v="0"/>
    <x v="0"/>
  </r>
  <r>
    <x v="6"/>
    <x v="7"/>
    <x v="3"/>
    <x v="11"/>
    <n v="0"/>
    <x v="0"/>
  </r>
  <r>
    <x v="6"/>
    <x v="7"/>
    <x v="4"/>
    <x v="0"/>
    <n v="0"/>
    <x v="1"/>
  </r>
  <r>
    <x v="6"/>
    <x v="7"/>
    <x v="4"/>
    <x v="1"/>
    <n v="0"/>
    <x v="1"/>
  </r>
  <r>
    <x v="6"/>
    <x v="7"/>
    <x v="4"/>
    <x v="2"/>
    <n v="0"/>
    <x v="1"/>
  </r>
  <r>
    <x v="6"/>
    <x v="7"/>
    <x v="4"/>
    <x v="3"/>
    <n v="0"/>
    <x v="1"/>
  </r>
  <r>
    <x v="6"/>
    <x v="7"/>
    <x v="4"/>
    <x v="4"/>
    <n v="0"/>
    <x v="1"/>
  </r>
  <r>
    <x v="6"/>
    <x v="7"/>
    <x v="4"/>
    <x v="5"/>
    <n v="0"/>
    <x v="1"/>
  </r>
  <r>
    <x v="6"/>
    <x v="7"/>
    <x v="4"/>
    <x v="6"/>
    <n v="0"/>
    <x v="1"/>
  </r>
  <r>
    <x v="6"/>
    <x v="7"/>
    <x v="4"/>
    <x v="7"/>
    <n v="0"/>
    <x v="1"/>
  </r>
  <r>
    <x v="6"/>
    <x v="7"/>
    <x v="4"/>
    <x v="8"/>
    <n v="0"/>
    <x v="1"/>
  </r>
  <r>
    <x v="6"/>
    <x v="7"/>
    <x v="4"/>
    <x v="9"/>
    <n v="0"/>
    <x v="1"/>
  </r>
  <r>
    <x v="6"/>
    <x v="7"/>
    <x v="4"/>
    <x v="10"/>
    <n v="0"/>
    <x v="1"/>
  </r>
  <r>
    <x v="6"/>
    <x v="7"/>
    <x v="4"/>
    <x v="11"/>
    <n v="0"/>
    <x v="1"/>
  </r>
  <r>
    <x v="6"/>
    <x v="7"/>
    <x v="5"/>
    <x v="0"/>
    <n v="0"/>
    <x v="1"/>
  </r>
  <r>
    <x v="6"/>
    <x v="7"/>
    <x v="6"/>
    <x v="0"/>
    <n v="0"/>
    <x v="1"/>
  </r>
  <r>
    <x v="6"/>
    <x v="8"/>
    <x v="0"/>
    <x v="0"/>
    <n v="0"/>
    <x v="0"/>
  </r>
  <r>
    <x v="6"/>
    <x v="8"/>
    <x v="0"/>
    <x v="1"/>
    <n v="0"/>
    <x v="0"/>
  </r>
  <r>
    <x v="6"/>
    <x v="8"/>
    <x v="0"/>
    <x v="2"/>
    <n v="0"/>
    <x v="0"/>
  </r>
  <r>
    <x v="6"/>
    <x v="8"/>
    <x v="0"/>
    <x v="3"/>
    <n v="0"/>
    <x v="0"/>
  </r>
  <r>
    <x v="6"/>
    <x v="8"/>
    <x v="0"/>
    <x v="4"/>
    <n v="0"/>
    <x v="0"/>
  </r>
  <r>
    <x v="6"/>
    <x v="8"/>
    <x v="0"/>
    <x v="5"/>
    <n v="0"/>
    <x v="0"/>
  </r>
  <r>
    <x v="6"/>
    <x v="8"/>
    <x v="0"/>
    <x v="6"/>
    <n v="0"/>
    <x v="0"/>
  </r>
  <r>
    <x v="6"/>
    <x v="8"/>
    <x v="0"/>
    <x v="7"/>
    <n v="0"/>
    <x v="0"/>
  </r>
  <r>
    <x v="6"/>
    <x v="8"/>
    <x v="0"/>
    <x v="8"/>
    <n v="0"/>
    <x v="0"/>
  </r>
  <r>
    <x v="6"/>
    <x v="8"/>
    <x v="0"/>
    <x v="9"/>
    <n v="0"/>
    <x v="0"/>
  </r>
  <r>
    <x v="6"/>
    <x v="8"/>
    <x v="0"/>
    <x v="10"/>
    <n v="0"/>
    <x v="0"/>
  </r>
  <r>
    <x v="6"/>
    <x v="8"/>
    <x v="0"/>
    <x v="11"/>
    <n v="0"/>
    <x v="0"/>
  </r>
  <r>
    <x v="6"/>
    <x v="8"/>
    <x v="1"/>
    <x v="0"/>
    <n v="1"/>
    <x v="0"/>
  </r>
  <r>
    <x v="6"/>
    <x v="8"/>
    <x v="1"/>
    <x v="1"/>
    <n v="0"/>
    <x v="0"/>
  </r>
  <r>
    <x v="6"/>
    <x v="8"/>
    <x v="1"/>
    <x v="2"/>
    <n v="0"/>
    <x v="0"/>
  </r>
  <r>
    <x v="6"/>
    <x v="8"/>
    <x v="1"/>
    <x v="3"/>
    <n v="0"/>
    <x v="0"/>
  </r>
  <r>
    <x v="6"/>
    <x v="8"/>
    <x v="1"/>
    <x v="4"/>
    <n v="0"/>
    <x v="0"/>
  </r>
  <r>
    <x v="6"/>
    <x v="8"/>
    <x v="1"/>
    <x v="5"/>
    <n v="0"/>
    <x v="0"/>
  </r>
  <r>
    <x v="6"/>
    <x v="8"/>
    <x v="1"/>
    <x v="6"/>
    <n v="0"/>
    <x v="0"/>
  </r>
  <r>
    <x v="6"/>
    <x v="8"/>
    <x v="1"/>
    <x v="7"/>
    <n v="0"/>
    <x v="0"/>
  </r>
  <r>
    <x v="6"/>
    <x v="8"/>
    <x v="1"/>
    <x v="8"/>
    <n v="0"/>
    <x v="0"/>
  </r>
  <r>
    <x v="6"/>
    <x v="8"/>
    <x v="1"/>
    <x v="9"/>
    <n v="0"/>
    <x v="0"/>
  </r>
  <r>
    <x v="6"/>
    <x v="8"/>
    <x v="1"/>
    <x v="10"/>
    <n v="0"/>
    <x v="0"/>
  </r>
  <r>
    <x v="6"/>
    <x v="8"/>
    <x v="1"/>
    <x v="11"/>
    <n v="0"/>
    <x v="0"/>
  </r>
  <r>
    <x v="6"/>
    <x v="8"/>
    <x v="2"/>
    <x v="0"/>
    <n v="1"/>
    <x v="0"/>
  </r>
  <r>
    <x v="6"/>
    <x v="8"/>
    <x v="2"/>
    <x v="1"/>
    <n v="0"/>
    <x v="0"/>
  </r>
  <r>
    <x v="6"/>
    <x v="8"/>
    <x v="2"/>
    <x v="2"/>
    <n v="0"/>
    <x v="0"/>
  </r>
  <r>
    <x v="6"/>
    <x v="8"/>
    <x v="2"/>
    <x v="3"/>
    <n v="0"/>
    <x v="0"/>
  </r>
  <r>
    <x v="6"/>
    <x v="8"/>
    <x v="2"/>
    <x v="4"/>
    <n v="0"/>
    <x v="0"/>
  </r>
  <r>
    <x v="6"/>
    <x v="8"/>
    <x v="2"/>
    <x v="5"/>
    <n v="0"/>
    <x v="0"/>
  </r>
  <r>
    <x v="6"/>
    <x v="8"/>
    <x v="2"/>
    <x v="6"/>
    <n v="0"/>
    <x v="0"/>
  </r>
  <r>
    <x v="6"/>
    <x v="8"/>
    <x v="2"/>
    <x v="7"/>
    <n v="0"/>
    <x v="0"/>
  </r>
  <r>
    <x v="6"/>
    <x v="8"/>
    <x v="2"/>
    <x v="8"/>
    <n v="0"/>
    <x v="0"/>
  </r>
  <r>
    <x v="6"/>
    <x v="8"/>
    <x v="2"/>
    <x v="9"/>
    <n v="0"/>
    <x v="0"/>
  </r>
  <r>
    <x v="6"/>
    <x v="8"/>
    <x v="2"/>
    <x v="10"/>
    <n v="0"/>
    <x v="0"/>
  </r>
  <r>
    <x v="6"/>
    <x v="8"/>
    <x v="2"/>
    <x v="11"/>
    <n v="0"/>
    <x v="0"/>
  </r>
  <r>
    <x v="6"/>
    <x v="8"/>
    <x v="3"/>
    <x v="0"/>
    <n v="1"/>
    <x v="0"/>
  </r>
  <r>
    <x v="6"/>
    <x v="8"/>
    <x v="3"/>
    <x v="1"/>
    <n v="0"/>
    <x v="0"/>
  </r>
  <r>
    <x v="6"/>
    <x v="8"/>
    <x v="3"/>
    <x v="2"/>
    <n v="0"/>
    <x v="0"/>
  </r>
  <r>
    <x v="6"/>
    <x v="8"/>
    <x v="3"/>
    <x v="3"/>
    <n v="0"/>
    <x v="0"/>
  </r>
  <r>
    <x v="6"/>
    <x v="8"/>
    <x v="3"/>
    <x v="4"/>
    <n v="0"/>
    <x v="0"/>
  </r>
  <r>
    <x v="6"/>
    <x v="8"/>
    <x v="3"/>
    <x v="5"/>
    <n v="0"/>
    <x v="0"/>
  </r>
  <r>
    <x v="6"/>
    <x v="8"/>
    <x v="3"/>
    <x v="6"/>
    <n v="0"/>
    <x v="0"/>
  </r>
  <r>
    <x v="6"/>
    <x v="8"/>
    <x v="3"/>
    <x v="7"/>
    <n v="0"/>
    <x v="0"/>
  </r>
  <r>
    <x v="6"/>
    <x v="8"/>
    <x v="3"/>
    <x v="8"/>
    <n v="0"/>
    <x v="0"/>
  </r>
  <r>
    <x v="6"/>
    <x v="8"/>
    <x v="3"/>
    <x v="9"/>
    <n v="0"/>
    <x v="0"/>
  </r>
  <r>
    <x v="6"/>
    <x v="8"/>
    <x v="3"/>
    <x v="10"/>
    <n v="0"/>
    <x v="0"/>
  </r>
  <r>
    <x v="6"/>
    <x v="8"/>
    <x v="3"/>
    <x v="11"/>
    <n v="0"/>
    <x v="0"/>
  </r>
  <r>
    <x v="6"/>
    <x v="8"/>
    <x v="4"/>
    <x v="0"/>
    <n v="0"/>
    <x v="1"/>
  </r>
  <r>
    <x v="6"/>
    <x v="8"/>
    <x v="4"/>
    <x v="1"/>
    <n v="0"/>
    <x v="1"/>
  </r>
  <r>
    <x v="6"/>
    <x v="8"/>
    <x v="4"/>
    <x v="2"/>
    <n v="0"/>
    <x v="1"/>
  </r>
  <r>
    <x v="6"/>
    <x v="8"/>
    <x v="4"/>
    <x v="3"/>
    <n v="0"/>
    <x v="1"/>
  </r>
  <r>
    <x v="6"/>
    <x v="8"/>
    <x v="4"/>
    <x v="4"/>
    <n v="0"/>
    <x v="1"/>
  </r>
  <r>
    <x v="6"/>
    <x v="8"/>
    <x v="4"/>
    <x v="5"/>
    <n v="0"/>
    <x v="1"/>
  </r>
  <r>
    <x v="6"/>
    <x v="8"/>
    <x v="4"/>
    <x v="6"/>
    <n v="0"/>
    <x v="1"/>
  </r>
  <r>
    <x v="6"/>
    <x v="8"/>
    <x v="4"/>
    <x v="7"/>
    <n v="0"/>
    <x v="1"/>
  </r>
  <r>
    <x v="6"/>
    <x v="8"/>
    <x v="4"/>
    <x v="8"/>
    <n v="0"/>
    <x v="1"/>
  </r>
  <r>
    <x v="6"/>
    <x v="8"/>
    <x v="4"/>
    <x v="9"/>
    <n v="0"/>
    <x v="1"/>
  </r>
  <r>
    <x v="6"/>
    <x v="8"/>
    <x v="4"/>
    <x v="10"/>
    <n v="0"/>
    <x v="1"/>
  </r>
  <r>
    <x v="6"/>
    <x v="8"/>
    <x v="4"/>
    <x v="11"/>
    <n v="0"/>
    <x v="1"/>
  </r>
  <r>
    <x v="6"/>
    <x v="8"/>
    <x v="5"/>
    <x v="0"/>
    <n v="0"/>
    <x v="1"/>
  </r>
  <r>
    <x v="6"/>
    <x v="8"/>
    <x v="6"/>
    <x v="0"/>
    <n v="0"/>
    <x v="1"/>
  </r>
  <r>
    <x v="6"/>
    <x v="9"/>
    <x v="0"/>
    <x v="0"/>
    <n v="1"/>
    <x v="0"/>
  </r>
  <r>
    <x v="6"/>
    <x v="9"/>
    <x v="0"/>
    <x v="1"/>
    <n v="0"/>
    <x v="0"/>
  </r>
  <r>
    <x v="6"/>
    <x v="9"/>
    <x v="0"/>
    <x v="2"/>
    <n v="0"/>
    <x v="0"/>
  </r>
  <r>
    <x v="6"/>
    <x v="9"/>
    <x v="0"/>
    <x v="3"/>
    <n v="0"/>
    <x v="0"/>
  </r>
  <r>
    <x v="6"/>
    <x v="9"/>
    <x v="0"/>
    <x v="4"/>
    <n v="0"/>
    <x v="0"/>
  </r>
  <r>
    <x v="6"/>
    <x v="9"/>
    <x v="0"/>
    <x v="5"/>
    <n v="0"/>
    <x v="0"/>
  </r>
  <r>
    <x v="6"/>
    <x v="9"/>
    <x v="0"/>
    <x v="6"/>
    <n v="0"/>
    <x v="0"/>
  </r>
  <r>
    <x v="6"/>
    <x v="9"/>
    <x v="0"/>
    <x v="7"/>
    <n v="0"/>
    <x v="0"/>
  </r>
  <r>
    <x v="6"/>
    <x v="9"/>
    <x v="0"/>
    <x v="8"/>
    <n v="0"/>
    <x v="0"/>
  </r>
  <r>
    <x v="6"/>
    <x v="9"/>
    <x v="0"/>
    <x v="9"/>
    <n v="0"/>
    <x v="0"/>
  </r>
  <r>
    <x v="6"/>
    <x v="9"/>
    <x v="0"/>
    <x v="10"/>
    <n v="0"/>
    <x v="0"/>
  </r>
  <r>
    <x v="6"/>
    <x v="9"/>
    <x v="0"/>
    <x v="11"/>
    <n v="0"/>
    <x v="0"/>
  </r>
  <r>
    <x v="6"/>
    <x v="9"/>
    <x v="1"/>
    <x v="0"/>
    <n v="1"/>
    <x v="0"/>
  </r>
  <r>
    <x v="6"/>
    <x v="9"/>
    <x v="1"/>
    <x v="1"/>
    <n v="0"/>
    <x v="0"/>
  </r>
  <r>
    <x v="6"/>
    <x v="9"/>
    <x v="1"/>
    <x v="2"/>
    <n v="0"/>
    <x v="0"/>
  </r>
  <r>
    <x v="6"/>
    <x v="9"/>
    <x v="1"/>
    <x v="3"/>
    <n v="0"/>
    <x v="0"/>
  </r>
  <r>
    <x v="6"/>
    <x v="9"/>
    <x v="1"/>
    <x v="4"/>
    <n v="0"/>
    <x v="0"/>
  </r>
  <r>
    <x v="6"/>
    <x v="9"/>
    <x v="1"/>
    <x v="5"/>
    <n v="0"/>
    <x v="0"/>
  </r>
  <r>
    <x v="6"/>
    <x v="9"/>
    <x v="1"/>
    <x v="6"/>
    <n v="0"/>
    <x v="0"/>
  </r>
  <r>
    <x v="6"/>
    <x v="9"/>
    <x v="1"/>
    <x v="7"/>
    <n v="0"/>
    <x v="0"/>
  </r>
  <r>
    <x v="6"/>
    <x v="9"/>
    <x v="1"/>
    <x v="8"/>
    <n v="0"/>
    <x v="0"/>
  </r>
  <r>
    <x v="6"/>
    <x v="9"/>
    <x v="1"/>
    <x v="9"/>
    <n v="0"/>
    <x v="0"/>
  </r>
  <r>
    <x v="6"/>
    <x v="9"/>
    <x v="1"/>
    <x v="10"/>
    <n v="0"/>
    <x v="0"/>
  </r>
  <r>
    <x v="6"/>
    <x v="9"/>
    <x v="1"/>
    <x v="11"/>
    <n v="0"/>
    <x v="0"/>
  </r>
  <r>
    <x v="6"/>
    <x v="9"/>
    <x v="2"/>
    <x v="0"/>
    <n v="1"/>
    <x v="0"/>
  </r>
  <r>
    <x v="6"/>
    <x v="9"/>
    <x v="2"/>
    <x v="1"/>
    <n v="0"/>
    <x v="0"/>
  </r>
  <r>
    <x v="6"/>
    <x v="9"/>
    <x v="2"/>
    <x v="2"/>
    <n v="0"/>
    <x v="0"/>
  </r>
  <r>
    <x v="6"/>
    <x v="9"/>
    <x v="2"/>
    <x v="3"/>
    <n v="0"/>
    <x v="0"/>
  </r>
  <r>
    <x v="6"/>
    <x v="9"/>
    <x v="2"/>
    <x v="4"/>
    <n v="0"/>
    <x v="0"/>
  </r>
  <r>
    <x v="6"/>
    <x v="9"/>
    <x v="2"/>
    <x v="5"/>
    <n v="0"/>
    <x v="0"/>
  </r>
  <r>
    <x v="6"/>
    <x v="9"/>
    <x v="2"/>
    <x v="6"/>
    <n v="0"/>
    <x v="0"/>
  </r>
  <r>
    <x v="6"/>
    <x v="9"/>
    <x v="2"/>
    <x v="7"/>
    <n v="0"/>
    <x v="0"/>
  </r>
  <r>
    <x v="6"/>
    <x v="9"/>
    <x v="2"/>
    <x v="8"/>
    <n v="0"/>
    <x v="0"/>
  </r>
  <r>
    <x v="6"/>
    <x v="9"/>
    <x v="2"/>
    <x v="9"/>
    <n v="0"/>
    <x v="0"/>
  </r>
  <r>
    <x v="6"/>
    <x v="9"/>
    <x v="2"/>
    <x v="10"/>
    <n v="0"/>
    <x v="0"/>
  </r>
  <r>
    <x v="6"/>
    <x v="9"/>
    <x v="2"/>
    <x v="11"/>
    <n v="0"/>
    <x v="0"/>
  </r>
  <r>
    <x v="6"/>
    <x v="9"/>
    <x v="3"/>
    <x v="0"/>
    <n v="1"/>
    <x v="0"/>
  </r>
  <r>
    <x v="6"/>
    <x v="9"/>
    <x v="3"/>
    <x v="1"/>
    <n v="0"/>
    <x v="0"/>
  </r>
  <r>
    <x v="6"/>
    <x v="9"/>
    <x v="3"/>
    <x v="2"/>
    <n v="0"/>
    <x v="0"/>
  </r>
  <r>
    <x v="6"/>
    <x v="9"/>
    <x v="3"/>
    <x v="3"/>
    <n v="0"/>
    <x v="0"/>
  </r>
  <r>
    <x v="6"/>
    <x v="9"/>
    <x v="3"/>
    <x v="4"/>
    <n v="0"/>
    <x v="0"/>
  </r>
  <r>
    <x v="6"/>
    <x v="9"/>
    <x v="3"/>
    <x v="5"/>
    <n v="0"/>
    <x v="0"/>
  </r>
  <r>
    <x v="6"/>
    <x v="9"/>
    <x v="3"/>
    <x v="6"/>
    <n v="0"/>
    <x v="0"/>
  </r>
  <r>
    <x v="6"/>
    <x v="9"/>
    <x v="3"/>
    <x v="7"/>
    <n v="0"/>
    <x v="0"/>
  </r>
  <r>
    <x v="6"/>
    <x v="9"/>
    <x v="3"/>
    <x v="8"/>
    <n v="0"/>
    <x v="0"/>
  </r>
  <r>
    <x v="6"/>
    <x v="9"/>
    <x v="3"/>
    <x v="9"/>
    <n v="0"/>
    <x v="0"/>
  </r>
  <r>
    <x v="6"/>
    <x v="9"/>
    <x v="3"/>
    <x v="10"/>
    <n v="0"/>
    <x v="0"/>
  </r>
  <r>
    <x v="6"/>
    <x v="9"/>
    <x v="3"/>
    <x v="11"/>
    <n v="0"/>
    <x v="0"/>
  </r>
  <r>
    <x v="6"/>
    <x v="9"/>
    <x v="4"/>
    <x v="0"/>
    <n v="1"/>
    <x v="1"/>
  </r>
  <r>
    <x v="6"/>
    <x v="9"/>
    <x v="4"/>
    <x v="1"/>
    <n v="0"/>
    <x v="1"/>
  </r>
  <r>
    <x v="6"/>
    <x v="9"/>
    <x v="4"/>
    <x v="2"/>
    <n v="0"/>
    <x v="1"/>
  </r>
  <r>
    <x v="6"/>
    <x v="9"/>
    <x v="4"/>
    <x v="3"/>
    <n v="0"/>
    <x v="1"/>
  </r>
  <r>
    <x v="6"/>
    <x v="9"/>
    <x v="4"/>
    <x v="4"/>
    <n v="0"/>
    <x v="1"/>
  </r>
  <r>
    <x v="6"/>
    <x v="9"/>
    <x v="4"/>
    <x v="5"/>
    <n v="0"/>
    <x v="1"/>
  </r>
  <r>
    <x v="6"/>
    <x v="9"/>
    <x v="4"/>
    <x v="6"/>
    <n v="0"/>
    <x v="1"/>
  </r>
  <r>
    <x v="6"/>
    <x v="9"/>
    <x v="4"/>
    <x v="7"/>
    <n v="0"/>
    <x v="1"/>
  </r>
  <r>
    <x v="6"/>
    <x v="9"/>
    <x v="4"/>
    <x v="8"/>
    <n v="0"/>
    <x v="1"/>
  </r>
  <r>
    <x v="6"/>
    <x v="9"/>
    <x v="4"/>
    <x v="9"/>
    <n v="0"/>
    <x v="1"/>
  </r>
  <r>
    <x v="6"/>
    <x v="9"/>
    <x v="4"/>
    <x v="10"/>
    <n v="0"/>
    <x v="1"/>
  </r>
  <r>
    <x v="6"/>
    <x v="9"/>
    <x v="4"/>
    <x v="11"/>
    <n v="0"/>
    <x v="1"/>
  </r>
  <r>
    <x v="6"/>
    <x v="9"/>
    <x v="5"/>
    <x v="0"/>
    <n v="1"/>
    <x v="1"/>
  </r>
  <r>
    <x v="6"/>
    <x v="9"/>
    <x v="6"/>
    <x v="0"/>
    <n v="1"/>
    <x v="1"/>
  </r>
  <r>
    <x v="6"/>
    <x v="10"/>
    <x v="0"/>
    <x v="0"/>
    <n v="0"/>
    <x v="0"/>
  </r>
  <r>
    <x v="6"/>
    <x v="10"/>
    <x v="0"/>
    <x v="1"/>
    <n v="0"/>
    <x v="0"/>
  </r>
  <r>
    <x v="6"/>
    <x v="10"/>
    <x v="0"/>
    <x v="2"/>
    <n v="0"/>
    <x v="0"/>
  </r>
  <r>
    <x v="6"/>
    <x v="10"/>
    <x v="0"/>
    <x v="3"/>
    <n v="0"/>
    <x v="0"/>
  </r>
  <r>
    <x v="6"/>
    <x v="10"/>
    <x v="0"/>
    <x v="4"/>
    <n v="0"/>
    <x v="0"/>
  </r>
  <r>
    <x v="6"/>
    <x v="10"/>
    <x v="0"/>
    <x v="5"/>
    <n v="0"/>
    <x v="0"/>
  </r>
  <r>
    <x v="6"/>
    <x v="10"/>
    <x v="0"/>
    <x v="6"/>
    <n v="0"/>
    <x v="0"/>
  </r>
  <r>
    <x v="6"/>
    <x v="10"/>
    <x v="0"/>
    <x v="7"/>
    <n v="0"/>
    <x v="0"/>
  </r>
  <r>
    <x v="6"/>
    <x v="10"/>
    <x v="0"/>
    <x v="8"/>
    <n v="0"/>
    <x v="0"/>
  </r>
  <r>
    <x v="6"/>
    <x v="10"/>
    <x v="0"/>
    <x v="9"/>
    <n v="0"/>
    <x v="0"/>
  </r>
  <r>
    <x v="6"/>
    <x v="10"/>
    <x v="0"/>
    <x v="10"/>
    <n v="0"/>
    <x v="0"/>
  </r>
  <r>
    <x v="6"/>
    <x v="10"/>
    <x v="0"/>
    <x v="11"/>
    <n v="0"/>
    <x v="0"/>
  </r>
  <r>
    <x v="6"/>
    <x v="10"/>
    <x v="1"/>
    <x v="0"/>
    <n v="0"/>
    <x v="0"/>
  </r>
  <r>
    <x v="6"/>
    <x v="10"/>
    <x v="1"/>
    <x v="1"/>
    <n v="0"/>
    <x v="0"/>
  </r>
  <r>
    <x v="6"/>
    <x v="10"/>
    <x v="1"/>
    <x v="2"/>
    <n v="0"/>
    <x v="0"/>
  </r>
  <r>
    <x v="6"/>
    <x v="10"/>
    <x v="1"/>
    <x v="3"/>
    <n v="0"/>
    <x v="0"/>
  </r>
  <r>
    <x v="6"/>
    <x v="10"/>
    <x v="1"/>
    <x v="4"/>
    <n v="0"/>
    <x v="0"/>
  </r>
  <r>
    <x v="6"/>
    <x v="10"/>
    <x v="1"/>
    <x v="5"/>
    <n v="0"/>
    <x v="0"/>
  </r>
  <r>
    <x v="6"/>
    <x v="10"/>
    <x v="1"/>
    <x v="6"/>
    <n v="0"/>
    <x v="0"/>
  </r>
  <r>
    <x v="6"/>
    <x v="10"/>
    <x v="1"/>
    <x v="7"/>
    <n v="0"/>
    <x v="0"/>
  </r>
  <r>
    <x v="6"/>
    <x v="10"/>
    <x v="1"/>
    <x v="8"/>
    <n v="0"/>
    <x v="0"/>
  </r>
  <r>
    <x v="6"/>
    <x v="10"/>
    <x v="1"/>
    <x v="9"/>
    <n v="0"/>
    <x v="0"/>
  </r>
  <r>
    <x v="6"/>
    <x v="10"/>
    <x v="1"/>
    <x v="10"/>
    <n v="0"/>
    <x v="0"/>
  </r>
  <r>
    <x v="6"/>
    <x v="10"/>
    <x v="1"/>
    <x v="11"/>
    <n v="0"/>
    <x v="0"/>
  </r>
  <r>
    <x v="6"/>
    <x v="10"/>
    <x v="2"/>
    <x v="0"/>
    <n v="0"/>
    <x v="0"/>
  </r>
  <r>
    <x v="6"/>
    <x v="10"/>
    <x v="2"/>
    <x v="1"/>
    <n v="0"/>
    <x v="0"/>
  </r>
  <r>
    <x v="6"/>
    <x v="10"/>
    <x v="2"/>
    <x v="2"/>
    <n v="0"/>
    <x v="0"/>
  </r>
  <r>
    <x v="6"/>
    <x v="10"/>
    <x v="2"/>
    <x v="3"/>
    <n v="0"/>
    <x v="0"/>
  </r>
  <r>
    <x v="6"/>
    <x v="10"/>
    <x v="2"/>
    <x v="4"/>
    <n v="0"/>
    <x v="0"/>
  </r>
  <r>
    <x v="6"/>
    <x v="10"/>
    <x v="2"/>
    <x v="5"/>
    <n v="0"/>
    <x v="0"/>
  </r>
  <r>
    <x v="6"/>
    <x v="10"/>
    <x v="2"/>
    <x v="6"/>
    <n v="0"/>
    <x v="0"/>
  </r>
  <r>
    <x v="6"/>
    <x v="10"/>
    <x v="2"/>
    <x v="7"/>
    <n v="0"/>
    <x v="0"/>
  </r>
  <r>
    <x v="6"/>
    <x v="10"/>
    <x v="2"/>
    <x v="8"/>
    <n v="0"/>
    <x v="0"/>
  </r>
  <r>
    <x v="6"/>
    <x v="10"/>
    <x v="2"/>
    <x v="9"/>
    <n v="0"/>
    <x v="0"/>
  </r>
  <r>
    <x v="6"/>
    <x v="10"/>
    <x v="2"/>
    <x v="10"/>
    <n v="0"/>
    <x v="0"/>
  </r>
  <r>
    <x v="6"/>
    <x v="10"/>
    <x v="2"/>
    <x v="11"/>
    <n v="0"/>
    <x v="0"/>
  </r>
  <r>
    <x v="6"/>
    <x v="10"/>
    <x v="3"/>
    <x v="0"/>
    <n v="0"/>
    <x v="0"/>
  </r>
  <r>
    <x v="6"/>
    <x v="10"/>
    <x v="3"/>
    <x v="1"/>
    <n v="0"/>
    <x v="0"/>
  </r>
  <r>
    <x v="6"/>
    <x v="10"/>
    <x v="3"/>
    <x v="2"/>
    <n v="0"/>
    <x v="0"/>
  </r>
  <r>
    <x v="6"/>
    <x v="10"/>
    <x v="3"/>
    <x v="3"/>
    <n v="0"/>
    <x v="0"/>
  </r>
  <r>
    <x v="6"/>
    <x v="10"/>
    <x v="3"/>
    <x v="4"/>
    <n v="0"/>
    <x v="0"/>
  </r>
  <r>
    <x v="6"/>
    <x v="10"/>
    <x v="3"/>
    <x v="5"/>
    <n v="0"/>
    <x v="0"/>
  </r>
  <r>
    <x v="6"/>
    <x v="10"/>
    <x v="3"/>
    <x v="6"/>
    <n v="0"/>
    <x v="0"/>
  </r>
  <r>
    <x v="6"/>
    <x v="10"/>
    <x v="3"/>
    <x v="7"/>
    <n v="0"/>
    <x v="0"/>
  </r>
  <r>
    <x v="6"/>
    <x v="10"/>
    <x v="3"/>
    <x v="8"/>
    <n v="0"/>
    <x v="0"/>
  </r>
  <r>
    <x v="6"/>
    <x v="10"/>
    <x v="3"/>
    <x v="9"/>
    <n v="0"/>
    <x v="0"/>
  </r>
  <r>
    <x v="6"/>
    <x v="10"/>
    <x v="3"/>
    <x v="10"/>
    <n v="0"/>
    <x v="0"/>
  </r>
  <r>
    <x v="6"/>
    <x v="10"/>
    <x v="3"/>
    <x v="11"/>
    <n v="0"/>
    <x v="0"/>
  </r>
  <r>
    <x v="6"/>
    <x v="10"/>
    <x v="4"/>
    <x v="0"/>
    <n v="0"/>
    <x v="1"/>
  </r>
  <r>
    <x v="6"/>
    <x v="10"/>
    <x v="4"/>
    <x v="1"/>
    <n v="0"/>
    <x v="1"/>
  </r>
  <r>
    <x v="6"/>
    <x v="10"/>
    <x v="4"/>
    <x v="2"/>
    <n v="0"/>
    <x v="1"/>
  </r>
  <r>
    <x v="6"/>
    <x v="10"/>
    <x v="4"/>
    <x v="3"/>
    <n v="0"/>
    <x v="1"/>
  </r>
  <r>
    <x v="6"/>
    <x v="10"/>
    <x v="4"/>
    <x v="4"/>
    <n v="0"/>
    <x v="1"/>
  </r>
  <r>
    <x v="6"/>
    <x v="10"/>
    <x v="4"/>
    <x v="5"/>
    <n v="0"/>
    <x v="1"/>
  </r>
  <r>
    <x v="6"/>
    <x v="10"/>
    <x v="4"/>
    <x v="6"/>
    <n v="0"/>
    <x v="1"/>
  </r>
  <r>
    <x v="6"/>
    <x v="10"/>
    <x v="4"/>
    <x v="7"/>
    <n v="0"/>
    <x v="1"/>
  </r>
  <r>
    <x v="6"/>
    <x v="10"/>
    <x v="4"/>
    <x v="8"/>
    <n v="0"/>
    <x v="1"/>
  </r>
  <r>
    <x v="6"/>
    <x v="10"/>
    <x v="4"/>
    <x v="9"/>
    <n v="0"/>
    <x v="1"/>
  </r>
  <r>
    <x v="6"/>
    <x v="10"/>
    <x v="4"/>
    <x v="10"/>
    <n v="0"/>
    <x v="1"/>
  </r>
  <r>
    <x v="6"/>
    <x v="10"/>
    <x v="4"/>
    <x v="11"/>
    <n v="0"/>
    <x v="1"/>
  </r>
  <r>
    <x v="6"/>
    <x v="10"/>
    <x v="5"/>
    <x v="0"/>
    <n v="0"/>
    <x v="1"/>
  </r>
  <r>
    <x v="6"/>
    <x v="10"/>
    <x v="6"/>
    <x v="0"/>
    <n v="0"/>
    <x v="1"/>
  </r>
  <r>
    <x v="6"/>
    <x v="11"/>
    <x v="0"/>
    <x v="0"/>
    <n v="2"/>
    <x v="0"/>
  </r>
  <r>
    <x v="6"/>
    <x v="11"/>
    <x v="0"/>
    <x v="1"/>
    <n v="0"/>
    <x v="0"/>
  </r>
  <r>
    <x v="6"/>
    <x v="11"/>
    <x v="0"/>
    <x v="2"/>
    <n v="0"/>
    <x v="0"/>
  </r>
  <r>
    <x v="6"/>
    <x v="11"/>
    <x v="0"/>
    <x v="3"/>
    <n v="0"/>
    <x v="0"/>
  </r>
  <r>
    <x v="6"/>
    <x v="11"/>
    <x v="0"/>
    <x v="4"/>
    <n v="0"/>
    <x v="0"/>
  </r>
  <r>
    <x v="6"/>
    <x v="11"/>
    <x v="0"/>
    <x v="5"/>
    <n v="0"/>
    <x v="0"/>
  </r>
  <r>
    <x v="6"/>
    <x v="11"/>
    <x v="0"/>
    <x v="6"/>
    <n v="0"/>
    <x v="0"/>
  </r>
  <r>
    <x v="6"/>
    <x v="11"/>
    <x v="0"/>
    <x v="7"/>
    <n v="0"/>
    <x v="0"/>
  </r>
  <r>
    <x v="6"/>
    <x v="11"/>
    <x v="0"/>
    <x v="8"/>
    <n v="0"/>
    <x v="0"/>
  </r>
  <r>
    <x v="6"/>
    <x v="11"/>
    <x v="0"/>
    <x v="9"/>
    <n v="0"/>
    <x v="0"/>
  </r>
  <r>
    <x v="6"/>
    <x v="11"/>
    <x v="0"/>
    <x v="10"/>
    <n v="0"/>
    <x v="0"/>
  </r>
  <r>
    <x v="6"/>
    <x v="11"/>
    <x v="0"/>
    <x v="11"/>
    <n v="0"/>
    <x v="0"/>
  </r>
  <r>
    <x v="6"/>
    <x v="11"/>
    <x v="1"/>
    <x v="0"/>
    <n v="2"/>
    <x v="0"/>
  </r>
  <r>
    <x v="6"/>
    <x v="11"/>
    <x v="1"/>
    <x v="1"/>
    <n v="0"/>
    <x v="0"/>
  </r>
  <r>
    <x v="6"/>
    <x v="11"/>
    <x v="1"/>
    <x v="2"/>
    <n v="0"/>
    <x v="0"/>
  </r>
  <r>
    <x v="6"/>
    <x v="11"/>
    <x v="1"/>
    <x v="3"/>
    <n v="0"/>
    <x v="0"/>
  </r>
  <r>
    <x v="6"/>
    <x v="11"/>
    <x v="1"/>
    <x v="4"/>
    <n v="0"/>
    <x v="0"/>
  </r>
  <r>
    <x v="6"/>
    <x v="11"/>
    <x v="1"/>
    <x v="5"/>
    <n v="0"/>
    <x v="0"/>
  </r>
  <r>
    <x v="6"/>
    <x v="11"/>
    <x v="1"/>
    <x v="6"/>
    <n v="0"/>
    <x v="0"/>
  </r>
  <r>
    <x v="6"/>
    <x v="11"/>
    <x v="1"/>
    <x v="7"/>
    <n v="0"/>
    <x v="0"/>
  </r>
  <r>
    <x v="6"/>
    <x v="11"/>
    <x v="1"/>
    <x v="8"/>
    <n v="0"/>
    <x v="0"/>
  </r>
  <r>
    <x v="6"/>
    <x v="11"/>
    <x v="1"/>
    <x v="9"/>
    <n v="0"/>
    <x v="0"/>
  </r>
  <r>
    <x v="6"/>
    <x v="11"/>
    <x v="1"/>
    <x v="10"/>
    <n v="0"/>
    <x v="0"/>
  </r>
  <r>
    <x v="6"/>
    <x v="11"/>
    <x v="1"/>
    <x v="11"/>
    <n v="0"/>
    <x v="0"/>
  </r>
  <r>
    <x v="6"/>
    <x v="11"/>
    <x v="2"/>
    <x v="0"/>
    <n v="2"/>
    <x v="0"/>
  </r>
  <r>
    <x v="6"/>
    <x v="11"/>
    <x v="2"/>
    <x v="1"/>
    <n v="0"/>
    <x v="0"/>
  </r>
  <r>
    <x v="6"/>
    <x v="11"/>
    <x v="2"/>
    <x v="2"/>
    <n v="0"/>
    <x v="0"/>
  </r>
  <r>
    <x v="6"/>
    <x v="11"/>
    <x v="2"/>
    <x v="3"/>
    <n v="0"/>
    <x v="0"/>
  </r>
  <r>
    <x v="6"/>
    <x v="11"/>
    <x v="2"/>
    <x v="4"/>
    <n v="0"/>
    <x v="0"/>
  </r>
  <r>
    <x v="6"/>
    <x v="11"/>
    <x v="2"/>
    <x v="5"/>
    <n v="0"/>
    <x v="0"/>
  </r>
  <r>
    <x v="6"/>
    <x v="11"/>
    <x v="2"/>
    <x v="6"/>
    <n v="0"/>
    <x v="0"/>
  </r>
  <r>
    <x v="6"/>
    <x v="11"/>
    <x v="2"/>
    <x v="7"/>
    <n v="0"/>
    <x v="0"/>
  </r>
  <r>
    <x v="6"/>
    <x v="11"/>
    <x v="2"/>
    <x v="8"/>
    <n v="0"/>
    <x v="0"/>
  </r>
  <r>
    <x v="6"/>
    <x v="11"/>
    <x v="2"/>
    <x v="9"/>
    <n v="0"/>
    <x v="0"/>
  </r>
  <r>
    <x v="6"/>
    <x v="11"/>
    <x v="2"/>
    <x v="10"/>
    <n v="0"/>
    <x v="0"/>
  </r>
  <r>
    <x v="6"/>
    <x v="11"/>
    <x v="2"/>
    <x v="11"/>
    <n v="0"/>
    <x v="0"/>
  </r>
  <r>
    <x v="6"/>
    <x v="11"/>
    <x v="3"/>
    <x v="0"/>
    <n v="2"/>
    <x v="0"/>
  </r>
  <r>
    <x v="6"/>
    <x v="11"/>
    <x v="3"/>
    <x v="1"/>
    <n v="0"/>
    <x v="0"/>
  </r>
  <r>
    <x v="6"/>
    <x v="11"/>
    <x v="3"/>
    <x v="2"/>
    <n v="0"/>
    <x v="0"/>
  </r>
  <r>
    <x v="6"/>
    <x v="11"/>
    <x v="3"/>
    <x v="3"/>
    <n v="0"/>
    <x v="0"/>
  </r>
  <r>
    <x v="6"/>
    <x v="11"/>
    <x v="3"/>
    <x v="4"/>
    <n v="0"/>
    <x v="0"/>
  </r>
  <r>
    <x v="6"/>
    <x v="11"/>
    <x v="3"/>
    <x v="5"/>
    <n v="0"/>
    <x v="0"/>
  </r>
  <r>
    <x v="6"/>
    <x v="11"/>
    <x v="3"/>
    <x v="6"/>
    <n v="0"/>
    <x v="0"/>
  </r>
  <r>
    <x v="6"/>
    <x v="11"/>
    <x v="3"/>
    <x v="7"/>
    <n v="0"/>
    <x v="0"/>
  </r>
  <r>
    <x v="6"/>
    <x v="11"/>
    <x v="3"/>
    <x v="8"/>
    <n v="0"/>
    <x v="0"/>
  </r>
  <r>
    <x v="6"/>
    <x v="11"/>
    <x v="3"/>
    <x v="9"/>
    <n v="0"/>
    <x v="0"/>
  </r>
  <r>
    <x v="6"/>
    <x v="11"/>
    <x v="3"/>
    <x v="10"/>
    <n v="0"/>
    <x v="0"/>
  </r>
  <r>
    <x v="6"/>
    <x v="11"/>
    <x v="3"/>
    <x v="11"/>
    <n v="0"/>
    <x v="0"/>
  </r>
  <r>
    <x v="6"/>
    <x v="11"/>
    <x v="4"/>
    <x v="0"/>
    <n v="1"/>
    <x v="1"/>
  </r>
  <r>
    <x v="6"/>
    <x v="11"/>
    <x v="4"/>
    <x v="1"/>
    <n v="0"/>
    <x v="1"/>
  </r>
  <r>
    <x v="6"/>
    <x v="11"/>
    <x v="4"/>
    <x v="2"/>
    <n v="0"/>
    <x v="1"/>
  </r>
  <r>
    <x v="6"/>
    <x v="11"/>
    <x v="4"/>
    <x v="3"/>
    <n v="0"/>
    <x v="1"/>
  </r>
  <r>
    <x v="6"/>
    <x v="11"/>
    <x v="4"/>
    <x v="4"/>
    <n v="0"/>
    <x v="1"/>
  </r>
  <r>
    <x v="6"/>
    <x v="11"/>
    <x v="4"/>
    <x v="5"/>
    <n v="0"/>
    <x v="1"/>
  </r>
  <r>
    <x v="6"/>
    <x v="11"/>
    <x v="4"/>
    <x v="6"/>
    <n v="0"/>
    <x v="1"/>
  </r>
  <r>
    <x v="6"/>
    <x v="11"/>
    <x v="4"/>
    <x v="7"/>
    <n v="0"/>
    <x v="1"/>
  </r>
  <r>
    <x v="6"/>
    <x v="11"/>
    <x v="4"/>
    <x v="8"/>
    <n v="0"/>
    <x v="1"/>
  </r>
  <r>
    <x v="6"/>
    <x v="11"/>
    <x v="4"/>
    <x v="9"/>
    <n v="0"/>
    <x v="1"/>
  </r>
  <r>
    <x v="6"/>
    <x v="11"/>
    <x v="4"/>
    <x v="10"/>
    <n v="0"/>
    <x v="1"/>
  </r>
  <r>
    <x v="6"/>
    <x v="11"/>
    <x v="4"/>
    <x v="11"/>
    <n v="0"/>
    <x v="1"/>
  </r>
  <r>
    <x v="6"/>
    <x v="11"/>
    <x v="5"/>
    <x v="0"/>
    <n v="1"/>
    <x v="1"/>
  </r>
  <r>
    <x v="6"/>
    <x v="11"/>
    <x v="6"/>
    <x v="0"/>
    <n v="1"/>
    <x v="1"/>
  </r>
  <r>
    <x v="7"/>
    <x v="0"/>
    <x v="0"/>
    <x v="0"/>
    <n v="0"/>
    <x v="0"/>
  </r>
  <r>
    <x v="7"/>
    <x v="0"/>
    <x v="0"/>
    <x v="1"/>
    <n v="0"/>
    <x v="0"/>
  </r>
  <r>
    <x v="7"/>
    <x v="0"/>
    <x v="0"/>
    <x v="2"/>
    <n v="0"/>
    <x v="0"/>
  </r>
  <r>
    <x v="7"/>
    <x v="0"/>
    <x v="0"/>
    <x v="3"/>
    <n v="0"/>
    <x v="0"/>
  </r>
  <r>
    <x v="7"/>
    <x v="0"/>
    <x v="0"/>
    <x v="4"/>
    <n v="0"/>
    <x v="0"/>
  </r>
  <r>
    <x v="7"/>
    <x v="0"/>
    <x v="0"/>
    <x v="5"/>
    <n v="1"/>
    <x v="0"/>
  </r>
  <r>
    <x v="7"/>
    <x v="0"/>
    <x v="0"/>
    <x v="6"/>
    <n v="3"/>
    <x v="0"/>
  </r>
  <r>
    <x v="7"/>
    <x v="0"/>
    <x v="0"/>
    <x v="7"/>
    <n v="0"/>
    <x v="0"/>
  </r>
  <r>
    <x v="7"/>
    <x v="0"/>
    <x v="0"/>
    <x v="8"/>
    <n v="0"/>
    <x v="0"/>
  </r>
  <r>
    <x v="7"/>
    <x v="0"/>
    <x v="0"/>
    <x v="9"/>
    <n v="0"/>
    <x v="0"/>
  </r>
  <r>
    <x v="7"/>
    <x v="0"/>
    <x v="0"/>
    <x v="10"/>
    <n v="0"/>
    <x v="0"/>
  </r>
  <r>
    <x v="7"/>
    <x v="0"/>
    <x v="0"/>
    <x v="11"/>
    <n v="0"/>
    <x v="0"/>
  </r>
  <r>
    <x v="7"/>
    <x v="0"/>
    <x v="1"/>
    <x v="0"/>
    <n v="0"/>
    <x v="0"/>
  </r>
  <r>
    <x v="7"/>
    <x v="0"/>
    <x v="1"/>
    <x v="1"/>
    <n v="1"/>
    <x v="0"/>
  </r>
  <r>
    <x v="7"/>
    <x v="0"/>
    <x v="1"/>
    <x v="2"/>
    <n v="0"/>
    <x v="0"/>
  </r>
  <r>
    <x v="7"/>
    <x v="0"/>
    <x v="1"/>
    <x v="3"/>
    <n v="0"/>
    <x v="0"/>
  </r>
  <r>
    <x v="7"/>
    <x v="0"/>
    <x v="1"/>
    <x v="4"/>
    <n v="0"/>
    <x v="0"/>
  </r>
  <r>
    <x v="7"/>
    <x v="0"/>
    <x v="1"/>
    <x v="5"/>
    <n v="0"/>
    <x v="0"/>
  </r>
  <r>
    <x v="7"/>
    <x v="0"/>
    <x v="1"/>
    <x v="6"/>
    <n v="2"/>
    <x v="0"/>
  </r>
  <r>
    <x v="7"/>
    <x v="0"/>
    <x v="1"/>
    <x v="7"/>
    <n v="0"/>
    <x v="0"/>
  </r>
  <r>
    <x v="7"/>
    <x v="0"/>
    <x v="1"/>
    <x v="8"/>
    <n v="1"/>
    <x v="0"/>
  </r>
  <r>
    <x v="7"/>
    <x v="0"/>
    <x v="1"/>
    <x v="9"/>
    <n v="0"/>
    <x v="0"/>
  </r>
  <r>
    <x v="7"/>
    <x v="0"/>
    <x v="1"/>
    <x v="10"/>
    <n v="0"/>
    <x v="0"/>
  </r>
  <r>
    <x v="7"/>
    <x v="0"/>
    <x v="1"/>
    <x v="11"/>
    <n v="0"/>
    <x v="0"/>
  </r>
  <r>
    <x v="7"/>
    <x v="0"/>
    <x v="2"/>
    <x v="0"/>
    <n v="0"/>
    <x v="0"/>
  </r>
  <r>
    <x v="7"/>
    <x v="0"/>
    <x v="2"/>
    <x v="1"/>
    <n v="0"/>
    <x v="0"/>
  </r>
  <r>
    <x v="7"/>
    <x v="0"/>
    <x v="2"/>
    <x v="2"/>
    <n v="0"/>
    <x v="0"/>
  </r>
  <r>
    <x v="7"/>
    <x v="0"/>
    <x v="2"/>
    <x v="3"/>
    <n v="0"/>
    <x v="0"/>
  </r>
  <r>
    <x v="7"/>
    <x v="0"/>
    <x v="2"/>
    <x v="4"/>
    <n v="0"/>
    <x v="0"/>
  </r>
  <r>
    <x v="7"/>
    <x v="0"/>
    <x v="2"/>
    <x v="5"/>
    <n v="2"/>
    <x v="0"/>
  </r>
  <r>
    <x v="7"/>
    <x v="0"/>
    <x v="2"/>
    <x v="6"/>
    <n v="0"/>
    <x v="0"/>
  </r>
  <r>
    <x v="7"/>
    <x v="0"/>
    <x v="2"/>
    <x v="7"/>
    <n v="0"/>
    <x v="0"/>
  </r>
  <r>
    <x v="7"/>
    <x v="0"/>
    <x v="2"/>
    <x v="8"/>
    <n v="0"/>
    <x v="0"/>
  </r>
  <r>
    <x v="7"/>
    <x v="0"/>
    <x v="2"/>
    <x v="9"/>
    <n v="0"/>
    <x v="0"/>
  </r>
  <r>
    <x v="7"/>
    <x v="0"/>
    <x v="2"/>
    <x v="10"/>
    <n v="2"/>
    <x v="0"/>
  </r>
  <r>
    <x v="7"/>
    <x v="0"/>
    <x v="2"/>
    <x v="11"/>
    <n v="0"/>
    <x v="0"/>
  </r>
  <r>
    <x v="7"/>
    <x v="0"/>
    <x v="3"/>
    <x v="0"/>
    <n v="0"/>
    <x v="0"/>
  </r>
  <r>
    <x v="7"/>
    <x v="0"/>
    <x v="3"/>
    <x v="1"/>
    <n v="0"/>
    <x v="0"/>
  </r>
  <r>
    <x v="7"/>
    <x v="0"/>
    <x v="3"/>
    <x v="2"/>
    <n v="0"/>
    <x v="0"/>
  </r>
  <r>
    <x v="7"/>
    <x v="0"/>
    <x v="3"/>
    <x v="3"/>
    <n v="0"/>
    <x v="0"/>
  </r>
  <r>
    <x v="7"/>
    <x v="0"/>
    <x v="3"/>
    <x v="4"/>
    <n v="0"/>
    <x v="0"/>
  </r>
  <r>
    <x v="7"/>
    <x v="0"/>
    <x v="3"/>
    <x v="5"/>
    <n v="2"/>
    <x v="0"/>
  </r>
  <r>
    <x v="7"/>
    <x v="0"/>
    <x v="3"/>
    <x v="6"/>
    <n v="1"/>
    <x v="0"/>
  </r>
  <r>
    <x v="7"/>
    <x v="0"/>
    <x v="3"/>
    <x v="7"/>
    <n v="0"/>
    <x v="0"/>
  </r>
  <r>
    <x v="7"/>
    <x v="0"/>
    <x v="3"/>
    <x v="8"/>
    <n v="0"/>
    <x v="0"/>
  </r>
  <r>
    <x v="7"/>
    <x v="0"/>
    <x v="3"/>
    <x v="9"/>
    <n v="0"/>
    <x v="0"/>
  </r>
  <r>
    <x v="7"/>
    <x v="0"/>
    <x v="3"/>
    <x v="10"/>
    <n v="1"/>
    <x v="0"/>
  </r>
  <r>
    <x v="7"/>
    <x v="0"/>
    <x v="3"/>
    <x v="11"/>
    <n v="1"/>
    <x v="0"/>
  </r>
  <r>
    <x v="7"/>
    <x v="0"/>
    <x v="4"/>
    <x v="0"/>
    <n v="0"/>
    <x v="1"/>
  </r>
  <r>
    <x v="7"/>
    <x v="0"/>
    <x v="4"/>
    <x v="1"/>
    <n v="0"/>
    <x v="1"/>
  </r>
  <r>
    <x v="7"/>
    <x v="0"/>
    <x v="4"/>
    <x v="2"/>
    <n v="0"/>
    <x v="1"/>
  </r>
  <r>
    <x v="7"/>
    <x v="0"/>
    <x v="4"/>
    <x v="3"/>
    <n v="0"/>
    <x v="1"/>
  </r>
  <r>
    <x v="7"/>
    <x v="0"/>
    <x v="4"/>
    <x v="4"/>
    <n v="1"/>
    <x v="1"/>
  </r>
  <r>
    <x v="7"/>
    <x v="0"/>
    <x v="4"/>
    <x v="5"/>
    <n v="0"/>
    <x v="1"/>
  </r>
  <r>
    <x v="7"/>
    <x v="0"/>
    <x v="4"/>
    <x v="6"/>
    <n v="1"/>
    <x v="1"/>
  </r>
  <r>
    <x v="7"/>
    <x v="0"/>
    <x v="4"/>
    <x v="7"/>
    <n v="0"/>
    <x v="1"/>
  </r>
  <r>
    <x v="7"/>
    <x v="0"/>
    <x v="4"/>
    <x v="8"/>
    <n v="0"/>
    <x v="1"/>
  </r>
  <r>
    <x v="7"/>
    <x v="0"/>
    <x v="4"/>
    <x v="9"/>
    <n v="0"/>
    <x v="1"/>
  </r>
  <r>
    <x v="7"/>
    <x v="0"/>
    <x v="4"/>
    <x v="10"/>
    <n v="0"/>
    <x v="1"/>
  </r>
  <r>
    <x v="7"/>
    <x v="0"/>
    <x v="4"/>
    <x v="11"/>
    <n v="1"/>
    <x v="1"/>
  </r>
  <r>
    <x v="7"/>
    <x v="0"/>
    <x v="5"/>
    <x v="0"/>
    <n v="0"/>
    <x v="1"/>
  </r>
  <r>
    <x v="7"/>
    <x v="0"/>
    <x v="6"/>
    <x v="0"/>
    <n v="0"/>
    <x v="1"/>
  </r>
  <r>
    <x v="7"/>
    <x v="1"/>
    <x v="0"/>
    <x v="0"/>
    <n v="1"/>
    <x v="0"/>
  </r>
  <r>
    <x v="7"/>
    <x v="1"/>
    <x v="0"/>
    <x v="1"/>
    <n v="0"/>
    <x v="0"/>
  </r>
  <r>
    <x v="7"/>
    <x v="1"/>
    <x v="0"/>
    <x v="2"/>
    <n v="0"/>
    <x v="0"/>
  </r>
  <r>
    <x v="7"/>
    <x v="1"/>
    <x v="0"/>
    <x v="3"/>
    <n v="0"/>
    <x v="0"/>
  </r>
  <r>
    <x v="7"/>
    <x v="1"/>
    <x v="0"/>
    <x v="4"/>
    <n v="0"/>
    <x v="0"/>
  </r>
  <r>
    <x v="7"/>
    <x v="1"/>
    <x v="0"/>
    <x v="5"/>
    <n v="0"/>
    <x v="0"/>
  </r>
  <r>
    <x v="7"/>
    <x v="1"/>
    <x v="0"/>
    <x v="6"/>
    <n v="0"/>
    <x v="0"/>
  </r>
  <r>
    <x v="7"/>
    <x v="1"/>
    <x v="0"/>
    <x v="7"/>
    <n v="0"/>
    <x v="0"/>
  </r>
  <r>
    <x v="7"/>
    <x v="1"/>
    <x v="0"/>
    <x v="8"/>
    <n v="0"/>
    <x v="0"/>
  </r>
  <r>
    <x v="7"/>
    <x v="1"/>
    <x v="0"/>
    <x v="9"/>
    <n v="0"/>
    <x v="0"/>
  </r>
  <r>
    <x v="7"/>
    <x v="1"/>
    <x v="0"/>
    <x v="10"/>
    <n v="0"/>
    <x v="0"/>
  </r>
  <r>
    <x v="7"/>
    <x v="1"/>
    <x v="0"/>
    <x v="11"/>
    <n v="0"/>
    <x v="0"/>
  </r>
  <r>
    <x v="7"/>
    <x v="1"/>
    <x v="1"/>
    <x v="0"/>
    <n v="1"/>
    <x v="0"/>
  </r>
  <r>
    <x v="7"/>
    <x v="1"/>
    <x v="1"/>
    <x v="1"/>
    <n v="0"/>
    <x v="0"/>
  </r>
  <r>
    <x v="7"/>
    <x v="1"/>
    <x v="1"/>
    <x v="2"/>
    <n v="0"/>
    <x v="0"/>
  </r>
  <r>
    <x v="7"/>
    <x v="1"/>
    <x v="1"/>
    <x v="3"/>
    <n v="0"/>
    <x v="0"/>
  </r>
  <r>
    <x v="7"/>
    <x v="1"/>
    <x v="1"/>
    <x v="4"/>
    <n v="0"/>
    <x v="0"/>
  </r>
  <r>
    <x v="7"/>
    <x v="1"/>
    <x v="1"/>
    <x v="5"/>
    <n v="0"/>
    <x v="0"/>
  </r>
  <r>
    <x v="7"/>
    <x v="1"/>
    <x v="1"/>
    <x v="6"/>
    <n v="0"/>
    <x v="0"/>
  </r>
  <r>
    <x v="7"/>
    <x v="1"/>
    <x v="1"/>
    <x v="7"/>
    <n v="0"/>
    <x v="0"/>
  </r>
  <r>
    <x v="7"/>
    <x v="1"/>
    <x v="1"/>
    <x v="8"/>
    <n v="0"/>
    <x v="0"/>
  </r>
  <r>
    <x v="7"/>
    <x v="1"/>
    <x v="1"/>
    <x v="9"/>
    <n v="0"/>
    <x v="0"/>
  </r>
  <r>
    <x v="7"/>
    <x v="1"/>
    <x v="1"/>
    <x v="10"/>
    <n v="0"/>
    <x v="0"/>
  </r>
  <r>
    <x v="7"/>
    <x v="1"/>
    <x v="1"/>
    <x v="11"/>
    <n v="0"/>
    <x v="0"/>
  </r>
  <r>
    <x v="7"/>
    <x v="1"/>
    <x v="2"/>
    <x v="0"/>
    <n v="1"/>
    <x v="0"/>
  </r>
  <r>
    <x v="7"/>
    <x v="1"/>
    <x v="2"/>
    <x v="1"/>
    <n v="0"/>
    <x v="0"/>
  </r>
  <r>
    <x v="7"/>
    <x v="1"/>
    <x v="2"/>
    <x v="2"/>
    <n v="0"/>
    <x v="0"/>
  </r>
  <r>
    <x v="7"/>
    <x v="1"/>
    <x v="2"/>
    <x v="3"/>
    <n v="0"/>
    <x v="0"/>
  </r>
  <r>
    <x v="7"/>
    <x v="1"/>
    <x v="2"/>
    <x v="4"/>
    <n v="0"/>
    <x v="0"/>
  </r>
  <r>
    <x v="7"/>
    <x v="1"/>
    <x v="2"/>
    <x v="5"/>
    <n v="0"/>
    <x v="0"/>
  </r>
  <r>
    <x v="7"/>
    <x v="1"/>
    <x v="2"/>
    <x v="6"/>
    <n v="0"/>
    <x v="0"/>
  </r>
  <r>
    <x v="7"/>
    <x v="1"/>
    <x v="2"/>
    <x v="7"/>
    <n v="0"/>
    <x v="0"/>
  </r>
  <r>
    <x v="7"/>
    <x v="1"/>
    <x v="2"/>
    <x v="8"/>
    <n v="0"/>
    <x v="0"/>
  </r>
  <r>
    <x v="7"/>
    <x v="1"/>
    <x v="2"/>
    <x v="9"/>
    <n v="0"/>
    <x v="0"/>
  </r>
  <r>
    <x v="7"/>
    <x v="1"/>
    <x v="2"/>
    <x v="10"/>
    <n v="0"/>
    <x v="0"/>
  </r>
  <r>
    <x v="7"/>
    <x v="1"/>
    <x v="2"/>
    <x v="11"/>
    <n v="0"/>
    <x v="0"/>
  </r>
  <r>
    <x v="7"/>
    <x v="1"/>
    <x v="3"/>
    <x v="0"/>
    <n v="1"/>
    <x v="0"/>
  </r>
  <r>
    <x v="7"/>
    <x v="1"/>
    <x v="3"/>
    <x v="1"/>
    <n v="0"/>
    <x v="0"/>
  </r>
  <r>
    <x v="7"/>
    <x v="1"/>
    <x v="3"/>
    <x v="2"/>
    <n v="0"/>
    <x v="0"/>
  </r>
  <r>
    <x v="7"/>
    <x v="1"/>
    <x v="3"/>
    <x v="3"/>
    <n v="0"/>
    <x v="0"/>
  </r>
  <r>
    <x v="7"/>
    <x v="1"/>
    <x v="3"/>
    <x v="4"/>
    <n v="0"/>
    <x v="0"/>
  </r>
  <r>
    <x v="7"/>
    <x v="1"/>
    <x v="3"/>
    <x v="5"/>
    <n v="0"/>
    <x v="0"/>
  </r>
  <r>
    <x v="7"/>
    <x v="1"/>
    <x v="3"/>
    <x v="6"/>
    <n v="0"/>
    <x v="0"/>
  </r>
  <r>
    <x v="7"/>
    <x v="1"/>
    <x v="3"/>
    <x v="7"/>
    <n v="0"/>
    <x v="0"/>
  </r>
  <r>
    <x v="7"/>
    <x v="1"/>
    <x v="3"/>
    <x v="8"/>
    <n v="0"/>
    <x v="0"/>
  </r>
  <r>
    <x v="7"/>
    <x v="1"/>
    <x v="3"/>
    <x v="9"/>
    <n v="0"/>
    <x v="0"/>
  </r>
  <r>
    <x v="7"/>
    <x v="1"/>
    <x v="3"/>
    <x v="10"/>
    <n v="0"/>
    <x v="0"/>
  </r>
  <r>
    <x v="7"/>
    <x v="1"/>
    <x v="3"/>
    <x v="11"/>
    <n v="0"/>
    <x v="0"/>
  </r>
  <r>
    <x v="7"/>
    <x v="1"/>
    <x v="4"/>
    <x v="0"/>
    <n v="0"/>
    <x v="1"/>
  </r>
  <r>
    <x v="7"/>
    <x v="1"/>
    <x v="4"/>
    <x v="1"/>
    <n v="0"/>
    <x v="1"/>
  </r>
  <r>
    <x v="7"/>
    <x v="1"/>
    <x v="4"/>
    <x v="2"/>
    <n v="0"/>
    <x v="1"/>
  </r>
  <r>
    <x v="7"/>
    <x v="1"/>
    <x v="4"/>
    <x v="3"/>
    <n v="0"/>
    <x v="1"/>
  </r>
  <r>
    <x v="7"/>
    <x v="1"/>
    <x v="4"/>
    <x v="4"/>
    <n v="0"/>
    <x v="1"/>
  </r>
  <r>
    <x v="7"/>
    <x v="1"/>
    <x v="4"/>
    <x v="5"/>
    <n v="0"/>
    <x v="1"/>
  </r>
  <r>
    <x v="7"/>
    <x v="1"/>
    <x v="4"/>
    <x v="6"/>
    <n v="0"/>
    <x v="1"/>
  </r>
  <r>
    <x v="7"/>
    <x v="1"/>
    <x v="4"/>
    <x v="7"/>
    <n v="0"/>
    <x v="1"/>
  </r>
  <r>
    <x v="7"/>
    <x v="1"/>
    <x v="4"/>
    <x v="8"/>
    <n v="0"/>
    <x v="1"/>
  </r>
  <r>
    <x v="7"/>
    <x v="1"/>
    <x v="4"/>
    <x v="9"/>
    <n v="0"/>
    <x v="1"/>
  </r>
  <r>
    <x v="7"/>
    <x v="1"/>
    <x v="4"/>
    <x v="10"/>
    <n v="0"/>
    <x v="1"/>
  </r>
  <r>
    <x v="7"/>
    <x v="1"/>
    <x v="4"/>
    <x v="11"/>
    <n v="0"/>
    <x v="1"/>
  </r>
  <r>
    <x v="7"/>
    <x v="1"/>
    <x v="5"/>
    <x v="0"/>
    <n v="0"/>
    <x v="1"/>
  </r>
  <r>
    <x v="7"/>
    <x v="1"/>
    <x v="6"/>
    <x v="0"/>
    <n v="0"/>
    <x v="1"/>
  </r>
  <r>
    <x v="7"/>
    <x v="2"/>
    <x v="0"/>
    <x v="0"/>
    <n v="1"/>
    <x v="0"/>
  </r>
  <r>
    <x v="7"/>
    <x v="2"/>
    <x v="0"/>
    <x v="1"/>
    <n v="0"/>
    <x v="0"/>
  </r>
  <r>
    <x v="7"/>
    <x v="2"/>
    <x v="0"/>
    <x v="2"/>
    <n v="0"/>
    <x v="0"/>
  </r>
  <r>
    <x v="7"/>
    <x v="2"/>
    <x v="0"/>
    <x v="3"/>
    <n v="0"/>
    <x v="0"/>
  </r>
  <r>
    <x v="7"/>
    <x v="2"/>
    <x v="0"/>
    <x v="4"/>
    <n v="0"/>
    <x v="0"/>
  </r>
  <r>
    <x v="7"/>
    <x v="2"/>
    <x v="0"/>
    <x v="5"/>
    <n v="0"/>
    <x v="0"/>
  </r>
  <r>
    <x v="7"/>
    <x v="2"/>
    <x v="0"/>
    <x v="6"/>
    <n v="0"/>
    <x v="0"/>
  </r>
  <r>
    <x v="7"/>
    <x v="2"/>
    <x v="0"/>
    <x v="7"/>
    <n v="0"/>
    <x v="0"/>
  </r>
  <r>
    <x v="7"/>
    <x v="2"/>
    <x v="0"/>
    <x v="8"/>
    <n v="0"/>
    <x v="0"/>
  </r>
  <r>
    <x v="7"/>
    <x v="2"/>
    <x v="0"/>
    <x v="9"/>
    <n v="0"/>
    <x v="0"/>
  </r>
  <r>
    <x v="7"/>
    <x v="2"/>
    <x v="0"/>
    <x v="10"/>
    <n v="0"/>
    <x v="0"/>
  </r>
  <r>
    <x v="7"/>
    <x v="2"/>
    <x v="0"/>
    <x v="11"/>
    <n v="0"/>
    <x v="0"/>
  </r>
  <r>
    <x v="7"/>
    <x v="2"/>
    <x v="1"/>
    <x v="0"/>
    <n v="1"/>
    <x v="0"/>
  </r>
  <r>
    <x v="7"/>
    <x v="2"/>
    <x v="1"/>
    <x v="1"/>
    <n v="0"/>
    <x v="0"/>
  </r>
  <r>
    <x v="7"/>
    <x v="2"/>
    <x v="1"/>
    <x v="2"/>
    <n v="0"/>
    <x v="0"/>
  </r>
  <r>
    <x v="7"/>
    <x v="2"/>
    <x v="1"/>
    <x v="3"/>
    <n v="0"/>
    <x v="0"/>
  </r>
  <r>
    <x v="7"/>
    <x v="2"/>
    <x v="1"/>
    <x v="4"/>
    <n v="0"/>
    <x v="0"/>
  </r>
  <r>
    <x v="7"/>
    <x v="2"/>
    <x v="1"/>
    <x v="5"/>
    <n v="0"/>
    <x v="0"/>
  </r>
  <r>
    <x v="7"/>
    <x v="2"/>
    <x v="1"/>
    <x v="6"/>
    <n v="0"/>
    <x v="0"/>
  </r>
  <r>
    <x v="7"/>
    <x v="2"/>
    <x v="1"/>
    <x v="7"/>
    <n v="0"/>
    <x v="0"/>
  </r>
  <r>
    <x v="7"/>
    <x v="2"/>
    <x v="1"/>
    <x v="8"/>
    <n v="0"/>
    <x v="0"/>
  </r>
  <r>
    <x v="7"/>
    <x v="2"/>
    <x v="1"/>
    <x v="9"/>
    <n v="0"/>
    <x v="0"/>
  </r>
  <r>
    <x v="7"/>
    <x v="2"/>
    <x v="1"/>
    <x v="10"/>
    <n v="0"/>
    <x v="0"/>
  </r>
  <r>
    <x v="7"/>
    <x v="2"/>
    <x v="1"/>
    <x v="11"/>
    <n v="0"/>
    <x v="0"/>
  </r>
  <r>
    <x v="7"/>
    <x v="2"/>
    <x v="2"/>
    <x v="0"/>
    <n v="1"/>
    <x v="0"/>
  </r>
  <r>
    <x v="7"/>
    <x v="2"/>
    <x v="2"/>
    <x v="1"/>
    <n v="0"/>
    <x v="0"/>
  </r>
  <r>
    <x v="7"/>
    <x v="2"/>
    <x v="2"/>
    <x v="2"/>
    <n v="0"/>
    <x v="0"/>
  </r>
  <r>
    <x v="7"/>
    <x v="2"/>
    <x v="2"/>
    <x v="3"/>
    <n v="0"/>
    <x v="0"/>
  </r>
  <r>
    <x v="7"/>
    <x v="2"/>
    <x v="2"/>
    <x v="4"/>
    <n v="0"/>
    <x v="0"/>
  </r>
  <r>
    <x v="7"/>
    <x v="2"/>
    <x v="2"/>
    <x v="5"/>
    <n v="0"/>
    <x v="0"/>
  </r>
  <r>
    <x v="7"/>
    <x v="2"/>
    <x v="2"/>
    <x v="6"/>
    <n v="0"/>
    <x v="0"/>
  </r>
  <r>
    <x v="7"/>
    <x v="2"/>
    <x v="2"/>
    <x v="7"/>
    <n v="0"/>
    <x v="0"/>
  </r>
  <r>
    <x v="7"/>
    <x v="2"/>
    <x v="2"/>
    <x v="8"/>
    <n v="0"/>
    <x v="0"/>
  </r>
  <r>
    <x v="7"/>
    <x v="2"/>
    <x v="2"/>
    <x v="9"/>
    <n v="0"/>
    <x v="0"/>
  </r>
  <r>
    <x v="7"/>
    <x v="2"/>
    <x v="2"/>
    <x v="10"/>
    <n v="0"/>
    <x v="0"/>
  </r>
  <r>
    <x v="7"/>
    <x v="2"/>
    <x v="2"/>
    <x v="11"/>
    <n v="0"/>
    <x v="0"/>
  </r>
  <r>
    <x v="7"/>
    <x v="2"/>
    <x v="3"/>
    <x v="0"/>
    <n v="1"/>
    <x v="0"/>
  </r>
  <r>
    <x v="7"/>
    <x v="2"/>
    <x v="3"/>
    <x v="1"/>
    <n v="0"/>
    <x v="0"/>
  </r>
  <r>
    <x v="7"/>
    <x v="2"/>
    <x v="3"/>
    <x v="2"/>
    <n v="0"/>
    <x v="0"/>
  </r>
  <r>
    <x v="7"/>
    <x v="2"/>
    <x v="3"/>
    <x v="3"/>
    <n v="0"/>
    <x v="0"/>
  </r>
  <r>
    <x v="7"/>
    <x v="2"/>
    <x v="3"/>
    <x v="4"/>
    <n v="0"/>
    <x v="0"/>
  </r>
  <r>
    <x v="7"/>
    <x v="2"/>
    <x v="3"/>
    <x v="5"/>
    <n v="0"/>
    <x v="0"/>
  </r>
  <r>
    <x v="7"/>
    <x v="2"/>
    <x v="3"/>
    <x v="6"/>
    <n v="0"/>
    <x v="0"/>
  </r>
  <r>
    <x v="7"/>
    <x v="2"/>
    <x v="3"/>
    <x v="7"/>
    <n v="0"/>
    <x v="0"/>
  </r>
  <r>
    <x v="7"/>
    <x v="2"/>
    <x v="3"/>
    <x v="8"/>
    <n v="0"/>
    <x v="0"/>
  </r>
  <r>
    <x v="7"/>
    <x v="2"/>
    <x v="3"/>
    <x v="9"/>
    <n v="0"/>
    <x v="0"/>
  </r>
  <r>
    <x v="7"/>
    <x v="2"/>
    <x v="3"/>
    <x v="10"/>
    <n v="0"/>
    <x v="0"/>
  </r>
  <r>
    <x v="7"/>
    <x v="2"/>
    <x v="3"/>
    <x v="11"/>
    <n v="0"/>
    <x v="0"/>
  </r>
  <r>
    <x v="7"/>
    <x v="2"/>
    <x v="4"/>
    <x v="0"/>
    <n v="1"/>
    <x v="1"/>
  </r>
  <r>
    <x v="7"/>
    <x v="2"/>
    <x v="4"/>
    <x v="1"/>
    <n v="0"/>
    <x v="1"/>
  </r>
  <r>
    <x v="7"/>
    <x v="2"/>
    <x v="4"/>
    <x v="2"/>
    <n v="0"/>
    <x v="1"/>
  </r>
  <r>
    <x v="7"/>
    <x v="2"/>
    <x v="4"/>
    <x v="3"/>
    <n v="0"/>
    <x v="1"/>
  </r>
  <r>
    <x v="7"/>
    <x v="2"/>
    <x v="4"/>
    <x v="4"/>
    <n v="0"/>
    <x v="1"/>
  </r>
  <r>
    <x v="7"/>
    <x v="2"/>
    <x v="4"/>
    <x v="5"/>
    <n v="0"/>
    <x v="1"/>
  </r>
  <r>
    <x v="7"/>
    <x v="2"/>
    <x v="4"/>
    <x v="6"/>
    <n v="0"/>
    <x v="1"/>
  </r>
  <r>
    <x v="7"/>
    <x v="2"/>
    <x v="4"/>
    <x v="7"/>
    <n v="0"/>
    <x v="1"/>
  </r>
  <r>
    <x v="7"/>
    <x v="2"/>
    <x v="4"/>
    <x v="8"/>
    <n v="0"/>
    <x v="1"/>
  </r>
  <r>
    <x v="7"/>
    <x v="2"/>
    <x v="4"/>
    <x v="9"/>
    <n v="0"/>
    <x v="1"/>
  </r>
  <r>
    <x v="7"/>
    <x v="2"/>
    <x v="4"/>
    <x v="10"/>
    <n v="0"/>
    <x v="1"/>
  </r>
  <r>
    <x v="7"/>
    <x v="2"/>
    <x v="4"/>
    <x v="11"/>
    <n v="0"/>
    <x v="1"/>
  </r>
  <r>
    <x v="7"/>
    <x v="2"/>
    <x v="5"/>
    <x v="0"/>
    <n v="1"/>
    <x v="1"/>
  </r>
  <r>
    <x v="7"/>
    <x v="2"/>
    <x v="6"/>
    <x v="0"/>
    <n v="1"/>
    <x v="1"/>
  </r>
  <r>
    <x v="7"/>
    <x v="3"/>
    <x v="0"/>
    <x v="0"/>
    <n v="1"/>
    <x v="0"/>
  </r>
  <r>
    <x v="7"/>
    <x v="3"/>
    <x v="0"/>
    <x v="1"/>
    <n v="0"/>
    <x v="0"/>
  </r>
  <r>
    <x v="7"/>
    <x v="3"/>
    <x v="0"/>
    <x v="2"/>
    <n v="0"/>
    <x v="0"/>
  </r>
  <r>
    <x v="7"/>
    <x v="3"/>
    <x v="0"/>
    <x v="3"/>
    <n v="0"/>
    <x v="0"/>
  </r>
  <r>
    <x v="7"/>
    <x v="3"/>
    <x v="0"/>
    <x v="4"/>
    <n v="0"/>
    <x v="0"/>
  </r>
  <r>
    <x v="7"/>
    <x v="3"/>
    <x v="0"/>
    <x v="5"/>
    <n v="0"/>
    <x v="0"/>
  </r>
  <r>
    <x v="7"/>
    <x v="3"/>
    <x v="0"/>
    <x v="6"/>
    <n v="0"/>
    <x v="0"/>
  </r>
  <r>
    <x v="7"/>
    <x v="3"/>
    <x v="0"/>
    <x v="7"/>
    <n v="0"/>
    <x v="0"/>
  </r>
  <r>
    <x v="7"/>
    <x v="3"/>
    <x v="0"/>
    <x v="8"/>
    <n v="0"/>
    <x v="0"/>
  </r>
  <r>
    <x v="7"/>
    <x v="3"/>
    <x v="0"/>
    <x v="9"/>
    <n v="0"/>
    <x v="0"/>
  </r>
  <r>
    <x v="7"/>
    <x v="3"/>
    <x v="0"/>
    <x v="10"/>
    <n v="0"/>
    <x v="0"/>
  </r>
  <r>
    <x v="7"/>
    <x v="3"/>
    <x v="0"/>
    <x v="11"/>
    <n v="0"/>
    <x v="0"/>
  </r>
  <r>
    <x v="7"/>
    <x v="3"/>
    <x v="1"/>
    <x v="0"/>
    <n v="1"/>
    <x v="0"/>
  </r>
  <r>
    <x v="7"/>
    <x v="3"/>
    <x v="1"/>
    <x v="1"/>
    <n v="0"/>
    <x v="0"/>
  </r>
  <r>
    <x v="7"/>
    <x v="3"/>
    <x v="1"/>
    <x v="2"/>
    <n v="0"/>
    <x v="0"/>
  </r>
  <r>
    <x v="7"/>
    <x v="3"/>
    <x v="1"/>
    <x v="3"/>
    <n v="0"/>
    <x v="0"/>
  </r>
  <r>
    <x v="7"/>
    <x v="3"/>
    <x v="1"/>
    <x v="4"/>
    <n v="0"/>
    <x v="0"/>
  </r>
  <r>
    <x v="7"/>
    <x v="3"/>
    <x v="1"/>
    <x v="5"/>
    <n v="0"/>
    <x v="0"/>
  </r>
  <r>
    <x v="7"/>
    <x v="3"/>
    <x v="1"/>
    <x v="6"/>
    <n v="0"/>
    <x v="0"/>
  </r>
  <r>
    <x v="7"/>
    <x v="3"/>
    <x v="1"/>
    <x v="7"/>
    <n v="0"/>
    <x v="0"/>
  </r>
  <r>
    <x v="7"/>
    <x v="3"/>
    <x v="1"/>
    <x v="8"/>
    <n v="0"/>
    <x v="0"/>
  </r>
  <r>
    <x v="7"/>
    <x v="3"/>
    <x v="1"/>
    <x v="9"/>
    <n v="0"/>
    <x v="0"/>
  </r>
  <r>
    <x v="7"/>
    <x v="3"/>
    <x v="1"/>
    <x v="10"/>
    <n v="0"/>
    <x v="0"/>
  </r>
  <r>
    <x v="7"/>
    <x v="3"/>
    <x v="1"/>
    <x v="11"/>
    <n v="0"/>
    <x v="0"/>
  </r>
  <r>
    <x v="7"/>
    <x v="3"/>
    <x v="2"/>
    <x v="0"/>
    <n v="1"/>
    <x v="0"/>
  </r>
  <r>
    <x v="7"/>
    <x v="3"/>
    <x v="2"/>
    <x v="1"/>
    <n v="0"/>
    <x v="0"/>
  </r>
  <r>
    <x v="7"/>
    <x v="3"/>
    <x v="2"/>
    <x v="2"/>
    <n v="0"/>
    <x v="0"/>
  </r>
  <r>
    <x v="7"/>
    <x v="3"/>
    <x v="2"/>
    <x v="3"/>
    <n v="0"/>
    <x v="0"/>
  </r>
  <r>
    <x v="7"/>
    <x v="3"/>
    <x v="2"/>
    <x v="4"/>
    <n v="0"/>
    <x v="0"/>
  </r>
  <r>
    <x v="7"/>
    <x v="3"/>
    <x v="2"/>
    <x v="5"/>
    <n v="0"/>
    <x v="0"/>
  </r>
  <r>
    <x v="7"/>
    <x v="3"/>
    <x v="2"/>
    <x v="6"/>
    <n v="0"/>
    <x v="0"/>
  </r>
  <r>
    <x v="7"/>
    <x v="3"/>
    <x v="2"/>
    <x v="7"/>
    <n v="0"/>
    <x v="0"/>
  </r>
  <r>
    <x v="7"/>
    <x v="3"/>
    <x v="2"/>
    <x v="8"/>
    <n v="0"/>
    <x v="0"/>
  </r>
  <r>
    <x v="7"/>
    <x v="3"/>
    <x v="2"/>
    <x v="9"/>
    <n v="0"/>
    <x v="0"/>
  </r>
  <r>
    <x v="7"/>
    <x v="3"/>
    <x v="2"/>
    <x v="10"/>
    <n v="0"/>
    <x v="0"/>
  </r>
  <r>
    <x v="7"/>
    <x v="3"/>
    <x v="2"/>
    <x v="11"/>
    <n v="0"/>
    <x v="0"/>
  </r>
  <r>
    <x v="7"/>
    <x v="3"/>
    <x v="3"/>
    <x v="0"/>
    <n v="1"/>
    <x v="0"/>
  </r>
  <r>
    <x v="7"/>
    <x v="3"/>
    <x v="3"/>
    <x v="1"/>
    <n v="0"/>
    <x v="0"/>
  </r>
  <r>
    <x v="7"/>
    <x v="3"/>
    <x v="3"/>
    <x v="2"/>
    <n v="0"/>
    <x v="0"/>
  </r>
  <r>
    <x v="7"/>
    <x v="3"/>
    <x v="3"/>
    <x v="3"/>
    <n v="0"/>
    <x v="0"/>
  </r>
  <r>
    <x v="7"/>
    <x v="3"/>
    <x v="3"/>
    <x v="4"/>
    <n v="0"/>
    <x v="0"/>
  </r>
  <r>
    <x v="7"/>
    <x v="3"/>
    <x v="3"/>
    <x v="5"/>
    <n v="0"/>
    <x v="0"/>
  </r>
  <r>
    <x v="7"/>
    <x v="3"/>
    <x v="3"/>
    <x v="6"/>
    <n v="0"/>
    <x v="0"/>
  </r>
  <r>
    <x v="7"/>
    <x v="3"/>
    <x v="3"/>
    <x v="7"/>
    <n v="0"/>
    <x v="0"/>
  </r>
  <r>
    <x v="7"/>
    <x v="3"/>
    <x v="3"/>
    <x v="8"/>
    <n v="0"/>
    <x v="0"/>
  </r>
  <r>
    <x v="7"/>
    <x v="3"/>
    <x v="3"/>
    <x v="9"/>
    <n v="0"/>
    <x v="0"/>
  </r>
  <r>
    <x v="7"/>
    <x v="3"/>
    <x v="3"/>
    <x v="10"/>
    <n v="0"/>
    <x v="0"/>
  </r>
  <r>
    <x v="7"/>
    <x v="3"/>
    <x v="3"/>
    <x v="11"/>
    <n v="0"/>
    <x v="0"/>
  </r>
  <r>
    <x v="7"/>
    <x v="3"/>
    <x v="4"/>
    <x v="0"/>
    <n v="1"/>
    <x v="1"/>
  </r>
  <r>
    <x v="7"/>
    <x v="3"/>
    <x v="4"/>
    <x v="1"/>
    <n v="0"/>
    <x v="1"/>
  </r>
  <r>
    <x v="7"/>
    <x v="3"/>
    <x v="4"/>
    <x v="2"/>
    <n v="0"/>
    <x v="1"/>
  </r>
  <r>
    <x v="7"/>
    <x v="3"/>
    <x v="4"/>
    <x v="3"/>
    <n v="0"/>
    <x v="1"/>
  </r>
  <r>
    <x v="7"/>
    <x v="3"/>
    <x v="4"/>
    <x v="4"/>
    <n v="0"/>
    <x v="1"/>
  </r>
  <r>
    <x v="7"/>
    <x v="3"/>
    <x v="4"/>
    <x v="5"/>
    <n v="0"/>
    <x v="1"/>
  </r>
  <r>
    <x v="7"/>
    <x v="3"/>
    <x v="4"/>
    <x v="6"/>
    <n v="0"/>
    <x v="1"/>
  </r>
  <r>
    <x v="7"/>
    <x v="3"/>
    <x v="4"/>
    <x v="7"/>
    <n v="0"/>
    <x v="1"/>
  </r>
  <r>
    <x v="7"/>
    <x v="3"/>
    <x v="4"/>
    <x v="8"/>
    <n v="0"/>
    <x v="1"/>
  </r>
  <r>
    <x v="7"/>
    <x v="3"/>
    <x v="4"/>
    <x v="9"/>
    <n v="0"/>
    <x v="1"/>
  </r>
  <r>
    <x v="7"/>
    <x v="3"/>
    <x v="4"/>
    <x v="10"/>
    <n v="0"/>
    <x v="1"/>
  </r>
  <r>
    <x v="7"/>
    <x v="3"/>
    <x v="4"/>
    <x v="11"/>
    <n v="0"/>
    <x v="1"/>
  </r>
  <r>
    <x v="7"/>
    <x v="3"/>
    <x v="5"/>
    <x v="0"/>
    <n v="1"/>
    <x v="1"/>
  </r>
  <r>
    <x v="7"/>
    <x v="3"/>
    <x v="6"/>
    <x v="0"/>
    <n v="1"/>
    <x v="1"/>
  </r>
  <r>
    <x v="7"/>
    <x v="4"/>
    <x v="0"/>
    <x v="0"/>
    <n v="0"/>
    <x v="0"/>
  </r>
  <r>
    <x v="7"/>
    <x v="4"/>
    <x v="0"/>
    <x v="1"/>
    <n v="0"/>
    <x v="0"/>
  </r>
  <r>
    <x v="7"/>
    <x v="4"/>
    <x v="0"/>
    <x v="2"/>
    <n v="0"/>
    <x v="0"/>
  </r>
  <r>
    <x v="7"/>
    <x v="4"/>
    <x v="0"/>
    <x v="3"/>
    <n v="0"/>
    <x v="0"/>
  </r>
  <r>
    <x v="7"/>
    <x v="4"/>
    <x v="0"/>
    <x v="4"/>
    <n v="0"/>
    <x v="0"/>
  </r>
  <r>
    <x v="7"/>
    <x v="4"/>
    <x v="0"/>
    <x v="5"/>
    <n v="0"/>
    <x v="0"/>
  </r>
  <r>
    <x v="7"/>
    <x v="4"/>
    <x v="0"/>
    <x v="6"/>
    <n v="0"/>
    <x v="0"/>
  </r>
  <r>
    <x v="7"/>
    <x v="4"/>
    <x v="0"/>
    <x v="7"/>
    <n v="0"/>
    <x v="0"/>
  </r>
  <r>
    <x v="7"/>
    <x v="4"/>
    <x v="0"/>
    <x v="8"/>
    <n v="0"/>
    <x v="0"/>
  </r>
  <r>
    <x v="7"/>
    <x v="4"/>
    <x v="0"/>
    <x v="9"/>
    <n v="0"/>
    <x v="0"/>
  </r>
  <r>
    <x v="7"/>
    <x v="4"/>
    <x v="0"/>
    <x v="10"/>
    <n v="0"/>
    <x v="0"/>
  </r>
  <r>
    <x v="7"/>
    <x v="4"/>
    <x v="0"/>
    <x v="11"/>
    <n v="0"/>
    <x v="0"/>
  </r>
  <r>
    <x v="7"/>
    <x v="4"/>
    <x v="1"/>
    <x v="0"/>
    <n v="0"/>
    <x v="0"/>
  </r>
  <r>
    <x v="7"/>
    <x v="4"/>
    <x v="1"/>
    <x v="1"/>
    <n v="0"/>
    <x v="0"/>
  </r>
  <r>
    <x v="7"/>
    <x v="4"/>
    <x v="1"/>
    <x v="2"/>
    <n v="0"/>
    <x v="0"/>
  </r>
  <r>
    <x v="7"/>
    <x v="4"/>
    <x v="1"/>
    <x v="3"/>
    <n v="0"/>
    <x v="0"/>
  </r>
  <r>
    <x v="7"/>
    <x v="4"/>
    <x v="1"/>
    <x v="4"/>
    <n v="0"/>
    <x v="0"/>
  </r>
  <r>
    <x v="7"/>
    <x v="4"/>
    <x v="1"/>
    <x v="5"/>
    <n v="0"/>
    <x v="0"/>
  </r>
  <r>
    <x v="7"/>
    <x v="4"/>
    <x v="1"/>
    <x v="6"/>
    <n v="0"/>
    <x v="0"/>
  </r>
  <r>
    <x v="7"/>
    <x v="4"/>
    <x v="1"/>
    <x v="7"/>
    <n v="0"/>
    <x v="0"/>
  </r>
  <r>
    <x v="7"/>
    <x v="4"/>
    <x v="1"/>
    <x v="8"/>
    <n v="0"/>
    <x v="0"/>
  </r>
  <r>
    <x v="7"/>
    <x v="4"/>
    <x v="1"/>
    <x v="9"/>
    <n v="0"/>
    <x v="0"/>
  </r>
  <r>
    <x v="7"/>
    <x v="4"/>
    <x v="1"/>
    <x v="10"/>
    <n v="0"/>
    <x v="0"/>
  </r>
  <r>
    <x v="7"/>
    <x v="4"/>
    <x v="1"/>
    <x v="11"/>
    <n v="0"/>
    <x v="0"/>
  </r>
  <r>
    <x v="7"/>
    <x v="4"/>
    <x v="2"/>
    <x v="0"/>
    <n v="0"/>
    <x v="0"/>
  </r>
  <r>
    <x v="7"/>
    <x v="4"/>
    <x v="2"/>
    <x v="1"/>
    <n v="0"/>
    <x v="0"/>
  </r>
  <r>
    <x v="7"/>
    <x v="4"/>
    <x v="2"/>
    <x v="2"/>
    <n v="0"/>
    <x v="0"/>
  </r>
  <r>
    <x v="7"/>
    <x v="4"/>
    <x v="2"/>
    <x v="3"/>
    <n v="0"/>
    <x v="0"/>
  </r>
  <r>
    <x v="7"/>
    <x v="4"/>
    <x v="2"/>
    <x v="4"/>
    <n v="0"/>
    <x v="0"/>
  </r>
  <r>
    <x v="7"/>
    <x v="4"/>
    <x v="2"/>
    <x v="5"/>
    <n v="0"/>
    <x v="0"/>
  </r>
  <r>
    <x v="7"/>
    <x v="4"/>
    <x v="2"/>
    <x v="6"/>
    <n v="0"/>
    <x v="0"/>
  </r>
  <r>
    <x v="7"/>
    <x v="4"/>
    <x v="2"/>
    <x v="7"/>
    <n v="0"/>
    <x v="0"/>
  </r>
  <r>
    <x v="7"/>
    <x v="4"/>
    <x v="2"/>
    <x v="8"/>
    <n v="0"/>
    <x v="0"/>
  </r>
  <r>
    <x v="7"/>
    <x v="4"/>
    <x v="2"/>
    <x v="9"/>
    <n v="0"/>
    <x v="0"/>
  </r>
  <r>
    <x v="7"/>
    <x v="4"/>
    <x v="2"/>
    <x v="10"/>
    <n v="0"/>
    <x v="0"/>
  </r>
  <r>
    <x v="7"/>
    <x v="4"/>
    <x v="2"/>
    <x v="11"/>
    <n v="0"/>
    <x v="0"/>
  </r>
  <r>
    <x v="7"/>
    <x v="4"/>
    <x v="3"/>
    <x v="0"/>
    <n v="0"/>
    <x v="0"/>
  </r>
  <r>
    <x v="7"/>
    <x v="4"/>
    <x v="3"/>
    <x v="1"/>
    <n v="0"/>
    <x v="0"/>
  </r>
  <r>
    <x v="7"/>
    <x v="4"/>
    <x v="3"/>
    <x v="2"/>
    <n v="0"/>
    <x v="0"/>
  </r>
  <r>
    <x v="7"/>
    <x v="4"/>
    <x v="3"/>
    <x v="3"/>
    <n v="0"/>
    <x v="0"/>
  </r>
  <r>
    <x v="7"/>
    <x v="4"/>
    <x v="3"/>
    <x v="4"/>
    <n v="0"/>
    <x v="0"/>
  </r>
  <r>
    <x v="7"/>
    <x v="4"/>
    <x v="3"/>
    <x v="5"/>
    <n v="0"/>
    <x v="0"/>
  </r>
  <r>
    <x v="7"/>
    <x v="4"/>
    <x v="3"/>
    <x v="6"/>
    <n v="0"/>
    <x v="0"/>
  </r>
  <r>
    <x v="7"/>
    <x v="4"/>
    <x v="3"/>
    <x v="7"/>
    <n v="0"/>
    <x v="0"/>
  </r>
  <r>
    <x v="7"/>
    <x v="4"/>
    <x v="3"/>
    <x v="8"/>
    <n v="0"/>
    <x v="0"/>
  </r>
  <r>
    <x v="7"/>
    <x v="4"/>
    <x v="3"/>
    <x v="9"/>
    <n v="0"/>
    <x v="0"/>
  </r>
  <r>
    <x v="7"/>
    <x v="4"/>
    <x v="3"/>
    <x v="10"/>
    <n v="0"/>
    <x v="0"/>
  </r>
  <r>
    <x v="7"/>
    <x v="4"/>
    <x v="3"/>
    <x v="11"/>
    <n v="0"/>
    <x v="0"/>
  </r>
  <r>
    <x v="7"/>
    <x v="4"/>
    <x v="4"/>
    <x v="0"/>
    <n v="1"/>
    <x v="1"/>
  </r>
  <r>
    <x v="7"/>
    <x v="4"/>
    <x v="4"/>
    <x v="1"/>
    <n v="0"/>
    <x v="1"/>
  </r>
  <r>
    <x v="7"/>
    <x v="4"/>
    <x v="4"/>
    <x v="2"/>
    <n v="0"/>
    <x v="1"/>
  </r>
  <r>
    <x v="7"/>
    <x v="4"/>
    <x v="4"/>
    <x v="3"/>
    <n v="0"/>
    <x v="1"/>
  </r>
  <r>
    <x v="7"/>
    <x v="4"/>
    <x v="4"/>
    <x v="4"/>
    <n v="0"/>
    <x v="1"/>
  </r>
  <r>
    <x v="7"/>
    <x v="4"/>
    <x v="4"/>
    <x v="5"/>
    <n v="0"/>
    <x v="1"/>
  </r>
  <r>
    <x v="7"/>
    <x v="4"/>
    <x v="4"/>
    <x v="6"/>
    <n v="0"/>
    <x v="1"/>
  </r>
  <r>
    <x v="7"/>
    <x v="4"/>
    <x v="4"/>
    <x v="7"/>
    <n v="0"/>
    <x v="1"/>
  </r>
  <r>
    <x v="7"/>
    <x v="4"/>
    <x v="4"/>
    <x v="8"/>
    <n v="0"/>
    <x v="1"/>
  </r>
  <r>
    <x v="7"/>
    <x v="4"/>
    <x v="4"/>
    <x v="9"/>
    <n v="0"/>
    <x v="1"/>
  </r>
  <r>
    <x v="7"/>
    <x v="4"/>
    <x v="4"/>
    <x v="10"/>
    <n v="0"/>
    <x v="1"/>
  </r>
  <r>
    <x v="7"/>
    <x v="4"/>
    <x v="4"/>
    <x v="11"/>
    <n v="0"/>
    <x v="1"/>
  </r>
  <r>
    <x v="7"/>
    <x v="4"/>
    <x v="5"/>
    <x v="0"/>
    <n v="1"/>
    <x v="1"/>
  </r>
  <r>
    <x v="7"/>
    <x v="4"/>
    <x v="6"/>
    <x v="0"/>
    <n v="1"/>
    <x v="1"/>
  </r>
  <r>
    <x v="7"/>
    <x v="5"/>
    <x v="0"/>
    <x v="0"/>
    <n v="1"/>
    <x v="0"/>
  </r>
  <r>
    <x v="7"/>
    <x v="5"/>
    <x v="0"/>
    <x v="1"/>
    <n v="0"/>
    <x v="0"/>
  </r>
  <r>
    <x v="7"/>
    <x v="5"/>
    <x v="0"/>
    <x v="2"/>
    <n v="0"/>
    <x v="0"/>
  </r>
  <r>
    <x v="7"/>
    <x v="5"/>
    <x v="0"/>
    <x v="3"/>
    <n v="0"/>
    <x v="0"/>
  </r>
  <r>
    <x v="7"/>
    <x v="5"/>
    <x v="0"/>
    <x v="4"/>
    <n v="0"/>
    <x v="0"/>
  </r>
  <r>
    <x v="7"/>
    <x v="5"/>
    <x v="0"/>
    <x v="5"/>
    <n v="0"/>
    <x v="0"/>
  </r>
  <r>
    <x v="7"/>
    <x v="5"/>
    <x v="0"/>
    <x v="6"/>
    <n v="0"/>
    <x v="0"/>
  </r>
  <r>
    <x v="7"/>
    <x v="5"/>
    <x v="0"/>
    <x v="7"/>
    <n v="0"/>
    <x v="0"/>
  </r>
  <r>
    <x v="7"/>
    <x v="5"/>
    <x v="0"/>
    <x v="8"/>
    <n v="0"/>
    <x v="0"/>
  </r>
  <r>
    <x v="7"/>
    <x v="5"/>
    <x v="0"/>
    <x v="9"/>
    <n v="0"/>
    <x v="0"/>
  </r>
  <r>
    <x v="7"/>
    <x v="5"/>
    <x v="0"/>
    <x v="10"/>
    <n v="0"/>
    <x v="0"/>
  </r>
  <r>
    <x v="7"/>
    <x v="5"/>
    <x v="0"/>
    <x v="11"/>
    <n v="0"/>
    <x v="0"/>
  </r>
  <r>
    <x v="7"/>
    <x v="5"/>
    <x v="1"/>
    <x v="0"/>
    <n v="1"/>
    <x v="0"/>
  </r>
  <r>
    <x v="7"/>
    <x v="5"/>
    <x v="1"/>
    <x v="1"/>
    <n v="0"/>
    <x v="0"/>
  </r>
  <r>
    <x v="7"/>
    <x v="5"/>
    <x v="1"/>
    <x v="2"/>
    <n v="0"/>
    <x v="0"/>
  </r>
  <r>
    <x v="7"/>
    <x v="5"/>
    <x v="1"/>
    <x v="3"/>
    <n v="0"/>
    <x v="0"/>
  </r>
  <r>
    <x v="7"/>
    <x v="5"/>
    <x v="1"/>
    <x v="4"/>
    <n v="0"/>
    <x v="0"/>
  </r>
  <r>
    <x v="7"/>
    <x v="5"/>
    <x v="1"/>
    <x v="5"/>
    <n v="0"/>
    <x v="0"/>
  </r>
  <r>
    <x v="7"/>
    <x v="5"/>
    <x v="1"/>
    <x v="6"/>
    <n v="0"/>
    <x v="0"/>
  </r>
  <r>
    <x v="7"/>
    <x v="5"/>
    <x v="1"/>
    <x v="7"/>
    <n v="0"/>
    <x v="0"/>
  </r>
  <r>
    <x v="7"/>
    <x v="5"/>
    <x v="1"/>
    <x v="8"/>
    <n v="0"/>
    <x v="0"/>
  </r>
  <r>
    <x v="7"/>
    <x v="5"/>
    <x v="1"/>
    <x v="9"/>
    <n v="0"/>
    <x v="0"/>
  </r>
  <r>
    <x v="7"/>
    <x v="5"/>
    <x v="1"/>
    <x v="10"/>
    <n v="0"/>
    <x v="0"/>
  </r>
  <r>
    <x v="7"/>
    <x v="5"/>
    <x v="1"/>
    <x v="11"/>
    <n v="0"/>
    <x v="0"/>
  </r>
  <r>
    <x v="7"/>
    <x v="5"/>
    <x v="2"/>
    <x v="0"/>
    <n v="1"/>
    <x v="0"/>
  </r>
  <r>
    <x v="7"/>
    <x v="5"/>
    <x v="2"/>
    <x v="1"/>
    <n v="0"/>
    <x v="0"/>
  </r>
  <r>
    <x v="7"/>
    <x v="5"/>
    <x v="2"/>
    <x v="2"/>
    <n v="0"/>
    <x v="0"/>
  </r>
  <r>
    <x v="7"/>
    <x v="5"/>
    <x v="2"/>
    <x v="3"/>
    <n v="0"/>
    <x v="0"/>
  </r>
  <r>
    <x v="7"/>
    <x v="5"/>
    <x v="2"/>
    <x v="4"/>
    <n v="0"/>
    <x v="0"/>
  </r>
  <r>
    <x v="7"/>
    <x v="5"/>
    <x v="2"/>
    <x v="5"/>
    <n v="0"/>
    <x v="0"/>
  </r>
  <r>
    <x v="7"/>
    <x v="5"/>
    <x v="2"/>
    <x v="6"/>
    <n v="0"/>
    <x v="0"/>
  </r>
  <r>
    <x v="7"/>
    <x v="5"/>
    <x v="2"/>
    <x v="7"/>
    <n v="0"/>
    <x v="0"/>
  </r>
  <r>
    <x v="7"/>
    <x v="5"/>
    <x v="2"/>
    <x v="8"/>
    <n v="0"/>
    <x v="0"/>
  </r>
  <r>
    <x v="7"/>
    <x v="5"/>
    <x v="2"/>
    <x v="9"/>
    <n v="0"/>
    <x v="0"/>
  </r>
  <r>
    <x v="7"/>
    <x v="5"/>
    <x v="2"/>
    <x v="10"/>
    <n v="0"/>
    <x v="0"/>
  </r>
  <r>
    <x v="7"/>
    <x v="5"/>
    <x v="2"/>
    <x v="11"/>
    <n v="0"/>
    <x v="0"/>
  </r>
  <r>
    <x v="7"/>
    <x v="5"/>
    <x v="3"/>
    <x v="0"/>
    <n v="1"/>
    <x v="0"/>
  </r>
  <r>
    <x v="7"/>
    <x v="5"/>
    <x v="3"/>
    <x v="1"/>
    <n v="0"/>
    <x v="0"/>
  </r>
  <r>
    <x v="7"/>
    <x v="5"/>
    <x v="3"/>
    <x v="2"/>
    <n v="0"/>
    <x v="0"/>
  </r>
  <r>
    <x v="7"/>
    <x v="5"/>
    <x v="3"/>
    <x v="3"/>
    <n v="0"/>
    <x v="0"/>
  </r>
  <r>
    <x v="7"/>
    <x v="5"/>
    <x v="3"/>
    <x v="4"/>
    <n v="0"/>
    <x v="0"/>
  </r>
  <r>
    <x v="7"/>
    <x v="5"/>
    <x v="3"/>
    <x v="5"/>
    <n v="0"/>
    <x v="0"/>
  </r>
  <r>
    <x v="7"/>
    <x v="5"/>
    <x v="3"/>
    <x v="6"/>
    <n v="0"/>
    <x v="0"/>
  </r>
  <r>
    <x v="7"/>
    <x v="5"/>
    <x v="3"/>
    <x v="7"/>
    <n v="0"/>
    <x v="0"/>
  </r>
  <r>
    <x v="7"/>
    <x v="5"/>
    <x v="3"/>
    <x v="8"/>
    <n v="0"/>
    <x v="0"/>
  </r>
  <r>
    <x v="7"/>
    <x v="5"/>
    <x v="3"/>
    <x v="9"/>
    <n v="0"/>
    <x v="0"/>
  </r>
  <r>
    <x v="7"/>
    <x v="5"/>
    <x v="3"/>
    <x v="10"/>
    <n v="0"/>
    <x v="0"/>
  </r>
  <r>
    <x v="7"/>
    <x v="5"/>
    <x v="3"/>
    <x v="11"/>
    <n v="0"/>
    <x v="0"/>
  </r>
  <r>
    <x v="7"/>
    <x v="5"/>
    <x v="4"/>
    <x v="0"/>
    <n v="1"/>
    <x v="1"/>
  </r>
  <r>
    <x v="7"/>
    <x v="5"/>
    <x v="4"/>
    <x v="1"/>
    <n v="0"/>
    <x v="1"/>
  </r>
  <r>
    <x v="7"/>
    <x v="5"/>
    <x v="4"/>
    <x v="2"/>
    <n v="0"/>
    <x v="1"/>
  </r>
  <r>
    <x v="7"/>
    <x v="5"/>
    <x v="4"/>
    <x v="3"/>
    <n v="0"/>
    <x v="1"/>
  </r>
  <r>
    <x v="7"/>
    <x v="5"/>
    <x v="4"/>
    <x v="4"/>
    <n v="0"/>
    <x v="1"/>
  </r>
  <r>
    <x v="7"/>
    <x v="5"/>
    <x v="4"/>
    <x v="5"/>
    <n v="0"/>
    <x v="1"/>
  </r>
  <r>
    <x v="7"/>
    <x v="5"/>
    <x v="4"/>
    <x v="6"/>
    <n v="0"/>
    <x v="1"/>
  </r>
  <r>
    <x v="7"/>
    <x v="5"/>
    <x v="4"/>
    <x v="7"/>
    <n v="0"/>
    <x v="1"/>
  </r>
  <r>
    <x v="7"/>
    <x v="5"/>
    <x v="4"/>
    <x v="8"/>
    <n v="0"/>
    <x v="1"/>
  </r>
  <r>
    <x v="7"/>
    <x v="5"/>
    <x v="4"/>
    <x v="9"/>
    <n v="0"/>
    <x v="1"/>
  </r>
  <r>
    <x v="7"/>
    <x v="5"/>
    <x v="4"/>
    <x v="10"/>
    <n v="0"/>
    <x v="1"/>
  </r>
  <r>
    <x v="7"/>
    <x v="5"/>
    <x v="4"/>
    <x v="11"/>
    <n v="0"/>
    <x v="1"/>
  </r>
  <r>
    <x v="7"/>
    <x v="5"/>
    <x v="5"/>
    <x v="0"/>
    <n v="1"/>
    <x v="1"/>
  </r>
  <r>
    <x v="7"/>
    <x v="5"/>
    <x v="6"/>
    <x v="0"/>
    <n v="1"/>
    <x v="1"/>
  </r>
  <r>
    <x v="7"/>
    <x v="6"/>
    <x v="0"/>
    <x v="0"/>
    <n v="1"/>
    <x v="0"/>
  </r>
  <r>
    <x v="7"/>
    <x v="6"/>
    <x v="0"/>
    <x v="1"/>
    <n v="0"/>
    <x v="0"/>
  </r>
  <r>
    <x v="7"/>
    <x v="6"/>
    <x v="0"/>
    <x v="2"/>
    <n v="0"/>
    <x v="0"/>
  </r>
  <r>
    <x v="7"/>
    <x v="6"/>
    <x v="0"/>
    <x v="3"/>
    <n v="0"/>
    <x v="0"/>
  </r>
  <r>
    <x v="7"/>
    <x v="6"/>
    <x v="0"/>
    <x v="4"/>
    <n v="0"/>
    <x v="0"/>
  </r>
  <r>
    <x v="7"/>
    <x v="6"/>
    <x v="0"/>
    <x v="5"/>
    <n v="0"/>
    <x v="0"/>
  </r>
  <r>
    <x v="7"/>
    <x v="6"/>
    <x v="0"/>
    <x v="6"/>
    <n v="0"/>
    <x v="0"/>
  </r>
  <r>
    <x v="7"/>
    <x v="6"/>
    <x v="0"/>
    <x v="7"/>
    <n v="0"/>
    <x v="0"/>
  </r>
  <r>
    <x v="7"/>
    <x v="6"/>
    <x v="0"/>
    <x v="8"/>
    <n v="0"/>
    <x v="0"/>
  </r>
  <r>
    <x v="7"/>
    <x v="6"/>
    <x v="0"/>
    <x v="9"/>
    <n v="0"/>
    <x v="0"/>
  </r>
  <r>
    <x v="7"/>
    <x v="6"/>
    <x v="0"/>
    <x v="10"/>
    <n v="0"/>
    <x v="0"/>
  </r>
  <r>
    <x v="7"/>
    <x v="6"/>
    <x v="0"/>
    <x v="11"/>
    <n v="0"/>
    <x v="0"/>
  </r>
  <r>
    <x v="7"/>
    <x v="6"/>
    <x v="1"/>
    <x v="0"/>
    <n v="1"/>
    <x v="0"/>
  </r>
  <r>
    <x v="7"/>
    <x v="6"/>
    <x v="1"/>
    <x v="1"/>
    <n v="0"/>
    <x v="0"/>
  </r>
  <r>
    <x v="7"/>
    <x v="6"/>
    <x v="1"/>
    <x v="2"/>
    <n v="0"/>
    <x v="0"/>
  </r>
  <r>
    <x v="7"/>
    <x v="6"/>
    <x v="1"/>
    <x v="3"/>
    <n v="0"/>
    <x v="0"/>
  </r>
  <r>
    <x v="7"/>
    <x v="6"/>
    <x v="1"/>
    <x v="4"/>
    <n v="0"/>
    <x v="0"/>
  </r>
  <r>
    <x v="7"/>
    <x v="6"/>
    <x v="1"/>
    <x v="5"/>
    <n v="0"/>
    <x v="0"/>
  </r>
  <r>
    <x v="7"/>
    <x v="6"/>
    <x v="1"/>
    <x v="6"/>
    <n v="0"/>
    <x v="0"/>
  </r>
  <r>
    <x v="7"/>
    <x v="6"/>
    <x v="1"/>
    <x v="7"/>
    <n v="0"/>
    <x v="0"/>
  </r>
  <r>
    <x v="7"/>
    <x v="6"/>
    <x v="1"/>
    <x v="8"/>
    <n v="0"/>
    <x v="0"/>
  </r>
  <r>
    <x v="7"/>
    <x v="6"/>
    <x v="1"/>
    <x v="9"/>
    <n v="0"/>
    <x v="0"/>
  </r>
  <r>
    <x v="7"/>
    <x v="6"/>
    <x v="1"/>
    <x v="10"/>
    <n v="0"/>
    <x v="0"/>
  </r>
  <r>
    <x v="7"/>
    <x v="6"/>
    <x v="1"/>
    <x v="11"/>
    <n v="0"/>
    <x v="0"/>
  </r>
  <r>
    <x v="7"/>
    <x v="6"/>
    <x v="2"/>
    <x v="0"/>
    <n v="1"/>
    <x v="0"/>
  </r>
  <r>
    <x v="7"/>
    <x v="6"/>
    <x v="2"/>
    <x v="1"/>
    <n v="0"/>
    <x v="0"/>
  </r>
  <r>
    <x v="7"/>
    <x v="6"/>
    <x v="2"/>
    <x v="2"/>
    <n v="0"/>
    <x v="0"/>
  </r>
  <r>
    <x v="7"/>
    <x v="6"/>
    <x v="2"/>
    <x v="3"/>
    <n v="0"/>
    <x v="0"/>
  </r>
  <r>
    <x v="7"/>
    <x v="6"/>
    <x v="2"/>
    <x v="4"/>
    <n v="0"/>
    <x v="0"/>
  </r>
  <r>
    <x v="7"/>
    <x v="6"/>
    <x v="2"/>
    <x v="5"/>
    <n v="0"/>
    <x v="0"/>
  </r>
  <r>
    <x v="7"/>
    <x v="6"/>
    <x v="2"/>
    <x v="6"/>
    <n v="0"/>
    <x v="0"/>
  </r>
  <r>
    <x v="7"/>
    <x v="6"/>
    <x v="2"/>
    <x v="7"/>
    <n v="0"/>
    <x v="0"/>
  </r>
  <r>
    <x v="7"/>
    <x v="6"/>
    <x v="2"/>
    <x v="8"/>
    <n v="0"/>
    <x v="0"/>
  </r>
  <r>
    <x v="7"/>
    <x v="6"/>
    <x v="2"/>
    <x v="9"/>
    <n v="0"/>
    <x v="0"/>
  </r>
  <r>
    <x v="7"/>
    <x v="6"/>
    <x v="2"/>
    <x v="10"/>
    <n v="0"/>
    <x v="0"/>
  </r>
  <r>
    <x v="7"/>
    <x v="6"/>
    <x v="2"/>
    <x v="11"/>
    <n v="0"/>
    <x v="0"/>
  </r>
  <r>
    <x v="7"/>
    <x v="6"/>
    <x v="3"/>
    <x v="0"/>
    <n v="1"/>
    <x v="0"/>
  </r>
  <r>
    <x v="7"/>
    <x v="6"/>
    <x v="3"/>
    <x v="1"/>
    <n v="0"/>
    <x v="0"/>
  </r>
  <r>
    <x v="7"/>
    <x v="6"/>
    <x v="3"/>
    <x v="2"/>
    <n v="0"/>
    <x v="0"/>
  </r>
  <r>
    <x v="7"/>
    <x v="6"/>
    <x v="3"/>
    <x v="3"/>
    <n v="0"/>
    <x v="0"/>
  </r>
  <r>
    <x v="7"/>
    <x v="6"/>
    <x v="3"/>
    <x v="4"/>
    <n v="0"/>
    <x v="0"/>
  </r>
  <r>
    <x v="7"/>
    <x v="6"/>
    <x v="3"/>
    <x v="5"/>
    <n v="0"/>
    <x v="0"/>
  </r>
  <r>
    <x v="7"/>
    <x v="6"/>
    <x v="3"/>
    <x v="6"/>
    <n v="0"/>
    <x v="0"/>
  </r>
  <r>
    <x v="7"/>
    <x v="6"/>
    <x v="3"/>
    <x v="7"/>
    <n v="0"/>
    <x v="0"/>
  </r>
  <r>
    <x v="7"/>
    <x v="6"/>
    <x v="3"/>
    <x v="8"/>
    <n v="0"/>
    <x v="0"/>
  </r>
  <r>
    <x v="7"/>
    <x v="6"/>
    <x v="3"/>
    <x v="9"/>
    <n v="0"/>
    <x v="0"/>
  </r>
  <r>
    <x v="7"/>
    <x v="6"/>
    <x v="3"/>
    <x v="10"/>
    <n v="0"/>
    <x v="0"/>
  </r>
  <r>
    <x v="7"/>
    <x v="6"/>
    <x v="3"/>
    <x v="11"/>
    <n v="0"/>
    <x v="0"/>
  </r>
  <r>
    <x v="7"/>
    <x v="6"/>
    <x v="4"/>
    <x v="0"/>
    <n v="0"/>
    <x v="1"/>
  </r>
  <r>
    <x v="7"/>
    <x v="6"/>
    <x v="4"/>
    <x v="1"/>
    <n v="0"/>
    <x v="1"/>
  </r>
  <r>
    <x v="7"/>
    <x v="6"/>
    <x v="4"/>
    <x v="2"/>
    <n v="0"/>
    <x v="1"/>
  </r>
  <r>
    <x v="7"/>
    <x v="6"/>
    <x v="4"/>
    <x v="3"/>
    <n v="0"/>
    <x v="1"/>
  </r>
  <r>
    <x v="7"/>
    <x v="6"/>
    <x v="4"/>
    <x v="4"/>
    <n v="0"/>
    <x v="1"/>
  </r>
  <r>
    <x v="7"/>
    <x v="6"/>
    <x v="4"/>
    <x v="5"/>
    <n v="0"/>
    <x v="1"/>
  </r>
  <r>
    <x v="7"/>
    <x v="6"/>
    <x v="4"/>
    <x v="6"/>
    <n v="0"/>
    <x v="1"/>
  </r>
  <r>
    <x v="7"/>
    <x v="6"/>
    <x v="4"/>
    <x v="7"/>
    <n v="0"/>
    <x v="1"/>
  </r>
  <r>
    <x v="7"/>
    <x v="6"/>
    <x v="4"/>
    <x v="8"/>
    <n v="0"/>
    <x v="1"/>
  </r>
  <r>
    <x v="7"/>
    <x v="6"/>
    <x v="4"/>
    <x v="9"/>
    <n v="0"/>
    <x v="1"/>
  </r>
  <r>
    <x v="7"/>
    <x v="6"/>
    <x v="4"/>
    <x v="10"/>
    <n v="0"/>
    <x v="1"/>
  </r>
  <r>
    <x v="7"/>
    <x v="6"/>
    <x v="4"/>
    <x v="11"/>
    <n v="0"/>
    <x v="1"/>
  </r>
  <r>
    <x v="7"/>
    <x v="6"/>
    <x v="5"/>
    <x v="0"/>
    <n v="0"/>
    <x v="1"/>
  </r>
  <r>
    <x v="7"/>
    <x v="6"/>
    <x v="6"/>
    <x v="0"/>
    <n v="0"/>
    <x v="1"/>
  </r>
  <r>
    <x v="7"/>
    <x v="7"/>
    <x v="0"/>
    <x v="0"/>
    <n v="0"/>
    <x v="0"/>
  </r>
  <r>
    <x v="7"/>
    <x v="7"/>
    <x v="0"/>
    <x v="1"/>
    <n v="0"/>
    <x v="0"/>
  </r>
  <r>
    <x v="7"/>
    <x v="7"/>
    <x v="0"/>
    <x v="2"/>
    <n v="0"/>
    <x v="0"/>
  </r>
  <r>
    <x v="7"/>
    <x v="7"/>
    <x v="0"/>
    <x v="3"/>
    <n v="0"/>
    <x v="0"/>
  </r>
  <r>
    <x v="7"/>
    <x v="7"/>
    <x v="0"/>
    <x v="4"/>
    <n v="0"/>
    <x v="0"/>
  </r>
  <r>
    <x v="7"/>
    <x v="7"/>
    <x v="0"/>
    <x v="5"/>
    <n v="0"/>
    <x v="0"/>
  </r>
  <r>
    <x v="7"/>
    <x v="7"/>
    <x v="0"/>
    <x v="6"/>
    <n v="0"/>
    <x v="0"/>
  </r>
  <r>
    <x v="7"/>
    <x v="7"/>
    <x v="0"/>
    <x v="7"/>
    <n v="0"/>
    <x v="0"/>
  </r>
  <r>
    <x v="7"/>
    <x v="7"/>
    <x v="0"/>
    <x v="8"/>
    <n v="0"/>
    <x v="0"/>
  </r>
  <r>
    <x v="7"/>
    <x v="7"/>
    <x v="0"/>
    <x v="9"/>
    <n v="0"/>
    <x v="0"/>
  </r>
  <r>
    <x v="7"/>
    <x v="7"/>
    <x v="0"/>
    <x v="10"/>
    <n v="0"/>
    <x v="0"/>
  </r>
  <r>
    <x v="7"/>
    <x v="7"/>
    <x v="0"/>
    <x v="11"/>
    <n v="0"/>
    <x v="0"/>
  </r>
  <r>
    <x v="7"/>
    <x v="7"/>
    <x v="1"/>
    <x v="0"/>
    <n v="0"/>
    <x v="0"/>
  </r>
  <r>
    <x v="7"/>
    <x v="7"/>
    <x v="1"/>
    <x v="1"/>
    <n v="0"/>
    <x v="0"/>
  </r>
  <r>
    <x v="7"/>
    <x v="7"/>
    <x v="1"/>
    <x v="2"/>
    <n v="0"/>
    <x v="0"/>
  </r>
  <r>
    <x v="7"/>
    <x v="7"/>
    <x v="1"/>
    <x v="3"/>
    <n v="0"/>
    <x v="0"/>
  </r>
  <r>
    <x v="7"/>
    <x v="7"/>
    <x v="1"/>
    <x v="4"/>
    <n v="0"/>
    <x v="0"/>
  </r>
  <r>
    <x v="7"/>
    <x v="7"/>
    <x v="1"/>
    <x v="5"/>
    <n v="0"/>
    <x v="0"/>
  </r>
  <r>
    <x v="7"/>
    <x v="7"/>
    <x v="1"/>
    <x v="6"/>
    <n v="0"/>
    <x v="0"/>
  </r>
  <r>
    <x v="7"/>
    <x v="7"/>
    <x v="1"/>
    <x v="7"/>
    <n v="0"/>
    <x v="0"/>
  </r>
  <r>
    <x v="7"/>
    <x v="7"/>
    <x v="1"/>
    <x v="8"/>
    <n v="0"/>
    <x v="0"/>
  </r>
  <r>
    <x v="7"/>
    <x v="7"/>
    <x v="1"/>
    <x v="9"/>
    <n v="0"/>
    <x v="0"/>
  </r>
  <r>
    <x v="7"/>
    <x v="7"/>
    <x v="1"/>
    <x v="10"/>
    <n v="0"/>
    <x v="0"/>
  </r>
  <r>
    <x v="7"/>
    <x v="7"/>
    <x v="1"/>
    <x v="11"/>
    <n v="0"/>
    <x v="0"/>
  </r>
  <r>
    <x v="7"/>
    <x v="7"/>
    <x v="2"/>
    <x v="0"/>
    <n v="0"/>
    <x v="0"/>
  </r>
  <r>
    <x v="7"/>
    <x v="7"/>
    <x v="2"/>
    <x v="1"/>
    <n v="0"/>
    <x v="0"/>
  </r>
  <r>
    <x v="7"/>
    <x v="7"/>
    <x v="2"/>
    <x v="2"/>
    <n v="0"/>
    <x v="0"/>
  </r>
  <r>
    <x v="7"/>
    <x v="7"/>
    <x v="2"/>
    <x v="3"/>
    <n v="0"/>
    <x v="0"/>
  </r>
  <r>
    <x v="7"/>
    <x v="7"/>
    <x v="2"/>
    <x v="4"/>
    <n v="0"/>
    <x v="0"/>
  </r>
  <r>
    <x v="7"/>
    <x v="7"/>
    <x v="2"/>
    <x v="5"/>
    <n v="0"/>
    <x v="0"/>
  </r>
  <r>
    <x v="7"/>
    <x v="7"/>
    <x v="2"/>
    <x v="6"/>
    <n v="0"/>
    <x v="0"/>
  </r>
  <r>
    <x v="7"/>
    <x v="7"/>
    <x v="2"/>
    <x v="7"/>
    <n v="0"/>
    <x v="0"/>
  </r>
  <r>
    <x v="7"/>
    <x v="7"/>
    <x v="2"/>
    <x v="8"/>
    <n v="0"/>
    <x v="0"/>
  </r>
  <r>
    <x v="7"/>
    <x v="7"/>
    <x v="2"/>
    <x v="9"/>
    <n v="0"/>
    <x v="0"/>
  </r>
  <r>
    <x v="7"/>
    <x v="7"/>
    <x v="2"/>
    <x v="10"/>
    <n v="0"/>
    <x v="0"/>
  </r>
  <r>
    <x v="7"/>
    <x v="7"/>
    <x v="2"/>
    <x v="11"/>
    <n v="0"/>
    <x v="0"/>
  </r>
  <r>
    <x v="7"/>
    <x v="7"/>
    <x v="3"/>
    <x v="0"/>
    <n v="0"/>
    <x v="0"/>
  </r>
  <r>
    <x v="7"/>
    <x v="7"/>
    <x v="3"/>
    <x v="1"/>
    <n v="0"/>
    <x v="0"/>
  </r>
  <r>
    <x v="7"/>
    <x v="7"/>
    <x v="3"/>
    <x v="2"/>
    <n v="0"/>
    <x v="0"/>
  </r>
  <r>
    <x v="7"/>
    <x v="7"/>
    <x v="3"/>
    <x v="3"/>
    <n v="0"/>
    <x v="0"/>
  </r>
  <r>
    <x v="7"/>
    <x v="7"/>
    <x v="3"/>
    <x v="4"/>
    <n v="0"/>
    <x v="0"/>
  </r>
  <r>
    <x v="7"/>
    <x v="7"/>
    <x v="3"/>
    <x v="5"/>
    <n v="0"/>
    <x v="0"/>
  </r>
  <r>
    <x v="7"/>
    <x v="7"/>
    <x v="3"/>
    <x v="6"/>
    <n v="0"/>
    <x v="0"/>
  </r>
  <r>
    <x v="7"/>
    <x v="7"/>
    <x v="3"/>
    <x v="7"/>
    <n v="0"/>
    <x v="0"/>
  </r>
  <r>
    <x v="7"/>
    <x v="7"/>
    <x v="3"/>
    <x v="8"/>
    <n v="0"/>
    <x v="0"/>
  </r>
  <r>
    <x v="7"/>
    <x v="7"/>
    <x v="3"/>
    <x v="9"/>
    <n v="0"/>
    <x v="0"/>
  </r>
  <r>
    <x v="7"/>
    <x v="7"/>
    <x v="3"/>
    <x v="10"/>
    <n v="0"/>
    <x v="0"/>
  </r>
  <r>
    <x v="7"/>
    <x v="7"/>
    <x v="3"/>
    <x v="11"/>
    <n v="0"/>
    <x v="0"/>
  </r>
  <r>
    <x v="7"/>
    <x v="7"/>
    <x v="4"/>
    <x v="0"/>
    <n v="1"/>
    <x v="1"/>
  </r>
  <r>
    <x v="7"/>
    <x v="7"/>
    <x v="4"/>
    <x v="1"/>
    <n v="0"/>
    <x v="1"/>
  </r>
  <r>
    <x v="7"/>
    <x v="7"/>
    <x v="4"/>
    <x v="2"/>
    <n v="0"/>
    <x v="1"/>
  </r>
  <r>
    <x v="7"/>
    <x v="7"/>
    <x v="4"/>
    <x v="3"/>
    <n v="0"/>
    <x v="1"/>
  </r>
  <r>
    <x v="7"/>
    <x v="7"/>
    <x v="4"/>
    <x v="4"/>
    <n v="0"/>
    <x v="1"/>
  </r>
  <r>
    <x v="7"/>
    <x v="7"/>
    <x v="4"/>
    <x v="5"/>
    <n v="0"/>
    <x v="1"/>
  </r>
  <r>
    <x v="7"/>
    <x v="7"/>
    <x v="4"/>
    <x v="6"/>
    <n v="0"/>
    <x v="1"/>
  </r>
  <r>
    <x v="7"/>
    <x v="7"/>
    <x v="4"/>
    <x v="7"/>
    <n v="0"/>
    <x v="1"/>
  </r>
  <r>
    <x v="7"/>
    <x v="7"/>
    <x v="4"/>
    <x v="8"/>
    <n v="0"/>
    <x v="1"/>
  </r>
  <r>
    <x v="7"/>
    <x v="7"/>
    <x v="4"/>
    <x v="9"/>
    <n v="0"/>
    <x v="1"/>
  </r>
  <r>
    <x v="7"/>
    <x v="7"/>
    <x v="4"/>
    <x v="10"/>
    <n v="0"/>
    <x v="1"/>
  </r>
  <r>
    <x v="7"/>
    <x v="7"/>
    <x v="4"/>
    <x v="11"/>
    <n v="0"/>
    <x v="1"/>
  </r>
  <r>
    <x v="7"/>
    <x v="7"/>
    <x v="5"/>
    <x v="0"/>
    <n v="1"/>
    <x v="1"/>
  </r>
  <r>
    <x v="7"/>
    <x v="7"/>
    <x v="6"/>
    <x v="0"/>
    <n v="1"/>
    <x v="1"/>
  </r>
  <r>
    <x v="7"/>
    <x v="8"/>
    <x v="0"/>
    <x v="0"/>
    <n v="0"/>
    <x v="0"/>
  </r>
  <r>
    <x v="7"/>
    <x v="8"/>
    <x v="0"/>
    <x v="1"/>
    <n v="0"/>
    <x v="0"/>
  </r>
  <r>
    <x v="7"/>
    <x v="8"/>
    <x v="0"/>
    <x v="2"/>
    <n v="0"/>
    <x v="0"/>
  </r>
  <r>
    <x v="7"/>
    <x v="8"/>
    <x v="0"/>
    <x v="3"/>
    <n v="0"/>
    <x v="0"/>
  </r>
  <r>
    <x v="7"/>
    <x v="8"/>
    <x v="0"/>
    <x v="4"/>
    <n v="0"/>
    <x v="0"/>
  </r>
  <r>
    <x v="7"/>
    <x v="8"/>
    <x v="0"/>
    <x v="5"/>
    <n v="0"/>
    <x v="0"/>
  </r>
  <r>
    <x v="7"/>
    <x v="8"/>
    <x v="0"/>
    <x v="6"/>
    <n v="0"/>
    <x v="0"/>
  </r>
  <r>
    <x v="7"/>
    <x v="8"/>
    <x v="0"/>
    <x v="7"/>
    <n v="0"/>
    <x v="0"/>
  </r>
  <r>
    <x v="7"/>
    <x v="8"/>
    <x v="0"/>
    <x v="8"/>
    <n v="0"/>
    <x v="0"/>
  </r>
  <r>
    <x v="7"/>
    <x v="8"/>
    <x v="0"/>
    <x v="9"/>
    <n v="0"/>
    <x v="0"/>
  </r>
  <r>
    <x v="7"/>
    <x v="8"/>
    <x v="0"/>
    <x v="10"/>
    <n v="0"/>
    <x v="0"/>
  </r>
  <r>
    <x v="7"/>
    <x v="8"/>
    <x v="0"/>
    <x v="11"/>
    <n v="0"/>
    <x v="0"/>
  </r>
  <r>
    <x v="7"/>
    <x v="8"/>
    <x v="1"/>
    <x v="0"/>
    <n v="0"/>
    <x v="0"/>
  </r>
  <r>
    <x v="7"/>
    <x v="8"/>
    <x v="1"/>
    <x v="1"/>
    <n v="0"/>
    <x v="0"/>
  </r>
  <r>
    <x v="7"/>
    <x v="8"/>
    <x v="1"/>
    <x v="2"/>
    <n v="0"/>
    <x v="0"/>
  </r>
  <r>
    <x v="7"/>
    <x v="8"/>
    <x v="1"/>
    <x v="3"/>
    <n v="0"/>
    <x v="0"/>
  </r>
  <r>
    <x v="7"/>
    <x v="8"/>
    <x v="1"/>
    <x v="4"/>
    <n v="0"/>
    <x v="0"/>
  </r>
  <r>
    <x v="7"/>
    <x v="8"/>
    <x v="1"/>
    <x v="5"/>
    <n v="0"/>
    <x v="0"/>
  </r>
  <r>
    <x v="7"/>
    <x v="8"/>
    <x v="1"/>
    <x v="6"/>
    <n v="0"/>
    <x v="0"/>
  </r>
  <r>
    <x v="7"/>
    <x v="8"/>
    <x v="1"/>
    <x v="7"/>
    <n v="0"/>
    <x v="0"/>
  </r>
  <r>
    <x v="7"/>
    <x v="8"/>
    <x v="1"/>
    <x v="8"/>
    <n v="0"/>
    <x v="0"/>
  </r>
  <r>
    <x v="7"/>
    <x v="8"/>
    <x v="1"/>
    <x v="9"/>
    <n v="0"/>
    <x v="0"/>
  </r>
  <r>
    <x v="7"/>
    <x v="8"/>
    <x v="1"/>
    <x v="10"/>
    <n v="0"/>
    <x v="0"/>
  </r>
  <r>
    <x v="7"/>
    <x v="8"/>
    <x v="1"/>
    <x v="11"/>
    <n v="0"/>
    <x v="0"/>
  </r>
  <r>
    <x v="7"/>
    <x v="8"/>
    <x v="2"/>
    <x v="0"/>
    <n v="0"/>
    <x v="0"/>
  </r>
  <r>
    <x v="7"/>
    <x v="8"/>
    <x v="2"/>
    <x v="1"/>
    <n v="0"/>
    <x v="0"/>
  </r>
  <r>
    <x v="7"/>
    <x v="8"/>
    <x v="2"/>
    <x v="2"/>
    <n v="0"/>
    <x v="0"/>
  </r>
  <r>
    <x v="7"/>
    <x v="8"/>
    <x v="2"/>
    <x v="3"/>
    <n v="0"/>
    <x v="0"/>
  </r>
  <r>
    <x v="7"/>
    <x v="8"/>
    <x v="2"/>
    <x v="4"/>
    <n v="0"/>
    <x v="0"/>
  </r>
  <r>
    <x v="7"/>
    <x v="8"/>
    <x v="2"/>
    <x v="5"/>
    <n v="0"/>
    <x v="0"/>
  </r>
  <r>
    <x v="7"/>
    <x v="8"/>
    <x v="2"/>
    <x v="6"/>
    <n v="0"/>
    <x v="0"/>
  </r>
  <r>
    <x v="7"/>
    <x v="8"/>
    <x v="2"/>
    <x v="7"/>
    <n v="0"/>
    <x v="0"/>
  </r>
  <r>
    <x v="7"/>
    <x v="8"/>
    <x v="2"/>
    <x v="8"/>
    <n v="0"/>
    <x v="0"/>
  </r>
  <r>
    <x v="7"/>
    <x v="8"/>
    <x v="2"/>
    <x v="9"/>
    <n v="0"/>
    <x v="0"/>
  </r>
  <r>
    <x v="7"/>
    <x v="8"/>
    <x v="2"/>
    <x v="10"/>
    <n v="0"/>
    <x v="0"/>
  </r>
  <r>
    <x v="7"/>
    <x v="8"/>
    <x v="2"/>
    <x v="11"/>
    <n v="0"/>
    <x v="0"/>
  </r>
  <r>
    <x v="7"/>
    <x v="8"/>
    <x v="3"/>
    <x v="0"/>
    <n v="0"/>
    <x v="0"/>
  </r>
  <r>
    <x v="7"/>
    <x v="8"/>
    <x v="3"/>
    <x v="1"/>
    <n v="0"/>
    <x v="0"/>
  </r>
  <r>
    <x v="7"/>
    <x v="8"/>
    <x v="3"/>
    <x v="2"/>
    <n v="0"/>
    <x v="0"/>
  </r>
  <r>
    <x v="7"/>
    <x v="8"/>
    <x v="3"/>
    <x v="3"/>
    <n v="0"/>
    <x v="0"/>
  </r>
  <r>
    <x v="7"/>
    <x v="8"/>
    <x v="3"/>
    <x v="4"/>
    <n v="0"/>
    <x v="0"/>
  </r>
  <r>
    <x v="7"/>
    <x v="8"/>
    <x v="3"/>
    <x v="5"/>
    <n v="0"/>
    <x v="0"/>
  </r>
  <r>
    <x v="7"/>
    <x v="8"/>
    <x v="3"/>
    <x v="6"/>
    <n v="0"/>
    <x v="0"/>
  </r>
  <r>
    <x v="7"/>
    <x v="8"/>
    <x v="3"/>
    <x v="7"/>
    <n v="0"/>
    <x v="0"/>
  </r>
  <r>
    <x v="7"/>
    <x v="8"/>
    <x v="3"/>
    <x v="8"/>
    <n v="0"/>
    <x v="0"/>
  </r>
  <r>
    <x v="7"/>
    <x v="8"/>
    <x v="3"/>
    <x v="9"/>
    <n v="0"/>
    <x v="0"/>
  </r>
  <r>
    <x v="7"/>
    <x v="8"/>
    <x v="3"/>
    <x v="10"/>
    <n v="0"/>
    <x v="0"/>
  </r>
  <r>
    <x v="7"/>
    <x v="8"/>
    <x v="3"/>
    <x v="11"/>
    <n v="0"/>
    <x v="0"/>
  </r>
  <r>
    <x v="7"/>
    <x v="8"/>
    <x v="4"/>
    <x v="0"/>
    <n v="1"/>
    <x v="1"/>
  </r>
  <r>
    <x v="7"/>
    <x v="8"/>
    <x v="4"/>
    <x v="1"/>
    <n v="0"/>
    <x v="1"/>
  </r>
  <r>
    <x v="7"/>
    <x v="8"/>
    <x v="4"/>
    <x v="2"/>
    <n v="0"/>
    <x v="1"/>
  </r>
  <r>
    <x v="7"/>
    <x v="8"/>
    <x v="4"/>
    <x v="3"/>
    <n v="0"/>
    <x v="1"/>
  </r>
  <r>
    <x v="7"/>
    <x v="8"/>
    <x v="4"/>
    <x v="4"/>
    <n v="0"/>
    <x v="1"/>
  </r>
  <r>
    <x v="7"/>
    <x v="8"/>
    <x v="4"/>
    <x v="5"/>
    <n v="0"/>
    <x v="1"/>
  </r>
  <r>
    <x v="7"/>
    <x v="8"/>
    <x v="4"/>
    <x v="6"/>
    <n v="0"/>
    <x v="1"/>
  </r>
  <r>
    <x v="7"/>
    <x v="8"/>
    <x v="4"/>
    <x v="7"/>
    <n v="0"/>
    <x v="1"/>
  </r>
  <r>
    <x v="7"/>
    <x v="8"/>
    <x v="4"/>
    <x v="8"/>
    <n v="0"/>
    <x v="1"/>
  </r>
  <r>
    <x v="7"/>
    <x v="8"/>
    <x v="4"/>
    <x v="9"/>
    <n v="0"/>
    <x v="1"/>
  </r>
  <r>
    <x v="7"/>
    <x v="8"/>
    <x v="4"/>
    <x v="10"/>
    <n v="0"/>
    <x v="1"/>
  </r>
  <r>
    <x v="7"/>
    <x v="8"/>
    <x v="4"/>
    <x v="11"/>
    <n v="0"/>
    <x v="1"/>
  </r>
  <r>
    <x v="7"/>
    <x v="8"/>
    <x v="5"/>
    <x v="0"/>
    <n v="1"/>
    <x v="1"/>
  </r>
  <r>
    <x v="7"/>
    <x v="8"/>
    <x v="6"/>
    <x v="0"/>
    <n v="1"/>
    <x v="1"/>
  </r>
  <r>
    <x v="7"/>
    <x v="9"/>
    <x v="0"/>
    <x v="0"/>
    <n v="0"/>
    <x v="0"/>
  </r>
  <r>
    <x v="7"/>
    <x v="9"/>
    <x v="0"/>
    <x v="1"/>
    <n v="0"/>
    <x v="0"/>
  </r>
  <r>
    <x v="7"/>
    <x v="9"/>
    <x v="0"/>
    <x v="2"/>
    <n v="0"/>
    <x v="0"/>
  </r>
  <r>
    <x v="7"/>
    <x v="9"/>
    <x v="0"/>
    <x v="3"/>
    <n v="0"/>
    <x v="0"/>
  </r>
  <r>
    <x v="7"/>
    <x v="9"/>
    <x v="0"/>
    <x v="4"/>
    <n v="0"/>
    <x v="0"/>
  </r>
  <r>
    <x v="7"/>
    <x v="9"/>
    <x v="0"/>
    <x v="5"/>
    <n v="0"/>
    <x v="0"/>
  </r>
  <r>
    <x v="7"/>
    <x v="9"/>
    <x v="0"/>
    <x v="6"/>
    <n v="0"/>
    <x v="0"/>
  </r>
  <r>
    <x v="7"/>
    <x v="9"/>
    <x v="0"/>
    <x v="7"/>
    <n v="0"/>
    <x v="0"/>
  </r>
  <r>
    <x v="7"/>
    <x v="9"/>
    <x v="0"/>
    <x v="8"/>
    <n v="0"/>
    <x v="0"/>
  </r>
  <r>
    <x v="7"/>
    <x v="9"/>
    <x v="0"/>
    <x v="9"/>
    <n v="0"/>
    <x v="0"/>
  </r>
  <r>
    <x v="7"/>
    <x v="9"/>
    <x v="0"/>
    <x v="10"/>
    <n v="0"/>
    <x v="0"/>
  </r>
  <r>
    <x v="7"/>
    <x v="9"/>
    <x v="0"/>
    <x v="11"/>
    <n v="0"/>
    <x v="0"/>
  </r>
  <r>
    <x v="7"/>
    <x v="9"/>
    <x v="1"/>
    <x v="0"/>
    <n v="0"/>
    <x v="0"/>
  </r>
  <r>
    <x v="7"/>
    <x v="9"/>
    <x v="1"/>
    <x v="1"/>
    <n v="0"/>
    <x v="0"/>
  </r>
  <r>
    <x v="7"/>
    <x v="9"/>
    <x v="1"/>
    <x v="2"/>
    <n v="0"/>
    <x v="0"/>
  </r>
  <r>
    <x v="7"/>
    <x v="9"/>
    <x v="1"/>
    <x v="3"/>
    <n v="0"/>
    <x v="0"/>
  </r>
  <r>
    <x v="7"/>
    <x v="9"/>
    <x v="1"/>
    <x v="4"/>
    <n v="0"/>
    <x v="0"/>
  </r>
  <r>
    <x v="7"/>
    <x v="9"/>
    <x v="1"/>
    <x v="5"/>
    <n v="0"/>
    <x v="0"/>
  </r>
  <r>
    <x v="7"/>
    <x v="9"/>
    <x v="1"/>
    <x v="6"/>
    <n v="0"/>
    <x v="0"/>
  </r>
  <r>
    <x v="7"/>
    <x v="9"/>
    <x v="1"/>
    <x v="7"/>
    <n v="0"/>
    <x v="0"/>
  </r>
  <r>
    <x v="7"/>
    <x v="9"/>
    <x v="1"/>
    <x v="8"/>
    <n v="0"/>
    <x v="0"/>
  </r>
  <r>
    <x v="7"/>
    <x v="9"/>
    <x v="1"/>
    <x v="9"/>
    <n v="0"/>
    <x v="0"/>
  </r>
  <r>
    <x v="7"/>
    <x v="9"/>
    <x v="1"/>
    <x v="10"/>
    <n v="0"/>
    <x v="0"/>
  </r>
  <r>
    <x v="7"/>
    <x v="9"/>
    <x v="1"/>
    <x v="11"/>
    <n v="0"/>
    <x v="0"/>
  </r>
  <r>
    <x v="7"/>
    <x v="9"/>
    <x v="2"/>
    <x v="0"/>
    <n v="0"/>
    <x v="0"/>
  </r>
  <r>
    <x v="7"/>
    <x v="9"/>
    <x v="2"/>
    <x v="1"/>
    <n v="0"/>
    <x v="0"/>
  </r>
  <r>
    <x v="7"/>
    <x v="9"/>
    <x v="2"/>
    <x v="2"/>
    <n v="0"/>
    <x v="0"/>
  </r>
  <r>
    <x v="7"/>
    <x v="9"/>
    <x v="2"/>
    <x v="3"/>
    <n v="0"/>
    <x v="0"/>
  </r>
  <r>
    <x v="7"/>
    <x v="9"/>
    <x v="2"/>
    <x v="4"/>
    <n v="0"/>
    <x v="0"/>
  </r>
  <r>
    <x v="7"/>
    <x v="9"/>
    <x v="2"/>
    <x v="5"/>
    <n v="0"/>
    <x v="0"/>
  </r>
  <r>
    <x v="7"/>
    <x v="9"/>
    <x v="2"/>
    <x v="6"/>
    <n v="0"/>
    <x v="0"/>
  </r>
  <r>
    <x v="7"/>
    <x v="9"/>
    <x v="2"/>
    <x v="7"/>
    <n v="0"/>
    <x v="0"/>
  </r>
  <r>
    <x v="7"/>
    <x v="9"/>
    <x v="2"/>
    <x v="8"/>
    <n v="0"/>
    <x v="0"/>
  </r>
  <r>
    <x v="7"/>
    <x v="9"/>
    <x v="2"/>
    <x v="9"/>
    <n v="0"/>
    <x v="0"/>
  </r>
  <r>
    <x v="7"/>
    <x v="9"/>
    <x v="2"/>
    <x v="10"/>
    <n v="0"/>
    <x v="0"/>
  </r>
  <r>
    <x v="7"/>
    <x v="9"/>
    <x v="2"/>
    <x v="11"/>
    <n v="0"/>
    <x v="0"/>
  </r>
  <r>
    <x v="7"/>
    <x v="9"/>
    <x v="3"/>
    <x v="0"/>
    <n v="0"/>
    <x v="0"/>
  </r>
  <r>
    <x v="7"/>
    <x v="9"/>
    <x v="3"/>
    <x v="1"/>
    <n v="0"/>
    <x v="0"/>
  </r>
  <r>
    <x v="7"/>
    <x v="9"/>
    <x v="3"/>
    <x v="2"/>
    <n v="0"/>
    <x v="0"/>
  </r>
  <r>
    <x v="7"/>
    <x v="9"/>
    <x v="3"/>
    <x v="3"/>
    <n v="0"/>
    <x v="0"/>
  </r>
  <r>
    <x v="7"/>
    <x v="9"/>
    <x v="3"/>
    <x v="4"/>
    <n v="0"/>
    <x v="0"/>
  </r>
  <r>
    <x v="7"/>
    <x v="9"/>
    <x v="3"/>
    <x v="5"/>
    <n v="0"/>
    <x v="0"/>
  </r>
  <r>
    <x v="7"/>
    <x v="9"/>
    <x v="3"/>
    <x v="6"/>
    <n v="0"/>
    <x v="0"/>
  </r>
  <r>
    <x v="7"/>
    <x v="9"/>
    <x v="3"/>
    <x v="7"/>
    <n v="0"/>
    <x v="0"/>
  </r>
  <r>
    <x v="7"/>
    <x v="9"/>
    <x v="3"/>
    <x v="8"/>
    <n v="0"/>
    <x v="0"/>
  </r>
  <r>
    <x v="7"/>
    <x v="9"/>
    <x v="3"/>
    <x v="9"/>
    <n v="0"/>
    <x v="0"/>
  </r>
  <r>
    <x v="7"/>
    <x v="9"/>
    <x v="3"/>
    <x v="10"/>
    <n v="0"/>
    <x v="0"/>
  </r>
  <r>
    <x v="7"/>
    <x v="9"/>
    <x v="3"/>
    <x v="11"/>
    <n v="0"/>
    <x v="0"/>
  </r>
  <r>
    <x v="7"/>
    <x v="9"/>
    <x v="4"/>
    <x v="0"/>
    <n v="0"/>
    <x v="1"/>
  </r>
  <r>
    <x v="7"/>
    <x v="9"/>
    <x v="4"/>
    <x v="1"/>
    <n v="0"/>
    <x v="1"/>
  </r>
  <r>
    <x v="7"/>
    <x v="9"/>
    <x v="4"/>
    <x v="2"/>
    <n v="0"/>
    <x v="1"/>
  </r>
  <r>
    <x v="7"/>
    <x v="9"/>
    <x v="4"/>
    <x v="3"/>
    <n v="0"/>
    <x v="1"/>
  </r>
  <r>
    <x v="7"/>
    <x v="9"/>
    <x v="4"/>
    <x v="4"/>
    <n v="0"/>
    <x v="1"/>
  </r>
  <r>
    <x v="7"/>
    <x v="9"/>
    <x v="4"/>
    <x v="5"/>
    <n v="0"/>
    <x v="1"/>
  </r>
  <r>
    <x v="7"/>
    <x v="9"/>
    <x v="4"/>
    <x v="6"/>
    <n v="0"/>
    <x v="1"/>
  </r>
  <r>
    <x v="7"/>
    <x v="9"/>
    <x v="4"/>
    <x v="7"/>
    <n v="0"/>
    <x v="1"/>
  </r>
  <r>
    <x v="7"/>
    <x v="9"/>
    <x v="4"/>
    <x v="8"/>
    <n v="0"/>
    <x v="1"/>
  </r>
  <r>
    <x v="7"/>
    <x v="9"/>
    <x v="4"/>
    <x v="9"/>
    <n v="0"/>
    <x v="1"/>
  </r>
  <r>
    <x v="7"/>
    <x v="9"/>
    <x v="4"/>
    <x v="10"/>
    <n v="0"/>
    <x v="1"/>
  </r>
  <r>
    <x v="7"/>
    <x v="9"/>
    <x v="4"/>
    <x v="11"/>
    <n v="0"/>
    <x v="1"/>
  </r>
  <r>
    <x v="7"/>
    <x v="9"/>
    <x v="5"/>
    <x v="0"/>
    <n v="0"/>
    <x v="1"/>
  </r>
  <r>
    <x v="7"/>
    <x v="9"/>
    <x v="6"/>
    <x v="0"/>
    <n v="0"/>
    <x v="1"/>
  </r>
  <r>
    <x v="7"/>
    <x v="10"/>
    <x v="0"/>
    <x v="0"/>
    <n v="1"/>
    <x v="0"/>
  </r>
  <r>
    <x v="7"/>
    <x v="10"/>
    <x v="0"/>
    <x v="1"/>
    <n v="0"/>
    <x v="0"/>
  </r>
  <r>
    <x v="7"/>
    <x v="10"/>
    <x v="0"/>
    <x v="2"/>
    <n v="0"/>
    <x v="0"/>
  </r>
  <r>
    <x v="7"/>
    <x v="10"/>
    <x v="0"/>
    <x v="3"/>
    <n v="0"/>
    <x v="0"/>
  </r>
  <r>
    <x v="7"/>
    <x v="10"/>
    <x v="0"/>
    <x v="4"/>
    <n v="0"/>
    <x v="0"/>
  </r>
  <r>
    <x v="7"/>
    <x v="10"/>
    <x v="0"/>
    <x v="5"/>
    <n v="0"/>
    <x v="0"/>
  </r>
  <r>
    <x v="7"/>
    <x v="10"/>
    <x v="0"/>
    <x v="6"/>
    <n v="0"/>
    <x v="0"/>
  </r>
  <r>
    <x v="7"/>
    <x v="10"/>
    <x v="0"/>
    <x v="7"/>
    <n v="0"/>
    <x v="0"/>
  </r>
  <r>
    <x v="7"/>
    <x v="10"/>
    <x v="0"/>
    <x v="8"/>
    <n v="0"/>
    <x v="0"/>
  </r>
  <r>
    <x v="7"/>
    <x v="10"/>
    <x v="0"/>
    <x v="9"/>
    <n v="0"/>
    <x v="0"/>
  </r>
  <r>
    <x v="7"/>
    <x v="10"/>
    <x v="0"/>
    <x v="10"/>
    <n v="0"/>
    <x v="0"/>
  </r>
  <r>
    <x v="7"/>
    <x v="10"/>
    <x v="0"/>
    <x v="11"/>
    <n v="0"/>
    <x v="0"/>
  </r>
  <r>
    <x v="7"/>
    <x v="10"/>
    <x v="1"/>
    <x v="0"/>
    <n v="1"/>
    <x v="0"/>
  </r>
  <r>
    <x v="7"/>
    <x v="10"/>
    <x v="1"/>
    <x v="1"/>
    <n v="0"/>
    <x v="0"/>
  </r>
  <r>
    <x v="7"/>
    <x v="10"/>
    <x v="1"/>
    <x v="2"/>
    <n v="0"/>
    <x v="0"/>
  </r>
  <r>
    <x v="7"/>
    <x v="10"/>
    <x v="1"/>
    <x v="3"/>
    <n v="0"/>
    <x v="0"/>
  </r>
  <r>
    <x v="7"/>
    <x v="10"/>
    <x v="1"/>
    <x v="4"/>
    <n v="0"/>
    <x v="0"/>
  </r>
  <r>
    <x v="7"/>
    <x v="10"/>
    <x v="1"/>
    <x v="5"/>
    <n v="0"/>
    <x v="0"/>
  </r>
  <r>
    <x v="7"/>
    <x v="10"/>
    <x v="1"/>
    <x v="6"/>
    <n v="0"/>
    <x v="0"/>
  </r>
  <r>
    <x v="7"/>
    <x v="10"/>
    <x v="1"/>
    <x v="7"/>
    <n v="0"/>
    <x v="0"/>
  </r>
  <r>
    <x v="7"/>
    <x v="10"/>
    <x v="1"/>
    <x v="8"/>
    <n v="0"/>
    <x v="0"/>
  </r>
  <r>
    <x v="7"/>
    <x v="10"/>
    <x v="1"/>
    <x v="9"/>
    <n v="0"/>
    <x v="0"/>
  </r>
  <r>
    <x v="7"/>
    <x v="10"/>
    <x v="1"/>
    <x v="10"/>
    <n v="0"/>
    <x v="0"/>
  </r>
  <r>
    <x v="7"/>
    <x v="10"/>
    <x v="1"/>
    <x v="11"/>
    <n v="0"/>
    <x v="0"/>
  </r>
  <r>
    <x v="7"/>
    <x v="10"/>
    <x v="2"/>
    <x v="0"/>
    <n v="1"/>
    <x v="0"/>
  </r>
  <r>
    <x v="7"/>
    <x v="10"/>
    <x v="2"/>
    <x v="1"/>
    <n v="0"/>
    <x v="0"/>
  </r>
  <r>
    <x v="7"/>
    <x v="10"/>
    <x v="2"/>
    <x v="2"/>
    <n v="0"/>
    <x v="0"/>
  </r>
  <r>
    <x v="7"/>
    <x v="10"/>
    <x v="2"/>
    <x v="3"/>
    <n v="0"/>
    <x v="0"/>
  </r>
  <r>
    <x v="7"/>
    <x v="10"/>
    <x v="2"/>
    <x v="4"/>
    <n v="0"/>
    <x v="0"/>
  </r>
  <r>
    <x v="7"/>
    <x v="10"/>
    <x v="2"/>
    <x v="5"/>
    <n v="0"/>
    <x v="0"/>
  </r>
  <r>
    <x v="7"/>
    <x v="10"/>
    <x v="2"/>
    <x v="6"/>
    <n v="0"/>
    <x v="0"/>
  </r>
  <r>
    <x v="7"/>
    <x v="10"/>
    <x v="2"/>
    <x v="7"/>
    <n v="0"/>
    <x v="0"/>
  </r>
  <r>
    <x v="7"/>
    <x v="10"/>
    <x v="2"/>
    <x v="8"/>
    <n v="0"/>
    <x v="0"/>
  </r>
  <r>
    <x v="7"/>
    <x v="10"/>
    <x v="2"/>
    <x v="9"/>
    <n v="0"/>
    <x v="0"/>
  </r>
  <r>
    <x v="7"/>
    <x v="10"/>
    <x v="2"/>
    <x v="10"/>
    <n v="0"/>
    <x v="0"/>
  </r>
  <r>
    <x v="7"/>
    <x v="10"/>
    <x v="2"/>
    <x v="11"/>
    <n v="0"/>
    <x v="0"/>
  </r>
  <r>
    <x v="7"/>
    <x v="10"/>
    <x v="3"/>
    <x v="0"/>
    <n v="1"/>
    <x v="0"/>
  </r>
  <r>
    <x v="7"/>
    <x v="10"/>
    <x v="3"/>
    <x v="1"/>
    <n v="0"/>
    <x v="0"/>
  </r>
  <r>
    <x v="7"/>
    <x v="10"/>
    <x v="3"/>
    <x v="2"/>
    <n v="0"/>
    <x v="0"/>
  </r>
  <r>
    <x v="7"/>
    <x v="10"/>
    <x v="3"/>
    <x v="3"/>
    <n v="0"/>
    <x v="0"/>
  </r>
  <r>
    <x v="7"/>
    <x v="10"/>
    <x v="3"/>
    <x v="4"/>
    <n v="0"/>
    <x v="0"/>
  </r>
  <r>
    <x v="7"/>
    <x v="10"/>
    <x v="3"/>
    <x v="5"/>
    <n v="0"/>
    <x v="0"/>
  </r>
  <r>
    <x v="7"/>
    <x v="10"/>
    <x v="3"/>
    <x v="6"/>
    <n v="0"/>
    <x v="0"/>
  </r>
  <r>
    <x v="7"/>
    <x v="10"/>
    <x v="3"/>
    <x v="7"/>
    <n v="0"/>
    <x v="0"/>
  </r>
  <r>
    <x v="7"/>
    <x v="10"/>
    <x v="3"/>
    <x v="8"/>
    <n v="0"/>
    <x v="0"/>
  </r>
  <r>
    <x v="7"/>
    <x v="10"/>
    <x v="3"/>
    <x v="9"/>
    <n v="0"/>
    <x v="0"/>
  </r>
  <r>
    <x v="7"/>
    <x v="10"/>
    <x v="3"/>
    <x v="10"/>
    <n v="0"/>
    <x v="0"/>
  </r>
  <r>
    <x v="7"/>
    <x v="10"/>
    <x v="3"/>
    <x v="11"/>
    <n v="0"/>
    <x v="0"/>
  </r>
  <r>
    <x v="7"/>
    <x v="10"/>
    <x v="4"/>
    <x v="0"/>
    <n v="0"/>
    <x v="1"/>
  </r>
  <r>
    <x v="7"/>
    <x v="10"/>
    <x v="4"/>
    <x v="1"/>
    <n v="0"/>
    <x v="1"/>
  </r>
  <r>
    <x v="7"/>
    <x v="10"/>
    <x v="4"/>
    <x v="2"/>
    <n v="0"/>
    <x v="1"/>
  </r>
  <r>
    <x v="7"/>
    <x v="10"/>
    <x v="4"/>
    <x v="3"/>
    <n v="0"/>
    <x v="1"/>
  </r>
  <r>
    <x v="7"/>
    <x v="10"/>
    <x v="4"/>
    <x v="4"/>
    <n v="0"/>
    <x v="1"/>
  </r>
  <r>
    <x v="7"/>
    <x v="10"/>
    <x v="4"/>
    <x v="5"/>
    <n v="0"/>
    <x v="1"/>
  </r>
  <r>
    <x v="7"/>
    <x v="10"/>
    <x v="4"/>
    <x v="6"/>
    <n v="0"/>
    <x v="1"/>
  </r>
  <r>
    <x v="7"/>
    <x v="10"/>
    <x v="4"/>
    <x v="7"/>
    <n v="0"/>
    <x v="1"/>
  </r>
  <r>
    <x v="7"/>
    <x v="10"/>
    <x v="4"/>
    <x v="8"/>
    <n v="0"/>
    <x v="1"/>
  </r>
  <r>
    <x v="7"/>
    <x v="10"/>
    <x v="4"/>
    <x v="9"/>
    <n v="0"/>
    <x v="1"/>
  </r>
  <r>
    <x v="7"/>
    <x v="10"/>
    <x v="4"/>
    <x v="10"/>
    <n v="0"/>
    <x v="1"/>
  </r>
  <r>
    <x v="7"/>
    <x v="10"/>
    <x v="4"/>
    <x v="11"/>
    <n v="0"/>
    <x v="1"/>
  </r>
  <r>
    <x v="7"/>
    <x v="10"/>
    <x v="5"/>
    <x v="0"/>
    <n v="0"/>
    <x v="1"/>
  </r>
  <r>
    <x v="7"/>
    <x v="10"/>
    <x v="6"/>
    <x v="0"/>
    <n v="0"/>
    <x v="1"/>
  </r>
  <r>
    <x v="7"/>
    <x v="11"/>
    <x v="0"/>
    <x v="0"/>
    <n v="1"/>
    <x v="0"/>
  </r>
  <r>
    <x v="7"/>
    <x v="11"/>
    <x v="0"/>
    <x v="1"/>
    <n v="0"/>
    <x v="0"/>
  </r>
  <r>
    <x v="7"/>
    <x v="11"/>
    <x v="0"/>
    <x v="2"/>
    <n v="0"/>
    <x v="0"/>
  </r>
  <r>
    <x v="7"/>
    <x v="11"/>
    <x v="0"/>
    <x v="3"/>
    <n v="0"/>
    <x v="0"/>
  </r>
  <r>
    <x v="7"/>
    <x v="11"/>
    <x v="0"/>
    <x v="4"/>
    <n v="0"/>
    <x v="0"/>
  </r>
  <r>
    <x v="7"/>
    <x v="11"/>
    <x v="0"/>
    <x v="5"/>
    <n v="0"/>
    <x v="0"/>
  </r>
  <r>
    <x v="7"/>
    <x v="11"/>
    <x v="0"/>
    <x v="6"/>
    <n v="0"/>
    <x v="0"/>
  </r>
  <r>
    <x v="7"/>
    <x v="11"/>
    <x v="0"/>
    <x v="7"/>
    <n v="0"/>
    <x v="0"/>
  </r>
  <r>
    <x v="7"/>
    <x v="11"/>
    <x v="0"/>
    <x v="8"/>
    <n v="0"/>
    <x v="0"/>
  </r>
  <r>
    <x v="7"/>
    <x v="11"/>
    <x v="0"/>
    <x v="9"/>
    <n v="0"/>
    <x v="0"/>
  </r>
  <r>
    <x v="7"/>
    <x v="11"/>
    <x v="0"/>
    <x v="10"/>
    <n v="0"/>
    <x v="0"/>
  </r>
  <r>
    <x v="7"/>
    <x v="11"/>
    <x v="0"/>
    <x v="11"/>
    <n v="0"/>
    <x v="0"/>
  </r>
  <r>
    <x v="7"/>
    <x v="11"/>
    <x v="1"/>
    <x v="0"/>
    <n v="1"/>
    <x v="0"/>
  </r>
  <r>
    <x v="7"/>
    <x v="11"/>
    <x v="1"/>
    <x v="1"/>
    <n v="0"/>
    <x v="0"/>
  </r>
  <r>
    <x v="7"/>
    <x v="11"/>
    <x v="1"/>
    <x v="2"/>
    <n v="0"/>
    <x v="0"/>
  </r>
  <r>
    <x v="7"/>
    <x v="11"/>
    <x v="1"/>
    <x v="3"/>
    <n v="0"/>
    <x v="0"/>
  </r>
  <r>
    <x v="7"/>
    <x v="11"/>
    <x v="1"/>
    <x v="4"/>
    <n v="0"/>
    <x v="0"/>
  </r>
  <r>
    <x v="7"/>
    <x v="11"/>
    <x v="1"/>
    <x v="5"/>
    <n v="0"/>
    <x v="0"/>
  </r>
  <r>
    <x v="7"/>
    <x v="11"/>
    <x v="1"/>
    <x v="6"/>
    <n v="0"/>
    <x v="0"/>
  </r>
  <r>
    <x v="7"/>
    <x v="11"/>
    <x v="1"/>
    <x v="7"/>
    <n v="0"/>
    <x v="0"/>
  </r>
  <r>
    <x v="7"/>
    <x v="11"/>
    <x v="1"/>
    <x v="8"/>
    <n v="0"/>
    <x v="0"/>
  </r>
  <r>
    <x v="7"/>
    <x v="11"/>
    <x v="1"/>
    <x v="9"/>
    <n v="0"/>
    <x v="0"/>
  </r>
  <r>
    <x v="7"/>
    <x v="11"/>
    <x v="1"/>
    <x v="10"/>
    <n v="0"/>
    <x v="0"/>
  </r>
  <r>
    <x v="7"/>
    <x v="11"/>
    <x v="1"/>
    <x v="11"/>
    <n v="0"/>
    <x v="0"/>
  </r>
  <r>
    <x v="7"/>
    <x v="11"/>
    <x v="2"/>
    <x v="0"/>
    <n v="1"/>
    <x v="0"/>
  </r>
  <r>
    <x v="7"/>
    <x v="11"/>
    <x v="2"/>
    <x v="1"/>
    <n v="0"/>
    <x v="0"/>
  </r>
  <r>
    <x v="7"/>
    <x v="11"/>
    <x v="2"/>
    <x v="2"/>
    <n v="0"/>
    <x v="0"/>
  </r>
  <r>
    <x v="7"/>
    <x v="11"/>
    <x v="2"/>
    <x v="3"/>
    <n v="0"/>
    <x v="0"/>
  </r>
  <r>
    <x v="7"/>
    <x v="11"/>
    <x v="2"/>
    <x v="4"/>
    <n v="0"/>
    <x v="0"/>
  </r>
  <r>
    <x v="7"/>
    <x v="11"/>
    <x v="2"/>
    <x v="5"/>
    <n v="0"/>
    <x v="0"/>
  </r>
  <r>
    <x v="7"/>
    <x v="11"/>
    <x v="2"/>
    <x v="6"/>
    <n v="0"/>
    <x v="0"/>
  </r>
  <r>
    <x v="7"/>
    <x v="11"/>
    <x v="2"/>
    <x v="7"/>
    <n v="0"/>
    <x v="0"/>
  </r>
  <r>
    <x v="7"/>
    <x v="11"/>
    <x v="2"/>
    <x v="8"/>
    <n v="0"/>
    <x v="0"/>
  </r>
  <r>
    <x v="7"/>
    <x v="11"/>
    <x v="2"/>
    <x v="9"/>
    <n v="0"/>
    <x v="0"/>
  </r>
  <r>
    <x v="7"/>
    <x v="11"/>
    <x v="2"/>
    <x v="10"/>
    <n v="0"/>
    <x v="0"/>
  </r>
  <r>
    <x v="7"/>
    <x v="11"/>
    <x v="2"/>
    <x v="11"/>
    <n v="0"/>
    <x v="0"/>
  </r>
  <r>
    <x v="7"/>
    <x v="11"/>
    <x v="3"/>
    <x v="0"/>
    <n v="1"/>
    <x v="0"/>
  </r>
  <r>
    <x v="7"/>
    <x v="11"/>
    <x v="3"/>
    <x v="1"/>
    <n v="0"/>
    <x v="0"/>
  </r>
  <r>
    <x v="7"/>
    <x v="11"/>
    <x v="3"/>
    <x v="2"/>
    <n v="0"/>
    <x v="0"/>
  </r>
  <r>
    <x v="7"/>
    <x v="11"/>
    <x v="3"/>
    <x v="3"/>
    <n v="0"/>
    <x v="0"/>
  </r>
  <r>
    <x v="7"/>
    <x v="11"/>
    <x v="3"/>
    <x v="4"/>
    <n v="0"/>
    <x v="0"/>
  </r>
  <r>
    <x v="7"/>
    <x v="11"/>
    <x v="3"/>
    <x v="5"/>
    <n v="0"/>
    <x v="0"/>
  </r>
  <r>
    <x v="7"/>
    <x v="11"/>
    <x v="3"/>
    <x v="6"/>
    <n v="0"/>
    <x v="0"/>
  </r>
  <r>
    <x v="7"/>
    <x v="11"/>
    <x v="3"/>
    <x v="7"/>
    <n v="0"/>
    <x v="0"/>
  </r>
  <r>
    <x v="7"/>
    <x v="11"/>
    <x v="3"/>
    <x v="8"/>
    <n v="0"/>
    <x v="0"/>
  </r>
  <r>
    <x v="7"/>
    <x v="11"/>
    <x v="3"/>
    <x v="9"/>
    <n v="0"/>
    <x v="0"/>
  </r>
  <r>
    <x v="7"/>
    <x v="11"/>
    <x v="3"/>
    <x v="10"/>
    <n v="0"/>
    <x v="0"/>
  </r>
  <r>
    <x v="7"/>
    <x v="11"/>
    <x v="3"/>
    <x v="11"/>
    <n v="0"/>
    <x v="0"/>
  </r>
  <r>
    <x v="7"/>
    <x v="11"/>
    <x v="4"/>
    <x v="0"/>
    <n v="1"/>
    <x v="1"/>
  </r>
  <r>
    <x v="7"/>
    <x v="11"/>
    <x v="4"/>
    <x v="1"/>
    <n v="0"/>
    <x v="1"/>
  </r>
  <r>
    <x v="7"/>
    <x v="11"/>
    <x v="4"/>
    <x v="2"/>
    <n v="0"/>
    <x v="1"/>
  </r>
  <r>
    <x v="7"/>
    <x v="11"/>
    <x v="4"/>
    <x v="3"/>
    <n v="0"/>
    <x v="1"/>
  </r>
  <r>
    <x v="7"/>
    <x v="11"/>
    <x v="4"/>
    <x v="4"/>
    <n v="0"/>
    <x v="1"/>
  </r>
  <r>
    <x v="7"/>
    <x v="11"/>
    <x v="4"/>
    <x v="5"/>
    <n v="0"/>
    <x v="1"/>
  </r>
  <r>
    <x v="7"/>
    <x v="11"/>
    <x v="4"/>
    <x v="6"/>
    <n v="0"/>
    <x v="1"/>
  </r>
  <r>
    <x v="7"/>
    <x v="11"/>
    <x v="4"/>
    <x v="7"/>
    <n v="0"/>
    <x v="1"/>
  </r>
  <r>
    <x v="7"/>
    <x v="11"/>
    <x v="4"/>
    <x v="8"/>
    <n v="0"/>
    <x v="1"/>
  </r>
  <r>
    <x v="7"/>
    <x v="11"/>
    <x v="4"/>
    <x v="9"/>
    <n v="0"/>
    <x v="1"/>
  </r>
  <r>
    <x v="7"/>
    <x v="11"/>
    <x v="4"/>
    <x v="10"/>
    <n v="0"/>
    <x v="1"/>
  </r>
  <r>
    <x v="7"/>
    <x v="11"/>
    <x v="4"/>
    <x v="11"/>
    <n v="0"/>
    <x v="1"/>
  </r>
  <r>
    <x v="7"/>
    <x v="11"/>
    <x v="5"/>
    <x v="0"/>
    <n v="1"/>
    <x v="1"/>
  </r>
  <r>
    <x v="7"/>
    <x v="11"/>
    <x v="6"/>
    <x v="0"/>
    <n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rowHeaderCaption="Physician" colHeaderCaption="Location">
  <location ref="A3:N13" firstHeaderRow="1" firstDataRow="2" firstDataCol="1"/>
  <pivotFields count="7">
    <pivotField axis="axisRow" showAll="0">
      <items count="9">
        <item sd="0" x="0"/>
        <item sd="0" x="1"/>
        <item sd="0" x="2"/>
        <item sd="0" x="3"/>
        <item sd="0" x="4"/>
        <item sd="0" x="5"/>
        <item sd="0" x="6"/>
        <item sd="0" x="7"/>
        <item t="default" sd="0"/>
      </items>
    </pivotField>
    <pivotField axis="axisRow" showAll="0">
      <items count="13">
        <item x="0"/>
        <item h="1" x="1"/>
        <item h="1" x="2"/>
        <item h="1" x="3"/>
        <item h="1" x="4"/>
        <item h="1" x="5"/>
        <item h="1" x="6"/>
        <item h="1" x="7"/>
        <item h="1" x="8"/>
        <item h="1" x="9"/>
        <item h="1" x="10"/>
        <item h="1" x="11"/>
        <item t="default"/>
      </items>
    </pivotField>
    <pivotField showAll="0">
      <items count="8">
        <item x="6"/>
        <item x="0"/>
        <item x="1"/>
        <item x="2"/>
        <item x="3"/>
        <item x="4"/>
        <item x="5"/>
        <item t="default"/>
      </items>
    </pivotField>
    <pivotField axis="axisCol" showAll="0">
      <items count="13">
        <item x="1"/>
        <item x="2"/>
        <item x="3"/>
        <item x="4"/>
        <item x="5"/>
        <item x="6"/>
        <item x="7"/>
        <item x="8"/>
        <item x="11"/>
        <item x="9"/>
        <item x="10"/>
        <item x="0"/>
        <item t="default"/>
      </items>
    </pivotField>
    <pivotField dataField="1" showAll="0"/>
    <pivotField showAll="0">
      <items count="3">
        <item h="1" x="1"/>
        <item x="0"/>
        <item t="default"/>
      </items>
    </pivotField>
    <pivotField dragToRow="0" dragToCol="0" dragToPage="0" showAll="0" defaultSubtotal="0"/>
  </pivotFields>
  <rowFields count="2">
    <field x="0"/>
    <field x="1"/>
  </rowFields>
  <rowItems count="9">
    <i>
      <x/>
    </i>
    <i>
      <x v="1"/>
    </i>
    <i>
      <x v="2"/>
    </i>
    <i>
      <x v="3"/>
    </i>
    <i>
      <x v="4"/>
    </i>
    <i>
      <x v="5"/>
    </i>
    <i>
      <x v="6"/>
    </i>
    <i>
      <x v="7"/>
    </i>
    <i t="grand">
      <x/>
    </i>
  </rowItems>
  <colFields count="1">
    <field x="3"/>
  </colFields>
  <colItems count="13">
    <i>
      <x/>
    </i>
    <i>
      <x v="1"/>
    </i>
    <i>
      <x v="2"/>
    </i>
    <i>
      <x v="3"/>
    </i>
    <i>
      <x v="4"/>
    </i>
    <i>
      <x v="5"/>
    </i>
    <i>
      <x v="6"/>
    </i>
    <i>
      <x v="7"/>
    </i>
    <i>
      <x v="8"/>
    </i>
    <i>
      <x v="9"/>
    </i>
    <i>
      <x v="10"/>
    </i>
    <i>
      <x v="11"/>
    </i>
    <i t="grand">
      <x/>
    </i>
  </colItems>
  <dataFields count="1">
    <dataField name="Yearly Count" fld="4" baseField="0" baseItem="0"/>
  </dataFields>
  <chartFormats count="24">
    <chartFormat chart="0" format="0" series="1">
      <pivotArea type="data" outline="0" fieldPosition="0">
        <references count="1">
          <reference field="3" count="1" selected="0">
            <x v="0"/>
          </reference>
        </references>
      </pivotArea>
    </chartFormat>
    <chartFormat chart="0" format="1" series="1">
      <pivotArea type="data" outline="0" fieldPosition="0">
        <references count="1">
          <reference field="3" count="1" selected="0">
            <x v="1"/>
          </reference>
        </references>
      </pivotArea>
    </chartFormat>
    <chartFormat chart="0" format="2" series="1">
      <pivotArea type="data" outline="0" fieldPosition="0">
        <references count="1">
          <reference field="3" count="1" selected="0">
            <x v="2"/>
          </reference>
        </references>
      </pivotArea>
    </chartFormat>
    <chartFormat chart="0" format="3" series="1">
      <pivotArea type="data" outline="0" fieldPosition="0">
        <references count="1">
          <reference field="3" count="1" selected="0">
            <x v="3"/>
          </reference>
        </references>
      </pivotArea>
    </chartFormat>
    <chartFormat chart="0" format="4" series="1">
      <pivotArea type="data" outline="0" fieldPosition="0">
        <references count="1">
          <reference field="3" count="1" selected="0">
            <x v="4"/>
          </reference>
        </references>
      </pivotArea>
    </chartFormat>
    <chartFormat chart="0" format="5" series="1">
      <pivotArea type="data" outline="0" fieldPosition="0">
        <references count="1">
          <reference field="3" count="1" selected="0">
            <x v="5"/>
          </reference>
        </references>
      </pivotArea>
    </chartFormat>
    <chartFormat chart="0" format="6" series="1">
      <pivotArea type="data" outline="0" fieldPosition="0">
        <references count="1">
          <reference field="3" count="1" selected="0">
            <x v="6"/>
          </reference>
        </references>
      </pivotArea>
    </chartFormat>
    <chartFormat chart="0" format="7" series="1">
      <pivotArea type="data" outline="0" fieldPosition="0">
        <references count="1">
          <reference field="3" count="1" selected="0">
            <x v="7"/>
          </reference>
        </references>
      </pivotArea>
    </chartFormat>
    <chartFormat chart="0" format="8" series="1">
      <pivotArea type="data" outline="0" fieldPosition="0">
        <references count="1">
          <reference field="3" count="1" selected="0">
            <x v="8"/>
          </reference>
        </references>
      </pivotArea>
    </chartFormat>
    <chartFormat chart="0" format="9" series="1">
      <pivotArea type="data" outline="0" fieldPosition="0">
        <references count="1">
          <reference field="3" count="1" selected="0">
            <x v="9"/>
          </reference>
        </references>
      </pivotArea>
    </chartFormat>
    <chartFormat chart="0" format="10" series="1">
      <pivotArea type="data" outline="0" fieldPosition="0">
        <references count="1">
          <reference field="3" count="1" selected="0">
            <x v="10"/>
          </reference>
        </references>
      </pivotArea>
    </chartFormat>
    <chartFormat chart="0" format="11" series="1">
      <pivotArea type="data" outline="0" fieldPosition="0">
        <references count="1">
          <reference field="3" count="1" selected="0">
            <x v="11"/>
          </reference>
        </references>
      </pivotArea>
    </chartFormat>
    <chartFormat chart="0" format="12" series="1">
      <pivotArea type="data" outline="0" fieldPosition="0">
        <references count="2">
          <reference field="4294967294" count="1" selected="0">
            <x v="0"/>
          </reference>
          <reference field="3" count="1" selected="0">
            <x v="0"/>
          </reference>
        </references>
      </pivotArea>
    </chartFormat>
    <chartFormat chart="0" format="13" series="1">
      <pivotArea type="data" outline="0" fieldPosition="0">
        <references count="2">
          <reference field="4294967294" count="1" selected="0">
            <x v="0"/>
          </reference>
          <reference field="3" count="1" selected="0">
            <x v="1"/>
          </reference>
        </references>
      </pivotArea>
    </chartFormat>
    <chartFormat chart="0" format="14" series="1">
      <pivotArea type="data" outline="0" fieldPosition="0">
        <references count="2">
          <reference field="4294967294" count="1" selected="0">
            <x v="0"/>
          </reference>
          <reference field="3" count="1" selected="0">
            <x v="2"/>
          </reference>
        </references>
      </pivotArea>
    </chartFormat>
    <chartFormat chart="0" format="15" series="1">
      <pivotArea type="data" outline="0" fieldPosition="0">
        <references count="2">
          <reference field="4294967294" count="1" selected="0">
            <x v="0"/>
          </reference>
          <reference field="3" count="1" selected="0">
            <x v="3"/>
          </reference>
        </references>
      </pivotArea>
    </chartFormat>
    <chartFormat chart="0" format="16" series="1">
      <pivotArea type="data" outline="0" fieldPosition="0">
        <references count="2">
          <reference field="4294967294" count="1" selected="0">
            <x v="0"/>
          </reference>
          <reference field="3" count="1" selected="0">
            <x v="4"/>
          </reference>
        </references>
      </pivotArea>
    </chartFormat>
    <chartFormat chart="0" format="17" series="1">
      <pivotArea type="data" outline="0" fieldPosition="0">
        <references count="2">
          <reference field="4294967294" count="1" selected="0">
            <x v="0"/>
          </reference>
          <reference field="3" count="1" selected="0">
            <x v="5"/>
          </reference>
        </references>
      </pivotArea>
    </chartFormat>
    <chartFormat chart="0" format="18" series="1">
      <pivotArea type="data" outline="0" fieldPosition="0">
        <references count="2">
          <reference field="4294967294" count="1" selected="0">
            <x v="0"/>
          </reference>
          <reference field="3" count="1" selected="0">
            <x v="7"/>
          </reference>
        </references>
      </pivotArea>
    </chartFormat>
    <chartFormat chart="0" format="19" series="1">
      <pivotArea type="data" outline="0" fieldPosition="0">
        <references count="2">
          <reference field="4294967294" count="1" selected="0">
            <x v="0"/>
          </reference>
          <reference field="3" count="1" selected="0">
            <x v="6"/>
          </reference>
        </references>
      </pivotArea>
    </chartFormat>
    <chartFormat chart="0" format="20" series="1">
      <pivotArea type="data" outline="0" fieldPosition="0">
        <references count="2">
          <reference field="4294967294" count="1" selected="0">
            <x v="0"/>
          </reference>
          <reference field="3" count="1" selected="0">
            <x v="8"/>
          </reference>
        </references>
      </pivotArea>
    </chartFormat>
    <chartFormat chart="0" format="21" series="1">
      <pivotArea type="data" outline="0" fieldPosition="0">
        <references count="2">
          <reference field="4294967294" count="1" selected="0">
            <x v="0"/>
          </reference>
          <reference field="3" count="1" selected="0">
            <x v="9"/>
          </reference>
        </references>
      </pivotArea>
    </chartFormat>
    <chartFormat chart="0" format="22" series="1">
      <pivotArea type="data" outline="0" fieldPosition="0">
        <references count="2">
          <reference field="4294967294" count="1" selected="0">
            <x v="0"/>
          </reference>
          <reference field="3" count="1" selected="0">
            <x v="10"/>
          </reference>
        </references>
      </pivotArea>
    </chartFormat>
    <chartFormat chart="0" format="23" series="1">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location ref="A5:B18" firstHeaderRow="1" firstDataRow="1" firstDataCol="1" rowPageCount="1" colPageCount="1"/>
  <pivotFields count="7">
    <pivotField axis="axisPage" multipleItemSelectionAllowed="1" showAll="0">
      <items count="9">
        <item x="4"/>
        <item x="3"/>
        <item x="5"/>
        <item x="2"/>
        <item x="1"/>
        <item x="6"/>
        <item x="0"/>
        <item x="7"/>
        <item t="default"/>
      </items>
    </pivotField>
    <pivotField showAll="0">
      <items count="13">
        <item x="0"/>
        <item h="1" x="1"/>
        <item h="1" x="2"/>
        <item h="1" x="3"/>
        <item h="1" x="4"/>
        <item h="1" x="5"/>
        <item h="1" x="6"/>
        <item h="1" x="7"/>
        <item h="1" x="8"/>
        <item h="1" x="9"/>
        <item h="1" x="10"/>
        <item h="1" x="11"/>
        <item t="default"/>
      </items>
    </pivotField>
    <pivotField showAll="0"/>
    <pivotField axis="axisRow" showAll="0">
      <items count="13">
        <item x="1"/>
        <item x="2"/>
        <item x="3"/>
        <item x="4"/>
        <item x="5"/>
        <item x="6"/>
        <item x="7"/>
        <item x="8"/>
        <item x="11"/>
        <item x="9"/>
        <item x="10"/>
        <item x="0"/>
        <item t="default"/>
      </items>
    </pivotField>
    <pivotField dataField="1" showAll="0"/>
    <pivotField showAll="0">
      <items count="3">
        <item h="1" x="1"/>
        <item x="0"/>
        <item t="default"/>
      </items>
    </pivotField>
    <pivotField dragToRow="0" dragToCol="0" dragToPage="0" showAll="0" defaultSubtotal="0"/>
  </pivotFields>
  <rowFields count="1">
    <field x="3"/>
  </rowFields>
  <rowItems count="13">
    <i>
      <x/>
    </i>
    <i>
      <x v="1"/>
    </i>
    <i>
      <x v="2"/>
    </i>
    <i>
      <x v="3"/>
    </i>
    <i>
      <x v="4"/>
    </i>
    <i>
      <x v="5"/>
    </i>
    <i>
      <x v="6"/>
    </i>
    <i>
      <x v="7"/>
    </i>
    <i>
      <x v="8"/>
    </i>
    <i>
      <x v="9"/>
    </i>
    <i>
      <x v="10"/>
    </i>
    <i>
      <x v="11"/>
    </i>
    <i t="grand">
      <x/>
    </i>
  </rowItems>
  <colItems count="1">
    <i/>
  </colItems>
  <pageFields count="1">
    <pageField fld="0" hier="-1"/>
  </pageFields>
  <dataFields count="1">
    <dataField name="Sum of IndirectCount" fld="4" baseField="0" baseItem="0"/>
  </dataFields>
  <chartFormats count="1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 chart="0" format="5">
      <pivotArea type="data" outline="0" fieldPosition="0">
        <references count="2">
          <reference field="4294967294" count="1" selected="0">
            <x v="0"/>
          </reference>
          <reference field="3" count="1" selected="0">
            <x v="4"/>
          </reference>
        </references>
      </pivotArea>
    </chartFormat>
    <chartFormat chart="0" format="6">
      <pivotArea type="data" outline="0" fieldPosition="0">
        <references count="2">
          <reference field="4294967294" count="1" selected="0">
            <x v="0"/>
          </reference>
          <reference field="3" count="1" selected="0">
            <x v="5"/>
          </reference>
        </references>
      </pivotArea>
    </chartFormat>
    <chartFormat chart="0" format="7">
      <pivotArea type="data" outline="0" fieldPosition="0">
        <references count="2">
          <reference field="4294967294" count="1" selected="0">
            <x v="0"/>
          </reference>
          <reference field="3" count="1" selected="0">
            <x v="6"/>
          </reference>
        </references>
      </pivotArea>
    </chartFormat>
    <chartFormat chart="0" format="8">
      <pivotArea type="data" outline="0" fieldPosition="0">
        <references count="2">
          <reference field="4294967294" count="1" selected="0">
            <x v="0"/>
          </reference>
          <reference field="3" count="1" selected="0">
            <x v="7"/>
          </reference>
        </references>
      </pivotArea>
    </chartFormat>
    <chartFormat chart="0" format="9">
      <pivotArea type="data" outline="0" fieldPosition="0">
        <references count="2">
          <reference field="4294967294" count="1" selected="0">
            <x v="0"/>
          </reference>
          <reference field="3" count="1" selected="0">
            <x v="8"/>
          </reference>
        </references>
      </pivotArea>
    </chartFormat>
    <chartFormat chart="0" format="10">
      <pivotArea type="data" outline="0" fieldPosition="0">
        <references count="2">
          <reference field="4294967294" count="1" selected="0">
            <x v="0"/>
          </reference>
          <reference field="3" count="1" selected="0">
            <x v="9"/>
          </reference>
        </references>
      </pivotArea>
    </chartFormat>
    <chartFormat chart="0" format="11">
      <pivotArea type="data" outline="0" fieldPosition="0">
        <references count="2">
          <reference field="4294967294" count="1" selected="0">
            <x v="0"/>
          </reference>
          <reference field="3" count="1" selected="0">
            <x v="10"/>
          </reference>
        </references>
      </pivotArea>
    </chartFormat>
    <chartFormat chart="0" format="12">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Weekday" sourceName="Weekday">
  <pivotTables>
    <pivotTable tabId="133" name="PivotTable5"/>
  </pivotTables>
  <data>
    <tabular pivotCacheId="1">
      <items count="7">
        <i x="0" s="1"/>
        <i x="1" s="1"/>
        <i x="2" s="1"/>
        <i x="3" s="1"/>
        <i x="6" s="1" nd="1"/>
        <i x="4" s="1" nd="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33" name="PivotTable5"/>
  </pivotTables>
  <data>
    <tabular pivotCacheId="1">
      <items count="12">
        <i x="0" s="1"/>
        <i x="1"/>
        <i x="2"/>
        <i x="3"/>
        <i x="4"/>
        <i x="5"/>
        <i x="6"/>
        <i x="7"/>
        <i x="8"/>
        <i x="9"/>
        <i x="10"/>
        <i x="1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WeekCategory" sourceName="WeekCategory">
  <pivotTables>
    <pivotTable tabId="133" name="PivotTable5"/>
  </pivotTables>
  <data>
    <tabular pivotCacheId="1">
      <items count="2">
        <i x="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Month1" sourceName="Month">
  <pivotTables>
    <pivotTable tabId="149" name="PivotTable3"/>
  </pivotTables>
  <data>
    <tabular pivotCacheId="1">
      <items count="12">
        <i x="0" s="1"/>
        <i x="1"/>
        <i x="2"/>
        <i x="3"/>
        <i x="4"/>
        <i x="5"/>
        <i x="6"/>
        <i x="7"/>
        <i x="8"/>
        <i x="9"/>
        <i x="10"/>
        <i x="1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WeekCategory1" sourceName="WeekCategory">
  <pivotTables>
    <pivotTable tabId="149" name="PivotTable3"/>
  </pivotTables>
  <data>
    <tabular pivotCacheId="1">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Weekday" cache="Slicer_Weekday" caption="Weekday" rowHeight="241300"/>
  <slicer name="Month" cache="Slicer_Month" caption="Month" rowHeight="241300"/>
  <slicer name="WeekCategory" cache="Slicer_WeekCategory" caption="WeekCategory"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Month 1" cache="Slicer_Month1" caption="Month" rowHeight="241300"/>
  <slicer name="WeekCategory 1" cache="Slicer_WeekCategory1" caption="WeekCategory"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ivotTable" Target="../pivotTables/pivotTable2.xml"/><Relationship Id="rId5" Type="http://schemas.microsoft.com/office/2007/relationships/slicer" Target="../slicers/slicer2.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2:W23"/>
  <sheetViews>
    <sheetView workbookViewId="0"/>
  </sheetViews>
  <sheetFormatPr defaultRowHeight="15"/>
  <cols>
    <col min="1" max="1" width="18.140625" bestFit="1" customWidth="1"/>
    <col min="2" max="2" width="9.85546875" bestFit="1" customWidth="1"/>
    <col min="3" max="3" width="9.140625" customWidth="1"/>
    <col min="4" max="4" width="12.140625" customWidth="1"/>
    <col min="5" max="5" width="10.28515625" bestFit="1" customWidth="1"/>
    <col min="9" max="9" width="11.42578125" bestFit="1" customWidth="1"/>
    <col min="13" max="13" width="12.28515625" customWidth="1"/>
    <col min="21" max="21" width="11.42578125" bestFit="1" customWidth="1"/>
    <col min="22" max="22" width="17" bestFit="1" customWidth="1"/>
    <col min="23" max="23" width="18" bestFit="1" customWidth="1"/>
  </cols>
  <sheetData>
    <row r="2" spans="1:23">
      <c r="L2" s="56"/>
      <c r="M2" s="56"/>
      <c r="N2" s="56"/>
      <c r="O2" s="56"/>
      <c r="P2" s="56"/>
    </row>
    <row r="3" spans="1:23">
      <c r="A3" s="7" t="s">
        <v>25</v>
      </c>
      <c r="D3" s="7" t="s">
        <v>35</v>
      </c>
      <c r="G3" t="s">
        <v>133</v>
      </c>
      <c r="L3" s="58" t="s">
        <v>134</v>
      </c>
      <c r="M3">
        <v>2015</v>
      </c>
      <c r="R3" t="s">
        <v>166</v>
      </c>
      <c r="U3" t="s">
        <v>236</v>
      </c>
    </row>
    <row r="4" spans="1:23">
      <c r="A4" t="s">
        <v>176</v>
      </c>
      <c r="B4" s="7" t="s">
        <v>135</v>
      </c>
      <c r="D4" t="s">
        <v>177</v>
      </c>
      <c r="E4" s="7" t="s">
        <v>136</v>
      </c>
      <c r="G4" s="172" t="s">
        <v>137</v>
      </c>
      <c r="H4" s="172"/>
      <c r="I4" s="172"/>
      <c r="J4" s="172"/>
      <c r="L4" s="58" t="s">
        <v>138</v>
      </c>
      <c r="M4" s="58"/>
      <c r="R4" t="s">
        <v>167</v>
      </c>
      <c r="U4" t="s">
        <v>235</v>
      </c>
    </row>
    <row r="5" spans="1:23">
      <c r="A5" s="8" t="s">
        <v>27</v>
      </c>
      <c r="B5" s="8" t="s">
        <v>26</v>
      </c>
      <c r="C5" s="8"/>
      <c r="D5" s="8" t="s">
        <v>27</v>
      </c>
      <c r="E5" s="8" t="s">
        <v>26</v>
      </c>
      <c r="F5" s="8"/>
      <c r="G5" s="8" t="s">
        <v>26</v>
      </c>
      <c r="H5" s="8" t="s">
        <v>139</v>
      </c>
      <c r="I5" s="8" t="s">
        <v>140</v>
      </c>
      <c r="J5" s="8" t="s">
        <v>155</v>
      </c>
      <c r="L5" s="8" t="s">
        <v>47</v>
      </c>
      <c r="M5" s="8" t="s">
        <v>147</v>
      </c>
      <c r="N5" s="8" t="s">
        <v>57</v>
      </c>
      <c r="O5" s="8" t="s">
        <v>132</v>
      </c>
      <c r="P5" s="8" t="s">
        <v>164</v>
      </c>
      <c r="R5" s="8" t="s">
        <v>27</v>
      </c>
      <c r="S5" s="8" t="s">
        <v>26</v>
      </c>
      <c r="U5" s="8" t="s">
        <v>133</v>
      </c>
      <c r="V5" s="8" t="s">
        <v>218</v>
      </c>
      <c r="W5" s="8" t="s">
        <v>219</v>
      </c>
    </row>
    <row r="6" spans="1:23">
      <c r="A6" t="s">
        <v>11</v>
      </c>
      <c r="B6" s="113" t="s">
        <v>159</v>
      </c>
      <c r="D6" t="s">
        <v>36</v>
      </c>
      <c r="E6" t="s">
        <v>3</v>
      </c>
      <c r="G6">
        <v>1</v>
      </c>
      <c r="H6" t="s">
        <v>58</v>
      </c>
      <c r="I6" t="s">
        <v>13</v>
      </c>
      <c r="J6" t="s">
        <v>156</v>
      </c>
      <c r="L6">
        <v>1</v>
      </c>
      <c r="M6" t="s">
        <v>48</v>
      </c>
      <c r="N6">
        <f>DAY(DATE(M$3,L6+1,1)-1)</f>
        <v>31</v>
      </c>
      <c r="O6" s="57">
        <f>WEEKDAY(DATE($M$3,$L6,1),2)</f>
        <v>4</v>
      </c>
      <c r="P6">
        <f>WEEKDAY(DATE($M$3,$L6,N6),2)</f>
        <v>6</v>
      </c>
      <c r="R6" t="s">
        <v>168</v>
      </c>
      <c r="S6" t="s">
        <v>169</v>
      </c>
      <c r="U6" t="s">
        <v>13</v>
      </c>
      <c r="V6" t="s">
        <v>215</v>
      </c>
      <c r="W6" t="s">
        <v>217</v>
      </c>
    </row>
    <row r="7" spans="1:23">
      <c r="A7" t="s">
        <v>28</v>
      </c>
      <c r="B7" s="114" t="s">
        <v>18</v>
      </c>
      <c r="D7" t="s">
        <v>37</v>
      </c>
      <c r="E7" t="s">
        <v>4</v>
      </c>
      <c r="G7">
        <v>2</v>
      </c>
      <c r="H7" t="s">
        <v>61</v>
      </c>
      <c r="I7" t="s">
        <v>142</v>
      </c>
      <c r="J7" t="s">
        <v>156</v>
      </c>
      <c r="L7">
        <v>2</v>
      </c>
      <c r="M7" t="s">
        <v>121</v>
      </c>
      <c r="N7">
        <f t="shared" ref="N7:N17" si="0">DAY(DATE(M$3,L7+1,1)-1)</f>
        <v>28</v>
      </c>
      <c r="O7" s="57">
        <f t="shared" ref="O7:O17" si="1">WEEKDAY(DATE($M$3,$L7,1),2)</f>
        <v>7</v>
      </c>
      <c r="P7">
        <f t="shared" ref="P7:P17" si="2">WEEKDAY(DATE($M$3,$L7,N7),2)</f>
        <v>6</v>
      </c>
      <c r="R7" t="s">
        <v>170</v>
      </c>
      <c r="S7" t="s">
        <v>171</v>
      </c>
      <c r="U7" t="s">
        <v>142</v>
      </c>
      <c r="V7" t="s">
        <v>223</v>
      </c>
      <c r="W7" t="s">
        <v>224</v>
      </c>
    </row>
    <row r="8" spans="1:23">
      <c r="A8" t="s">
        <v>152</v>
      </c>
      <c r="B8" s="114" t="s">
        <v>153</v>
      </c>
      <c r="D8" t="s">
        <v>38</v>
      </c>
      <c r="E8" t="s">
        <v>5</v>
      </c>
      <c r="G8">
        <v>3</v>
      </c>
      <c r="H8" t="s">
        <v>64</v>
      </c>
      <c r="I8" t="s">
        <v>143</v>
      </c>
      <c r="J8" t="s">
        <v>156</v>
      </c>
      <c r="L8">
        <v>3</v>
      </c>
      <c r="M8" t="s">
        <v>122</v>
      </c>
      <c r="N8">
        <f t="shared" si="0"/>
        <v>31</v>
      </c>
      <c r="O8" s="57">
        <f t="shared" si="1"/>
        <v>7</v>
      </c>
      <c r="P8">
        <f t="shared" si="2"/>
        <v>2</v>
      </c>
      <c r="R8" t="s">
        <v>172</v>
      </c>
      <c r="S8" t="s">
        <v>173</v>
      </c>
      <c r="U8" t="s">
        <v>143</v>
      </c>
      <c r="V8" t="s">
        <v>225</v>
      </c>
      <c r="W8" t="s">
        <v>226</v>
      </c>
    </row>
    <row r="9" spans="1:23">
      <c r="A9" t="s">
        <v>30</v>
      </c>
      <c r="B9" s="115" t="s">
        <v>19</v>
      </c>
      <c r="D9" t="s">
        <v>39</v>
      </c>
      <c r="E9" t="s">
        <v>6</v>
      </c>
      <c r="G9">
        <v>4</v>
      </c>
      <c r="H9" t="s">
        <v>66</v>
      </c>
      <c r="I9" t="s">
        <v>144</v>
      </c>
      <c r="J9" t="s">
        <v>156</v>
      </c>
      <c r="L9">
        <v>4</v>
      </c>
      <c r="M9" t="s">
        <v>123</v>
      </c>
      <c r="N9">
        <f t="shared" si="0"/>
        <v>30</v>
      </c>
      <c r="O9" s="57">
        <f t="shared" si="1"/>
        <v>3</v>
      </c>
      <c r="P9">
        <f t="shared" si="2"/>
        <v>4</v>
      </c>
      <c r="R9" t="s">
        <v>174</v>
      </c>
      <c r="S9" t="s">
        <v>175</v>
      </c>
      <c r="U9" t="s">
        <v>144</v>
      </c>
      <c r="V9" t="s">
        <v>227</v>
      </c>
      <c r="W9" t="s">
        <v>228</v>
      </c>
    </row>
    <row r="10" spans="1:23">
      <c r="A10" t="s">
        <v>31</v>
      </c>
      <c r="B10" s="115" t="s">
        <v>20</v>
      </c>
      <c r="D10" t="s">
        <v>40</v>
      </c>
      <c r="E10" t="s">
        <v>7</v>
      </c>
      <c r="G10">
        <v>5</v>
      </c>
      <c r="H10" t="s">
        <v>70</v>
      </c>
      <c r="I10" t="s">
        <v>145</v>
      </c>
      <c r="J10" t="s">
        <v>154</v>
      </c>
      <c r="L10">
        <v>5</v>
      </c>
      <c r="M10" t="s">
        <v>124</v>
      </c>
      <c r="N10">
        <f t="shared" si="0"/>
        <v>31</v>
      </c>
      <c r="O10" s="57">
        <f t="shared" si="1"/>
        <v>5</v>
      </c>
      <c r="P10">
        <f t="shared" si="2"/>
        <v>7</v>
      </c>
      <c r="U10" t="s">
        <v>145</v>
      </c>
      <c r="V10" t="s">
        <v>229</v>
      </c>
      <c r="W10" t="s">
        <v>230</v>
      </c>
    </row>
    <row r="11" spans="1:23">
      <c r="A11" t="s">
        <v>32</v>
      </c>
      <c r="B11" s="115" t="s">
        <v>21</v>
      </c>
      <c r="D11" t="s">
        <v>41</v>
      </c>
      <c r="E11" t="s">
        <v>8</v>
      </c>
      <c r="G11">
        <v>6</v>
      </c>
      <c r="H11" t="s">
        <v>73</v>
      </c>
      <c r="I11" t="s">
        <v>146</v>
      </c>
      <c r="J11" t="s">
        <v>154</v>
      </c>
      <c r="L11">
        <v>6</v>
      </c>
      <c r="M11" t="s">
        <v>125</v>
      </c>
      <c r="N11">
        <f t="shared" si="0"/>
        <v>30</v>
      </c>
      <c r="O11" s="57">
        <f t="shared" si="1"/>
        <v>1</v>
      </c>
      <c r="P11">
        <f t="shared" si="2"/>
        <v>2</v>
      </c>
      <c r="U11" t="s">
        <v>146</v>
      </c>
      <c r="V11" t="s">
        <v>231</v>
      </c>
      <c r="W11" t="s">
        <v>232</v>
      </c>
    </row>
    <row r="12" spans="1:23">
      <c r="A12" t="s">
        <v>33</v>
      </c>
      <c r="B12" s="115" t="s">
        <v>22</v>
      </c>
      <c r="D12" t="s">
        <v>42</v>
      </c>
      <c r="E12" t="s">
        <v>9</v>
      </c>
      <c r="G12">
        <v>7</v>
      </c>
      <c r="H12" t="s">
        <v>74</v>
      </c>
      <c r="I12" t="s">
        <v>141</v>
      </c>
      <c r="J12" t="s">
        <v>154</v>
      </c>
      <c r="L12">
        <v>7</v>
      </c>
      <c r="M12" t="s">
        <v>126</v>
      </c>
      <c r="N12">
        <f t="shared" si="0"/>
        <v>31</v>
      </c>
      <c r="O12" s="57">
        <f t="shared" si="1"/>
        <v>3</v>
      </c>
      <c r="P12">
        <f t="shared" si="2"/>
        <v>5</v>
      </c>
      <c r="U12" t="s">
        <v>141</v>
      </c>
      <c r="V12" t="s">
        <v>233</v>
      </c>
      <c r="W12" t="s">
        <v>234</v>
      </c>
    </row>
    <row r="13" spans="1:23">
      <c r="A13" t="s">
        <v>29</v>
      </c>
      <c r="B13" s="116" t="s">
        <v>23</v>
      </c>
      <c r="D13" t="s">
        <v>43</v>
      </c>
      <c r="E13" t="s">
        <v>10</v>
      </c>
      <c r="L13">
        <v>8</v>
      </c>
      <c r="M13" t="s">
        <v>127</v>
      </c>
      <c r="N13">
        <f t="shared" si="0"/>
        <v>31</v>
      </c>
      <c r="O13" s="57">
        <f t="shared" si="1"/>
        <v>6</v>
      </c>
      <c r="P13">
        <f t="shared" si="2"/>
        <v>1</v>
      </c>
    </row>
    <row r="14" spans="1:23">
      <c r="A14" t="s">
        <v>34</v>
      </c>
      <c r="B14" s="117" t="s">
        <v>24</v>
      </c>
      <c r="L14">
        <v>9</v>
      </c>
      <c r="M14" t="s">
        <v>128</v>
      </c>
      <c r="N14">
        <f t="shared" si="0"/>
        <v>30</v>
      </c>
      <c r="O14" s="57">
        <f t="shared" si="1"/>
        <v>2</v>
      </c>
      <c r="P14">
        <f t="shared" si="2"/>
        <v>3</v>
      </c>
    </row>
    <row r="15" spans="1:23">
      <c r="A15" t="s">
        <v>182</v>
      </c>
      <c r="B15" s="118" t="s">
        <v>179</v>
      </c>
      <c r="L15">
        <v>10</v>
      </c>
      <c r="M15" t="s">
        <v>129</v>
      </c>
      <c r="N15">
        <f t="shared" si="0"/>
        <v>31</v>
      </c>
      <c r="O15" s="57">
        <f t="shared" si="1"/>
        <v>4</v>
      </c>
      <c r="P15">
        <f t="shared" si="2"/>
        <v>6</v>
      </c>
    </row>
    <row r="16" spans="1:23">
      <c r="A16" t="s">
        <v>181</v>
      </c>
      <c r="B16" s="118" t="s">
        <v>180</v>
      </c>
      <c r="L16">
        <v>11</v>
      </c>
      <c r="M16" t="s">
        <v>130</v>
      </c>
      <c r="N16">
        <f t="shared" si="0"/>
        <v>30</v>
      </c>
      <c r="O16" s="57">
        <f t="shared" si="1"/>
        <v>7</v>
      </c>
      <c r="P16">
        <f t="shared" si="2"/>
        <v>1</v>
      </c>
    </row>
    <row r="17" spans="1:18">
      <c r="A17" t="s">
        <v>45</v>
      </c>
      <c r="B17" s="119" t="s">
        <v>44</v>
      </c>
      <c r="L17">
        <v>12</v>
      </c>
      <c r="M17" t="s">
        <v>131</v>
      </c>
      <c r="N17">
        <f t="shared" si="0"/>
        <v>31</v>
      </c>
      <c r="O17" s="57">
        <f t="shared" si="1"/>
        <v>2</v>
      </c>
      <c r="P17">
        <f t="shared" si="2"/>
        <v>4</v>
      </c>
    </row>
    <row r="18" spans="1:18">
      <c r="A18" t="s">
        <v>46</v>
      </c>
      <c r="B18" s="113"/>
      <c r="R18" s="78"/>
    </row>
    <row r="19" spans="1:18">
      <c r="R19" s="78"/>
    </row>
    <row r="20" spans="1:18">
      <c r="R20" s="78"/>
    </row>
    <row r="21" spans="1:18">
      <c r="R21" s="78"/>
    </row>
    <row r="22" spans="1:18">
      <c r="R22" s="78"/>
    </row>
    <row r="23" spans="1:18">
      <c r="R23" s="77"/>
    </row>
  </sheetData>
  <mergeCells count="1">
    <mergeCell ref="G4:J4"/>
  </mergeCells>
  <conditionalFormatting sqref="R18:R23">
    <cfRule type="cellIs" dxfId="85" priority="1" operator="equal">
      <formula>$B$7</formula>
    </cfRule>
    <cfRule type="cellIs" dxfId="84" priority="2" operator="equal">
      <formula>$B$8</formula>
    </cfRule>
    <cfRule type="cellIs" dxfId="83" priority="3" operator="equal">
      <formula>$B$6</formula>
    </cfRule>
    <cfRule type="cellIs" dxfId="82" priority="4" operator="equal">
      <formula>$B$17</formula>
    </cfRule>
    <cfRule type="cellIs" dxfId="81" priority="5" operator="equal">
      <formula>$B$14</formula>
    </cfRule>
    <cfRule type="cellIs" dxfId="80" priority="6" operator="equal">
      <formula>$B$9</formula>
    </cfRule>
    <cfRule type="cellIs" dxfId="79" priority="7" operator="equal">
      <formula>$B$10</formula>
    </cfRule>
    <cfRule type="cellIs" dxfId="78" priority="8" operator="equal">
      <formula>$B$11</formula>
    </cfRule>
    <cfRule type="cellIs" dxfId="77" priority="9" operator="equal">
      <formula>$B$12</formula>
    </cfRule>
    <cfRule type="cellIs" dxfId="76" priority="10" operator="equal">
      <formula>$B$13</formula>
    </cfRule>
    <cfRule type="cellIs" dxfId="75" priority="11" operator="equal">
      <formula>$B$15</formula>
    </cfRule>
    <cfRule type="cellIs" dxfId="74" priority="12" operator="equal">
      <formula>$B$16</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dimension ref="A1:B47"/>
  <sheetViews>
    <sheetView workbookViewId="0"/>
  </sheetViews>
  <sheetFormatPr defaultRowHeight="15"/>
  <cols>
    <col min="1" max="1" width="23.5703125" bestFit="1" customWidth="1"/>
  </cols>
  <sheetData>
    <row r="1" spans="1:2">
      <c r="A1" t="s">
        <v>54</v>
      </c>
      <c r="B1" t="s">
        <v>246</v>
      </c>
    </row>
    <row r="2" spans="1:2">
      <c r="A2" t="s">
        <v>247</v>
      </c>
      <c r="B2" t="s">
        <v>248</v>
      </c>
    </row>
    <row r="3" spans="1:2">
      <c r="A3" t="s">
        <v>136</v>
      </c>
      <c r="B3" t="s">
        <v>249</v>
      </c>
    </row>
    <row r="4" spans="1:2">
      <c r="A4" t="s">
        <v>250</v>
      </c>
      <c r="B4" t="s">
        <v>251</v>
      </c>
    </row>
    <row r="5" spans="1:2">
      <c r="A5" t="s">
        <v>252</v>
      </c>
      <c r="B5" t="s">
        <v>253</v>
      </c>
    </row>
    <row r="6" spans="1:2">
      <c r="A6" t="s">
        <v>254</v>
      </c>
      <c r="B6" t="s">
        <v>255</v>
      </c>
    </row>
    <row r="7" spans="1:2">
      <c r="A7" t="s">
        <v>256</v>
      </c>
      <c r="B7" t="s">
        <v>257</v>
      </c>
    </row>
    <row r="8" spans="1:2">
      <c r="A8" t="s">
        <v>258</v>
      </c>
      <c r="B8" t="s">
        <v>259</v>
      </c>
    </row>
    <row r="9" spans="1:2">
      <c r="A9" t="s">
        <v>235</v>
      </c>
      <c r="B9" t="s">
        <v>260</v>
      </c>
    </row>
    <row r="10" spans="1:2">
      <c r="A10" t="s">
        <v>135</v>
      </c>
      <c r="B10" t="s">
        <v>261</v>
      </c>
    </row>
    <row r="11" spans="1:2">
      <c r="A11" t="s">
        <v>138</v>
      </c>
      <c r="B11" t="s">
        <v>262</v>
      </c>
    </row>
    <row r="12" spans="1:2">
      <c r="A12" t="s">
        <v>263</v>
      </c>
      <c r="B12" t="s">
        <v>264</v>
      </c>
    </row>
    <row r="13" spans="1:2">
      <c r="A13" t="s">
        <v>265</v>
      </c>
      <c r="B13" t="s">
        <v>266</v>
      </c>
    </row>
    <row r="14" spans="1:2">
      <c r="A14" t="s">
        <v>267</v>
      </c>
      <c r="B14" t="s">
        <v>268</v>
      </c>
    </row>
    <row r="15" spans="1:2">
      <c r="A15" t="s">
        <v>269</v>
      </c>
      <c r="B15" t="s">
        <v>270</v>
      </c>
    </row>
    <row r="16" spans="1:2">
      <c r="A16" t="s">
        <v>271</v>
      </c>
      <c r="B16" t="s">
        <v>272</v>
      </c>
    </row>
    <row r="17" spans="1:2">
      <c r="A17" t="s">
        <v>273</v>
      </c>
      <c r="B17" t="s">
        <v>274</v>
      </c>
    </row>
    <row r="18" spans="1:2">
      <c r="A18" t="s">
        <v>47</v>
      </c>
      <c r="B18" t="s">
        <v>275</v>
      </c>
    </row>
    <row r="19" spans="1:2">
      <c r="A19" t="s">
        <v>276</v>
      </c>
      <c r="B19" t="s">
        <v>277</v>
      </c>
    </row>
    <row r="20" spans="1:2">
      <c r="A20" t="s">
        <v>278</v>
      </c>
      <c r="B20" t="s">
        <v>279</v>
      </c>
    </row>
    <row r="21" spans="1:2">
      <c r="A21" t="s">
        <v>280</v>
      </c>
      <c r="B21" t="s">
        <v>281</v>
      </c>
    </row>
    <row r="22" spans="1:2">
      <c r="A22" t="s">
        <v>282</v>
      </c>
      <c r="B22" t="s">
        <v>283</v>
      </c>
    </row>
    <row r="23" spans="1:2">
      <c r="A23" t="s">
        <v>284</v>
      </c>
      <c r="B23" t="s">
        <v>285</v>
      </c>
    </row>
    <row r="24" spans="1:2">
      <c r="A24" t="s">
        <v>3</v>
      </c>
      <c r="B24" t="s">
        <v>286</v>
      </c>
    </row>
    <row r="25" spans="1:2">
      <c r="A25" t="s">
        <v>287</v>
      </c>
      <c r="B25" t="s">
        <v>288</v>
      </c>
    </row>
    <row r="26" spans="1:2">
      <c r="A26" t="s">
        <v>289</v>
      </c>
      <c r="B26" t="s">
        <v>290</v>
      </c>
    </row>
    <row r="27" spans="1:2">
      <c r="A27" t="s">
        <v>291</v>
      </c>
      <c r="B27" t="s">
        <v>290</v>
      </c>
    </row>
    <row r="28" spans="1:2">
      <c r="A28" t="s">
        <v>292</v>
      </c>
      <c r="B28" t="s">
        <v>290</v>
      </c>
    </row>
    <row r="29" spans="1:2">
      <c r="A29" t="s">
        <v>293</v>
      </c>
      <c r="B29" t="s">
        <v>290</v>
      </c>
    </row>
    <row r="30" spans="1:2">
      <c r="A30" t="s">
        <v>294</v>
      </c>
      <c r="B30" t="s">
        <v>290</v>
      </c>
    </row>
    <row r="31" spans="1:2">
      <c r="A31" t="s">
        <v>295</v>
      </c>
      <c r="B31" t="s">
        <v>296</v>
      </c>
    </row>
    <row r="32" spans="1:2">
      <c r="A32" t="s">
        <v>297</v>
      </c>
      <c r="B32" t="s">
        <v>298</v>
      </c>
    </row>
    <row r="33" spans="1:2">
      <c r="A33" t="s">
        <v>299</v>
      </c>
      <c r="B33" t="s">
        <v>300</v>
      </c>
    </row>
    <row r="34" spans="1:2">
      <c r="A34" t="s">
        <v>301</v>
      </c>
      <c r="B34" t="s">
        <v>302</v>
      </c>
    </row>
    <row r="35" spans="1:2">
      <c r="A35" t="s">
        <v>303</v>
      </c>
      <c r="B35" t="s">
        <v>304</v>
      </c>
    </row>
    <row r="36" spans="1:2">
      <c r="A36" t="s">
        <v>305</v>
      </c>
      <c r="B36" t="s">
        <v>306</v>
      </c>
    </row>
    <row r="37" spans="1:2">
      <c r="A37" t="s">
        <v>307</v>
      </c>
      <c r="B37" t="s">
        <v>308</v>
      </c>
    </row>
    <row r="38" spans="1:2">
      <c r="A38" t="s">
        <v>309</v>
      </c>
      <c r="B38" t="s">
        <v>310</v>
      </c>
    </row>
    <row r="39" spans="1:2">
      <c r="A39" t="s">
        <v>311</v>
      </c>
      <c r="B39" t="s">
        <v>312</v>
      </c>
    </row>
    <row r="40" spans="1:2">
      <c r="A40" t="s">
        <v>313</v>
      </c>
      <c r="B40" t="s">
        <v>314</v>
      </c>
    </row>
    <row r="41" spans="1:2">
      <c r="A41" t="s">
        <v>315</v>
      </c>
      <c r="B41" t="s">
        <v>316</v>
      </c>
    </row>
    <row r="42" spans="1:2">
      <c r="A42" t="s">
        <v>317</v>
      </c>
      <c r="B42" t="s">
        <v>318</v>
      </c>
    </row>
    <row r="43" spans="1:2">
      <c r="A43" t="s">
        <v>319</v>
      </c>
      <c r="B43" t="s">
        <v>320</v>
      </c>
    </row>
    <row r="44" spans="1:2">
      <c r="A44" t="s">
        <v>137</v>
      </c>
      <c r="B44" t="s">
        <v>321</v>
      </c>
    </row>
    <row r="45" spans="1:2">
      <c r="A45" t="s">
        <v>322</v>
      </c>
      <c r="B45" t="s">
        <v>323</v>
      </c>
    </row>
    <row r="46" spans="1:2">
      <c r="A46" t="s">
        <v>324</v>
      </c>
      <c r="B46" t="s">
        <v>325</v>
      </c>
    </row>
    <row r="47" spans="1:2">
      <c r="A47" t="s">
        <v>326</v>
      </c>
      <c r="B47" t="s">
        <v>327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V75"/>
  <sheetViews>
    <sheetView zoomScale="85" zoomScaleNormal="85" workbookViewId="0"/>
  </sheetViews>
  <sheetFormatPr defaultRowHeight="15.75"/>
  <cols>
    <col min="1" max="1" width="13.7109375" style="20" bestFit="1" customWidth="1"/>
    <col min="2" max="2" width="13.42578125" style="20" bestFit="1" customWidth="1"/>
    <col min="3" max="4" width="4.7109375" style="36" bestFit="1" customWidth="1"/>
    <col min="5" max="5" width="6.28515625" style="20" bestFit="1" customWidth="1"/>
    <col min="6" max="6" width="13.28515625" style="20" customWidth="1"/>
    <col min="7" max="7" width="18.7109375" style="38" customWidth="1"/>
    <col min="8" max="9" width="13.42578125" style="46" bestFit="1" customWidth="1"/>
    <col min="10" max="10" width="4.42578125" style="38" bestFit="1" customWidth="1"/>
    <col min="11" max="11" width="4.28515625" style="38" customWidth="1"/>
    <col min="12" max="12" width="6.28515625" style="46" bestFit="1" customWidth="1"/>
    <col min="13" max="13" width="13.5703125" style="46" bestFit="1" customWidth="1"/>
    <col min="14" max="14" width="18.7109375" style="38" customWidth="1"/>
    <col min="15" max="15" width="16.5703125" style="47" customWidth="1"/>
    <col min="16" max="16" width="21.28515625" style="49" bestFit="1" customWidth="1"/>
    <col min="17" max="17" width="19.5703125" style="49" bestFit="1" customWidth="1"/>
    <col min="18" max="18" width="72.140625" style="35" customWidth="1"/>
    <col min="19" max="20" width="9.140625" style="14"/>
    <col min="21" max="21" width="6.140625" style="14" bestFit="1" customWidth="1"/>
    <col min="22" max="16384" width="9.140625" style="14"/>
  </cols>
  <sheetData>
    <row r="1" spans="1:22" ht="12.75">
      <c r="A1" s="10" t="s">
        <v>49</v>
      </c>
      <c r="B1" s="10" t="s">
        <v>50</v>
      </c>
      <c r="C1" s="10" t="s">
        <v>49</v>
      </c>
      <c r="D1" s="10" t="s">
        <v>50</v>
      </c>
      <c r="E1" s="10" t="s">
        <v>51</v>
      </c>
      <c r="F1" s="10" t="s">
        <v>155</v>
      </c>
      <c r="G1" s="10" t="s">
        <v>52</v>
      </c>
      <c r="H1" s="10" t="s">
        <v>49</v>
      </c>
      <c r="I1" s="10" t="s">
        <v>50</v>
      </c>
      <c r="J1" s="10" t="s">
        <v>49</v>
      </c>
      <c r="K1" s="10" t="s">
        <v>50</v>
      </c>
      <c r="L1" s="10" t="s">
        <v>51</v>
      </c>
      <c r="M1" s="10" t="s">
        <v>155</v>
      </c>
      <c r="N1" s="11" t="s">
        <v>52</v>
      </c>
      <c r="O1" s="12" t="s">
        <v>53</v>
      </c>
      <c r="P1" s="13" t="s">
        <v>54</v>
      </c>
      <c r="Q1" s="10" t="s">
        <v>53</v>
      </c>
      <c r="R1" s="13" t="s">
        <v>15</v>
      </c>
    </row>
    <row r="2" spans="1:22" ht="15">
      <c r="A2" s="15" t="s">
        <v>56</v>
      </c>
      <c r="B2" s="15" t="s">
        <v>56</v>
      </c>
      <c r="C2" s="15" t="s">
        <v>55</v>
      </c>
      <c r="D2" s="15" t="s">
        <v>55</v>
      </c>
      <c r="E2" s="15" t="s">
        <v>57</v>
      </c>
      <c r="F2" s="15"/>
      <c r="G2" s="15" t="s">
        <v>14</v>
      </c>
      <c r="H2" s="15" t="s">
        <v>56</v>
      </c>
      <c r="I2" s="15" t="s">
        <v>56</v>
      </c>
      <c r="J2" s="15" t="s">
        <v>55</v>
      </c>
      <c r="K2" s="15" t="s">
        <v>55</v>
      </c>
      <c r="L2" s="15" t="s">
        <v>57</v>
      </c>
      <c r="M2" s="15"/>
      <c r="N2" s="16" t="s">
        <v>14</v>
      </c>
      <c r="O2" s="17"/>
      <c r="P2" s="18"/>
      <c r="Q2" s="15" t="s">
        <v>14</v>
      </c>
      <c r="R2" s="19"/>
    </row>
    <row r="3" spans="1:22" s="25" customFormat="1">
      <c r="A3" s="20">
        <v>42002</v>
      </c>
      <c r="B3" s="20">
        <v>42005</v>
      </c>
      <c r="C3" s="82" t="str">
        <f t="shared" ref="C3:C34" si="0">VLOOKUP(WEEKDAY(A3,2),Wday_Code,2,FALSE)</f>
        <v>Mo</v>
      </c>
      <c r="D3" s="82" t="str">
        <f t="shared" ref="D3:D34" si="1">VLOOKUP(WEEKDAY(B3,2),Wday_Code,2,FALSE)</f>
        <v>Th</v>
      </c>
      <c r="E3" s="83">
        <f t="shared" ref="E3:E34" si="2">B3-A3+1</f>
        <v>4</v>
      </c>
      <c r="F3" s="84" t="str">
        <f t="shared" ref="F3:F34" si="3">VLOOKUP(WEEKDAY(A3,2),Wday_Code,4,FALSE)&amp;WEEKNUM(A3,2)</f>
        <v>Workweek53</v>
      </c>
      <c r="G3" s="80" t="s">
        <v>59</v>
      </c>
      <c r="H3" s="20">
        <v>42006</v>
      </c>
      <c r="I3" s="20">
        <v>42008</v>
      </c>
      <c r="J3" s="82" t="str">
        <f t="shared" ref="J3:J34" si="4">VLOOKUP(WEEKDAY(H3,2),Wday_Code,2,FALSE)</f>
        <v>Fr</v>
      </c>
      <c r="K3" s="82" t="str">
        <f t="shared" ref="K3:K34" si="5">VLOOKUP(WEEKDAY(I3,2),Wday_Code,2,FALSE)</f>
        <v>Su</v>
      </c>
      <c r="L3" s="83">
        <f t="shared" ref="L3:L34" si="6">I3-H3+1</f>
        <v>3</v>
      </c>
      <c r="M3" s="84" t="str">
        <f t="shared" ref="M3:M34" si="7">VLOOKUP(WEEKDAY(H3,2),Wday_Code,4,FALSE)&amp;WEEKNUM(H3,2)</f>
        <v>Weekend1</v>
      </c>
      <c r="N3" s="80" t="s">
        <v>59</v>
      </c>
      <c r="O3" s="22" t="s">
        <v>60</v>
      </c>
      <c r="P3" s="23">
        <v>42005</v>
      </c>
      <c r="Q3" s="85" t="str">
        <f t="shared" ref="Q3:Q34" si="8">IF(ISBLANK(P3),"",IF(AND(P3&gt;=A3,P3&lt;=B3),G3,N3))</f>
        <v>MINAUDO</v>
      </c>
      <c r="R3" s="24"/>
    </row>
    <row r="4" spans="1:22">
      <c r="A4" s="20">
        <v>42009</v>
      </c>
      <c r="B4" s="20">
        <v>42012</v>
      </c>
      <c r="C4" s="82" t="str">
        <f t="shared" si="0"/>
        <v>Mo</v>
      </c>
      <c r="D4" s="82" t="str">
        <f t="shared" si="1"/>
        <v>Th</v>
      </c>
      <c r="E4" s="83">
        <f t="shared" si="2"/>
        <v>4</v>
      </c>
      <c r="F4" s="84" t="str">
        <f t="shared" si="3"/>
        <v>Workweek2</v>
      </c>
      <c r="G4" s="80" t="s">
        <v>62</v>
      </c>
      <c r="H4" s="20">
        <v>42013</v>
      </c>
      <c r="I4" s="20">
        <v>42015</v>
      </c>
      <c r="J4" s="82" t="str">
        <f t="shared" si="4"/>
        <v>Fr</v>
      </c>
      <c r="K4" s="82" t="str">
        <f t="shared" si="5"/>
        <v>Su</v>
      </c>
      <c r="L4" s="83">
        <f t="shared" si="6"/>
        <v>3</v>
      </c>
      <c r="M4" s="84" t="str">
        <f t="shared" si="7"/>
        <v>Weekend2</v>
      </c>
      <c r="N4" s="80" t="s">
        <v>63</v>
      </c>
      <c r="O4" s="22"/>
      <c r="P4" s="23"/>
      <c r="Q4" s="85" t="str">
        <f t="shared" si="8"/>
        <v/>
      </c>
      <c r="R4" s="24"/>
    </row>
    <row r="5" spans="1:22">
      <c r="A5" s="20">
        <v>42016</v>
      </c>
      <c r="B5" s="20">
        <v>42019</v>
      </c>
      <c r="C5" s="82" t="str">
        <f t="shared" si="0"/>
        <v>Mo</v>
      </c>
      <c r="D5" s="82" t="str">
        <f t="shared" si="1"/>
        <v>Th</v>
      </c>
      <c r="E5" s="83">
        <f t="shared" si="2"/>
        <v>4</v>
      </c>
      <c r="F5" s="84" t="str">
        <f t="shared" si="3"/>
        <v>Workweek3</v>
      </c>
      <c r="G5" s="80" t="s">
        <v>65</v>
      </c>
      <c r="H5" s="20">
        <v>42020</v>
      </c>
      <c r="I5" s="20">
        <v>42022</v>
      </c>
      <c r="J5" s="82" t="str">
        <f t="shared" si="4"/>
        <v>Fr</v>
      </c>
      <c r="K5" s="82" t="str">
        <f t="shared" si="5"/>
        <v>Su</v>
      </c>
      <c r="L5" s="83">
        <f t="shared" si="6"/>
        <v>3</v>
      </c>
      <c r="M5" s="84" t="str">
        <f t="shared" si="7"/>
        <v>Weekend3</v>
      </c>
      <c r="N5" s="80" t="s">
        <v>65</v>
      </c>
      <c r="O5" s="22"/>
      <c r="P5" s="23"/>
      <c r="Q5" s="85" t="str">
        <f t="shared" si="8"/>
        <v/>
      </c>
      <c r="R5" s="24"/>
    </row>
    <row r="6" spans="1:22">
      <c r="A6" s="20">
        <v>42023</v>
      </c>
      <c r="B6" s="20">
        <v>42026</v>
      </c>
      <c r="C6" s="82" t="str">
        <f t="shared" si="0"/>
        <v>Mo</v>
      </c>
      <c r="D6" s="82" t="str">
        <f t="shared" si="1"/>
        <v>Th</v>
      </c>
      <c r="E6" s="83">
        <f t="shared" si="2"/>
        <v>4</v>
      </c>
      <c r="F6" s="84" t="str">
        <f t="shared" si="3"/>
        <v>Workweek4</v>
      </c>
      <c r="G6" s="80" t="s">
        <v>81</v>
      </c>
      <c r="H6" s="20">
        <v>42027</v>
      </c>
      <c r="I6" s="20">
        <v>42029</v>
      </c>
      <c r="J6" s="82" t="str">
        <f t="shared" si="4"/>
        <v>Fr</v>
      </c>
      <c r="K6" s="82" t="str">
        <f t="shared" si="5"/>
        <v>Su</v>
      </c>
      <c r="L6" s="83">
        <f t="shared" si="6"/>
        <v>3</v>
      </c>
      <c r="M6" s="84" t="str">
        <f t="shared" si="7"/>
        <v>Weekend4</v>
      </c>
      <c r="N6" s="80" t="s">
        <v>59</v>
      </c>
      <c r="O6" s="22"/>
      <c r="P6" s="23"/>
      <c r="Q6" s="85" t="str">
        <f t="shared" si="8"/>
        <v/>
      </c>
      <c r="R6" s="24" t="s">
        <v>69</v>
      </c>
    </row>
    <row r="7" spans="1:22">
      <c r="A7" s="20">
        <v>42030</v>
      </c>
      <c r="B7" s="20">
        <v>42033</v>
      </c>
      <c r="C7" s="82" t="str">
        <f t="shared" si="0"/>
        <v>Mo</v>
      </c>
      <c r="D7" s="82" t="str">
        <f t="shared" si="1"/>
        <v>Th</v>
      </c>
      <c r="E7" s="83">
        <f t="shared" si="2"/>
        <v>4</v>
      </c>
      <c r="F7" s="84" t="str">
        <f>VLOOKUP(WEEKDAY(A7,2),Wday_Code,4,FALSE)&amp;WEEKNUM(A7,2)</f>
        <v>Workweek5</v>
      </c>
      <c r="G7" s="80" t="s">
        <v>71</v>
      </c>
      <c r="H7" s="20">
        <v>42034</v>
      </c>
      <c r="I7" s="20">
        <v>42036</v>
      </c>
      <c r="J7" s="82" t="str">
        <f t="shared" si="4"/>
        <v>Fr</v>
      </c>
      <c r="K7" s="82" t="str">
        <f t="shared" si="5"/>
        <v>Su</v>
      </c>
      <c r="L7" s="83">
        <f t="shared" si="6"/>
        <v>3</v>
      </c>
      <c r="M7" s="84" t="str">
        <f t="shared" si="7"/>
        <v>Weekend5</v>
      </c>
      <c r="N7" s="80" t="s">
        <v>71</v>
      </c>
      <c r="O7" s="22"/>
      <c r="P7" s="23"/>
      <c r="Q7" s="85" t="str">
        <f t="shared" si="8"/>
        <v/>
      </c>
      <c r="R7" s="24" t="s">
        <v>72</v>
      </c>
    </row>
    <row r="8" spans="1:22">
      <c r="A8" s="20">
        <v>42037</v>
      </c>
      <c r="B8" s="20">
        <v>42040</v>
      </c>
      <c r="C8" s="82" t="str">
        <f t="shared" si="0"/>
        <v>Mo</v>
      </c>
      <c r="D8" s="82" t="str">
        <f t="shared" si="1"/>
        <v>Th</v>
      </c>
      <c r="E8" s="83">
        <f t="shared" si="2"/>
        <v>4</v>
      </c>
      <c r="F8" s="84" t="str">
        <f t="shared" si="3"/>
        <v>Workweek6</v>
      </c>
      <c r="G8" s="80" t="s">
        <v>67</v>
      </c>
      <c r="H8" s="20">
        <v>42041</v>
      </c>
      <c r="I8" s="20">
        <v>42043</v>
      </c>
      <c r="J8" s="82" t="str">
        <f t="shared" si="4"/>
        <v>Fr</v>
      </c>
      <c r="K8" s="82" t="str">
        <f t="shared" si="5"/>
        <v>Su</v>
      </c>
      <c r="L8" s="83">
        <f t="shared" si="6"/>
        <v>3</v>
      </c>
      <c r="M8" s="84" t="str">
        <f t="shared" si="7"/>
        <v>Weekend6</v>
      </c>
      <c r="N8" s="80" t="s">
        <v>65</v>
      </c>
      <c r="O8" s="22"/>
      <c r="P8" s="23"/>
      <c r="Q8" s="85" t="str">
        <f t="shared" si="8"/>
        <v/>
      </c>
      <c r="R8" s="24"/>
    </row>
    <row r="9" spans="1:22">
      <c r="A9" s="26">
        <v>42044</v>
      </c>
      <c r="B9" s="20">
        <v>42047</v>
      </c>
      <c r="C9" s="82" t="str">
        <f t="shared" si="0"/>
        <v>Mo</v>
      </c>
      <c r="D9" s="82" t="str">
        <f t="shared" si="1"/>
        <v>Th</v>
      </c>
      <c r="E9" s="83">
        <f t="shared" si="2"/>
        <v>4</v>
      </c>
      <c r="F9" s="84" t="str">
        <f t="shared" si="3"/>
        <v>Workweek7</v>
      </c>
      <c r="G9" s="80" t="s">
        <v>68</v>
      </c>
      <c r="H9" s="26">
        <v>42048</v>
      </c>
      <c r="I9" s="20">
        <v>42051</v>
      </c>
      <c r="J9" s="82" t="str">
        <f t="shared" si="4"/>
        <v>Fr</v>
      </c>
      <c r="K9" s="82" t="str">
        <f t="shared" si="5"/>
        <v>Mo</v>
      </c>
      <c r="L9" s="83">
        <f t="shared" si="6"/>
        <v>4</v>
      </c>
      <c r="M9" s="84" t="str">
        <f t="shared" si="7"/>
        <v>Weekend7</v>
      </c>
      <c r="N9" s="160" t="s">
        <v>59</v>
      </c>
      <c r="O9" s="22" t="s">
        <v>75</v>
      </c>
      <c r="P9" s="23" t="s">
        <v>76</v>
      </c>
      <c r="Q9" s="85" t="str">
        <f t="shared" si="8"/>
        <v>MINAUDO</v>
      </c>
      <c r="R9" s="24" t="s">
        <v>77</v>
      </c>
    </row>
    <row r="10" spans="1:22">
      <c r="A10" s="20">
        <v>42052</v>
      </c>
      <c r="B10" s="20">
        <v>42054</v>
      </c>
      <c r="C10" s="82" t="str">
        <f t="shared" si="0"/>
        <v>Tu</v>
      </c>
      <c r="D10" s="82" t="str">
        <f t="shared" si="1"/>
        <v>Th</v>
      </c>
      <c r="E10" s="83">
        <f t="shared" si="2"/>
        <v>3</v>
      </c>
      <c r="F10" s="84" t="str">
        <f t="shared" si="3"/>
        <v>Workweek8</v>
      </c>
      <c r="G10" s="80" t="s">
        <v>63</v>
      </c>
      <c r="H10" s="20">
        <v>42055</v>
      </c>
      <c r="I10" s="20">
        <v>42057</v>
      </c>
      <c r="J10" s="82" t="str">
        <f t="shared" si="4"/>
        <v>Fr</v>
      </c>
      <c r="K10" s="82" t="str">
        <f t="shared" si="5"/>
        <v>Su</v>
      </c>
      <c r="L10" s="83">
        <f t="shared" si="6"/>
        <v>3</v>
      </c>
      <c r="M10" s="84" t="str">
        <f t="shared" si="7"/>
        <v>Weekend8</v>
      </c>
      <c r="N10" s="80" t="s">
        <v>62</v>
      </c>
      <c r="O10" s="22"/>
      <c r="P10" s="23"/>
      <c r="Q10" s="85" t="str">
        <f t="shared" si="8"/>
        <v/>
      </c>
      <c r="R10" s="24" t="s">
        <v>78</v>
      </c>
      <c r="U10" s="51"/>
      <c r="V10" s="52"/>
    </row>
    <row r="11" spans="1:22">
      <c r="A11" s="20">
        <v>42058</v>
      </c>
      <c r="B11" s="20">
        <v>42061</v>
      </c>
      <c r="C11" s="82" t="str">
        <f t="shared" si="0"/>
        <v>Mo</v>
      </c>
      <c r="D11" s="82" t="str">
        <f t="shared" si="1"/>
        <v>Th</v>
      </c>
      <c r="E11" s="83">
        <f t="shared" si="2"/>
        <v>4</v>
      </c>
      <c r="F11" s="84" t="str">
        <f t="shared" si="3"/>
        <v>Workweek9</v>
      </c>
      <c r="G11" s="80" t="s">
        <v>81</v>
      </c>
      <c r="H11" s="20">
        <v>42062</v>
      </c>
      <c r="I11" s="20">
        <v>42064</v>
      </c>
      <c r="J11" s="82" t="str">
        <f t="shared" si="4"/>
        <v>Fr</v>
      </c>
      <c r="K11" s="82" t="str">
        <f t="shared" si="5"/>
        <v>Su</v>
      </c>
      <c r="L11" s="83">
        <f t="shared" si="6"/>
        <v>3</v>
      </c>
      <c r="M11" s="84" t="str">
        <f t="shared" si="7"/>
        <v>Weekend9</v>
      </c>
      <c r="N11" s="80" t="s">
        <v>67</v>
      </c>
      <c r="O11" s="22"/>
      <c r="P11" s="23"/>
      <c r="Q11" s="85" t="str">
        <f t="shared" si="8"/>
        <v/>
      </c>
      <c r="R11" s="24" t="s">
        <v>79</v>
      </c>
      <c r="U11" s="53"/>
      <c r="V11" s="52"/>
    </row>
    <row r="12" spans="1:22">
      <c r="A12" s="20">
        <v>42065</v>
      </c>
      <c r="B12" s="20">
        <v>42068</v>
      </c>
      <c r="C12" s="82" t="str">
        <f t="shared" si="0"/>
        <v>Mo</v>
      </c>
      <c r="D12" s="82" t="str">
        <f t="shared" si="1"/>
        <v>Th</v>
      </c>
      <c r="E12" s="83">
        <f t="shared" si="2"/>
        <v>4</v>
      </c>
      <c r="F12" s="84" t="str">
        <f t="shared" si="3"/>
        <v>Workweek10</v>
      </c>
      <c r="G12" s="80" t="s">
        <v>59</v>
      </c>
      <c r="H12" s="20">
        <v>42069</v>
      </c>
      <c r="I12" s="20">
        <v>42071</v>
      </c>
      <c r="J12" s="82" t="str">
        <f t="shared" si="4"/>
        <v>Fr</v>
      </c>
      <c r="K12" s="82" t="str">
        <f t="shared" si="5"/>
        <v>Su</v>
      </c>
      <c r="L12" s="83">
        <f t="shared" si="6"/>
        <v>3</v>
      </c>
      <c r="M12" s="84" t="str">
        <f t="shared" si="7"/>
        <v>Weekend10</v>
      </c>
      <c r="N12" s="80" t="s">
        <v>68</v>
      </c>
      <c r="O12" s="22"/>
      <c r="P12" s="23"/>
      <c r="Q12" s="85" t="str">
        <f t="shared" si="8"/>
        <v/>
      </c>
      <c r="R12" s="24" t="s">
        <v>80</v>
      </c>
      <c r="U12" s="53"/>
      <c r="V12" s="52"/>
    </row>
    <row r="13" spans="1:22">
      <c r="A13" s="20">
        <v>42072</v>
      </c>
      <c r="B13" s="20">
        <v>42075</v>
      </c>
      <c r="C13" s="82" t="str">
        <f t="shared" si="0"/>
        <v>Mo</v>
      </c>
      <c r="D13" s="82" t="str">
        <f t="shared" si="1"/>
        <v>Th</v>
      </c>
      <c r="E13" s="83">
        <f t="shared" si="2"/>
        <v>4</v>
      </c>
      <c r="F13" s="84" t="str">
        <f t="shared" si="3"/>
        <v>Workweek11</v>
      </c>
      <c r="G13" s="80" t="s">
        <v>67</v>
      </c>
      <c r="H13" s="20">
        <v>42076</v>
      </c>
      <c r="I13" s="20">
        <v>42078</v>
      </c>
      <c r="J13" s="82" t="str">
        <f t="shared" si="4"/>
        <v>Fr</v>
      </c>
      <c r="K13" s="82" t="str">
        <f t="shared" si="5"/>
        <v>Su</v>
      </c>
      <c r="L13" s="83">
        <f t="shared" si="6"/>
        <v>3</v>
      </c>
      <c r="M13" s="84" t="str">
        <f t="shared" si="7"/>
        <v>Weekend11</v>
      </c>
      <c r="N13" s="80" t="s">
        <v>62</v>
      </c>
      <c r="O13" s="22"/>
      <c r="P13" s="23"/>
      <c r="Q13" s="85" t="str">
        <f t="shared" si="8"/>
        <v/>
      </c>
      <c r="R13" s="24" t="s">
        <v>82</v>
      </c>
      <c r="U13" s="53"/>
      <c r="V13" s="52"/>
    </row>
    <row r="14" spans="1:22">
      <c r="A14" s="20">
        <v>42079</v>
      </c>
      <c r="B14" s="20">
        <v>42082</v>
      </c>
      <c r="C14" s="82" t="str">
        <f t="shared" si="0"/>
        <v>Mo</v>
      </c>
      <c r="D14" s="82" t="str">
        <f t="shared" si="1"/>
        <v>Th</v>
      </c>
      <c r="E14" s="83">
        <f t="shared" si="2"/>
        <v>4</v>
      </c>
      <c r="F14" s="84" t="str">
        <f t="shared" si="3"/>
        <v>Workweek12</v>
      </c>
      <c r="G14" s="80" t="s">
        <v>68</v>
      </c>
      <c r="H14" s="20">
        <v>42083</v>
      </c>
      <c r="I14" s="20">
        <v>42085</v>
      </c>
      <c r="J14" s="82" t="str">
        <f t="shared" si="4"/>
        <v>Fr</v>
      </c>
      <c r="K14" s="82" t="str">
        <f t="shared" si="5"/>
        <v>Su</v>
      </c>
      <c r="L14" s="83">
        <f t="shared" si="6"/>
        <v>3</v>
      </c>
      <c r="M14" s="84" t="str">
        <f t="shared" si="7"/>
        <v>Weekend12</v>
      </c>
      <c r="N14" s="80" t="s">
        <v>81</v>
      </c>
      <c r="O14" s="22"/>
      <c r="P14" s="23"/>
      <c r="Q14" s="85" t="str">
        <f t="shared" si="8"/>
        <v/>
      </c>
      <c r="R14" s="24" t="s">
        <v>83</v>
      </c>
      <c r="U14" s="53"/>
      <c r="V14" s="52"/>
    </row>
    <row r="15" spans="1:22">
      <c r="A15" s="20">
        <v>42086</v>
      </c>
      <c r="B15" s="20">
        <v>42089</v>
      </c>
      <c r="C15" s="82" t="str">
        <f t="shared" si="0"/>
        <v>Mo</v>
      </c>
      <c r="D15" s="82" t="str">
        <f t="shared" si="1"/>
        <v>Th</v>
      </c>
      <c r="E15" s="83">
        <f t="shared" si="2"/>
        <v>4</v>
      </c>
      <c r="F15" s="84" t="str">
        <f t="shared" si="3"/>
        <v>Workweek13</v>
      </c>
      <c r="G15" s="80" t="s">
        <v>63</v>
      </c>
      <c r="H15" s="20">
        <v>42090</v>
      </c>
      <c r="I15" s="20">
        <v>42092</v>
      </c>
      <c r="J15" s="82" t="str">
        <f t="shared" si="4"/>
        <v>Fr</v>
      </c>
      <c r="K15" s="82" t="str">
        <f t="shared" si="5"/>
        <v>Su</v>
      </c>
      <c r="L15" s="83">
        <f t="shared" si="6"/>
        <v>3</v>
      </c>
      <c r="M15" s="84" t="str">
        <f t="shared" si="7"/>
        <v>Weekend13</v>
      </c>
      <c r="N15" s="80" t="s">
        <v>67</v>
      </c>
      <c r="O15" s="22"/>
      <c r="P15" s="23"/>
      <c r="Q15" s="85" t="str">
        <f t="shared" si="8"/>
        <v/>
      </c>
      <c r="R15" s="24" t="s">
        <v>84</v>
      </c>
      <c r="U15" s="53"/>
      <c r="V15" s="52"/>
    </row>
    <row r="16" spans="1:22">
      <c r="A16" s="20">
        <v>42093</v>
      </c>
      <c r="B16" s="20">
        <v>42096</v>
      </c>
      <c r="C16" s="82" t="str">
        <f t="shared" si="0"/>
        <v>Mo</v>
      </c>
      <c r="D16" s="82" t="str">
        <f t="shared" si="1"/>
        <v>Th</v>
      </c>
      <c r="E16" s="83">
        <f t="shared" si="2"/>
        <v>4</v>
      </c>
      <c r="F16" s="84" t="str">
        <f t="shared" si="3"/>
        <v>Workweek14</v>
      </c>
      <c r="G16" s="80" t="s">
        <v>71</v>
      </c>
      <c r="H16" s="20">
        <v>42097</v>
      </c>
      <c r="I16" s="20">
        <v>42099</v>
      </c>
      <c r="J16" s="82" t="str">
        <f t="shared" si="4"/>
        <v>Fr</v>
      </c>
      <c r="K16" s="82" t="str">
        <f t="shared" si="5"/>
        <v>Su</v>
      </c>
      <c r="L16" s="83">
        <f t="shared" si="6"/>
        <v>3</v>
      </c>
      <c r="M16" s="84" t="str">
        <f t="shared" si="7"/>
        <v>Weekend14</v>
      </c>
      <c r="N16" s="160" t="s">
        <v>71</v>
      </c>
      <c r="O16" s="22" t="s">
        <v>85</v>
      </c>
      <c r="P16" s="23">
        <v>42099</v>
      </c>
      <c r="Q16" s="85" t="str">
        <f t="shared" si="8"/>
        <v>NEUMANN</v>
      </c>
      <c r="R16" s="24" t="s">
        <v>86</v>
      </c>
      <c r="U16" s="53"/>
      <c r="V16" s="52"/>
    </row>
    <row r="17" spans="1:22">
      <c r="A17" s="20">
        <v>42100</v>
      </c>
      <c r="B17" s="20">
        <v>42103</v>
      </c>
      <c r="C17" s="82" t="str">
        <f t="shared" si="0"/>
        <v>Mo</v>
      </c>
      <c r="D17" s="82" t="str">
        <f t="shared" si="1"/>
        <v>Th</v>
      </c>
      <c r="E17" s="83">
        <f t="shared" si="2"/>
        <v>4</v>
      </c>
      <c r="F17" s="84" t="str">
        <f t="shared" si="3"/>
        <v>Workweek15</v>
      </c>
      <c r="G17" s="80" t="s">
        <v>62</v>
      </c>
      <c r="H17" s="20">
        <v>42104</v>
      </c>
      <c r="I17" s="20">
        <v>42106</v>
      </c>
      <c r="J17" s="82" t="str">
        <f t="shared" si="4"/>
        <v>Fr</v>
      </c>
      <c r="K17" s="82" t="str">
        <f t="shared" si="5"/>
        <v>Su</v>
      </c>
      <c r="L17" s="83">
        <f t="shared" si="6"/>
        <v>3</v>
      </c>
      <c r="M17" s="84" t="str">
        <f t="shared" si="7"/>
        <v>Weekend15</v>
      </c>
      <c r="N17" s="80" t="s">
        <v>68</v>
      </c>
      <c r="O17" s="22"/>
      <c r="P17" s="27"/>
      <c r="Q17" s="85" t="str">
        <f t="shared" si="8"/>
        <v/>
      </c>
      <c r="R17" s="24" t="s">
        <v>86</v>
      </c>
      <c r="U17" s="53"/>
      <c r="V17" s="52"/>
    </row>
    <row r="18" spans="1:22">
      <c r="A18" s="20">
        <v>42107</v>
      </c>
      <c r="B18" s="20">
        <v>42110</v>
      </c>
      <c r="C18" s="82" t="str">
        <f t="shared" si="0"/>
        <v>Mo</v>
      </c>
      <c r="D18" s="82" t="str">
        <f t="shared" si="1"/>
        <v>Th</v>
      </c>
      <c r="E18" s="83">
        <f t="shared" si="2"/>
        <v>4</v>
      </c>
      <c r="F18" s="84" t="str">
        <f t="shared" si="3"/>
        <v>Workweek16</v>
      </c>
      <c r="G18" s="80" t="s">
        <v>81</v>
      </c>
      <c r="H18" s="20">
        <v>42111</v>
      </c>
      <c r="I18" s="20">
        <v>42113</v>
      </c>
      <c r="J18" s="82" t="str">
        <f t="shared" si="4"/>
        <v>Fr</v>
      </c>
      <c r="K18" s="82" t="str">
        <f t="shared" si="5"/>
        <v>Su</v>
      </c>
      <c r="L18" s="83">
        <f t="shared" si="6"/>
        <v>3</v>
      </c>
      <c r="M18" s="84" t="str">
        <f t="shared" si="7"/>
        <v>Weekend16</v>
      </c>
      <c r="N18" s="80" t="s">
        <v>63</v>
      </c>
      <c r="O18" s="22"/>
      <c r="P18" s="23"/>
      <c r="Q18" s="85" t="str">
        <f t="shared" si="8"/>
        <v/>
      </c>
      <c r="R18" s="24" t="s">
        <v>87</v>
      </c>
      <c r="U18" s="53"/>
      <c r="V18" s="52"/>
    </row>
    <row r="19" spans="1:22">
      <c r="A19" s="20">
        <v>42114</v>
      </c>
      <c r="B19" s="20">
        <v>42117</v>
      </c>
      <c r="C19" s="82" t="str">
        <f t="shared" si="0"/>
        <v>Mo</v>
      </c>
      <c r="D19" s="82" t="str">
        <f t="shared" si="1"/>
        <v>Th</v>
      </c>
      <c r="E19" s="83">
        <f t="shared" si="2"/>
        <v>4</v>
      </c>
      <c r="F19" s="84" t="str">
        <f t="shared" si="3"/>
        <v>Workweek17</v>
      </c>
      <c r="G19" s="80" t="s">
        <v>59</v>
      </c>
      <c r="H19" s="20">
        <v>42118</v>
      </c>
      <c r="I19" s="20">
        <v>42120</v>
      </c>
      <c r="J19" s="82" t="str">
        <f t="shared" si="4"/>
        <v>Fr</v>
      </c>
      <c r="K19" s="82" t="str">
        <f t="shared" si="5"/>
        <v>Su</v>
      </c>
      <c r="L19" s="83">
        <f t="shared" si="6"/>
        <v>3</v>
      </c>
      <c r="M19" s="84" t="str">
        <f t="shared" si="7"/>
        <v>Weekend17</v>
      </c>
      <c r="N19" s="80" t="s">
        <v>67</v>
      </c>
      <c r="O19" s="22"/>
      <c r="P19" s="23"/>
      <c r="Q19" s="85" t="str">
        <f t="shared" si="8"/>
        <v/>
      </c>
      <c r="R19" s="24"/>
      <c r="U19" s="54"/>
      <c r="V19" s="52"/>
    </row>
    <row r="20" spans="1:22">
      <c r="A20" s="20">
        <v>42121</v>
      </c>
      <c r="B20" s="20">
        <v>42124</v>
      </c>
      <c r="C20" s="82" t="str">
        <f t="shared" si="0"/>
        <v>Mo</v>
      </c>
      <c r="D20" s="82" t="str">
        <f t="shared" si="1"/>
        <v>Th</v>
      </c>
      <c r="E20" s="83">
        <f t="shared" si="2"/>
        <v>4</v>
      </c>
      <c r="F20" s="84" t="str">
        <f t="shared" si="3"/>
        <v>Workweek18</v>
      </c>
      <c r="G20" s="80" t="s">
        <v>68</v>
      </c>
      <c r="H20" s="20">
        <v>42125</v>
      </c>
      <c r="I20" s="20">
        <v>42127</v>
      </c>
      <c r="J20" s="82" t="str">
        <f t="shared" si="4"/>
        <v>Fr</v>
      </c>
      <c r="K20" s="82" t="str">
        <f t="shared" si="5"/>
        <v>Su</v>
      </c>
      <c r="L20" s="83">
        <f t="shared" si="6"/>
        <v>3</v>
      </c>
      <c r="M20" s="84" t="str">
        <f t="shared" si="7"/>
        <v>Weekend18</v>
      </c>
      <c r="N20" s="80" t="s">
        <v>65</v>
      </c>
      <c r="O20" s="22"/>
      <c r="P20" s="23"/>
      <c r="Q20" s="85" t="str">
        <f t="shared" si="8"/>
        <v/>
      </c>
      <c r="R20" s="24" t="s">
        <v>88</v>
      </c>
      <c r="U20" s="51"/>
      <c r="V20" s="52"/>
    </row>
    <row r="21" spans="1:22">
      <c r="A21" s="20">
        <v>42128</v>
      </c>
      <c r="B21" s="20">
        <v>42131</v>
      </c>
      <c r="C21" s="82" t="str">
        <f t="shared" si="0"/>
        <v>Mo</v>
      </c>
      <c r="D21" s="82" t="str">
        <f t="shared" si="1"/>
        <v>Th</v>
      </c>
      <c r="E21" s="83">
        <f t="shared" si="2"/>
        <v>4</v>
      </c>
      <c r="F21" s="84" t="str">
        <f t="shared" si="3"/>
        <v>Workweek19</v>
      </c>
      <c r="G21" s="80" t="s">
        <v>67</v>
      </c>
      <c r="H21" s="20">
        <v>42132</v>
      </c>
      <c r="I21" s="20">
        <v>42134</v>
      </c>
      <c r="J21" s="82" t="str">
        <f t="shared" si="4"/>
        <v>Fr</v>
      </c>
      <c r="K21" s="82" t="str">
        <f t="shared" si="5"/>
        <v>Su</v>
      </c>
      <c r="L21" s="83">
        <f t="shared" si="6"/>
        <v>3</v>
      </c>
      <c r="M21" s="84" t="str">
        <f t="shared" si="7"/>
        <v>Weekend19</v>
      </c>
      <c r="N21" s="80" t="s">
        <v>59</v>
      </c>
      <c r="O21" s="22"/>
      <c r="P21" s="27"/>
      <c r="Q21" s="85" t="str">
        <f t="shared" si="8"/>
        <v/>
      </c>
      <c r="R21" s="24"/>
      <c r="U21" s="53"/>
      <c r="V21" s="52"/>
    </row>
    <row r="22" spans="1:22">
      <c r="A22" s="20">
        <v>42135</v>
      </c>
      <c r="B22" s="20">
        <v>42138</v>
      </c>
      <c r="C22" s="82" t="str">
        <f t="shared" si="0"/>
        <v>Mo</v>
      </c>
      <c r="D22" s="82" t="str">
        <f t="shared" si="1"/>
        <v>Th</v>
      </c>
      <c r="E22" s="83">
        <f t="shared" si="2"/>
        <v>4</v>
      </c>
      <c r="F22" s="84" t="str">
        <f t="shared" si="3"/>
        <v>Workweek20</v>
      </c>
      <c r="G22" s="80" t="s">
        <v>63</v>
      </c>
      <c r="H22" s="28">
        <v>42139</v>
      </c>
      <c r="I22" s="28">
        <v>42141</v>
      </c>
      <c r="J22" s="82" t="str">
        <f t="shared" si="4"/>
        <v>Fr</v>
      </c>
      <c r="K22" s="82" t="str">
        <f t="shared" si="5"/>
        <v>Su</v>
      </c>
      <c r="L22" s="83">
        <f t="shared" si="6"/>
        <v>3</v>
      </c>
      <c r="M22" s="84" t="str">
        <f t="shared" si="7"/>
        <v>Weekend20</v>
      </c>
      <c r="N22" s="80" t="s">
        <v>68</v>
      </c>
      <c r="O22" s="22"/>
      <c r="P22" s="27"/>
      <c r="Q22" s="85" t="str">
        <f t="shared" si="8"/>
        <v/>
      </c>
      <c r="R22" s="24" t="s">
        <v>89</v>
      </c>
      <c r="U22" s="53"/>
      <c r="V22" s="52"/>
    </row>
    <row r="23" spans="1:22">
      <c r="A23" s="20">
        <v>42142</v>
      </c>
      <c r="B23" s="20">
        <v>42145</v>
      </c>
      <c r="C23" s="82" t="str">
        <f t="shared" si="0"/>
        <v>Mo</v>
      </c>
      <c r="D23" s="82" t="str">
        <f t="shared" si="1"/>
        <v>Th</v>
      </c>
      <c r="E23" s="83">
        <f t="shared" si="2"/>
        <v>4</v>
      </c>
      <c r="F23" s="84" t="str">
        <f t="shared" si="3"/>
        <v>Workweek21</v>
      </c>
      <c r="G23" s="80" t="s">
        <v>65</v>
      </c>
      <c r="H23" s="20">
        <v>42146</v>
      </c>
      <c r="I23" s="20">
        <v>42149</v>
      </c>
      <c r="J23" s="82" t="str">
        <f t="shared" si="4"/>
        <v>Fr</v>
      </c>
      <c r="K23" s="82" t="str">
        <f t="shared" si="5"/>
        <v>Mo</v>
      </c>
      <c r="L23" s="83">
        <f t="shared" si="6"/>
        <v>4</v>
      </c>
      <c r="M23" s="84" t="str">
        <f t="shared" si="7"/>
        <v>Weekend21</v>
      </c>
      <c r="N23" s="160" t="s">
        <v>62</v>
      </c>
      <c r="O23" s="22" t="s">
        <v>90</v>
      </c>
      <c r="P23" s="23">
        <v>42149</v>
      </c>
      <c r="Q23" s="85" t="str">
        <f t="shared" si="8"/>
        <v>LANDESMAN</v>
      </c>
      <c r="R23" s="24" t="s">
        <v>91</v>
      </c>
      <c r="U23" s="53"/>
      <c r="V23" s="52"/>
    </row>
    <row r="24" spans="1:22">
      <c r="A24" s="20">
        <v>42150</v>
      </c>
      <c r="B24" s="20">
        <v>42152</v>
      </c>
      <c r="C24" s="82" t="str">
        <f t="shared" si="0"/>
        <v>Tu</v>
      </c>
      <c r="D24" s="82" t="str">
        <f t="shared" si="1"/>
        <v>Th</v>
      </c>
      <c r="E24" s="83">
        <f t="shared" si="2"/>
        <v>3</v>
      </c>
      <c r="F24" s="84" t="str">
        <f t="shared" si="3"/>
        <v>Workweek22</v>
      </c>
      <c r="G24" s="80" t="s">
        <v>71</v>
      </c>
      <c r="H24" s="28">
        <v>42153</v>
      </c>
      <c r="I24" s="28">
        <v>42155</v>
      </c>
      <c r="J24" s="82" t="str">
        <f t="shared" si="4"/>
        <v>Fr</v>
      </c>
      <c r="K24" s="82" t="str">
        <f t="shared" si="5"/>
        <v>Su</v>
      </c>
      <c r="L24" s="83">
        <f t="shared" si="6"/>
        <v>3</v>
      </c>
      <c r="M24" s="84" t="str">
        <f t="shared" si="7"/>
        <v>Weekend22</v>
      </c>
      <c r="N24" s="80" t="s">
        <v>71</v>
      </c>
      <c r="O24" s="22"/>
      <c r="P24" s="23"/>
      <c r="Q24" s="85" t="str">
        <f t="shared" si="8"/>
        <v/>
      </c>
      <c r="R24" s="24"/>
      <c r="U24" s="53"/>
      <c r="V24" s="52"/>
    </row>
    <row r="25" spans="1:22">
      <c r="A25" s="20">
        <v>42156</v>
      </c>
      <c r="B25" s="20">
        <v>42159</v>
      </c>
      <c r="C25" s="82" t="str">
        <f t="shared" si="0"/>
        <v>Mo</v>
      </c>
      <c r="D25" s="82" t="str">
        <f t="shared" si="1"/>
        <v>Th</v>
      </c>
      <c r="E25" s="83">
        <f t="shared" si="2"/>
        <v>4</v>
      </c>
      <c r="F25" s="84" t="str">
        <f t="shared" si="3"/>
        <v>Workweek23</v>
      </c>
      <c r="G25" s="80" t="s">
        <v>68</v>
      </c>
      <c r="H25" s="20">
        <v>42160</v>
      </c>
      <c r="I25" s="20">
        <v>42162</v>
      </c>
      <c r="J25" s="82" t="str">
        <f t="shared" si="4"/>
        <v>Fr</v>
      </c>
      <c r="K25" s="82" t="str">
        <f t="shared" si="5"/>
        <v>Su</v>
      </c>
      <c r="L25" s="83">
        <f t="shared" si="6"/>
        <v>3</v>
      </c>
      <c r="M25" s="84" t="str">
        <f t="shared" si="7"/>
        <v>Weekend23</v>
      </c>
      <c r="N25" s="80" t="s">
        <v>67</v>
      </c>
      <c r="O25" s="22"/>
      <c r="P25" s="23"/>
      <c r="Q25" s="85" t="str">
        <f t="shared" si="8"/>
        <v/>
      </c>
      <c r="R25" s="24" t="s">
        <v>92</v>
      </c>
      <c r="U25" s="53"/>
      <c r="V25" s="52"/>
    </row>
    <row r="26" spans="1:22">
      <c r="A26" s="20">
        <v>42163</v>
      </c>
      <c r="B26" s="20">
        <v>42166</v>
      </c>
      <c r="C26" s="82" t="str">
        <f t="shared" si="0"/>
        <v>Mo</v>
      </c>
      <c r="D26" s="82" t="str">
        <f t="shared" si="1"/>
        <v>Th</v>
      </c>
      <c r="E26" s="83">
        <f t="shared" si="2"/>
        <v>4</v>
      </c>
      <c r="F26" s="84" t="str">
        <f t="shared" si="3"/>
        <v>Workweek24</v>
      </c>
      <c r="G26" s="80" t="s">
        <v>81</v>
      </c>
      <c r="H26" s="20">
        <v>42167</v>
      </c>
      <c r="I26" s="20">
        <v>42169</v>
      </c>
      <c r="J26" s="82" t="str">
        <f t="shared" si="4"/>
        <v>Fr</v>
      </c>
      <c r="K26" s="82" t="str">
        <f t="shared" si="5"/>
        <v>Su</v>
      </c>
      <c r="L26" s="83">
        <f t="shared" si="6"/>
        <v>3</v>
      </c>
      <c r="M26" s="84" t="str">
        <f t="shared" si="7"/>
        <v>Weekend24</v>
      </c>
      <c r="N26" s="80" t="s">
        <v>59</v>
      </c>
      <c r="O26" s="22"/>
      <c r="P26" s="23"/>
      <c r="Q26" s="85" t="str">
        <f t="shared" si="8"/>
        <v/>
      </c>
      <c r="R26" s="24" t="s">
        <v>92</v>
      </c>
      <c r="U26" s="53"/>
      <c r="V26" s="52"/>
    </row>
    <row r="27" spans="1:22">
      <c r="A27" s="20">
        <v>42170</v>
      </c>
      <c r="B27" s="20">
        <v>42174</v>
      </c>
      <c r="C27" s="82" t="str">
        <f t="shared" si="0"/>
        <v>Mo</v>
      </c>
      <c r="D27" s="82" t="str">
        <f t="shared" si="1"/>
        <v>Fr</v>
      </c>
      <c r="E27" s="83">
        <f t="shared" si="2"/>
        <v>5</v>
      </c>
      <c r="F27" s="84" t="str">
        <f t="shared" si="3"/>
        <v>Workweek25</v>
      </c>
      <c r="G27" s="80" t="s">
        <v>62</v>
      </c>
      <c r="H27" s="20">
        <v>42174</v>
      </c>
      <c r="I27" s="20">
        <v>42176</v>
      </c>
      <c r="J27" s="82" t="str">
        <f t="shared" si="4"/>
        <v>Fr</v>
      </c>
      <c r="K27" s="82" t="str">
        <f t="shared" si="5"/>
        <v>Su</v>
      </c>
      <c r="L27" s="83">
        <f t="shared" si="6"/>
        <v>3</v>
      </c>
      <c r="M27" s="84" t="str">
        <f t="shared" si="7"/>
        <v>Weekend25</v>
      </c>
      <c r="N27" s="80" t="s">
        <v>63</v>
      </c>
      <c r="O27" s="22"/>
      <c r="P27" s="23"/>
      <c r="Q27" s="85" t="str">
        <f t="shared" si="8"/>
        <v/>
      </c>
      <c r="R27" s="24" t="s">
        <v>92</v>
      </c>
      <c r="U27" s="53"/>
      <c r="V27" s="52"/>
    </row>
    <row r="28" spans="1:22">
      <c r="A28" s="20">
        <v>42177</v>
      </c>
      <c r="B28" s="20">
        <v>42180</v>
      </c>
      <c r="C28" s="82" t="str">
        <f t="shared" si="0"/>
        <v>Mo</v>
      </c>
      <c r="D28" s="82" t="str">
        <f t="shared" si="1"/>
        <v>Th</v>
      </c>
      <c r="E28" s="83">
        <f t="shared" si="2"/>
        <v>4</v>
      </c>
      <c r="F28" s="84" t="str">
        <f t="shared" si="3"/>
        <v>Workweek26</v>
      </c>
      <c r="G28" s="80" t="s">
        <v>59</v>
      </c>
      <c r="H28" s="20">
        <v>42181</v>
      </c>
      <c r="I28" s="20">
        <v>42183</v>
      </c>
      <c r="J28" s="82" t="str">
        <f t="shared" si="4"/>
        <v>Fr</v>
      </c>
      <c r="K28" s="82" t="str">
        <f t="shared" si="5"/>
        <v>Su</v>
      </c>
      <c r="L28" s="83">
        <f t="shared" si="6"/>
        <v>3</v>
      </c>
      <c r="M28" s="84" t="str">
        <f t="shared" si="7"/>
        <v>Weekend26</v>
      </c>
      <c r="N28" s="80" t="s">
        <v>68</v>
      </c>
      <c r="O28" s="22"/>
      <c r="P28" s="23"/>
      <c r="Q28" s="85" t="str">
        <f t="shared" si="8"/>
        <v/>
      </c>
      <c r="R28" s="24" t="s">
        <v>92</v>
      </c>
      <c r="U28" s="53"/>
      <c r="V28" s="52"/>
    </row>
    <row r="29" spans="1:22">
      <c r="A29" s="20">
        <v>42184</v>
      </c>
      <c r="B29" s="20">
        <v>42187</v>
      </c>
      <c r="C29" s="82" t="str">
        <f t="shared" si="0"/>
        <v>Mo</v>
      </c>
      <c r="D29" s="82" t="str">
        <f t="shared" si="1"/>
        <v>Th</v>
      </c>
      <c r="E29" s="83">
        <f t="shared" si="2"/>
        <v>4</v>
      </c>
      <c r="F29" s="84" t="str">
        <f t="shared" si="3"/>
        <v>Workweek27</v>
      </c>
      <c r="G29" s="80" t="s">
        <v>67</v>
      </c>
      <c r="H29" s="20">
        <v>42188</v>
      </c>
      <c r="I29" s="20">
        <v>42190</v>
      </c>
      <c r="J29" s="82" t="str">
        <f t="shared" si="4"/>
        <v>Fr</v>
      </c>
      <c r="K29" s="82" t="str">
        <f t="shared" si="5"/>
        <v>Su</v>
      </c>
      <c r="L29" s="83">
        <f t="shared" si="6"/>
        <v>3</v>
      </c>
      <c r="M29" s="84" t="str">
        <f t="shared" si="7"/>
        <v>Weekend27</v>
      </c>
      <c r="N29" s="160" t="s">
        <v>81</v>
      </c>
      <c r="O29" s="22" t="s">
        <v>93</v>
      </c>
      <c r="P29" s="23" t="s">
        <v>94</v>
      </c>
      <c r="Q29" s="85" t="str">
        <f t="shared" si="8"/>
        <v>MILLER</v>
      </c>
      <c r="R29" s="24" t="s">
        <v>95</v>
      </c>
      <c r="U29" s="52"/>
      <c r="V29" s="52"/>
    </row>
    <row r="30" spans="1:22" ht="16.5" customHeight="1">
      <c r="A30" s="20">
        <v>42191</v>
      </c>
      <c r="B30" s="20">
        <v>42194</v>
      </c>
      <c r="C30" s="82" t="str">
        <f t="shared" si="0"/>
        <v>Mo</v>
      </c>
      <c r="D30" s="82" t="str">
        <f t="shared" si="1"/>
        <v>Th</v>
      </c>
      <c r="E30" s="83">
        <f t="shared" si="2"/>
        <v>4</v>
      </c>
      <c r="F30" s="84" t="str">
        <f t="shared" si="3"/>
        <v>Workweek28</v>
      </c>
      <c r="G30" s="80" t="s">
        <v>63</v>
      </c>
      <c r="H30" s="20">
        <v>42195</v>
      </c>
      <c r="I30" s="20">
        <v>42197</v>
      </c>
      <c r="J30" s="82" t="str">
        <f t="shared" si="4"/>
        <v>Fr</v>
      </c>
      <c r="K30" s="82" t="str">
        <f t="shared" si="5"/>
        <v>Su</v>
      </c>
      <c r="L30" s="83">
        <f t="shared" si="6"/>
        <v>3</v>
      </c>
      <c r="M30" s="84" t="str">
        <f t="shared" si="7"/>
        <v>Weekend28</v>
      </c>
      <c r="N30" s="80" t="s">
        <v>62</v>
      </c>
      <c r="O30" s="22"/>
      <c r="P30" s="23"/>
      <c r="Q30" s="85" t="str">
        <f t="shared" si="8"/>
        <v/>
      </c>
      <c r="R30" s="24" t="s">
        <v>95</v>
      </c>
      <c r="U30" s="110"/>
      <c r="V30" s="52"/>
    </row>
    <row r="31" spans="1:22">
      <c r="A31" s="20">
        <v>42198</v>
      </c>
      <c r="B31" s="20">
        <v>42201</v>
      </c>
      <c r="C31" s="82" t="str">
        <f t="shared" si="0"/>
        <v>Mo</v>
      </c>
      <c r="D31" s="82" t="str">
        <f t="shared" si="1"/>
        <v>Th</v>
      </c>
      <c r="E31" s="83">
        <f t="shared" si="2"/>
        <v>4</v>
      </c>
      <c r="F31" s="84" t="str">
        <f t="shared" si="3"/>
        <v>Workweek29</v>
      </c>
      <c r="G31" s="80" t="s">
        <v>71</v>
      </c>
      <c r="H31" s="20">
        <v>42202</v>
      </c>
      <c r="I31" s="20">
        <v>42204</v>
      </c>
      <c r="J31" s="82" t="str">
        <f t="shared" si="4"/>
        <v>Fr</v>
      </c>
      <c r="K31" s="82" t="str">
        <f t="shared" si="5"/>
        <v>Su</v>
      </c>
      <c r="L31" s="83">
        <f t="shared" si="6"/>
        <v>3</v>
      </c>
      <c r="M31" s="84" t="str">
        <f t="shared" si="7"/>
        <v>Weekend29</v>
      </c>
      <c r="N31" s="80" t="s">
        <v>71</v>
      </c>
      <c r="O31" s="22"/>
      <c r="P31" s="23"/>
      <c r="Q31" s="85" t="str">
        <f t="shared" si="8"/>
        <v/>
      </c>
      <c r="R31" s="24" t="s">
        <v>97</v>
      </c>
      <c r="U31" s="55"/>
      <c r="V31" s="52"/>
    </row>
    <row r="32" spans="1:22">
      <c r="A32" s="20">
        <v>42205</v>
      </c>
      <c r="B32" s="20">
        <v>42208</v>
      </c>
      <c r="C32" s="82" t="str">
        <f t="shared" si="0"/>
        <v>Mo</v>
      </c>
      <c r="D32" s="82" t="str">
        <f t="shared" si="1"/>
        <v>Th</v>
      </c>
      <c r="E32" s="83">
        <f t="shared" si="2"/>
        <v>4</v>
      </c>
      <c r="F32" s="84" t="str">
        <f t="shared" si="3"/>
        <v>Workweek30</v>
      </c>
      <c r="G32" s="80" t="s">
        <v>81</v>
      </c>
      <c r="H32" s="20">
        <v>42209</v>
      </c>
      <c r="I32" s="20">
        <v>42211</v>
      </c>
      <c r="J32" s="82" t="str">
        <f t="shared" si="4"/>
        <v>Fr</v>
      </c>
      <c r="K32" s="82" t="str">
        <f t="shared" si="5"/>
        <v>Su</v>
      </c>
      <c r="L32" s="83">
        <f t="shared" si="6"/>
        <v>3</v>
      </c>
      <c r="M32" s="84" t="str">
        <f t="shared" si="7"/>
        <v>Weekend30</v>
      </c>
      <c r="N32" s="80" t="s">
        <v>59</v>
      </c>
      <c r="O32" s="22"/>
      <c r="P32" s="23"/>
      <c r="Q32" s="85" t="str">
        <f t="shared" si="8"/>
        <v/>
      </c>
      <c r="R32" s="24" t="s">
        <v>97</v>
      </c>
      <c r="U32" s="55"/>
      <c r="V32" s="52"/>
    </row>
    <row r="33" spans="1:22">
      <c r="A33" s="20">
        <v>42212</v>
      </c>
      <c r="B33" s="20">
        <v>42215</v>
      </c>
      <c r="C33" s="82" t="str">
        <f t="shared" si="0"/>
        <v>Mo</v>
      </c>
      <c r="D33" s="82" t="str">
        <f t="shared" si="1"/>
        <v>Th</v>
      </c>
      <c r="E33" s="83">
        <f t="shared" si="2"/>
        <v>4</v>
      </c>
      <c r="F33" s="84" t="str">
        <f t="shared" si="3"/>
        <v>Workweek31</v>
      </c>
      <c r="G33" s="80" t="s">
        <v>68</v>
      </c>
      <c r="H33" s="20">
        <v>42216</v>
      </c>
      <c r="I33" s="20">
        <v>42218</v>
      </c>
      <c r="J33" s="82" t="str">
        <f t="shared" si="4"/>
        <v>Fr</v>
      </c>
      <c r="K33" s="82" t="str">
        <f t="shared" si="5"/>
        <v>Su</v>
      </c>
      <c r="L33" s="83">
        <f t="shared" si="6"/>
        <v>3</v>
      </c>
      <c r="M33" s="84" t="str">
        <f t="shared" si="7"/>
        <v>Weekend31</v>
      </c>
      <c r="N33" s="80" t="s">
        <v>63</v>
      </c>
      <c r="O33" s="22"/>
      <c r="P33" s="23"/>
      <c r="Q33" s="85" t="str">
        <f t="shared" si="8"/>
        <v/>
      </c>
      <c r="R33" s="24" t="s">
        <v>97</v>
      </c>
      <c r="U33" s="55"/>
      <c r="V33" s="52"/>
    </row>
    <row r="34" spans="1:22">
      <c r="A34" s="20">
        <v>42219</v>
      </c>
      <c r="B34" s="20">
        <v>42222</v>
      </c>
      <c r="C34" s="82" t="str">
        <f t="shared" si="0"/>
        <v>Mo</v>
      </c>
      <c r="D34" s="82" t="str">
        <f t="shared" si="1"/>
        <v>Th</v>
      </c>
      <c r="E34" s="83">
        <f t="shared" si="2"/>
        <v>4</v>
      </c>
      <c r="F34" s="84" t="str">
        <f t="shared" si="3"/>
        <v>Workweek32</v>
      </c>
      <c r="G34" s="80" t="s">
        <v>59</v>
      </c>
      <c r="H34" s="20">
        <v>42223</v>
      </c>
      <c r="I34" s="20">
        <v>42225</v>
      </c>
      <c r="J34" s="82" t="str">
        <f t="shared" si="4"/>
        <v>Fr</v>
      </c>
      <c r="K34" s="82" t="str">
        <f t="shared" si="5"/>
        <v>Su</v>
      </c>
      <c r="L34" s="83">
        <f t="shared" si="6"/>
        <v>3</v>
      </c>
      <c r="M34" s="84" t="str">
        <f t="shared" si="7"/>
        <v>Weekend32</v>
      </c>
      <c r="N34" s="80" t="s">
        <v>67</v>
      </c>
      <c r="O34" s="22"/>
      <c r="P34" s="23"/>
      <c r="Q34" s="85" t="str">
        <f t="shared" si="8"/>
        <v/>
      </c>
      <c r="R34" s="24" t="s">
        <v>98</v>
      </c>
      <c r="U34" s="55"/>
      <c r="V34" s="52"/>
    </row>
    <row r="35" spans="1:22">
      <c r="A35" s="20">
        <v>42226</v>
      </c>
      <c r="B35" s="20">
        <v>42229</v>
      </c>
      <c r="C35" s="82" t="str">
        <f t="shared" ref="C35:C55" si="9">VLOOKUP(WEEKDAY(A35,2),Wday_Code,2,FALSE)</f>
        <v>Mo</v>
      </c>
      <c r="D35" s="82" t="str">
        <f t="shared" ref="D35:D55" si="10">VLOOKUP(WEEKDAY(B35,2),Wday_Code,2,FALSE)</f>
        <v>Th</v>
      </c>
      <c r="E35" s="83">
        <f t="shared" ref="E35:E55" si="11">B35-A35+1</f>
        <v>4</v>
      </c>
      <c r="F35" s="84" t="str">
        <f t="shared" ref="F35:F55" si="12">VLOOKUP(WEEKDAY(A35,2),Wday_Code,4,FALSE)&amp;WEEKNUM(A35,2)</f>
        <v>Workweek33</v>
      </c>
      <c r="G35" s="80" t="s">
        <v>62</v>
      </c>
      <c r="H35" s="20">
        <v>42230</v>
      </c>
      <c r="I35" s="20">
        <v>42232</v>
      </c>
      <c r="J35" s="82" t="str">
        <f t="shared" ref="J35:J55" si="13">VLOOKUP(WEEKDAY(H35,2),Wday_Code,2,FALSE)</f>
        <v>Fr</v>
      </c>
      <c r="K35" s="82" t="str">
        <f t="shared" ref="K35:K55" si="14">VLOOKUP(WEEKDAY(I35,2),Wday_Code,2,FALSE)</f>
        <v>Su</v>
      </c>
      <c r="L35" s="83">
        <f t="shared" ref="L35:L55" si="15">I35-H35+1</f>
        <v>3</v>
      </c>
      <c r="M35" s="84" t="str">
        <f t="shared" ref="M35:M55" si="16">VLOOKUP(WEEKDAY(H35,2),Wday_Code,4,FALSE)&amp;WEEKNUM(H35,2)</f>
        <v>Weekend33</v>
      </c>
      <c r="N35" s="80" t="s">
        <v>68</v>
      </c>
      <c r="O35" s="22"/>
      <c r="P35" s="23"/>
      <c r="Q35" s="85" t="str">
        <f t="shared" ref="Q35:Q55" si="17">IF(ISBLANK(P35),"",IF(AND(P35&gt;=A35,P35&lt;=B35),G35,N35))</f>
        <v/>
      </c>
      <c r="R35" s="24" t="s">
        <v>99</v>
      </c>
      <c r="U35" s="55"/>
      <c r="V35" s="52"/>
    </row>
    <row r="36" spans="1:22">
      <c r="A36" s="20">
        <v>42233</v>
      </c>
      <c r="B36" s="20">
        <v>42236</v>
      </c>
      <c r="C36" s="82" t="str">
        <f t="shared" si="9"/>
        <v>Mo</v>
      </c>
      <c r="D36" s="82" t="str">
        <f t="shared" si="10"/>
        <v>Th</v>
      </c>
      <c r="E36" s="83">
        <f t="shared" si="11"/>
        <v>4</v>
      </c>
      <c r="F36" s="84" t="str">
        <f t="shared" si="12"/>
        <v>Workweek34</v>
      </c>
      <c r="G36" s="80" t="s">
        <v>65</v>
      </c>
      <c r="H36" s="20">
        <v>42237</v>
      </c>
      <c r="I36" s="20">
        <v>42239</v>
      </c>
      <c r="J36" s="82" t="str">
        <f t="shared" si="13"/>
        <v>Fr</v>
      </c>
      <c r="K36" s="82" t="str">
        <f t="shared" si="14"/>
        <v>Su</v>
      </c>
      <c r="L36" s="83">
        <f t="shared" si="15"/>
        <v>3</v>
      </c>
      <c r="M36" s="84" t="str">
        <f t="shared" si="16"/>
        <v>Weekend34</v>
      </c>
      <c r="N36" s="80" t="s">
        <v>65</v>
      </c>
      <c r="O36" s="22"/>
      <c r="P36" s="23"/>
      <c r="Q36" s="85" t="str">
        <f t="shared" si="17"/>
        <v/>
      </c>
      <c r="R36" s="24"/>
      <c r="U36" s="55"/>
      <c r="V36" s="52"/>
    </row>
    <row r="37" spans="1:22">
      <c r="A37" s="20">
        <v>42240</v>
      </c>
      <c r="B37" s="20">
        <v>42243</v>
      </c>
      <c r="C37" s="82" t="str">
        <f t="shared" si="9"/>
        <v>Mo</v>
      </c>
      <c r="D37" s="82" t="str">
        <f t="shared" si="10"/>
        <v>Th</v>
      </c>
      <c r="E37" s="83">
        <f t="shared" si="11"/>
        <v>4</v>
      </c>
      <c r="F37" s="84" t="str">
        <f t="shared" si="12"/>
        <v>Workweek35</v>
      </c>
      <c r="G37" s="80" t="s">
        <v>67</v>
      </c>
      <c r="H37" s="20">
        <v>42244</v>
      </c>
      <c r="I37" s="20">
        <v>42246</v>
      </c>
      <c r="J37" s="82" t="str">
        <f t="shared" si="13"/>
        <v>Fr</v>
      </c>
      <c r="K37" s="82" t="str">
        <f t="shared" si="14"/>
        <v>Su</v>
      </c>
      <c r="L37" s="83">
        <f t="shared" si="15"/>
        <v>3</v>
      </c>
      <c r="M37" s="84" t="str">
        <f t="shared" si="16"/>
        <v>Weekend35</v>
      </c>
      <c r="N37" s="80" t="s">
        <v>81</v>
      </c>
      <c r="O37" s="22" t="s">
        <v>12</v>
      </c>
      <c r="P37" s="23"/>
      <c r="Q37" s="85" t="str">
        <f t="shared" si="17"/>
        <v/>
      </c>
      <c r="R37" s="24" t="s">
        <v>100</v>
      </c>
      <c r="U37" s="55"/>
      <c r="V37" s="52"/>
    </row>
    <row r="38" spans="1:22">
      <c r="A38" s="20">
        <v>42247</v>
      </c>
      <c r="B38" s="20">
        <v>42250</v>
      </c>
      <c r="C38" s="82" t="str">
        <f t="shared" si="9"/>
        <v>Mo</v>
      </c>
      <c r="D38" s="82" t="str">
        <f t="shared" si="10"/>
        <v>Th</v>
      </c>
      <c r="E38" s="83">
        <f t="shared" si="11"/>
        <v>4</v>
      </c>
      <c r="F38" s="84" t="str">
        <f t="shared" si="12"/>
        <v>Workweek36</v>
      </c>
      <c r="G38" s="80" t="s">
        <v>59</v>
      </c>
      <c r="H38" s="20">
        <v>42251</v>
      </c>
      <c r="I38" s="20">
        <v>42254</v>
      </c>
      <c r="J38" s="82" t="str">
        <f t="shared" si="13"/>
        <v>Fr</v>
      </c>
      <c r="K38" s="82" t="str">
        <f t="shared" si="14"/>
        <v>Mo</v>
      </c>
      <c r="L38" s="83">
        <f t="shared" si="15"/>
        <v>4</v>
      </c>
      <c r="M38" s="84" t="str">
        <f t="shared" si="16"/>
        <v>Weekend36</v>
      </c>
      <c r="N38" s="160" t="s">
        <v>63</v>
      </c>
      <c r="O38" s="22" t="s">
        <v>101</v>
      </c>
      <c r="P38" s="23" t="s">
        <v>102</v>
      </c>
      <c r="Q38" s="85" t="str">
        <f t="shared" si="17"/>
        <v>MACKSOOD</v>
      </c>
      <c r="R38" s="24" t="s">
        <v>103</v>
      </c>
      <c r="U38" s="55"/>
      <c r="V38" s="52"/>
    </row>
    <row r="39" spans="1:22">
      <c r="A39" s="20">
        <v>42255</v>
      </c>
      <c r="B39" s="20">
        <v>42257</v>
      </c>
      <c r="C39" s="82" t="str">
        <f t="shared" si="9"/>
        <v>Tu</v>
      </c>
      <c r="D39" s="82" t="str">
        <f t="shared" si="10"/>
        <v>Th</v>
      </c>
      <c r="E39" s="83">
        <f t="shared" si="11"/>
        <v>3</v>
      </c>
      <c r="F39" s="84" t="str">
        <f t="shared" si="12"/>
        <v>Workweek37</v>
      </c>
      <c r="G39" s="80" t="s">
        <v>71</v>
      </c>
      <c r="H39" s="20">
        <v>42258</v>
      </c>
      <c r="I39" s="20">
        <v>42260</v>
      </c>
      <c r="J39" s="82" t="str">
        <f t="shared" si="13"/>
        <v>Fr</v>
      </c>
      <c r="K39" s="82" t="str">
        <f t="shared" si="14"/>
        <v>Su</v>
      </c>
      <c r="L39" s="83">
        <f t="shared" si="15"/>
        <v>3</v>
      </c>
      <c r="M39" s="84" t="str">
        <f t="shared" si="16"/>
        <v>Weekend37</v>
      </c>
      <c r="N39" s="80" t="s">
        <v>71</v>
      </c>
      <c r="O39" s="22"/>
      <c r="P39" s="29"/>
      <c r="Q39" s="85" t="str">
        <f t="shared" si="17"/>
        <v/>
      </c>
      <c r="R39" s="24"/>
      <c r="U39" s="52"/>
      <c r="V39" s="52"/>
    </row>
    <row r="40" spans="1:22">
      <c r="A40" s="20">
        <v>42261</v>
      </c>
      <c r="B40" s="20">
        <v>42264</v>
      </c>
      <c r="C40" s="82" t="str">
        <f t="shared" si="9"/>
        <v>Mo</v>
      </c>
      <c r="D40" s="82" t="str">
        <f t="shared" si="10"/>
        <v>Th</v>
      </c>
      <c r="E40" s="83">
        <f t="shared" si="11"/>
        <v>4</v>
      </c>
      <c r="F40" s="84" t="str">
        <f t="shared" si="12"/>
        <v>Workweek38</v>
      </c>
      <c r="G40" s="80" t="s">
        <v>62</v>
      </c>
      <c r="H40" s="20">
        <v>42265</v>
      </c>
      <c r="I40" s="20">
        <v>42267</v>
      </c>
      <c r="J40" s="82" t="str">
        <f t="shared" si="13"/>
        <v>Fr</v>
      </c>
      <c r="K40" s="82" t="str">
        <f t="shared" si="14"/>
        <v>Su</v>
      </c>
      <c r="L40" s="83">
        <f t="shared" si="15"/>
        <v>3</v>
      </c>
      <c r="M40" s="84" t="str">
        <f t="shared" si="16"/>
        <v>Weekend38</v>
      </c>
      <c r="N40" s="80" t="s">
        <v>67</v>
      </c>
      <c r="O40" s="22"/>
      <c r="P40" s="23"/>
      <c r="Q40" s="85" t="str">
        <f t="shared" si="17"/>
        <v/>
      </c>
      <c r="R40" s="24"/>
      <c r="U40" s="30"/>
      <c r="V40" s="52"/>
    </row>
    <row r="41" spans="1:22">
      <c r="A41" s="20">
        <v>42268</v>
      </c>
      <c r="B41" s="20">
        <v>42271</v>
      </c>
      <c r="C41" s="82" t="str">
        <f t="shared" si="9"/>
        <v>Mo</v>
      </c>
      <c r="D41" s="82" t="str">
        <f t="shared" si="10"/>
        <v>Th</v>
      </c>
      <c r="E41" s="83">
        <f t="shared" si="11"/>
        <v>4</v>
      </c>
      <c r="F41" s="84" t="str">
        <f t="shared" si="12"/>
        <v>Workweek39</v>
      </c>
      <c r="G41" s="80" t="s">
        <v>81</v>
      </c>
      <c r="H41" s="20">
        <v>42272</v>
      </c>
      <c r="I41" s="20">
        <v>42274</v>
      </c>
      <c r="J41" s="82" t="str">
        <f t="shared" si="13"/>
        <v>Fr</v>
      </c>
      <c r="K41" s="82" t="str">
        <f t="shared" si="14"/>
        <v>Su</v>
      </c>
      <c r="L41" s="83">
        <f t="shared" si="15"/>
        <v>3</v>
      </c>
      <c r="M41" s="84" t="str">
        <f t="shared" si="16"/>
        <v>Weekend39</v>
      </c>
      <c r="N41" s="80" t="s">
        <v>68</v>
      </c>
      <c r="O41" s="22"/>
      <c r="P41" s="23"/>
      <c r="Q41" s="85" t="str">
        <f t="shared" si="17"/>
        <v/>
      </c>
      <c r="R41" s="24" t="s">
        <v>104</v>
      </c>
      <c r="U41" s="52"/>
      <c r="V41" s="52"/>
    </row>
    <row r="42" spans="1:22">
      <c r="A42" s="20">
        <v>42275</v>
      </c>
      <c r="B42" s="20">
        <v>42278</v>
      </c>
      <c r="C42" s="82" t="str">
        <f t="shared" si="9"/>
        <v>Mo</v>
      </c>
      <c r="D42" s="82" t="str">
        <f t="shared" si="10"/>
        <v>Th</v>
      </c>
      <c r="E42" s="83">
        <f t="shared" si="11"/>
        <v>4</v>
      </c>
      <c r="F42" s="84" t="str">
        <f t="shared" si="12"/>
        <v>Workweek40</v>
      </c>
      <c r="G42" s="80" t="s">
        <v>67</v>
      </c>
      <c r="H42" s="20">
        <v>42279</v>
      </c>
      <c r="I42" s="20">
        <v>42281</v>
      </c>
      <c r="J42" s="82" t="str">
        <f t="shared" si="13"/>
        <v>Fr</v>
      </c>
      <c r="K42" s="82" t="str">
        <f t="shared" si="14"/>
        <v>Su</v>
      </c>
      <c r="L42" s="83">
        <f t="shared" si="15"/>
        <v>3</v>
      </c>
      <c r="M42" s="84" t="str">
        <f t="shared" si="16"/>
        <v>Weekend40</v>
      </c>
      <c r="N42" s="80" t="s">
        <v>59</v>
      </c>
      <c r="O42" s="22"/>
      <c r="P42" s="27"/>
      <c r="Q42" s="85" t="str">
        <f t="shared" si="17"/>
        <v/>
      </c>
      <c r="R42" s="24" t="s">
        <v>105</v>
      </c>
      <c r="U42" s="52"/>
      <c r="V42" s="52"/>
    </row>
    <row r="43" spans="1:22">
      <c r="A43" s="20">
        <v>42282</v>
      </c>
      <c r="B43" s="20">
        <v>42285</v>
      </c>
      <c r="C43" s="82" t="str">
        <f t="shared" si="9"/>
        <v>Mo</v>
      </c>
      <c r="D43" s="82" t="str">
        <f t="shared" si="10"/>
        <v>Th</v>
      </c>
      <c r="E43" s="83">
        <f t="shared" si="11"/>
        <v>4</v>
      </c>
      <c r="F43" s="84" t="str">
        <f t="shared" si="12"/>
        <v>Workweek41</v>
      </c>
      <c r="G43" s="80" t="s">
        <v>63</v>
      </c>
      <c r="H43" s="31">
        <v>42286</v>
      </c>
      <c r="I43" s="31">
        <v>42288</v>
      </c>
      <c r="J43" s="82" t="str">
        <f t="shared" si="13"/>
        <v>Fr</v>
      </c>
      <c r="K43" s="82" t="str">
        <f t="shared" si="14"/>
        <v>Su</v>
      </c>
      <c r="L43" s="83">
        <f t="shared" si="15"/>
        <v>3</v>
      </c>
      <c r="M43" s="84" t="str">
        <f t="shared" si="16"/>
        <v>Weekend41</v>
      </c>
      <c r="N43" s="80" t="s">
        <v>65</v>
      </c>
      <c r="O43" s="22"/>
      <c r="P43" s="23"/>
      <c r="Q43" s="85" t="str">
        <f t="shared" si="17"/>
        <v/>
      </c>
      <c r="R43" s="24" t="s">
        <v>104</v>
      </c>
      <c r="U43" s="52"/>
      <c r="V43" s="52"/>
    </row>
    <row r="44" spans="1:22">
      <c r="A44" s="20">
        <v>42289</v>
      </c>
      <c r="B44" s="20">
        <v>42292</v>
      </c>
      <c r="C44" s="82" t="str">
        <f t="shared" si="9"/>
        <v>Mo</v>
      </c>
      <c r="D44" s="82" t="str">
        <f t="shared" si="10"/>
        <v>Th</v>
      </c>
      <c r="E44" s="83">
        <f t="shared" si="11"/>
        <v>4</v>
      </c>
      <c r="F44" s="84" t="str">
        <f t="shared" si="12"/>
        <v>Workweek42</v>
      </c>
      <c r="G44" s="80" t="s">
        <v>62</v>
      </c>
      <c r="H44" s="20">
        <v>42293</v>
      </c>
      <c r="I44" s="20">
        <v>42295</v>
      </c>
      <c r="J44" s="82" t="str">
        <f t="shared" si="13"/>
        <v>Fr</v>
      </c>
      <c r="K44" s="82" t="str">
        <f t="shared" si="14"/>
        <v>Su</v>
      </c>
      <c r="L44" s="83">
        <f t="shared" si="15"/>
        <v>3</v>
      </c>
      <c r="M44" s="84" t="str">
        <f t="shared" si="16"/>
        <v>Weekend42</v>
      </c>
      <c r="N44" s="80" t="s">
        <v>62</v>
      </c>
      <c r="O44" s="22"/>
      <c r="P44" s="27"/>
      <c r="Q44" s="85" t="str">
        <f t="shared" si="17"/>
        <v/>
      </c>
      <c r="R44" s="24" t="s">
        <v>106</v>
      </c>
      <c r="U44" s="52"/>
      <c r="V44" s="52"/>
    </row>
    <row r="45" spans="1:22">
      <c r="A45" s="20">
        <v>42296</v>
      </c>
      <c r="B45" s="20">
        <v>42299</v>
      </c>
      <c r="C45" s="82" t="str">
        <f t="shared" si="9"/>
        <v>Mo</v>
      </c>
      <c r="D45" s="82" t="str">
        <f t="shared" si="10"/>
        <v>Th</v>
      </c>
      <c r="E45" s="83">
        <f t="shared" si="11"/>
        <v>4</v>
      </c>
      <c r="F45" s="84" t="str">
        <f t="shared" si="12"/>
        <v>Workweek43</v>
      </c>
      <c r="G45" s="80" t="s">
        <v>59</v>
      </c>
      <c r="H45" s="20">
        <v>42300</v>
      </c>
      <c r="I45" s="20">
        <v>42302</v>
      </c>
      <c r="J45" s="82" t="str">
        <f t="shared" si="13"/>
        <v>Fr</v>
      </c>
      <c r="K45" s="82" t="str">
        <f t="shared" si="14"/>
        <v>Su</v>
      </c>
      <c r="L45" s="83">
        <f t="shared" si="15"/>
        <v>3</v>
      </c>
      <c r="M45" s="84" t="str">
        <f t="shared" si="16"/>
        <v>Weekend43</v>
      </c>
      <c r="N45" s="80" t="s">
        <v>81</v>
      </c>
      <c r="O45" s="22"/>
      <c r="P45" s="23"/>
      <c r="Q45" s="85" t="str">
        <f t="shared" si="17"/>
        <v/>
      </c>
      <c r="R45" s="24" t="s">
        <v>107</v>
      </c>
      <c r="U45" s="52"/>
      <c r="V45" s="52"/>
    </row>
    <row r="46" spans="1:22">
      <c r="A46" s="20">
        <v>42303</v>
      </c>
      <c r="B46" s="20">
        <v>42306</v>
      </c>
      <c r="C46" s="82" t="str">
        <f t="shared" si="9"/>
        <v>Mo</v>
      </c>
      <c r="D46" s="82" t="str">
        <f t="shared" si="10"/>
        <v>Th</v>
      </c>
      <c r="E46" s="83">
        <f t="shared" si="11"/>
        <v>4</v>
      </c>
      <c r="F46" s="84" t="str">
        <f t="shared" si="12"/>
        <v>Workweek44</v>
      </c>
      <c r="G46" s="80" t="s">
        <v>71</v>
      </c>
      <c r="H46" s="20">
        <v>42307</v>
      </c>
      <c r="I46" s="20">
        <v>42309</v>
      </c>
      <c r="J46" s="82" t="str">
        <f t="shared" si="13"/>
        <v>Fr</v>
      </c>
      <c r="K46" s="82" t="str">
        <f t="shared" si="14"/>
        <v>Su</v>
      </c>
      <c r="L46" s="83">
        <f t="shared" si="15"/>
        <v>3</v>
      </c>
      <c r="M46" s="84" t="str">
        <f t="shared" si="16"/>
        <v>Weekend44</v>
      </c>
      <c r="N46" s="80" t="s">
        <v>71</v>
      </c>
      <c r="O46" s="22" t="s">
        <v>108</v>
      </c>
      <c r="P46" s="23" t="s">
        <v>109</v>
      </c>
      <c r="Q46" s="85" t="str">
        <f t="shared" si="17"/>
        <v>NEUMANN</v>
      </c>
      <c r="R46" s="24"/>
      <c r="U46" s="52"/>
      <c r="V46" s="52"/>
    </row>
    <row r="47" spans="1:22">
      <c r="A47" s="20">
        <v>42310</v>
      </c>
      <c r="B47" s="20">
        <v>42313</v>
      </c>
      <c r="C47" s="82" t="str">
        <f t="shared" si="9"/>
        <v>Mo</v>
      </c>
      <c r="D47" s="82" t="str">
        <f t="shared" si="10"/>
        <v>Th</v>
      </c>
      <c r="E47" s="83">
        <f t="shared" si="11"/>
        <v>4</v>
      </c>
      <c r="F47" s="84" t="str">
        <f t="shared" si="12"/>
        <v>Workweek45</v>
      </c>
      <c r="G47" s="80" t="s">
        <v>62</v>
      </c>
      <c r="H47" s="20">
        <v>42314</v>
      </c>
      <c r="I47" s="20">
        <v>42316</v>
      </c>
      <c r="J47" s="82" t="str">
        <f t="shared" si="13"/>
        <v>Fr</v>
      </c>
      <c r="K47" s="82" t="str">
        <f t="shared" si="14"/>
        <v>Su</v>
      </c>
      <c r="L47" s="83">
        <f t="shared" si="15"/>
        <v>3</v>
      </c>
      <c r="M47" s="84" t="str">
        <f t="shared" si="16"/>
        <v>Weekend45</v>
      </c>
      <c r="N47" s="80" t="s">
        <v>81</v>
      </c>
      <c r="O47" s="22"/>
      <c r="P47" s="23"/>
      <c r="Q47" s="85" t="str">
        <f t="shared" si="17"/>
        <v/>
      </c>
      <c r="R47" s="24"/>
      <c r="U47" s="52"/>
      <c r="V47" s="52"/>
    </row>
    <row r="48" spans="1:22">
      <c r="A48" s="20">
        <v>42317</v>
      </c>
      <c r="B48" s="20">
        <v>42320</v>
      </c>
      <c r="C48" s="82" t="str">
        <f t="shared" si="9"/>
        <v>Mo</v>
      </c>
      <c r="D48" s="82" t="str">
        <f t="shared" si="10"/>
        <v>Th</v>
      </c>
      <c r="E48" s="83">
        <f t="shared" si="11"/>
        <v>4</v>
      </c>
      <c r="F48" s="84" t="str">
        <f t="shared" si="12"/>
        <v>Workweek46</v>
      </c>
      <c r="G48" s="80" t="s">
        <v>68</v>
      </c>
      <c r="H48" s="20">
        <v>42321</v>
      </c>
      <c r="I48" s="20">
        <v>42323</v>
      </c>
      <c r="J48" s="82" t="str">
        <f t="shared" si="13"/>
        <v>Fr</v>
      </c>
      <c r="K48" s="82" t="str">
        <f t="shared" si="14"/>
        <v>Su</v>
      </c>
      <c r="L48" s="83">
        <f t="shared" si="15"/>
        <v>3</v>
      </c>
      <c r="M48" s="84" t="str">
        <f t="shared" si="16"/>
        <v>Weekend46</v>
      </c>
      <c r="N48" s="80" t="s">
        <v>63</v>
      </c>
      <c r="O48" s="22"/>
      <c r="P48" s="23"/>
      <c r="Q48" s="85" t="str">
        <f t="shared" si="17"/>
        <v/>
      </c>
      <c r="R48" s="24"/>
      <c r="U48" s="52"/>
      <c r="V48" s="52"/>
    </row>
    <row r="49" spans="1:22">
      <c r="A49" s="20">
        <v>42324</v>
      </c>
      <c r="B49" s="20">
        <v>42327</v>
      </c>
      <c r="C49" s="82" t="str">
        <f t="shared" si="9"/>
        <v>Mo</v>
      </c>
      <c r="D49" s="82" t="str">
        <f t="shared" si="10"/>
        <v>Th</v>
      </c>
      <c r="E49" s="83">
        <f t="shared" si="11"/>
        <v>4</v>
      </c>
      <c r="F49" s="84" t="str">
        <f t="shared" si="12"/>
        <v>Workweek47</v>
      </c>
      <c r="G49" s="80" t="s">
        <v>81</v>
      </c>
      <c r="H49" s="20">
        <v>42328</v>
      </c>
      <c r="I49" s="20">
        <v>42330</v>
      </c>
      <c r="J49" s="82" t="str">
        <f t="shared" si="13"/>
        <v>Fr</v>
      </c>
      <c r="K49" s="82" t="str">
        <f t="shared" si="14"/>
        <v>Su</v>
      </c>
      <c r="L49" s="83">
        <f t="shared" si="15"/>
        <v>3</v>
      </c>
      <c r="M49" s="84" t="str">
        <f t="shared" si="16"/>
        <v>Weekend47</v>
      </c>
      <c r="N49" s="80" t="s">
        <v>62</v>
      </c>
      <c r="O49" s="22"/>
      <c r="P49" s="23"/>
      <c r="Q49" s="85" t="str">
        <f t="shared" si="17"/>
        <v/>
      </c>
      <c r="R49" s="24" t="s">
        <v>110</v>
      </c>
      <c r="U49" s="52"/>
      <c r="V49" s="52"/>
    </row>
    <row r="50" spans="1:22">
      <c r="A50" s="20">
        <v>42331</v>
      </c>
      <c r="B50" s="20">
        <v>42334</v>
      </c>
      <c r="C50" s="82" t="str">
        <f t="shared" si="9"/>
        <v>Mo</v>
      </c>
      <c r="D50" s="82" t="str">
        <f t="shared" si="10"/>
        <v>Th</v>
      </c>
      <c r="E50" s="83">
        <f t="shared" si="11"/>
        <v>4</v>
      </c>
      <c r="F50" s="84" t="str">
        <f t="shared" si="12"/>
        <v>Workweek48</v>
      </c>
      <c r="G50" s="80" t="s">
        <v>65</v>
      </c>
      <c r="H50" s="20">
        <v>42335</v>
      </c>
      <c r="I50" s="20">
        <v>42337</v>
      </c>
      <c r="J50" s="82" t="str">
        <f t="shared" si="13"/>
        <v>Fr</v>
      </c>
      <c r="K50" s="82" t="str">
        <f t="shared" si="14"/>
        <v>Su</v>
      </c>
      <c r="L50" s="83">
        <f t="shared" si="15"/>
        <v>3</v>
      </c>
      <c r="M50" s="84" t="str">
        <f t="shared" si="16"/>
        <v>Weekend48</v>
      </c>
      <c r="N50" s="160" t="s">
        <v>67</v>
      </c>
      <c r="O50" s="22" t="s">
        <v>111</v>
      </c>
      <c r="P50" s="23">
        <v>42334</v>
      </c>
      <c r="Q50" s="85" t="str">
        <f>IF(ISBLANK(P50),"",IF(AND(P50&gt;=A50,P50&lt;=B50),G50,N50))</f>
        <v>SMITH</v>
      </c>
      <c r="R50" s="24"/>
      <c r="U50" s="52"/>
      <c r="V50" s="52"/>
    </row>
    <row r="51" spans="1:22">
      <c r="A51" s="20">
        <v>42338</v>
      </c>
      <c r="B51" s="20">
        <v>42341</v>
      </c>
      <c r="C51" s="82" t="str">
        <f t="shared" si="9"/>
        <v>Mo</v>
      </c>
      <c r="D51" s="82" t="str">
        <f t="shared" si="10"/>
        <v>Th</v>
      </c>
      <c r="E51" s="83">
        <f t="shared" si="11"/>
        <v>4</v>
      </c>
      <c r="F51" s="84" t="str">
        <f t="shared" si="12"/>
        <v>Workweek49</v>
      </c>
      <c r="G51" s="80" t="s">
        <v>63</v>
      </c>
      <c r="H51" s="20">
        <v>42342</v>
      </c>
      <c r="I51" s="20">
        <v>42344</v>
      </c>
      <c r="J51" s="82" t="str">
        <f t="shared" si="13"/>
        <v>Fr</v>
      </c>
      <c r="K51" s="82" t="str">
        <f t="shared" si="14"/>
        <v>Su</v>
      </c>
      <c r="L51" s="83">
        <f t="shared" si="15"/>
        <v>3</v>
      </c>
      <c r="M51" s="84" t="str">
        <f t="shared" si="16"/>
        <v>Weekend49</v>
      </c>
      <c r="N51" s="80" t="s">
        <v>59</v>
      </c>
      <c r="O51" s="22"/>
      <c r="P51" s="23"/>
      <c r="Q51" s="85" t="str">
        <f t="shared" si="17"/>
        <v/>
      </c>
      <c r="R51" s="24"/>
      <c r="U51" s="52"/>
      <c r="V51" s="52"/>
    </row>
    <row r="52" spans="1:22">
      <c r="A52" s="31">
        <v>42345</v>
      </c>
      <c r="B52" s="31">
        <v>42348</v>
      </c>
      <c r="C52" s="82" t="str">
        <f t="shared" si="9"/>
        <v>Mo</v>
      </c>
      <c r="D52" s="82" t="str">
        <f t="shared" si="10"/>
        <v>Th</v>
      </c>
      <c r="E52" s="83">
        <f t="shared" si="11"/>
        <v>4</v>
      </c>
      <c r="F52" s="84" t="str">
        <f t="shared" si="12"/>
        <v>Workweek50</v>
      </c>
      <c r="G52" s="80" t="s">
        <v>71</v>
      </c>
      <c r="H52" s="31">
        <v>42349</v>
      </c>
      <c r="I52" s="31">
        <v>42351</v>
      </c>
      <c r="J52" s="82" t="str">
        <f t="shared" si="13"/>
        <v>Fr</v>
      </c>
      <c r="K52" s="82" t="str">
        <f t="shared" si="14"/>
        <v>Su</v>
      </c>
      <c r="L52" s="83">
        <f t="shared" si="15"/>
        <v>3</v>
      </c>
      <c r="M52" s="84" t="str">
        <f t="shared" si="16"/>
        <v>Weekend50</v>
      </c>
      <c r="N52" s="80" t="s">
        <v>81</v>
      </c>
      <c r="O52" s="22"/>
      <c r="P52" s="23"/>
      <c r="Q52" s="85" t="str">
        <f t="shared" si="17"/>
        <v/>
      </c>
      <c r="R52" s="24"/>
      <c r="U52" s="52"/>
      <c r="V52" s="52"/>
    </row>
    <row r="53" spans="1:22">
      <c r="A53" s="31">
        <v>42352</v>
      </c>
      <c r="B53" s="31">
        <v>42355</v>
      </c>
      <c r="C53" s="82" t="str">
        <f t="shared" si="9"/>
        <v>Mo</v>
      </c>
      <c r="D53" s="82" t="str">
        <f t="shared" si="10"/>
        <v>Th</v>
      </c>
      <c r="E53" s="83">
        <f t="shared" si="11"/>
        <v>4</v>
      </c>
      <c r="F53" s="84" t="str">
        <f t="shared" si="12"/>
        <v>Workweek51</v>
      </c>
      <c r="G53" s="80" t="s">
        <v>59</v>
      </c>
      <c r="H53" s="31">
        <v>42356</v>
      </c>
      <c r="I53" s="31">
        <v>42358</v>
      </c>
      <c r="J53" s="82" t="str">
        <f t="shared" si="13"/>
        <v>Fr</v>
      </c>
      <c r="K53" s="82" t="str">
        <f t="shared" si="14"/>
        <v>Su</v>
      </c>
      <c r="L53" s="83">
        <f t="shared" si="15"/>
        <v>3</v>
      </c>
      <c r="M53" s="84" t="str">
        <f t="shared" si="16"/>
        <v>Weekend51</v>
      </c>
      <c r="N53" s="80" t="s">
        <v>63</v>
      </c>
      <c r="O53" s="22"/>
      <c r="P53" s="27"/>
      <c r="Q53" s="85" t="str">
        <f t="shared" si="17"/>
        <v/>
      </c>
      <c r="R53" s="24"/>
      <c r="U53" s="52"/>
      <c r="V53" s="52"/>
    </row>
    <row r="54" spans="1:22">
      <c r="A54" s="20">
        <v>42359</v>
      </c>
      <c r="B54" s="20">
        <v>42362</v>
      </c>
      <c r="C54" s="82" t="str">
        <f t="shared" si="9"/>
        <v>Mo</v>
      </c>
      <c r="D54" s="82" t="str">
        <f t="shared" si="10"/>
        <v>Th</v>
      </c>
      <c r="E54" s="83">
        <f t="shared" si="11"/>
        <v>4</v>
      </c>
      <c r="F54" s="84" t="str">
        <f t="shared" si="12"/>
        <v>Workweek52</v>
      </c>
      <c r="G54" s="80" t="s">
        <v>68</v>
      </c>
      <c r="H54" s="31">
        <v>42363</v>
      </c>
      <c r="I54" s="31">
        <v>42365</v>
      </c>
      <c r="J54" s="82" t="str">
        <f t="shared" si="13"/>
        <v>Fr</v>
      </c>
      <c r="K54" s="82" t="str">
        <f t="shared" si="14"/>
        <v>Su</v>
      </c>
      <c r="L54" s="83">
        <f t="shared" si="15"/>
        <v>3</v>
      </c>
      <c r="M54" s="84" t="str">
        <f t="shared" si="16"/>
        <v>Weekend52</v>
      </c>
      <c r="N54" s="80" t="s">
        <v>68</v>
      </c>
      <c r="O54" s="22" t="s">
        <v>112</v>
      </c>
      <c r="P54" s="23" t="s">
        <v>113</v>
      </c>
      <c r="Q54" s="85" t="str">
        <f t="shared" si="17"/>
        <v>THIGPIN</v>
      </c>
      <c r="R54" s="24"/>
      <c r="U54" s="52"/>
      <c r="V54" s="52"/>
    </row>
    <row r="55" spans="1:22">
      <c r="A55" s="20">
        <v>42366</v>
      </c>
      <c r="B55" s="20">
        <v>42369</v>
      </c>
      <c r="C55" s="82" t="str">
        <f t="shared" si="9"/>
        <v>Mo</v>
      </c>
      <c r="D55" s="82" t="str">
        <f t="shared" si="10"/>
        <v>Th</v>
      </c>
      <c r="E55" s="83">
        <f t="shared" si="11"/>
        <v>4</v>
      </c>
      <c r="F55" s="84" t="str">
        <f t="shared" si="12"/>
        <v>Workweek53</v>
      </c>
      <c r="G55" s="80" t="s">
        <v>65</v>
      </c>
      <c r="H55" s="31">
        <v>42370</v>
      </c>
      <c r="I55" s="31">
        <v>42373</v>
      </c>
      <c r="J55" s="82" t="str">
        <f t="shared" si="13"/>
        <v>Fr</v>
      </c>
      <c r="K55" s="82" t="str">
        <f t="shared" si="14"/>
        <v>Mo</v>
      </c>
      <c r="L55" s="83">
        <f t="shared" si="15"/>
        <v>4</v>
      </c>
      <c r="M55" s="84" t="str">
        <f t="shared" si="16"/>
        <v>Weekend1</v>
      </c>
      <c r="N55" s="80" t="s">
        <v>62</v>
      </c>
      <c r="O55" s="22" t="s">
        <v>114</v>
      </c>
      <c r="P55" s="23">
        <v>42370</v>
      </c>
      <c r="Q55" s="85" t="str">
        <f t="shared" si="17"/>
        <v>LANDESMAN</v>
      </c>
      <c r="R55" s="24"/>
      <c r="U55" s="52"/>
      <c r="V55" s="52"/>
    </row>
    <row r="56" spans="1:22">
      <c r="C56" s="32"/>
      <c r="D56" s="32"/>
      <c r="G56" s="21"/>
      <c r="H56" s="31"/>
      <c r="I56" s="31"/>
      <c r="J56" s="32"/>
      <c r="K56" s="32"/>
      <c r="L56" s="31"/>
      <c r="M56" s="31"/>
      <c r="N56" s="21"/>
      <c r="O56" s="33"/>
      <c r="P56" s="34"/>
      <c r="Q56" s="34"/>
      <c r="U56" s="52"/>
      <c r="V56" s="52"/>
    </row>
    <row r="57" spans="1:22">
      <c r="C57" s="32"/>
      <c r="D57" s="32"/>
      <c r="G57" s="21"/>
      <c r="H57" s="31"/>
      <c r="I57" s="31"/>
      <c r="J57" s="32"/>
      <c r="K57" s="32"/>
      <c r="L57" s="31"/>
      <c r="M57" s="31"/>
      <c r="N57" s="21"/>
      <c r="O57" s="33"/>
      <c r="P57" s="34"/>
      <c r="Q57" s="34"/>
      <c r="R57" s="14"/>
      <c r="U57" s="52"/>
      <c r="V57" s="52"/>
    </row>
    <row r="58" spans="1:22" ht="12.75">
      <c r="A58" s="37" t="s">
        <v>115</v>
      </c>
      <c r="B58" s="37" t="s">
        <v>116</v>
      </c>
      <c r="C58" s="70"/>
      <c r="D58" s="70"/>
      <c r="E58" s="37" t="s">
        <v>117</v>
      </c>
      <c r="F58" s="69"/>
      <c r="H58" s="37" t="s">
        <v>14</v>
      </c>
      <c r="I58" s="37" t="s">
        <v>118</v>
      </c>
      <c r="J58" s="15"/>
      <c r="K58" s="15"/>
      <c r="L58" s="37" t="s">
        <v>117</v>
      </c>
      <c r="M58" s="69"/>
      <c r="O58" s="37" t="s">
        <v>96</v>
      </c>
      <c r="P58" s="37" t="s">
        <v>119</v>
      </c>
      <c r="Q58" s="37" t="s">
        <v>120</v>
      </c>
      <c r="R58" s="14"/>
      <c r="U58" s="52"/>
      <c r="V58" s="52"/>
    </row>
    <row r="59" spans="1:22">
      <c r="A59" s="39" t="s">
        <v>65</v>
      </c>
      <c r="B59" s="82">
        <f>COUNTIF($G$3:$G$55,A59)</f>
        <v>5</v>
      </c>
      <c r="C59"/>
      <c r="D59"/>
      <c r="E59" s="82">
        <f>SUMIF($G$3:$G$55,A59,$E$3:$E$55)</f>
        <v>20</v>
      </c>
      <c r="F59" s="50"/>
      <c r="H59" s="39" t="s">
        <v>65</v>
      </c>
      <c r="I59" s="82">
        <f t="shared" ref="I59:I66" si="18">COUNTIF($N$3:$N$55,H59)</f>
        <v>5</v>
      </c>
      <c r="J59"/>
      <c r="K59"/>
      <c r="L59" s="82">
        <f t="shared" ref="L59:L66" si="19">SUMIF($N$3:$N$55,H59,$L$3:$L$55)</f>
        <v>15</v>
      </c>
      <c r="M59" s="50"/>
      <c r="O59" s="82">
        <f t="shared" ref="O59:O66" si="20">SUM(E59,L59)</f>
        <v>35</v>
      </c>
      <c r="P59" s="82">
        <f>COUNTIF($Q$3:$Q$55,H59)</f>
        <v>1</v>
      </c>
      <c r="Q59" s="82">
        <f>O59-P59</f>
        <v>34</v>
      </c>
      <c r="R59" s="14"/>
      <c r="U59" s="52"/>
      <c r="V59" s="52"/>
    </row>
    <row r="60" spans="1:22">
      <c r="A60" s="39" t="s">
        <v>71</v>
      </c>
      <c r="B60" s="82">
        <f t="shared" ref="B60:B66" si="21">COUNTIF($G$3:$G$55,A60)</f>
        <v>7</v>
      </c>
      <c r="C60"/>
      <c r="D60"/>
      <c r="E60" s="82">
        <f t="shared" ref="E60:E66" si="22">SUMIF($G$3:$G$55,A60,$E$3:$E$55)</f>
        <v>26</v>
      </c>
      <c r="F60" s="50"/>
      <c r="H60" s="39" t="s">
        <v>71</v>
      </c>
      <c r="I60" s="82">
        <f t="shared" si="18"/>
        <v>6</v>
      </c>
      <c r="J60"/>
      <c r="K60"/>
      <c r="L60" s="82">
        <f t="shared" si="19"/>
        <v>18</v>
      </c>
      <c r="M60" s="50"/>
      <c r="O60" s="82">
        <f t="shared" si="20"/>
        <v>44</v>
      </c>
      <c r="P60" s="82">
        <f t="shared" ref="P60:P66" si="23">COUNTIF($Q$3:$Q$55,H60)</f>
        <v>2</v>
      </c>
      <c r="Q60" s="82">
        <f t="shared" ref="Q60:Q66" si="24">O60-P60</f>
        <v>42</v>
      </c>
      <c r="R60" s="14"/>
      <c r="S60" s="40"/>
      <c r="T60" s="40"/>
      <c r="U60" s="52"/>
      <c r="V60" s="52"/>
    </row>
    <row r="61" spans="1:22">
      <c r="A61" s="39" t="s">
        <v>63</v>
      </c>
      <c r="B61" s="82">
        <f>COUNTIF($G$3:$G$55,A61)</f>
        <v>6</v>
      </c>
      <c r="C61"/>
      <c r="D61"/>
      <c r="E61" s="82">
        <f t="shared" si="22"/>
        <v>23</v>
      </c>
      <c r="F61" s="50"/>
      <c r="H61" s="39" t="s">
        <v>63</v>
      </c>
      <c r="I61" s="82">
        <f t="shared" si="18"/>
        <v>7</v>
      </c>
      <c r="J61"/>
      <c r="K61"/>
      <c r="L61" s="82">
        <f t="shared" si="19"/>
        <v>22</v>
      </c>
      <c r="M61" s="50"/>
      <c r="O61" s="82">
        <f t="shared" si="20"/>
        <v>45</v>
      </c>
      <c r="P61" s="82">
        <f t="shared" si="23"/>
        <v>1</v>
      </c>
      <c r="Q61" s="82">
        <f t="shared" si="24"/>
        <v>44</v>
      </c>
      <c r="R61" s="40"/>
      <c r="S61" s="40"/>
      <c r="T61" s="40"/>
      <c r="U61" s="52"/>
      <c r="V61" s="52"/>
    </row>
    <row r="62" spans="1:22">
      <c r="A62" s="39" t="s">
        <v>67</v>
      </c>
      <c r="B62" s="82">
        <f t="shared" si="21"/>
        <v>6</v>
      </c>
      <c r="C62"/>
      <c r="D62"/>
      <c r="E62" s="82">
        <f t="shared" si="22"/>
        <v>24</v>
      </c>
      <c r="F62" s="50"/>
      <c r="H62" s="39" t="s">
        <v>67</v>
      </c>
      <c r="I62" s="82">
        <f t="shared" si="18"/>
        <v>7</v>
      </c>
      <c r="J62"/>
      <c r="K62"/>
      <c r="L62" s="82">
        <f t="shared" si="19"/>
        <v>21</v>
      </c>
      <c r="M62" s="50"/>
      <c r="O62" s="82">
        <f t="shared" si="20"/>
        <v>45</v>
      </c>
      <c r="P62" s="82">
        <f t="shared" si="23"/>
        <v>0</v>
      </c>
      <c r="Q62" s="82">
        <f t="shared" si="24"/>
        <v>45</v>
      </c>
      <c r="R62" s="40"/>
      <c r="S62" s="40"/>
      <c r="T62" s="40"/>
      <c r="U62" s="52"/>
      <c r="V62" s="52"/>
    </row>
    <row r="63" spans="1:22">
      <c r="A63" s="39" t="s">
        <v>81</v>
      </c>
      <c r="B63" s="82">
        <f t="shared" si="21"/>
        <v>7</v>
      </c>
      <c r="C63"/>
      <c r="D63"/>
      <c r="E63" s="82">
        <f t="shared" si="22"/>
        <v>28</v>
      </c>
      <c r="F63" s="50"/>
      <c r="H63" s="39" t="s">
        <v>81</v>
      </c>
      <c r="I63" s="82">
        <f t="shared" si="18"/>
        <v>6</v>
      </c>
      <c r="J63"/>
      <c r="K63"/>
      <c r="L63" s="82">
        <f t="shared" si="19"/>
        <v>18</v>
      </c>
      <c r="M63" s="50"/>
      <c r="O63" s="82">
        <f t="shared" si="20"/>
        <v>46</v>
      </c>
      <c r="P63" s="82">
        <f t="shared" si="23"/>
        <v>1</v>
      </c>
      <c r="Q63" s="82">
        <f t="shared" si="24"/>
        <v>45</v>
      </c>
      <c r="R63" s="41"/>
      <c r="S63" s="38"/>
      <c r="T63" s="42"/>
      <c r="U63" s="52"/>
      <c r="V63" s="52"/>
    </row>
    <row r="64" spans="1:22">
      <c r="A64" s="39" t="s">
        <v>62</v>
      </c>
      <c r="B64" s="82">
        <f t="shared" si="21"/>
        <v>7</v>
      </c>
      <c r="C64"/>
      <c r="D64"/>
      <c r="E64" s="82">
        <f t="shared" si="22"/>
        <v>29</v>
      </c>
      <c r="F64" s="50"/>
      <c r="H64" s="39" t="s">
        <v>62</v>
      </c>
      <c r="I64" s="82">
        <f t="shared" si="18"/>
        <v>7</v>
      </c>
      <c r="J64"/>
      <c r="K64"/>
      <c r="L64" s="82">
        <f t="shared" si="19"/>
        <v>23</v>
      </c>
      <c r="M64" s="50"/>
      <c r="O64" s="82">
        <f t="shared" si="20"/>
        <v>52</v>
      </c>
      <c r="P64" s="82">
        <f t="shared" si="23"/>
        <v>2</v>
      </c>
      <c r="Q64" s="82">
        <f t="shared" si="24"/>
        <v>50</v>
      </c>
      <c r="U64" s="52"/>
      <c r="V64" s="52"/>
    </row>
    <row r="65" spans="1:22">
      <c r="A65" s="39" t="s">
        <v>59</v>
      </c>
      <c r="B65" s="82">
        <f t="shared" si="21"/>
        <v>8</v>
      </c>
      <c r="C65"/>
      <c r="D65"/>
      <c r="E65" s="82">
        <f t="shared" si="22"/>
        <v>32</v>
      </c>
      <c r="F65" s="50"/>
      <c r="H65" s="39" t="s">
        <v>59</v>
      </c>
      <c r="I65" s="82">
        <f t="shared" si="18"/>
        <v>8</v>
      </c>
      <c r="J65"/>
      <c r="K65"/>
      <c r="L65" s="82">
        <f t="shared" si="19"/>
        <v>25</v>
      </c>
      <c r="M65" s="50"/>
      <c r="O65" s="82">
        <f t="shared" si="20"/>
        <v>57</v>
      </c>
      <c r="P65" s="82">
        <f t="shared" si="23"/>
        <v>2</v>
      </c>
      <c r="Q65" s="82">
        <f t="shared" si="24"/>
        <v>55</v>
      </c>
      <c r="U65" s="52"/>
      <c r="V65" s="52"/>
    </row>
    <row r="66" spans="1:22">
      <c r="A66" s="39" t="s">
        <v>68</v>
      </c>
      <c r="B66" s="82">
        <f t="shared" si="21"/>
        <v>7</v>
      </c>
      <c r="C66"/>
      <c r="D66"/>
      <c r="E66" s="82">
        <f t="shared" si="22"/>
        <v>28</v>
      </c>
      <c r="F66" s="50"/>
      <c r="H66" s="39" t="s">
        <v>68</v>
      </c>
      <c r="I66" s="82">
        <f t="shared" si="18"/>
        <v>7</v>
      </c>
      <c r="J66"/>
      <c r="K66"/>
      <c r="L66" s="82">
        <f t="shared" si="19"/>
        <v>21</v>
      </c>
      <c r="M66" s="50"/>
      <c r="O66" s="82">
        <f t="shared" si="20"/>
        <v>49</v>
      </c>
      <c r="P66" s="82">
        <f t="shared" si="23"/>
        <v>1</v>
      </c>
      <c r="Q66" s="82">
        <f t="shared" si="24"/>
        <v>48</v>
      </c>
      <c r="U66" s="52"/>
      <c r="V66" s="52"/>
    </row>
    <row r="67" spans="1:22">
      <c r="H67" s="42"/>
      <c r="I67" s="43"/>
      <c r="L67" s="43"/>
      <c r="M67" s="43"/>
      <c r="O67" s="44"/>
      <c r="P67" s="45"/>
      <c r="Q67" s="45"/>
    </row>
    <row r="68" spans="1:22">
      <c r="H68" s="42"/>
      <c r="I68" s="42"/>
      <c r="L68" s="42"/>
      <c r="M68" s="42"/>
      <c r="O68" s="44"/>
      <c r="P68" s="45"/>
      <c r="Q68" s="45"/>
    </row>
    <row r="69" spans="1:22">
      <c r="H69" s="42"/>
      <c r="I69" s="42"/>
      <c r="L69" s="42"/>
      <c r="M69" s="42"/>
      <c r="O69" s="33"/>
      <c r="P69" s="34"/>
      <c r="Q69" s="34"/>
    </row>
    <row r="70" spans="1:22">
      <c r="H70" s="42"/>
      <c r="I70" s="42"/>
      <c r="L70" s="42"/>
      <c r="M70" s="42"/>
      <c r="O70" s="33"/>
      <c r="P70" s="34"/>
      <c r="Q70" s="34"/>
    </row>
    <row r="71" spans="1:22">
      <c r="H71" s="42"/>
      <c r="I71" s="42"/>
      <c r="L71" s="42"/>
      <c r="M71" s="42"/>
      <c r="O71" s="33"/>
      <c r="P71" s="34"/>
      <c r="Q71" s="34"/>
    </row>
    <row r="72" spans="1:22">
      <c r="H72" s="42"/>
      <c r="I72" s="42"/>
      <c r="L72" s="42"/>
      <c r="M72" s="42"/>
      <c r="O72" s="33"/>
      <c r="P72" s="34"/>
      <c r="Q72" s="34"/>
    </row>
    <row r="73" spans="1:22">
      <c r="A73" s="173"/>
      <c r="B73" s="173"/>
      <c r="E73" s="42"/>
      <c r="F73" s="42"/>
      <c r="P73" s="48"/>
      <c r="Q73" s="48"/>
    </row>
    <row r="74" spans="1:22">
      <c r="P74" s="48"/>
      <c r="Q74" s="48"/>
    </row>
    <row r="75" spans="1:22">
      <c r="P75" s="48"/>
      <c r="Q75" s="48"/>
    </row>
  </sheetData>
  <mergeCells count="1">
    <mergeCell ref="A73:B73"/>
  </mergeCells>
  <conditionalFormatting sqref="V30:XFD30 N57:Q57 O30:T30 A1:E3 G1:L3 S57:XFD57 N58:XFD1048576 N56:XFD56 N1:XFD3 G56:L1048576 J4:L55 O4:XFD29 O31:XFD55 A56:E1048576 C4:E55">
    <cfRule type="cellIs" dxfId="73" priority="72" operator="equal">
      <formula>"THIGPIN"</formula>
    </cfRule>
    <cfRule type="cellIs" dxfId="72" priority="73" operator="equal">
      <formula>"MINAUDO"</formula>
    </cfRule>
    <cfRule type="cellIs" dxfId="71" priority="74" operator="equal">
      <formula>"LANDESMAN"</formula>
    </cfRule>
    <cfRule type="cellIs" dxfId="70" priority="75" operator="equal">
      <formula>"MILLER"</formula>
    </cfRule>
    <cfRule type="cellIs" dxfId="69" priority="76" operator="equal">
      <formula>"KORTE"</formula>
    </cfRule>
    <cfRule type="cellIs" dxfId="68" priority="77" operator="equal">
      <formula>"MACKSOOD"</formula>
    </cfRule>
    <cfRule type="cellIs" dxfId="67" priority="78" operator="equal">
      <formula>"NEUMANN"</formula>
    </cfRule>
    <cfRule type="cellIs" dxfId="66" priority="79" operator="equal">
      <formula>"SMITH"</formula>
    </cfRule>
  </conditionalFormatting>
  <conditionalFormatting sqref="E3:E55">
    <cfRule type="cellIs" dxfId="65" priority="71" operator="notEqual">
      <formula>4</formula>
    </cfRule>
  </conditionalFormatting>
  <conditionalFormatting sqref="L3:L55">
    <cfRule type="cellIs" dxfId="64" priority="70" operator="notEqual">
      <formula>3</formula>
    </cfRule>
  </conditionalFormatting>
  <conditionalFormatting sqref="H4:I55">
    <cfRule type="cellIs" dxfId="63" priority="1" operator="equal">
      <formula>"THIGPIN"</formula>
    </cfRule>
    <cfRule type="cellIs" dxfId="62" priority="2" operator="equal">
      <formula>"MINAUDO"</formula>
    </cfRule>
    <cfRule type="cellIs" dxfId="61" priority="3" operator="equal">
      <formula>"LANDESMAN"</formula>
    </cfRule>
    <cfRule type="cellIs" dxfId="60" priority="4" operator="equal">
      <formula>"MILLER"</formula>
    </cfRule>
    <cfRule type="cellIs" dxfId="59" priority="5" operator="equal">
      <formula>"KORTE"</formula>
    </cfRule>
    <cfRule type="cellIs" dxfId="58" priority="6" operator="equal">
      <formula>"MACKSOOD"</formula>
    </cfRule>
    <cfRule type="cellIs" dxfId="57" priority="7" operator="equal">
      <formula>"NEUMANN"</formula>
    </cfRule>
    <cfRule type="cellIs" dxfId="56" priority="8" operator="equal">
      <formula>"SMITH"</formula>
    </cfRule>
  </conditionalFormatting>
  <conditionalFormatting sqref="G43:G55 G4:G36 G39:G41">
    <cfRule type="cellIs" dxfId="55" priority="57" operator="equal">
      <formula>"THIGPIN"</formula>
    </cfRule>
    <cfRule type="cellIs" dxfId="54" priority="58" operator="equal">
      <formula>"MINAUDO"</formula>
    </cfRule>
    <cfRule type="cellIs" dxfId="53" priority="59" operator="equal">
      <formula>"LANDESMAN"</formula>
    </cfRule>
    <cfRule type="cellIs" dxfId="52" priority="60" operator="equal">
      <formula>"MILLER"</formula>
    </cfRule>
    <cfRule type="cellIs" dxfId="51" priority="61" operator="equal">
      <formula>"KORTE"</formula>
    </cfRule>
    <cfRule type="cellIs" dxfId="50" priority="62" operator="equal">
      <formula>"MACKSOOD"</formula>
    </cfRule>
    <cfRule type="cellIs" dxfId="49" priority="63" operator="equal">
      <formula>"NEUMANN"</formula>
    </cfRule>
    <cfRule type="cellIs" dxfId="48" priority="64" operator="equal">
      <formula>"SMITH"</formula>
    </cfRule>
  </conditionalFormatting>
  <conditionalFormatting sqref="G42">
    <cfRule type="cellIs" dxfId="47" priority="49" operator="equal">
      <formula>"THIGPIN"</formula>
    </cfRule>
    <cfRule type="cellIs" dxfId="46" priority="50" operator="equal">
      <formula>"MINAUDO"</formula>
    </cfRule>
    <cfRule type="cellIs" dxfId="45" priority="51" operator="equal">
      <formula>"LANDESMAN"</formula>
    </cfRule>
    <cfRule type="cellIs" dxfId="44" priority="52" operator="equal">
      <formula>"MILLER"</formula>
    </cfRule>
    <cfRule type="cellIs" dxfId="43" priority="53" operator="equal">
      <formula>"KORTE"</formula>
    </cfRule>
    <cfRule type="cellIs" dxfId="42" priority="54" operator="equal">
      <formula>"MACKSOOD"</formula>
    </cfRule>
    <cfRule type="cellIs" dxfId="41" priority="55" operator="equal">
      <formula>"NEUMANN"</formula>
    </cfRule>
    <cfRule type="cellIs" dxfId="40" priority="56" operator="equal">
      <formula>"SMITH"</formula>
    </cfRule>
  </conditionalFormatting>
  <conditionalFormatting sqref="G37">
    <cfRule type="cellIs" dxfId="39" priority="41" operator="equal">
      <formula>"THIGPIN"</formula>
    </cfRule>
    <cfRule type="cellIs" dxfId="38" priority="42" operator="equal">
      <formula>"MINAUDO"</formula>
    </cfRule>
    <cfRule type="cellIs" dxfId="37" priority="43" operator="equal">
      <formula>"LANDESMAN"</formula>
    </cfRule>
    <cfRule type="cellIs" dxfId="36" priority="44" operator="equal">
      <formula>"MILLER"</formula>
    </cfRule>
    <cfRule type="cellIs" dxfId="35" priority="45" operator="equal">
      <formula>"KORTE"</formula>
    </cfRule>
    <cfRule type="cellIs" dxfId="34" priority="46" operator="equal">
      <formula>"MACKSOOD"</formula>
    </cfRule>
    <cfRule type="cellIs" dxfId="33" priority="47" operator="equal">
      <formula>"NEUMANN"</formula>
    </cfRule>
    <cfRule type="cellIs" dxfId="32" priority="48" operator="equal">
      <formula>"SMITH"</formula>
    </cfRule>
  </conditionalFormatting>
  <conditionalFormatting sqref="G38">
    <cfRule type="cellIs" dxfId="31" priority="33" operator="equal">
      <formula>"THIGPIN"</formula>
    </cfRule>
    <cfRule type="cellIs" dxfId="30" priority="34" operator="equal">
      <formula>"MINAUDO"</formula>
    </cfRule>
    <cfRule type="cellIs" dxfId="29" priority="35" operator="equal">
      <formula>"LANDESMAN"</formula>
    </cfRule>
    <cfRule type="cellIs" dxfId="28" priority="36" operator="equal">
      <formula>"MILLER"</formula>
    </cfRule>
    <cfRule type="cellIs" dxfId="27" priority="37" operator="equal">
      <formula>"KORTE"</formula>
    </cfRule>
    <cfRule type="cellIs" dxfId="26" priority="38" operator="equal">
      <formula>"MACKSOOD"</formula>
    </cfRule>
    <cfRule type="cellIs" dxfId="25" priority="39" operator="equal">
      <formula>"NEUMANN"</formula>
    </cfRule>
    <cfRule type="cellIs" dxfId="24" priority="40" operator="equal">
      <formula>"SMITH"</formula>
    </cfRule>
  </conditionalFormatting>
  <conditionalFormatting sqref="N4:N33 N35:N55">
    <cfRule type="cellIs" dxfId="23" priority="25" operator="equal">
      <formula>"THIGPIN"</formula>
    </cfRule>
    <cfRule type="cellIs" dxfId="22" priority="26" operator="equal">
      <formula>"MINAUDO"</formula>
    </cfRule>
    <cfRule type="cellIs" dxfId="21" priority="27" operator="equal">
      <formula>"LANDESMAN"</formula>
    </cfRule>
    <cfRule type="cellIs" dxfId="20" priority="28" operator="equal">
      <formula>"MILLER"</formula>
    </cfRule>
    <cfRule type="cellIs" dxfId="19" priority="29" operator="equal">
      <formula>"KORTE"</formula>
    </cfRule>
    <cfRule type="cellIs" dxfId="18" priority="30" operator="equal">
      <formula>"MACKSOOD"</formula>
    </cfRule>
    <cfRule type="cellIs" dxfId="17" priority="31" operator="equal">
      <formula>"NEUMANN"</formula>
    </cfRule>
    <cfRule type="cellIs" dxfId="16" priority="32" operator="equal">
      <formula>"SMITH"</formula>
    </cfRule>
  </conditionalFormatting>
  <conditionalFormatting sqref="N34">
    <cfRule type="cellIs" dxfId="15" priority="17" operator="equal">
      <formula>"THIGPIN"</formula>
    </cfRule>
    <cfRule type="cellIs" dxfId="14" priority="18" operator="equal">
      <formula>"MINAUDO"</formula>
    </cfRule>
    <cfRule type="cellIs" dxfId="13" priority="19" operator="equal">
      <formula>"LANDESMAN"</formula>
    </cfRule>
    <cfRule type="cellIs" dxfId="12" priority="20" operator="equal">
      <formula>"MILLER"</formula>
    </cfRule>
    <cfRule type="cellIs" dxfId="11" priority="21" operator="equal">
      <formula>"KORTE"</formula>
    </cfRule>
    <cfRule type="cellIs" dxfId="10" priority="22" operator="equal">
      <formula>"MACKSOOD"</formula>
    </cfRule>
    <cfRule type="cellIs" dxfId="9" priority="23" operator="equal">
      <formula>"NEUMANN"</formula>
    </cfRule>
    <cfRule type="cellIs" dxfId="8" priority="24" operator="equal">
      <formula>"SMITH"</formula>
    </cfRule>
  </conditionalFormatting>
  <conditionalFormatting sqref="A4:B55">
    <cfRule type="cellIs" dxfId="7" priority="9" operator="equal">
      <formula>"THIGPIN"</formula>
    </cfRule>
    <cfRule type="cellIs" dxfId="6" priority="10" operator="equal">
      <formula>"MINAUDO"</formula>
    </cfRule>
    <cfRule type="cellIs" dxfId="5" priority="11" operator="equal">
      <formula>"LANDESMAN"</formula>
    </cfRule>
    <cfRule type="cellIs" dxfId="4" priority="12" operator="equal">
      <formula>"MILLER"</formula>
    </cfRule>
    <cfRule type="cellIs" dxfId="3" priority="13" operator="equal">
      <formula>"KORTE"</formula>
    </cfRule>
    <cfRule type="cellIs" dxfId="2" priority="14" operator="equal">
      <formula>"MACKSOOD"</formula>
    </cfRule>
    <cfRule type="cellIs" dxfId="1" priority="15" operator="equal">
      <formula>"NEUMANN"</formula>
    </cfRule>
    <cfRule type="cellIs" dxfId="0" priority="16" operator="equal">
      <formula>"SMITH"</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cellIs" priority="371" operator="notEqual" id="{66CCF13A-0166-4299-834E-D057564FADB5}">
            <xm:f>DefinitionArrays!$H$6</xm:f>
            <x14:dxf>
              <font>
                <b/>
                <i/>
              </font>
              <fill>
                <gradientFill degree="90">
                  <stop position="0">
                    <color theme="1" tint="0.49803155613879818"/>
                  </stop>
                  <stop position="1">
                    <color theme="2"/>
                  </stop>
                </gradientFill>
              </fill>
            </x14:dxf>
          </x14:cfRule>
          <xm:sqref>C3:C55</xm:sqref>
        </x14:conditionalFormatting>
        <x14:conditionalFormatting xmlns:xm="http://schemas.microsoft.com/office/excel/2006/main">
          <x14:cfRule type="cellIs" priority="372" operator="notEqual" id="{6B5E68B3-ABE1-4B41-BD80-328CF1A4CC53}">
            <xm:f>DefinitionArrays!$H$9</xm:f>
            <x14:dxf>
              <font>
                <b/>
                <i/>
              </font>
              <fill>
                <gradientFill degree="90">
                  <stop position="0">
                    <color theme="1" tint="0.49803155613879818"/>
                  </stop>
                  <stop position="1">
                    <color theme="2"/>
                  </stop>
                </gradientFill>
              </fill>
            </x14:dxf>
          </x14:cfRule>
          <xm:sqref>D3:D55</xm:sqref>
        </x14:conditionalFormatting>
        <x14:conditionalFormatting xmlns:xm="http://schemas.microsoft.com/office/excel/2006/main">
          <x14:cfRule type="cellIs" priority="373" operator="notEqual" id="{B4B91DC6-374D-4AF9-BEF8-F948D010F9F8}">
            <xm:f>DefinitionArrays!$H$10</xm:f>
            <x14:dxf>
              <font>
                <b/>
                <i/>
              </font>
              <fill>
                <gradientFill degree="90">
                  <stop position="0">
                    <color theme="1" tint="0.49803155613879818"/>
                  </stop>
                  <stop position="1">
                    <color theme="2"/>
                  </stop>
                </gradientFill>
              </fill>
            </x14:dxf>
          </x14:cfRule>
          <xm:sqref>J3:J55</xm:sqref>
        </x14:conditionalFormatting>
        <x14:conditionalFormatting xmlns:xm="http://schemas.microsoft.com/office/excel/2006/main">
          <x14:cfRule type="cellIs" priority="374" operator="notEqual" id="{60B0FC7B-7B62-4168-AC19-A44F7A9FFAE9}">
            <xm:f>DefinitionArrays!$H$12</xm:f>
            <x14:dxf>
              <font>
                <b/>
                <i/>
              </font>
              <fill>
                <gradientFill degree="90">
                  <stop position="0">
                    <color theme="1" tint="0.49803155613879818"/>
                  </stop>
                  <stop position="1">
                    <color theme="2"/>
                  </stop>
                </gradientFill>
              </fill>
            </x14:dxf>
          </x14:cfRule>
          <xm:sqref>K3:K55</xm:sqref>
        </x14:conditionalFormatting>
      </x14:conditionalFormattings>
    </ext>
  </extLst>
</worksheet>
</file>

<file path=xl/worksheets/sheet4.xml><?xml version="1.0" encoding="utf-8"?>
<worksheet xmlns="http://schemas.openxmlformats.org/spreadsheetml/2006/main" xmlns:r="http://schemas.openxmlformats.org/officeDocument/2006/relationships">
  <sheetPr codeName="Sheet4"/>
  <dimension ref="A1:G15"/>
  <sheetViews>
    <sheetView workbookViewId="0"/>
  </sheetViews>
  <sheetFormatPr defaultRowHeight="15"/>
  <cols>
    <col min="1" max="1" width="29" style="58" bestFit="1" customWidth="1"/>
    <col min="2" max="2" width="18.42578125" bestFit="1" customWidth="1"/>
    <col min="3" max="7" width="30.7109375" customWidth="1"/>
  </cols>
  <sheetData>
    <row r="1" spans="1:7" ht="16.5" thickBot="1">
      <c r="A1" s="68" t="s">
        <v>150</v>
      </c>
    </row>
    <row r="2" spans="1:7" s="8" customFormat="1" ht="15.75" thickBot="1">
      <c r="A2" s="89" t="s">
        <v>188</v>
      </c>
      <c r="B2" s="90" t="s">
        <v>189</v>
      </c>
      <c r="C2" s="100" t="s">
        <v>13</v>
      </c>
      <c r="D2" s="100" t="s">
        <v>142</v>
      </c>
      <c r="E2" s="100" t="s">
        <v>143</v>
      </c>
      <c r="F2" s="100" t="s">
        <v>144</v>
      </c>
      <c r="G2" s="101" t="s">
        <v>145</v>
      </c>
    </row>
    <row r="3" spans="1:7">
      <c r="A3" s="98" t="s">
        <v>187</v>
      </c>
      <c r="B3" s="95" t="s">
        <v>183</v>
      </c>
      <c r="C3" s="98"/>
      <c r="D3" s="126"/>
      <c r="E3" s="127"/>
      <c r="F3" s="128" t="s">
        <v>192</v>
      </c>
      <c r="G3" s="129"/>
    </row>
    <row r="4" spans="1:7">
      <c r="A4" s="91" t="s">
        <v>209</v>
      </c>
      <c r="B4" s="92" t="s">
        <v>183</v>
      </c>
      <c r="C4" s="91"/>
      <c r="D4" s="130"/>
      <c r="E4" s="125"/>
      <c r="F4" s="131" t="s">
        <v>242</v>
      </c>
      <c r="G4" s="132"/>
    </row>
    <row r="5" spans="1:7" ht="15.75" thickBot="1">
      <c r="A5" s="93" t="s">
        <v>191</v>
      </c>
      <c r="B5" s="94" t="s">
        <v>183</v>
      </c>
      <c r="C5" s="93"/>
      <c r="D5" s="133" t="s">
        <v>243</v>
      </c>
      <c r="E5" s="134"/>
      <c r="F5" s="135"/>
      <c r="G5" s="136"/>
    </row>
    <row r="6" spans="1:7">
      <c r="A6" s="98" t="s">
        <v>187</v>
      </c>
      <c r="B6" s="95" t="s">
        <v>184</v>
      </c>
      <c r="C6" s="58"/>
      <c r="D6" s="137" t="s">
        <v>244</v>
      </c>
      <c r="E6" s="137" t="s">
        <v>149</v>
      </c>
      <c r="F6" s="137" t="s">
        <v>193</v>
      </c>
      <c r="G6" s="129"/>
    </row>
    <row r="7" spans="1:7">
      <c r="A7" s="91" t="s">
        <v>187</v>
      </c>
      <c r="B7" s="92" t="s">
        <v>184</v>
      </c>
      <c r="C7" s="91"/>
      <c r="D7" s="130"/>
      <c r="E7" s="58"/>
      <c r="F7" s="130"/>
      <c r="G7" s="132"/>
    </row>
    <row r="8" spans="1:7">
      <c r="A8" s="91" t="s">
        <v>190</v>
      </c>
      <c r="B8" s="92" t="s">
        <v>184</v>
      </c>
      <c r="C8" s="91"/>
      <c r="D8" s="138" t="s">
        <v>148</v>
      </c>
      <c r="E8" s="125"/>
      <c r="F8" s="130"/>
      <c r="G8" s="132"/>
    </row>
    <row r="9" spans="1:7">
      <c r="A9" s="91" t="s">
        <v>194</v>
      </c>
      <c r="B9" s="92" t="s">
        <v>184</v>
      </c>
      <c r="C9" s="139" t="s">
        <v>195</v>
      </c>
      <c r="D9" s="130"/>
      <c r="E9" s="125"/>
      <c r="F9" s="130"/>
      <c r="G9" s="132"/>
    </row>
    <row r="10" spans="1:7" ht="15.75" thickBot="1">
      <c r="A10" s="93" t="s">
        <v>196</v>
      </c>
      <c r="B10" s="94" t="s">
        <v>184</v>
      </c>
      <c r="C10" s="140" t="s">
        <v>197</v>
      </c>
      <c r="D10" s="135"/>
      <c r="E10" s="134"/>
      <c r="F10" s="135"/>
      <c r="G10" s="136"/>
    </row>
    <row r="11" spans="1:7">
      <c r="A11" s="98" t="s">
        <v>187</v>
      </c>
      <c r="B11" s="95" t="s">
        <v>185</v>
      </c>
      <c r="C11" s="141" t="s">
        <v>206</v>
      </c>
      <c r="D11" s="137" t="s">
        <v>151</v>
      </c>
      <c r="E11" s="127"/>
      <c r="F11" s="126"/>
      <c r="G11" s="129"/>
    </row>
    <row r="12" spans="1:7">
      <c r="A12" s="91" t="s">
        <v>198</v>
      </c>
      <c r="B12" s="92" t="s">
        <v>185</v>
      </c>
      <c r="C12" s="139" t="s">
        <v>199</v>
      </c>
      <c r="D12" s="130"/>
      <c r="E12" s="125"/>
      <c r="F12" s="130"/>
      <c r="G12" s="132"/>
    </row>
    <row r="13" spans="1:7" ht="15.75" thickBot="1">
      <c r="A13" s="93" t="s">
        <v>200</v>
      </c>
      <c r="B13" s="94" t="s">
        <v>185</v>
      </c>
      <c r="C13" s="140" t="s">
        <v>201</v>
      </c>
      <c r="D13" s="135"/>
      <c r="E13" s="134"/>
      <c r="F13" s="135"/>
      <c r="G13" s="136"/>
    </row>
    <row r="14" spans="1:7">
      <c r="A14" s="91" t="s">
        <v>187</v>
      </c>
      <c r="B14" s="92" t="s">
        <v>186</v>
      </c>
      <c r="C14" s="91"/>
      <c r="D14" s="142" t="s">
        <v>207</v>
      </c>
      <c r="E14" s="125"/>
      <c r="F14" s="142" t="s">
        <v>192</v>
      </c>
      <c r="G14" s="143" t="s">
        <v>192</v>
      </c>
    </row>
    <row r="15" spans="1:7" ht="15.75" thickBot="1">
      <c r="A15" s="93" t="s">
        <v>187</v>
      </c>
      <c r="B15" s="94" t="s">
        <v>186</v>
      </c>
      <c r="C15" s="96"/>
      <c r="D15" s="144" t="s">
        <v>202</v>
      </c>
      <c r="E15" s="97"/>
      <c r="F15" s="99"/>
      <c r="G15" s="94"/>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3"/>
  <dimension ref="A1:G366"/>
  <sheetViews>
    <sheetView tabSelected="1" workbookViewId="0"/>
  </sheetViews>
  <sheetFormatPr defaultRowHeight="15"/>
  <cols>
    <col min="1" max="1" width="10.7109375" bestFit="1" customWidth="1"/>
    <col min="2" max="2" width="12.85546875" bestFit="1" customWidth="1"/>
    <col min="3" max="3" width="12.7109375" bestFit="1" customWidth="1"/>
    <col min="4" max="4" width="11.42578125" style="59" bestFit="1" customWidth="1"/>
  </cols>
  <sheetData>
    <row r="1" spans="1:7">
      <c r="A1" s="8" t="s">
        <v>54</v>
      </c>
      <c r="B1" s="8" t="s">
        <v>155</v>
      </c>
      <c r="C1" s="8" t="s">
        <v>157</v>
      </c>
      <c r="D1" s="72" t="s">
        <v>158</v>
      </c>
    </row>
    <row r="2" spans="1:7">
      <c r="A2" s="88">
        <v>42005</v>
      </c>
      <c r="B2" s="86" t="str">
        <f t="shared" ref="B2:B65" si="0">IF(AND(A2=42005,WEEKDAY(A2,2)&lt;&gt;1),"WorkWeek53",VLOOKUP(WEEKDAY(A2,2),Wday_Code,4,FALSE)&amp;WEEKNUM(A2,2))</f>
        <v>WorkWeek53</v>
      </c>
      <c r="C2" s="87" t="str">
        <f>IF(SEARCH("Workweek",B2)=1,VLOOKUP(B2,OnCall_Workweek_Array,2,FALSE),VLOOKUP(B2,OnCall_Weekend_Array,2,FALSE))</f>
        <v>MINAUDO</v>
      </c>
      <c r="D2" s="82" t="str">
        <f>VLOOKUP(C2,Doc_Code,2,FALSE)</f>
        <v>O</v>
      </c>
      <c r="G2" s="71"/>
    </row>
    <row r="3" spans="1:7">
      <c r="A3" s="88">
        <v>42006</v>
      </c>
      <c r="B3" s="86" t="str">
        <f t="shared" si="0"/>
        <v>Weekend1</v>
      </c>
      <c r="C3" s="87" t="str">
        <f t="shared" ref="C3:C66" si="1">IF(IFERROR(SEARCH("Workweek",B3),"")=1,VLOOKUP(B3,OnCall_Workweek_Array,2,FALSE),VLOOKUP(B3,OnCall_Weekend_Array,2,FALSE))</f>
        <v>MINAUDO</v>
      </c>
      <c r="D3" s="82" t="str">
        <f>VLOOKUP(C3,Doc_Code,2,FALSE)</f>
        <v>O</v>
      </c>
    </row>
    <row r="4" spans="1:7">
      <c r="A4" s="88">
        <v>42007</v>
      </c>
      <c r="B4" s="86" t="str">
        <f t="shared" si="0"/>
        <v>Weekend1</v>
      </c>
      <c r="C4" s="87" t="str">
        <f t="shared" si="1"/>
        <v>MINAUDO</v>
      </c>
      <c r="D4" s="82" t="str">
        <f t="shared" ref="D4:D65" si="2">VLOOKUP(C4,Doc_Code,2,FALSE)</f>
        <v>O</v>
      </c>
    </row>
    <row r="5" spans="1:7">
      <c r="A5" s="88">
        <v>42008</v>
      </c>
      <c r="B5" s="86" t="str">
        <f t="shared" si="0"/>
        <v>Weekend1</v>
      </c>
      <c r="C5" s="87" t="str">
        <f t="shared" si="1"/>
        <v>MINAUDO</v>
      </c>
      <c r="D5" s="82" t="str">
        <f t="shared" si="2"/>
        <v>O</v>
      </c>
    </row>
    <row r="6" spans="1:7">
      <c r="A6" s="88">
        <v>42009</v>
      </c>
      <c r="B6" s="86" t="str">
        <f t="shared" si="0"/>
        <v>Workweek2</v>
      </c>
      <c r="C6" s="87" t="str">
        <f t="shared" si="1"/>
        <v>LANDESMAN</v>
      </c>
      <c r="D6" s="82" t="str">
        <f t="shared" si="2"/>
        <v>L</v>
      </c>
    </row>
    <row r="7" spans="1:7">
      <c r="A7" s="88">
        <v>42010</v>
      </c>
      <c r="B7" s="86" t="str">
        <f t="shared" si="0"/>
        <v>Workweek2</v>
      </c>
      <c r="C7" s="87" t="str">
        <f t="shared" si="1"/>
        <v>LANDESMAN</v>
      </c>
      <c r="D7" s="82" t="str">
        <f t="shared" si="2"/>
        <v>L</v>
      </c>
    </row>
    <row r="8" spans="1:7">
      <c r="A8" s="88">
        <v>42011</v>
      </c>
      <c r="B8" s="86" t="str">
        <f t="shared" si="0"/>
        <v>Workweek2</v>
      </c>
      <c r="C8" s="87" t="str">
        <f t="shared" si="1"/>
        <v>LANDESMAN</v>
      </c>
      <c r="D8" s="82" t="str">
        <f t="shared" si="2"/>
        <v>L</v>
      </c>
    </row>
    <row r="9" spans="1:7">
      <c r="A9" s="88">
        <v>42012</v>
      </c>
      <c r="B9" s="86" t="str">
        <f t="shared" si="0"/>
        <v>Workweek2</v>
      </c>
      <c r="C9" s="87" t="str">
        <f t="shared" si="1"/>
        <v>LANDESMAN</v>
      </c>
      <c r="D9" s="82" t="str">
        <f t="shared" si="2"/>
        <v>L</v>
      </c>
    </row>
    <row r="10" spans="1:7">
      <c r="A10" s="88">
        <v>42013</v>
      </c>
      <c r="B10" s="86" t="str">
        <f t="shared" si="0"/>
        <v>Weekend2</v>
      </c>
      <c r="C10" s="87" t="str">
        <f t="shared" si="1"/>
        <v>MACKSOOD</v>
      </c>
      <c r="D10" s="82" t="str">
        <f t="shared" si="2"/>
        <v>M</v>
      </c>
    </row>
    <row r="11" spans="1:7">
      <c r="A11" s="88">
        <v>42014</v>
      </c>
      <c r="B11" s="86" t="str">
        <f t="shared" si="0"/>
        <v>Weekend2</v>
      </c>
      <c r="C11" s="87" t="str">
        <f>IF(IFERROR(SEARCH("Workweek",B11),"")=1,VLOOKUP(B11,OnCall_Workweek_Array,2,FALSE),VLOOKUP(B11,OnCall_Weekend_Array,2,FALSE))</f>
        <v>MACKSOOD</v>
      </c>
      <c r="D11" s="82" t="str">
        <f>VLOOKUP(C11,Doc_Code,2,FALSE)</f>
        <v>M</v>
      </c>
    </row>
    <row r="12" spans="1:7">
      <c r="A12" s="88">
        <v>42015</v>
      </c>
      <c r="B12" s="86" t="str">
        <f>IF(AND(A12=42005,WEEKDAY(A12,2)&lt;&gt;1),"WorkWeek53",VLOOKUP(WEEKDAY(A12,2),Wday_Code,4,FALSE)&amp;WEEKNUM(A12,2))</f>
        <v>Weekend2</v>
      </c>
      <c r="C12" s="87" t="str">
        <f t="shared" si="1"/>
        <v>MACKSOOD</v>
      </c>
      <c r="D12" s="82" t="str">
        <f t="shared" si="2"/>
        <v>M</v>
      </c>
    </row>
    <row r="13" spans="1:7">
      <c r="A13" s="88">
        <v>42016</v>
      </c>
      <c r="B13" s="86" t="str">
        <f t="shared" si="0"/>
        <v>Workweek3</v>
      </c>
      <c r="C13" s="87" t="str">
        <f t="shared" si="1"/>
        <v>SMITH</v>
      </c>
      <c r="D13" s="82" t="str">
        <f t="shared" si="2"/>
        <v>S</v>
      </c>
    </row>
    <row r="14" spans="1:7">
      <c r="A14" s="88">
        <v>42017</v>
      </c>
      <c r="B14" s="86" t="str">
        <f t="shared" si="0"/>
        <v>Workweek3</v>
      </c>
      <c r="C14" s="87" t="str">
        <f t="shared" si="1"/>
        <v>SMITH</v>
      </c>
      <c r="D14" s="82" t="str">
        <f t="shared" si="2"/>
        <v>S</v>
      </c>
    </row>
    <row r="15" spans="1:7">
      <c r="A15" s="88">
        <v>42018</v>
      </c>
      <c r="B15" s="86" t="str">
        <f t="shared" si="0"/>
        <v>Workweek3</v>
      </c>
      <c r="C15" s="87" t="str">
        <f t="shared" si="1"/>
        <v>SMITH</v>
      </c>
      <c r="D15" s="82" t="str">
        <f t="shared" si="2"/>
        <v>S</v>
      </c>
    </row>
    <row r="16" spans="1:7">
      <c r="A16" s="88">
        <v>42019</v>
      </c>
      <c r="B16" s="86" t="str">
        <f t="shared" si="0"/>
        <v>Workweek3</v>
      </c>
      <c r="C16" s="87" t="str">
        <f t="shared" si="1"/>
        <v>SMITH</v>
      </c>
      <c r="D16" s="82" t="str">
        <f t="shared" si="2"/>
        <v>S</v>
      </c>
    </row>
    <row r="17" spans="1:4">
      <c r="A17" s="88">
        <v>42020</v>
      </c>
      <c r="B17" s="86" t="str">
        <f t="shared" si="0"/>
        <v>Weekend3</v>
      </c>
      <c r="C17" s="87" t="str">
        <f t="shared" si="1"/>
        <v>SMITH</v>
      </c>
      <c r="D17" s="82" t="str">
        <f t="shared" si="2"/>
        <v>S</v>
      </c>
    </row>
    <row r="18" spans="1:4">
      <c r="A18" s="88">
        <v>42021</v>
      </c>
      <c r="B18" s="86" t="str">
        <f t="shared" si="0"/>
        <v>Weekend3</v>
      </c>
      <c r="C18" s="87" t="str">
        <f t="shared" si="1"/>
        <v>SMITH</v>
      </c>
      <c r="D18" s="82" t="str">
        <f t="shared" si="2"/>
        <v>S</v>
      </c>
    </row>
    <row r="19" spans="1:4">
      <c r="A19" s="88">
        <v>42022</v>
      </c>
      <c r="B19" s="86" t="str">
        <f t="shared" si="0"/>
        <v>Weekend3</v>
      </c>
      <c r="C19" s="87" t="str">
        <f t="shared" si="1"/>
        <v>SMITH</v>
      </c>
      <c r="D19" s="82" t="str">
        <f t="shared" si="2"/>
        <v>S</v>
      </c>
    </row>
    <row r="20" spans="1:4">
      <c r="A20" s="88">
        <v>42023</v>
      </c>
      <c r="B20" s="86" t="str">
        <f t="shared" si="0"/>
        <v>Workweek4</v>
      </c>
      <c r="C20" s="87" t="str">
        <f t="shared" si="1"/>
        <v>MILLER</v>
      </c>
      <c r="D20" s="82" t="str">
        <f t="shared" si="2"/>
        <v>J</v>
      </c>
    </row>
    <row r="21" spans="1:4">
      <c r="A21" s="88">
        <v>42024</v>
      </c>
      <c r="B21" s="86" t="str">
        <f t="shared" si="0"/>
        <v>Workweek4</v>
      </c>
      <c r="C21" s="87" t="str">
        <f t="shared" si="1"/>
        <v>MILLER</v>
      </c>
      <c r="D21" s="82" t="str">
        <f t="shared" si="2"/>
        <v>J</v>
      </c>
    </row>
    <row r="22" spans="1:4">
      <c r="A22" s="88">
        <v>42025</v>
      </c>
      <c r="B22" s="86" t="str">
        <f t="shared" si="0"/>
        <v>Workweek4</v>
      </c>
      <c r="C22" s="87" t="str">
        <f t="shared" si="1"/>
        <v>MILLER</v>
      </c>
      <c r="D22" s="82" t="str">
        <f t="shared" si="2"/>
        <v>J</v>
      </c>
    </row>
    <row r="23" spans="1:4">
      <c r="A23" s="88">
        <v>42026</v>
      </c>
      <c r="B23" s="86" t="str">
        <f t="shared" si="0"/>
        <v>Workweek4</v>
      </c>
      <c r="C23" s="87" t="str">
        <f t="shared" si="1"/>
        <v>MILLER</v>
      </c>
      <c r="D23" s="82" t="str">
        <f t="shared" si="2"/>
        <v>J</v>
      </c>
    </row>
    <row r="24" spans="1:4">
      <c r="A24" s="88">
        <v>42027</v>
      </c>
      <c r="B24" s="86" t="str">
        <f t="shared" si="0"/>
        <v>Weekend4</v>
      </c>
      <c r="C24" s="87" t="str">
        <f t="shared" si="1"/>
        <v>MINAUDO</v>
      </c>
      <c r="D24" s="82" t="str">
        <f t="shared" si="2"/>
        <v>O</v>
      </c>
    </row>
    <row r="25" spans="1:4">
      <c r="A25" s="88">
        <v>42028</v>
      </c>
      <c r="B25" s="86" t="str">
        <f t="shared" si="0"/>
        <v>Weekend4</v>
      </c>
      <c r="C25" s="87" t="str">
        <f t="shared" si="1"/>
        <v>MINAUDO</v>
      </c>
      <c r="D25" s="82" t="str">
        <f t="shared" si="2"/>
        <v>O</v>
      </c>
    </row>
    <row r="26" spans="1:4">
      <c r="A26" s="88">
        <v>42029</v>
      </c>
      <c r="B26" s="86" t="str">
        <f t="shared" si="0"/>
        <v>Weekend4</v>
      </c>
      <c r="C26" s="87" t="str">
        <f t="shared" si="1"/>
        <v>MINAUDO</v>
      </c>
      <c r="D26" s="82" t="str">
        <f t="shared" si="2"/>
        <v>O</v>
      </c>
    </row>
    <row r="27" spans="1:4">
      <c r="A27" s="88">
        <v>42030</v>
      </c>
      <c r="B27" s="86" t="str">
        <f t="shared" si="0"/>
        <v>Workweek5</v>
      </c>
      <c r="C27" s="87" t="str">
        <f t="shared" si="1"/>
        <v>NEUMANN</v>
      </c>
      <c r="D27" s="82" t="str">
        <f t="shared" si="2"/>
        <v>N</v>
      </c>
    </row>
    <row r="28" spans="1:4">
      <c r="A28" s="88">
        <v>42031</v>
      </c>
      <c r="B28" s="86" t="str">
        <f t="shared" si="0"/>
        <v>Workweek5</v>
      </c>
      <c r="C28" s="87" t="str">
        <f t="shared" si="1"/>
        <v>NEUMANN</v>
      </c>
      <c r="D28" s="82" t="str">
        <f t="shared" si="2"/>
        <v>N</v>
      </c>
    </row>
    <row r="29" spans="1:4">
      <c r="A29" s="88">
        <v>42032</v>
      </c>
      <c r="B29" s="86" t="str">
        <f t="shared" si="0"/>
        <v>Workweek5</v>
      </c>
      <c r="C29" s="87" t="str">
        <f t="shared" si="1"/>
        <v>NEUMANN</v>
      </c>
      <c r="D29" s="82" t="str">
        <f t="shared" si="2"/>
        <v>N</v>
      </c>
    </row>
    <row r="30" spans="1:4">
      <c r="A30" s="88">
        <v>42033</v>
      </c>
      <c r="B30" s="86" t="str">
        <f t="shared" si="0"/>
        <v>Workweek5</v>
      </c>
      <c r="C30" s="87" t="str">
        <f t="shared" si="1"/>
        <v>NEUMANN</v>
      </c>
      <c r="D30" s="82" t="str">
        <f t="shared" si="2"/>
        <v>N</v>
      </c>
    </row>
    <row r="31" spans="1:4">
      <c r="A31" s="88">
        <v>42034</v>
      </c>
      <c r="B31" s="86" t="str">
        <f t="shared" si="0"/>
        <v>Weekend5</v>
      </c>
      <c r="C31" s="87" t="str">
        <f t="shared" si="1"/>
        <v>NEUMANN</v>
      </c>
      <c r="D31" s="82" t="str">
        <f t="shared" si="2"/>
        <v>N</v>
      </c>
    </row>
    <row r="32" spans="1:4">
      <c r="A32" s="88">
        <v>42035</v>
      </c>
      <c r="B32" s="86" t="str">
        <f t="shared" si="0"/>
        <v>Weekend5</v>
      </c>
      <c r="C32" s="87" t="str">
        <f t="shared" si="1"/>
        <v>NEUMANN</v>
      </c>
      <c r="D32" s="82" t="str">
        <f t="shared" si="2"/>
        <v>N</v>
      </c>
    </row>
    <row r="33" spans="1:4">
      <c r="A33" s="88">
        <v>42036</v>
      </c>
      <c r="B33" s="86" t="str">
        <f t="shared" si="0"/>
        <v>Weekend5</v>
      </c>
      <c r="C33" s="87" t="str">
        <f t="shared" si="1"/>
        <v>NEUMANN</v>
      </c>
      <c r="D33" s="82" t="str">
        <f t="shared" si="2"/>
        <v>N</v>
      </c>
    </row>
    <row r="34" spans="1:4">
      <c r="A34" s="88">
        <v>42037</v>
      </c>
      <c r="B34" s="86" t="str">
        <f t="shared" si="0"/>
        <v>Workweek6</v>
      </c>
      <c r="C34" s="87" t="str">
        <f t="shared" si="1"/>
        <v>KORTE</v>
      </c>
      <c r="D34" s="82" t="str">
        <f t="shared" si="2"/>
        <v>K</v>
      </c>
    </row>
    <row r="35" spans="1:4">
      <c r="A35" s="88">
        <v>42038</v>
      </c>
      <c r="B35" s="86" t="str">
        <f t="shared" si="0"/>
        <v>Workweek6</v>
      </c>
      <c r="C35" s="87" t="str">
        <f t="shared" si="1"/>
        <v>KORTE</v>
      </c>
      <c r="D35" s="82" t="str">
        <f t="shared" si="2"/>
        <v>K</v>
      </c>
    </row>
    <row r="36" spans="1:4">
      <c r="A36" s="88">
        <v>42039</v>
      </c>
      <c r="B36" s="86" t="str">
        <f t="shared" si="0"/>
        <v>Workweek6</v>
      </c>
      <c r="C36" s="87" t="str">
        <f t="shared" si="1"/>
        <v>KORTE</v>
      </c>
      <c r="D36" s="82" t="str">
        <f t="shared" si="2"/>
        <v>K</v>
      </c>
    </row>
    <row r="37" spans="1:4">
      <c r="A37" s="88">
        <v>42040</v>
      </c>
      <c r="B37" s="86" t="str">
        <f t="shared" si="0"/>
        <v>Workweek6</v>
      </c>
      <c r="C37" s="87" t="str">
        <f t="shared" si="1"/>
        <v>KORTE</v>
      </c>
      <c r="D37" s="82" t="str">
        <f t="shared" si="2"/>
        <v>K</v>
      </c>
    </row>
    <row r="38" spans="1:4">
      <c r="A38" s="88">
        <v>42041</v>
      </c>
      <c r="B38" s="86" t="str">
        <f t="shared" si="0"/>
        <v>Weekend6</v>
      </c>
      <c r="C38" s="87" t="str">
        <f t="shared" si="1"/>
        <v>SMITH</v>
      </c>
      <c r="D38" s="82" t="str">
        <f t="shared" si="2"/>
        <v>S</v>
      </c>
    </row>
    <row r="39" spans="1:4">
      <c r="A39" s="88">
        <v>42042</v>
      </c>
      <c r="B39" s="86" t="str">
        <f t="shared" si="0"/>
        <v>Weekend6</v>
      </c>
      <c r="C39" s="87" t="str">
        <f t="shared" si="1"/>
        <v>SMITH</v>
      </c>
      <c r="D39" s="82" t="str">
        <f t="shared" si="2"/>
        <v>S</v>
      </c>
    </row>
    <row r="40" spans="1:4">
      <c r="A40" s="88">
        <v>42043</v>
      </c>
      <c r="B40" s="86" t="str">
        <f t="shared" si="0"/>
        <v>Weekend6</v>
      </c>
      <c r="C40" s="87" t="str">
        <f t="shared" si="1"/>
        <v>SMITH</v>
      </c>
      <c r="D40" s="82" t="str">
        <f t="shared" si="2"/>
        <v>S</v>
      </c>
    </row>
    <row r="41" spans="1:4">
      <c r="A41" s="88">
        <v>42044</v>
      </c>
      <c r="B41" s="86" t="str">
        <f t="shared" si="0"/>
        <v>Workweek7</v>
      </c>
      <c r="C41" s="87" t="str">
        <f t="shared" si="1"/>
        <v>THIGPIN</v>
      </c>
      <c r="D41" s="82" t="str">
        <f t="shared" si="2"/>
        <v>T</v>
      </c>
    </row>
    <row r="42" spans="1:4">
      <c r="A42" s="88">
        <v>42045</v>
      </c>
      <c r="B42" s="86" t="str">
        <f t="shared" si="0"/>
        <v>Workweek7</v>
      </c>
      <c r="C42" s="87" t="str">
        <f t="shared" si="1"/>
        <v>THIGPIN</v>
      </c>
      <c r="D42" s="82" t="str">
        <f t="shared" si="2"/>
        <v>T</v>
      </c>
    </row>
    <row r="43" spans="1:4">
      <c r="A43" s="88">
        <v>42046</v>
      </c>
      <c r="B43" s="86" t="str">
        <f t="shared" si="0"/>
        <v>Workweek7</v>
      </c>
      <c r="C43" s="87" t="str">
        <f t="shared" si="1"/>
        <v>THIGPIN</v>
      </c>
      <c r="D43" s="82" t="str">
        <f t="shared" si="2"/>
        <v>T</v>
      </c>
    </row>
    <row r="44" spans="1:4">
      <c r="A44" s="88">
        <v>42047</v>
      </c>
      <c r="B44" s="86" t="str">
        <f t="shared" si="0"/>
        <v>Workweek7</v>
      </c>
      <c r="C44" s="87" t="str">
        <f t="shared" si="1"/>
        <v>THIGPIN</v>
      </c>
      <c r="D44" s="82" t="str">
        <f t="shared" si="2"/>
        <v>T</v>
      </c>
    </row>
    <row r="45" spans="1:4">
      <c r="A45" s="88">
        <v>42048</v>
      </c>
      <c r="B45" s="86" t="str">
        <f t="shared" si="0"/>
        <v>Weekend7</v>
      </c>
      <c r="C45" s="87" t="str">
        <f t="shared" si="1"/>
        <v>MINAUDO</v>
      </c>
      <c r="D45" s="82" t="str">
        <f t="shared" si="2"/>
        <v>O</v>
      </c>
    </row>
    <row r="46" spans="1:4">
      <c r="A46" s="88">
        <v>42049</v>
      </c>
      <c r="B46" s="86" t="str">
        <f t="shared" si="0"/>
        <v>Weekend7</v>
      </c>
      <c r="C46" s="87" t="str">
        <f t="shared" si="1"/>
        <v>MINAUDO</v>
      </c>
      <c r="D46" s="82" t="str">
        <f t="shared" si="2"/>
        <v>O</v>
      </c>
    </row>
    <row r="47" spans="1:4">
      <c r="A47" s="88">
        <v>42050</v>
      </c>
      <c r="B47" s="86" t="str">
        <f t="shared" si="0"/>
        <v>Weekend7</v>
      </c>
      <c r="C47" s="87" t="str">
        <f t="shared" si="1"/>
        <v>MINAUDO</v>
      </c>
      <c r="D47" s="82" t="str">
        <f t="shared" si="2"/>
        <v>O</v>
      </c>
    </row>
    <row r="48" spans="1:4">
      <c r="A48" s="88">
        <v>42051</v>
      </c>
      <c r="B48" s="86" t="str">
        <f t="shared" si="0"/>
        <v>Workweek8</v>
      </c>
      <c r="C48" s="87" t="str">
        <f t="shared" si="1"/>
        <v>MACKSOOD</v>
      </c>
      <c r="D48" s="82" t="str">
        <f t="shared" si="2"/>
        <v>M</v>
      </c>
    </row>
    <row r="49" spans="1:4">
      <c r="A49" s="88">
        <v>42052</v>
      </c>
      <c r="B49" s="86" t="str">
        <f t="shared" si="0"/>
        <v>Workweek8</v>
      </c>
      <c r="C49" s="87" t="str">
        <f t="shared" si="1"/>
        <v>MACKSOOD</v>
      </c>
      <c r="D49" s="82" t="str">
        <f t="shared" si="2"/>
        <v>M</v>
      </c>
    </row>
    <row r="50" spans="1:4">
      <c r="A50" s="88">
        <v>42053</v>
      </c>
      <c r="B50" s="86" t="str">
        <f t="shared" si="0"/>
        <v>Workweek8</v>
      </c>
      <c r="C50" s="87" t="str">
        <f t="shared" si="1"/>
        <v>MACKSOOD</v>
      </c>
      <c r="D50" s="82" t="str">
        <f t="shared" si="2"/>
        <v>M</v>
      </c>
    </row>
    <row r="51" spans="1:4">
      <c r="A51" s="88">
        <v>42054</v>
      </c>
      <c r="B51" s="86" t="str">
        <f t="shared" si="0"/>
        <v>Workweek8</v>
      </c>
      <c r="C51" s="87" t="str">
        <f t="shared" si="1"/>
        <v>MACKSOOD</v>
      </c>
      <c r="D51" s="82" t="str">
        <f t="shared" si="2"/>
        <v>M</v>
      </c>
    </row>
    <row r="52" spans="1:4">
      <c r="A52" s="88">
        <v>42055</v>
      </c>
      <c r="B52" s="86" t="str">
        <f t="shared" si="0"/>
        <v>Weekend8</v>
      </c>
      <c r="C52" s="87" t="str">
        <f t="shared" si="1"/>
        <v>LANDESMAN</v>
      </c>
      <c r="D52" s="82" t="str">
        <f t="shared" si="2"/>
        <v>L</v>
      </c>
    </row>
    <row r="53" spans="1:4">
      <c r="A53" s="88">
        <v>42056</v>
      </c>
      <c r="B53" s="86" t="str">
        <f t="shared" si="0"/>
        <v>Weekend8</v>
      </c>
      <c r="C53" s="87" t="str">
        <f t="shared" si="1"/>
        <v>LANDESMAN</v>
      </c>
      <c r="D53" s="82" t="str">
        <f t="shared" si="2"/>
        <v>L</v>
      </c>
    </row>
    <row r="54" spans="1:4">
      <c r="A54" s="88">
        <v>42057</v>
      </c>
      <c r="B54" s="86" t="str">
        <f t="shared" si="0"/>
        <v>Weekend8</v>
      </c>
      <c r="C54" s="87" t="str">
        <f t="shared" si="1"/>
        <v>LANDESMAN</v>
      </c>
      <c r="D54" s="82" t="str">
        <f t="shared" si="2"/>
        <v>L</v>
      </c>
    </row>
    <row r="55" spans="1:4">
      <c r="A55" s="88">
        <v>42058</v>
      </c>
      <c r="B55" s="86" t="str">
        <f t="shared" si="0"/>
        <v>Workweek9</v>
      </c>
      <c r="C55" s="87" t="str">
        <f t="shared" si="1"/>
        <v>MILLER</v>
      </c>
      <c r="D55" s="82" t="str">
        <f t="shared" si="2"/>
        <v>J</v>
      </c>
    </row>
    <row r="56" spans="1:4">
      <c r="A56" s="88">
        <v>42059</v>
      </c>
      <c r="B56" s="86" t="str">
        <f t="shared" si="0"/>
        <v>Workweek9</v>
      </c>
      <c r="C56" s="87" t="str">
        <f t="shared" si="1"/>
        <v>MILLER</v>
      </c>
      <c r="D56" s="82" t="str">
        <f t="shared" si="2"/>
        <v>J</v>
      </c>
    </row>
    <row r="57" spans="1:4">
      <c r="A57" s="88">
        <v>42060</v>
      </c>
      <c r="B57" s="86" t="str">
        <f t="shared" si="0"/>
        <v>Workweek9</v>
      </c>
      <c r="C57" s="87" t="str">
        <f t="shared" si="1"/>
        <v>MILLER</v>
      </c>
      <c r="D57" s="82" t="str">
        <f t="shared" si="2"/>
        <v>J</v>
      </c>
    </row>
    <row r="58" spans="1:4">
      <c r="A58" s="88">
        <v>42061</v>
      </c>
      <c r="B58" s="86" t="str">
        <f t="shared" si="0"/>
        <v>Workweek9</v>
      </c>
      <c r="C58" s="87" t="str">
        <f t="shared" si="1"/>
        <v>MILLER</v>
      </c>
      <c r="D58" s="82" t="str">
        <f t="shared" si="2"/>
        <v>J</v>
      </c>
    </row>
    <row r="59" spans="1:4">
      <c r="A59" s="88">
        <v>42062</v>
      </c>
      <c r="B59" s="86" t="str">
        <f t="shared" si="0"/>
        <v>Weekend9</v>
      </c>
      <c r="C59" s="87" t="str">
        <f t="shared" si="1"/>
        <v>KORTE</v>
      </c>
      <c r="D59" s="82" t="str">
        <f t="shared" si="2"/>
        <v>K</v>
      </c>
    </row>
    <row r="60" spans="1:4">
      <c r="A60" s="88">
        <v>42063</v>
      </c>
      <c r="B60" s="86" t="str">
        <f t="shared" si="0"/>
        <v>Weekend9</v>
      </c>
      <c r="C60" s="87" t="str">
        <f t="shared" si="1"/>
        <v>KORTE</v>
      </c>
      <c r="D60" s="82" t="str">
        <f t="shared" si="2"/>
        <v>K</v>
      </c>
    </row>
    <row r="61" spans="1:4">
      <c r="A61" s="88">
        <v>42064</v>
      </c>
      <c r="B61" s="86" t="str">
        <f t="shared" si="0"/>
        <v>Weekend9</v>
      </c>
      <c r="C61" s="87" t="str">
        <f t="shared" si="1"/>
        <v>KORTE</v>
      </c>
      <c r="D61" s="82" t="str">
        <f t="shared" si="2"/>
        <v>K</v>
      </c>
    </row>
    <row r="62" spans="1:4">
      <c r="A62" s="88">
        <v>42065</v>
      </c>
      <c r="B62" s="86" t="str">
        <f t="shared" si="0"/>
        <v>Workweek10</v>
      </c>
      <c r="C62" s="87" t="str">
        <f t="shared" si="1"/>
        <v>MINAUDO</v>
      </c>
      <c r="D62" s="82" t="str">
        <f t="shared" si="2"/>
        <v>O</v>
      </c>
    </row>
    <row r="63" spans="1:4">
      <c r="A63" s="88">
        <v>42066</v>
      </c>
      <c r="B63" s="86" t="str">
        <f t="shared" si="0"/>
        <v>Workweek10</v>
      </c>
      <c r="C63" s="87" t="str">
        <f t="shared" si="1"/>
        <v>MINAUDO</v>
      </c>
      <c r="D63" s="82" t="str">
        <f t="shared" si="2"/>
        <v>O</v>
      </c>
    </row>
    <row r="64" spans="1:4">
      <c r="A64" s="88">
        <v>42067</v>
      </c>
      <c r="B64" s="86" t="str">
        <f t="shared" si="0"/>
        <v>Workweek10</v>
      </c>
      <c r="C64" s="87" t="str">
        <f t="shared" si="1"/>
        <v>MINAUDO</v>
      </c>
      <c r="D64" s="82" t="str">
        <f t="shared" si="2"/>
        <v>O</v>
      </c>
    </row>
    <row r="65" spans="1:4">
      <c r="A65" s="88">
        <v>42068</v>
      </c>
      <c r="B65" s="86" t="str">
        <f t="shared" si="0"/>
        <v>Workweek10</v>
      </c>
      <c r="C65" s="87" t="str">
        <f t="shared" si="1"/>
        <v>MINAUDO</v>
      </c>
      <c r="D65" s="82" t="str">
        <f t="shared" si="2"/>
        <v>O</v>
      </c>
    </row>
    <row r="66" spans="1:4">
      <c r="A66" s="88">
        <v>42069</v>
      </c>
      <c r="B66" s="86" t="str">
        <f t="shared" ref="B66:B129" si="3">IF(AND(A66=42005,WEEKDAY(A66,2)&lt;&gt;1),"WorkWeek53",VLOOKUP(WEEKDAY(A66,2),Wday_Code,4,FALSE)&amp;WEEKNUM(A66,2))</f>
        <v>Weekend10</v>
      </c>
      <c r="C66" s="87" t="str">
        <f t="shared" si="1"/>
        <v>THIGPIN</v>
      </c>
      <c r="D66" s="82" t="str">
        <f t="shared" ref="D66:D129" si="4">VLOOKUP(C66,Doc_Code,2,FALSE)</f>
        <v>T</v>
      </c>
    </row>
    <row r="67" spans="1:4">
      <c r="A67" s="88">
        <v>42070</v>
      </c>
      <c r="B67" s="86" t="str">
        <f t="shared" si="3"/>
        <v>Weekend10</v>
      </c>
      <c r="C67" s="87" t="str">
        <f t="shared" ref="C67:C130" si="5">IF(IFERROR(SEARCH("Workweek",B67),"")=1,VLOOKUP(B67,OnCall_Workweek_Array,2,FALSE),VLOOKUP(B67,OnCall_Weekend_Array,2,FALSE))</f>
        <v>THIGPIN</v>
      </c>
      <c r="D67" s="82" t="str">
        <f t="shared" si="4"/>
        <v>T</v>
      </c>
    </row>
    <row r="68" spans="1:4">
      <c r="A68" s="88">
        <v>42071</v>
      </c>
      <c r="B68" s="86" t="str">
        <f t="shared" si="3"/>
        <v>Weekend10</v>
      </c>
      <c r="C68" s="87" t="str">
        <f t="shared" si="5"/>
        <v>THIGPIN</v>
      </c>
      <c r="D68" s="82" t="str">
        <f t="shared" si="4"/>
        <v>T</v>
      </c>
    </row>
    <row r="69" spans="1:4">
      <c r="A69" s="88">
        <v>42072</v>
      </c>
      <c r="B69" s="86" t="str">
        <f t="shared" si="3"/>
        <v>Workweek11</v>
      </c>
      <c r="C69" s="87" t="str">
        <f t="shared" si="5"/>
        <v>KORTE</v>
      </c>
      <c r="D69" s="82" t="str">
        <f t="shared" si="4"/>
        <v>K</v>
      </c>
    </row>
    <row r="70" spans="1:4">
      <c r="A70" s="88">
        <v>42073</v>
      </c>
      <c r="B70" s="86" t="str">
        <f t="shared" si="3"/>
        <v>Workweek11</v>
      </c>
      <c r="C70" s="87" t="str">
        <f t="shared" si="5"/>
        <v>KORTE</v>
      </c>
      <c r="D70" s="82" t="str">
        <f t="shared" si="4"/>
        <v>K</v>
      </c>
    </row>
    <row r="71" spans="1:4">
      <c r="A71" s="88">
        <v>42074</v>
      </c>
      <c r="B71" s="86" t="str">
        <f t="shared" si="3"/>
        <v>Workweek11</v>
      </c>
      <c r="C71" s="87" t="str">
        <f t="shared" si="5"/>
        <v>KORTE</v>
      </c>
      <c r="D71" s="82" t="str">
        <f t="shared" si="4"/>
        <v>K</v>
      </c>
    </row>
    <row r="72" spans="1:4">
      <c r="A72" s="88">
        <v>42075</v>
      </c>
      <c r="B72" s="86" t="str">
        <f t="shared" si="3"/>
        <v>Workweek11</v>
      </c>
      <c r="C72" s="87" t="str">
        <f t="shared" si="5"/>
        <v>KORTE</v>
      </c>
      <c r="D72" s="82" t="str">
        <f t="shared" si="4"/>
        <v>K</v>
      </c>
    </row>
    <row r="73" spans="1:4">
      <c r="A73" s="88">
        <v>42076</v>
      </c>
      <c r="B73" s="86" t="str">
        <f t="shared" si="3"/>
        <v>Weekend11</v>
      </c>
      <c r="C73" s="87" t="str">
        <f t="shared" si="5"/>
        <v>LANDESMAN</v>
      </c>
      <c r="D73" s="82" t="str">
        <f t="shared" si="4"/>
        <v>L</v>
      </c>
    </row>
    <row r="74" spans="1:4">
      <c r="A74" s="88">
        <v>42077</v>
      </c>
      <c r="B74" s="86" t="str">
        <f t="shared" si="3"/>
        <v>Weekend11</v>
      </c>
      <c r="C74" s="87" t="str">
        <f t="shared" si="5"/>
        <v>LANDESMAN</v>
      </c>
      <c r="D74" s="82" t="str">
        <f t="shared" si="4"/>
        <v>L</v>
      </c>
    </row>
    <row r="75" spans="1:4">
      <c r="A75" s="88">
        <v>42078</v>
      </c>
      <c r="B75" s="86" t="str">
        <f t="shared" si="3"/>
        <v>Weekend11</v>
      </c>
      <c r="C75" s="87" t="str">
        <f t="shared" si="5"/>
        <v>LANDESMAN</v>
      </c>
      <c r="D75" s="82" t="str">
        <f t="shared" si="4"/>
        <v>L</v>
      </c>
    </row>
    <row r="76" spans="1:4">
      <c r="A76" s="88">
        <v>42079</v>
      </c>
      <c r="B76" s="86" t="str">
        <f t="shared" si="3"/>
        <v>Workweek12</v>
      </c>
      <c r="C76" s="87" t="str">
        <f t="shared" si="5"/>
        <v>THIGPIN</v>
      </c>
      <c r="D76" s="82" t="str">
        <f t="shared" si="4"/>
        <v>T</v>
      </c>
    </row>
    <row r="77" spans="1:4">
      <c r="A77" s="88">
        <v>42080</v>
      </c>
      <c r="B77" s="86" t="str">
        <f t="shared" si="3"/>
        <v>Workweek12</v>
      </c>
      <c r="C77" s="87" t="str">
        <f t="shared" si="5"/>
        <v>THIGPIN</v>
      </c>
      <c r="D77" s="82" t="str">
        <f t="shared" si="4"/>
        <v>T</v>
      </c>
    </row>
    <row r="78" spans="1:4">
      <c r="A78" s="88">
        <v>42081</v>
      </c>
      <c r="B78" s="86" t="str">
        <f t="shared" si="3"/>
        <v>Workweek12</v>
      </c>
      <c r="C78" s="87" t="str">
        <f t="shared" si="5"/>
        <v>THIGPIN</v>
      </c>
      <c r="D78" s="82" t="str">
        <f t="shared" si="4"/>
        <v>T</v>
      </c>
    </row>
    <row r="79" spans="1:4">
      <c r="A79" s="88">
        <v>42082</v>
      </c>
      <c r="B79" s="86" t="str">
        <f t="shared" si="3"/>
        <v>Workweek12</v>
      </c>
      <c r="C79" s="87" t="str">
        <f t="shared" si="5"/>
        <v>THIGPIN</v>
      </c>
      <c r="D79" s="82" t="str">
        <f t="shared" si="4"/>
        <v>T</v>
      </c>
    </row>
    <row r="80" spans="1:4">
      <c r="A80" s="88">
        <v>42083</v>
      </c>
      <c r="B80" s="86" t="str">
        <f t="shared" si="3"/>
        <v>Weekend12</v>
      </c>
      <c r="C80" s="87" t="str">
        <f t="shared" si="5"/>
        <v>MILLER</v>
      </c>
      <c r="D80" s="82" t="str">
        <f t="shared" si="4"/>
        <v>J</v>
      </c>
    </row>
    <row r="81" spans="1:4">
      <c r="A81" s="88">
        <v>42084</v>
      </c>
      <c r="B81" s="86" t="str">
        <f t="shared" si="3"/>
        <v>Weekend12</v>
      </c>
      <c r="C81" s="87" t="str">
        <f t="shared" si="5"/>
        <v>MILLER</v>
      </c>
      <c r="D81" s="82" t="str">
        <f t="shared" si="4"/>
        <v>J</v>
      </c>
    </row>
    <row r="82" spans="1:4">
      <c r="A82" s="88">
        <v>42085</v>
      </c>
      <c r="B82" s="86" t="str">
        <f t="shared" si="3"/>
        <v>Weekend12</v>
      </c>
      <c r="C82" s="87" t="str">
        <f t="shared" si="5"/>
        <v>MILLER</v>
      </c>
      <c r="D82" s="82" t="str">
        <f t="shared" si="4"/>
        <v>J</v>
      </c>
    </row>
    <row r="83" spans="1:4">
      <c r="A83" s="88">
        <v>42086</v>
      </c>
      <c r="B83" s="86" t="str">
        <f t="shared" si="3"/>
        <v>Workweek13</v>
      </c>
      <c r="C83" s="87" t="str">
        <f t="shared" si="5"/>
        <v>MACKSOOD</v>
      </c>
      <c r="D83" s="82" t="str">
        <f t="shared" si="4"/>
        <v>M</v>
      </c>
    </row>
    <row r="84" spans="1:4">
      <c r="A84" s="88">
        <v>42087</v>
      </c>
      <c r="B84" s="86" t="str">
        <f t="shared" si="3"/>
        <v>Workweek13</v>
      </c>
      <c r="C84" s="87" t="str">
        <f t="shared" si="5"/>
        <v>MACKSOOD</v>
      </c>
      <c r="D84" s="82" t="str">
        <f t="shared" si="4"/>
        <v>M</v>
      </c>
    </row>
    <row r="85" spans="1:4">
      <c r="A85" s="88">
        <v>42088</v>
      </c>
      <c r="B85" s="86" t="str">
        <f t="shared" si="3"/>
        <v>Workweek13</v>
      </c>
      <c r="C85" s="87" t="str">
        <f t="shared" si="5"/>
        <v>MACKSOOD</v>
      </c>
      <c r="D85" s="82" t="str">
        <f t="shared" si="4"/>
        <v>M</v>
      </c>
    </row>
    <row r="86" spans="1:4">
      <c r="A86" s="88">
        <v>42089</v>
      </c>
      <c r="B86" s="86" t="str">
        <f t="shared" si="3"/>
        <v>Workweek13</v>
      </c>
      <c r="C86" s="87" t="str">
        <f t="shared" si="5"/>
        <v>MACKSOOD</v>
      </c>
      <c r="D86" s="82" t="str">
        <f t="shared" si="4"/>
        <v>M</v>
      </c>
    </row>
    <row r="87" spans="1:4">
      <c r="A87" s="88">
        <v>42090</v>
      </c>
      <c r="B87" s="86" t="str">
        <f t="shared" si="3"/>
        <v>Weekend13</v>
      </c>
      <c r="C87" s="87" t="str">
        <f t="shared" si="5"/>
        <v>KORTE</v>
      </c>
      <c r="D87" s="82" t="str">
        <f t="shared" si="4"/>
        <v>K</v>
      </c>
    </row>
    <row r="88" spans="1:4">
      <c r="A88" s="88">
        <v>42091</v>
      </c>
      <c r="B88" s="86" t="str">
        <f t="shared" si="3"/>
        <v>Weekend13</v>
      </c>
      <c r="C88" s="87" t="str">
        <f t="shared" si="5"/>
        <v>KORTE</v>
      </c>
      <c r="D88" s="82" t="str">
        <f t="shared" si="4"/>
        <v>K</v>
      </c>
    </row>
    <row r="89" spans="1:4">
      <c r="A89" s="88">
        <v>42092</v>
      </c>
      <c r="B89" s="86" t="str">
        <f t="shared" si="3"/>
        <v>Weekend13</v>
      </c>
      <c r="C89" s="87" t="str">
        <f t="shared" si="5"/>
        <v>KORTE</v>
      </c>
      <c r="D89" s="82" t="str">
        <f t="shared" si="4"/>
        <v>K</v>
      </c>
    </row>
    <row r="90" spans="1:4">
      <c r="A90" s="88">
        <v>42093</v>
      </c>
      <c r="B90" s="86" t="str">
        <f t="shared" si="3"/>
        <v>Workweek14</v>
      </c>
      <c r="C90" s="87" t="str">
        <f t="shared" si="5"/>
        <v>NEUMANN</v>
      </c>
      <c r="D90" s="82" t="str">
        <f t="shared" si="4"/>
        <v>N</v>
      </c>
    </row>
    <row r="91" spans="1:4">
      <c r="A91" s="88">
        <v>42094</v>
      </c>
      <c r="B91" s="86" t="str">
        <f t="shared" si="3"/>
        <v>Workweek14</v>
      </c>
      <c r="C91" s="87" t="str">
        <f t="shared" si="5"/>
        <v>NEUMANN</v>
      </c>
      <c r="D91" s="82" t="str">
        <f t="shared" si="4"/>
        <v>N</v>
      </c>
    </row>
    <row r="92" spans="1:4">
      <c r="A92" s="88">
        <v>42095</v>
      </c>
      <c r="B92" s="86" t="str">
        <f t="shared" si="3"/>
        <v>Workweek14</v>
      </c>
      <c r="C92" s="87" t="str">
        <f t="shared" si="5"/>
        <v>NEUMANN</v>
      </c>
      <c r="D92" s="82" t="str">
        <f t="shared" si="4"/>
        <v>N</v>
      </c>
    </row>
    <row r="93" spans="1:4">
      <c r="A93" s="88">
        <v>42096</v>
      </c>
      <c r="B93" s="86" t="str">
        <f t="shared" si="3"/>
        <v>Workweek14</v>
      </c>
      <c r="C93" s="87" t="str">
        <f t="shared" si="5"/>
        <v>NEUMANN</v>
      </c>
      <c r="D93" s="82" t="str">
        <f t="shared" si="4"/>
        <v>N</v>
      </c>
    </row>
    <row r="94" spans="1:4">
      <c r="A94" s="88">
        <v>42097</v>
      </c>
      <c r="B94" s="86" t="str">
        <f t="shared" si="3"/>
        <v>Weekend14</v>
      </c>
      <c r="C94" s="87" t="str">
        <f t="shared" si="5"/>
        <v>NEUMANN</v>
      </c>
      <c r="D94" s="82" t="str">
        <f t="shared" si="4"/>
        <v>N</v>
      </c>
    </row>
    <row r="95" spans="1:4">
      <c r="A95" s="88">
        <v>42098</v>
      </c>
      <c r="B95" s="86" t="str">
        <f t="shared" si="3"/>
        <v>Weekend14</v>
      </c>
      <c r="C95" s="87" t="str">
        <f t="shared" si="5"/>
        <v>NEUMANN</v>
      </c>
      <c r="D95" s="82" t="str">
        <f t="shared" si="4"/>
        <v>N</v>
      </c>
    </row>
    <row r="96" spans="1:4">
      <c r="A96" s="88">
        <v>42099</v>
      </c>
      <c r="B96" s="86" t="str">
        <f t="shared" si="3"/>
        <v>Weekend14</v>
      </c>
      <c r="C96" s="87" t="str">
        <f t="shared" si="5"/>
        <v>NEUMANN</v>
      </c>
      <c r="D96" s="82" t="str">
        <f t="shared" si="4"/>
        <v>N</v>
      </c>
    </row>
    <row r="97" spans="1:4">
      <c r="A97" s="88">
        <v>42100</v>
      </c>
      <c r="B97" s="86" t="str">
        <f t="shared" si="3"/>
        <v>Workweek15</v>
      </c>
      <c r="C97" s="87" t="str">
        <f t="shared" si="5"/>
        <v>LANDESMAN</v>
      </c>
      <c r="D97" s="82" t="str">
        <f t="shared" si="4"/>
        <v>L</v>
      </c>
    </row>
    <row r="98" spans="1:4">
      <c r="A98" s="88">
        <v>42101</v>
      </c>
      <c r="B98" s="86" t="str">
        <f t="shared" si="3"/>
        <v>Workweek15</v>
      </c>
      <c r="C98" s="87" t="str">
        <f t="shared" si="5"/>
        <v>LANDESMAN</v>
      </c>
      <c r="D98" s="82" t="str">
        <f t="shared" si="4"/>
        <v>L</v>
      </c>
    </row>
    <row r="99" spans="1:4">
      <c r="A99" s="88">
        <v>42102</v>
      </c>
      <c r="B99" s="86" t="str">
        <f t="shared" si="3"/>
        <v>Workweek15</v>
      </c>
      <c r="C99" s="87" t="str">
        <f t="shared" si="5"/>
        <v>LANDESMAN</v>
      </c>
      <c r="D99" s="82" t="str">
        <f t="shared" si="4"/>
        <v>L</v>
      </c>
    </row>
    <row r="100" spans="1:4">
      <c r="A100" s="88">
        <v>42103</v>
      </c>
      <c r="B100" s="86" t="str">
        <f t="shared" si="3"/>
        <v>Workweek15</v>
      </c>
      <c r="C100" s="87" t="str">
        <f t="shared" si="5"/>
        <v>LANDESMAN</v>
      </c>
      <c r="D100" s="82" t="str">
        <f t="shared" si="4"/>
        <v>L</v>
      </c>
    </row>
    <row r="101" spans="1:4">
      <c r="A101" s="88">
        <v>42104</v>
      </c>
      <c r="B101" s="86" t="str">
        <f t="shared" si="3"/>
        <v>Weekend15</v>
      </c>
      <c r="C101" s="87" t="str">
        <f t="shared" si="5"/>
        <v>THIGPIN</v>
      </c>
      <c r="D101" s="82" t="str">
        <f t="shared" si="4"/>
        <v>T</v>
      </c>
    </row>
    <row r="102" spans="1:4">
      <c r="A102" s="88">
        <v>42105</v>
      </c>
      <c r="B102" s="86" t="str">
        <f t="shared" si="3"/>
        <v>Weekend15</v>
      </c>
      <c r="C102" s="87" t="str">
        <f t="shared" si="5"/>
        <v>THIGPIN</v>
      </c>
      <c r="D102" s="82" t="str">
        <f t="shared" si="4"/>
        <v>T</v>
      </c>
    </row>
    <row r="103" spans="1:4">
      <c r="A103" s="88">
        <v>42106</v>
      </c>
      <c r="B103" s="86" t="str">
        <f t="shared" si="3"/>
        <v>Weekend15</v>
      </c>
      <c r="C103" s="87" t="str">
        <f t="shared" si="5"/>
        <v>THIGPIN</v>
      </c>
      <c r="D103" s="82" t="str">
        <f t="shared" si="4"/>
        <v>T</v>
      </c>
    </row>
    <row r="104" spans="1:4">
      <c r="A104" s="88">
        <v>42107</v>
      </c>
      <c r="B104" s="86" t="str">
        <f t="shared" si="3"/>
        <v>Workweek16</v>
      </c>
      <c r="C104" s="87" t="str">
        <f t="shared" si="5"/>
        <v>MILLER</v>
      </c>
      <c r="D104" s="82" t="str">
        <f t="shared" si="4"/>
        <v>J</v>
      </c>
    </row>
    <row r="105" spans="1:4">
      <c r="A105" s="88">
        <v>42108</v>
      </c>
      <c r="B105" s="86" t="str">
        <f t="shared" si="3"/>
        <v>Workweek16</v>
      </c>
      <c r="C105" s="87" t="str">
        <f t="shared" si="5"/>
        <v>MILLER</v>
      </c>
      <c r="D105" s="82" t="str">
        <f t="shared" si="4"/>
        <v>J</v>
      </c>
    </row>
    <row r="106" spans="1:4">
      <c r="A106" s="88">
        <v>42109</v>
      </c>
      <c r="B106" s="86" t="str">
        <f t="shared" si="3"/>
        <v>Workweek16</v>
      </c>
      <c r="C106" s="87" t="str">
        <f t="shared" si="5"/>
        <v>MILLER</v>
      </c>
      <c r="D106" s="82" t="str">
        <f t="shared" si="4"/>
        <v>J</v>
      </c>
    </row>
    <row r="107" spans="1:4">
      <c r="A107" s="88">
        <v>42110</v>
      </c>
      <c r="B107" s="86" t="str">
        <f t="shared" si="3"/>
        <v>Workweek16</v>
      </c>
      <c r="C107" s="87" t="str">
        <f t="shared" si="5"/>
        <v>MILLER</v>
      </c>
      <c r="D107" s="82" t="str">
        <f t="shared" si="4"/>
        <v>J</v>
      </c>
    </row>
    <row r="108" spans="1:4">
      <c r="A108" s="88">
        <v>42111</v>
      </c>
      <c r="B108" s="86" t="str">
        <f t="shared" si="3"/>
        <v>Weekend16</v>
      </c>
      <c r="C108" s="87" t="str">
        <f t="shared" si="5"/>
        <v>MACKSOOD</v>
      </c>
      <c r="D108" s="82" t="str">
        <f t="shared" si="4"/>
        <v>M</v>
      </c>
    </row>
    <row r="109" spans="1:4">
      <c r="A109" s="88">
        <v>42112</v>
      </c>
      <c r="B109" s="86" t="str">
        <f t="shared" si="3"/>
        <v>Weekend16</v>
      </c>
      <c r="C109" s="87" t="str">
        <f t="shared" si="5"/>
        <v>MACKSOOD</v>
      </c>
      <c r="D109" s="82" t="str">
        <f t="shared" si="4"/>
        <v>M</v>
      </c>
    </row>
    <row r="110" spans="1:4">
      <c r="A110" s="88">
        <v>42113</v>
      </c>
      <c r="B110" s="86" t="str">
        <f t="shared" si="3"/>
        <v>Weekend16</v>
      </c>
      <c r="C110" s="87" t="str">
        <f t="shared" si="5"/>
        <v>MACKSOOD</v>
      </c>
      <c r="D110" s="82" t="str">
        <f t="shared" si="4"/>
        <v>M</v>
      </c>
    </row>
    <row r="111" spans="1:4">
      <c r="A111" s="88">
        <v>42114</v>
      </c>
      <c r="B111" s="86" t="str">
        <f t="shared" si="3"/>
        <v>Workweek17</v>
      </c>
      <c r="C111" s="87" t="str">
        <f t="shared" si="5"/>
        <v>MINAUDO</v>
      </c>
      <c r="D111" s="82" t="str">
        <f t="shared" si="4"/>
        <v>O</v>
      </c>
    </row>
    <row r="112" spans="1:4">
      <c r="A112" s="88">
        <v>42115</v>
      </c>
      <c r="B112" s="86" t="str">
        <f t="shared" si="3"/>
        <v>Workweek17</v>
      </c>
      <c r="C112" s="87" t="str">
        <f t="shared" si="5"/>
        <v>MINAUDO</v>
      </c>
      <c r="D112" s="82" t="str">
        <f t="shared" si="4"/>
        <v>O</v>
      </c>
    </row>
    <row r="113" spans="1:4">
      <c r="A113" s="88">
        <v>42116</v>
      </c>
      <c r="B113" s="86" t="str">
        <f t="shared" si="3"/>
        <v>Workweek17</v>
      </c>
      <c r="C113" s="87" t="str">
        <f t="shared" si="5"/>
        <v>MINAUDO</v>
      </c>
      <c r="D113" s="82" t="str">
        <f t="shared" si="4"/>
        <v>O</v>
      </c>
    </row>
    <row r="114" spans="1:4">
      <c r="A114" s="88">
        <v>42117</v>
      </c>
      <c r="B114" s="86" t="str">
        <f t="shared" si="3"/>
        <v>Workweek17</v>
      </c>
      <c r="C114" s="87" t="str">
        <f t="shared" si="5"/>
        <v>MINAUDO</v>
      </c>
      <c r="D114" s="82" t="str">
        <f t="shared" si="4"/>
        <v>O</v>
      </c>
    </row>
    <row r="115" spans="1:4">
      <c r="A115" s="88">
        <v>42118</v>
      </c>
      <c r="B115" s="86" t="str">
        <f t="shared" si="3"/>
        <v>Weekend17</v>
      </c>
      <c r="C115" s="87" t="str">
        <f t="shared" si="5"/>
        <v>KORTE</v>
      </c>
      <c r="D115" s="82" t="str">
        <f t="shared" si="4"/>
        <v>K</v>
      </c>
    </row>
    <row r="116" spans="1:4">
      <c r="A116" s="88">
        <v>42119</v>
      </c>
      <c r="B116" s="86" t="str">
        <f t="shared" si="3"/>
        <v>Weekend17</v>
      </c>
      <c r="C116" s="87" t="str">
        <f t="shared" si="5"/>
        <v>KORTE</v>
      </c>
      <c r="D116" s="82" t="str">
        <f t="shared" si="4"/>
        <v>K</v>
      </c>
    </row>
    <row r="117" spans="1:4">
      <c r="A117" s="88">
        <v>42120</v>
      </c>
      <c r="B117" s="86" t="str">
        <f t="shared" si="3"/>
        <v>Weekend17</v>
      </c>
      <c r="C117" s="87" t="str">
        <f t="shared" si="5"/>
        <v>KORTE</v>
      </c>
      <c r="D117" s="82" t="str">
        <f t="shared" si="4"/>
        <v>K</v>
      </c>
    </row>
    <row r="118" spans="1:4">
      <c r="A118" s="88">
        <v>42121</v>
      </c>
      <c r="B118" s="86" t="str">
        <f t="shared" si="3"/>
        <v>Workweek18</v>
      </c>
      <c r="C118" s="87" t="str">
        <f t="shared" si="5"/>
        <v>THIGPIN</v>
      </c>
      <c r="D118" s="82" t="str">
        <f t="shared" si="4"/>
        <v>T</v>
      </c>
    </row>
    <row r="119" spans="1:4">
      <c r="A119" s="88">
        <v>42122</v>
      </c>
      <c r="B119" s="86" t="str">
        <f t="shared" si="3"/>
        <v>Workweek18</v>
      </c>
      <c r="C119" s="87" t="str">
        <f t="shared" si="5"/>
        <v>THIGPIN</v>
      </c>
      <c r="D119" s="82" t="str">
        <f t="shared" si="4"/>
        <v>T</v>
      </c>
    </row>
    <row r="120" spans="1:4">
      <c r="A120" s="88">
        <v>42123</v>
      </c>
      <c r="B120" s="86" t="str">
        <f t="shared" si="3"/>
        <v>Workweek18</v>
      </c>
      <c r="C120" s="87" t="str">
        <f t="shared" si="5"/>
        <v>THIGPIN</v>
      </c>
      <c r="D120" s="82" t="str">
        <f t="shared" si="4"/>
        <v>T</v>
      </c>
    </row>
    <row r="121" spans="1:4">
      <c r="A121" s="88">
        <v>42124</v>
      </c>
      <c r="B121" s="86" t="str">
        <f t="shared" si="3"/>
        <v>Workweek18</v>
      </c>
      <c r="C121" s="87" t="str">
        <f t="shared" si="5"/>
        <v>THIGPIN</v>
      </c>
      <c r="D121" s="82" t="str">
        <f t="shared" si="4"/>
        <v>T</v>
      </c>
    </row>
    <row r="122" spans="1:4">
      <c r="A122" s="88">
        <v>42125</v>
      </c>
      <c r="B122" s="86" t="str">
        <f t="shared" si="3"/>
        <v>Weekend18</v>
      </c>
      <c r="C122" s="87" t="str">
        <f t="shared" si="5"/>
        <v>SMITH</v>
      </c>
      <c r="D122" s="82" t="str">
        <f t="shared" si="4"/>
        <v>S</v>
      </c>
    </row>
    <row r="123" spans="1:4">
      <c r="A123" s="88">
        <v>42126</v>
      </c>
      <c r="B123" s="86" t="str">
        <f t="shared" si="3"/>
        <v>Weekend18</v>
      </c>
      <c r="C123" s="87" t="str">
        <f t="shared" si="5"/>
        <v>SMITH</v>
      </c>
      <c r="D123" s="82" t="str">
        <f t="shared" si="4"/>
        <v>S</v>
      </c>
    </row>
    <row r="124" spans="1:4">
      <c r="A124" s="88">
        <v>42127</v>
      </c>
      <c r="B124" s="86" t="str">
        <f t="shared" si="3"/>
        <v>Weekend18</v>
      </c>
      <c r="C124" s="87" t="str">
        <f t="shared" si="5"/>
        <v>SMITH</v>
      </c>
      <c r="D124" s="82" t="str">
        <f t="shared" si="4"/>
        <v>S</v>
      </c>
    </row>
    <row r="125" spans="1:4">
      <c r="A125" s="88">
        <v>42128</v>
      </c>
      <c r="B125" s="86" t="str">
        <f t="shared" si="3"/>
        <v>Workweek19</v>
      </c>
      <c r="C125" s="87" t="str">
        <f t="shared" si="5"/>
        <v>KORTE</v>
      </c>
      <c r="D125" s="82" t="str">
        <f t="shared" si="4"/>
        <v>K</v>
      </c>
    </row>
    <row r="126" spans="1:4">
      <c r="A126" s="88">
        <v>42129</v>
      </c>
      <c r="B126" s="86" t="str">
        <f t="shared" si="3"/>
        <v>Workweek19</v>
      </c>
      <c r="C126" s="87" t="str">
        <f t="shared" si="5"/>
        <v>KORTE</v>
      </c>
      <c r="D126" s="82" t="str">
        <f t="shared" si="4"/>
        <v>K</v>
      </c>
    </row>
    <row r="127" spans="1:4">
      <c r="A127" s="88">
        <v>42130</v>
      </c>
      <c r="B127" s="86" t="str">
        <f t="shared" si="3"/>
        <v>Workweek19</v>
      </c>
      <c r="C127" s="87" t="str">
        <f t="shared" si="5"/>
        <v>KORTE</v>
      </c>
      <c r="D127" s="82" t="str">
        <f t="shared" si="4"/>
        <v>K</v>
      </c>
    </row>
    <row r="128" spans="1:4">
      <c r="A128" s="88">
        <v>42131</v>
      </c>
      <c r="B128" s="86" t="str">
        <f t="shared" si="3"/>
        <v>Workweek19</v>
      </c>
      <c r="C128" s="87" t="str">
        <f t="shared" si="5"/>
        <v>KORTE</v>
      </c>
      <c r="D128" s="82" t="str">
        <f t="shared" si="4"/>
        <v>K</v>
      </c>
    </row>
    <row r="129" spans="1:4">
      <c r="A129" s="88">
        <v>42132</v>
      </c>
      <c r="B129" s="86" t="str">
        <f t="shared" si="3"/>
        <v>Weekend19</v>
      </c>
      <c r="C129" s="87" t="str">
        <f t="shared" si="5"/>
        <v>MINAUDO</v>
      </c>
      <c r="D129" s="82" t="str">
        <f t="shared" si="4"/>
        <v>O</v>
      </c>
    </row>
    <row r="130" spans="1:4">
      <c r="A130" s="88">
        <v>42133</v>
      </c>
      <c r="B130" s="86" t="str">
        <f t="shared" ref="B130:B193" si="6">IF(AND(A130=42005,WEEKDAY(A130,2)&lt;&gt;1),"WorkWeek53",VLOOKUP(WEEKDAY(A130,2),Wday_Code,4,FALSE)&amp;WEEKNUM(A130,2))</f>
        <v>Weekend19</v>
      </c>
      <c r="C130" s="87" t="str">
        <f t="shared" si="5"/>
        <v>MINAUDO</v>
      </c>
      <c r="D130" s="82" t="str">
        <f t="shared" ref="D130:D193" si="7">VLOOKUP(C130,Doc_Code,2,FALSE)</f>
        <v>O</v>
      </c>
    </row>
    <row r="131" spans="1:4">
      <c r="A131" s="88">
        <v>42134</v>
      </c>
      <c r="B131" s="86" t="str">
        <f t="shared" si="6"/>
        <v>Weekend19</v>
      </c>
      <c r="C131" s="87" t="str">
        <f t="shared" ref="C131:C194" si="8">IF(IFERROR(SEARCH("Workweek",B131),"")=1,VLOOKUP(B131,OnCall_Workweek_Array,2,FALSE),VLOOKUP(B131,OnCall_Weekend_Array,2,FALSE))</f>
        <v>MINAUDO</v>
      </c>
      <c r="D131" s="82" t="str">
        <f t="shared" si="7"/>
        <v>O</v>
      </c>
    </row>
    <row r="132" spans="1:4">
      <c r="A132" s="88">
        <v>42135</v>
      </c>
      <c r="B132" s="86" t="str">
        <f t="shared" si="6"/>
        <v>Workweek20</v>
      </c>
      <c r="C132" s="87" t="str">
        <f t="shared" si="8"/>
        <v>MACKSOOD</v>
      </c>
      <c r="D132" s="82" t="str">
        <f t="shared" si="7"/>
        <v>M</v>
      </c>
    </row>
    <row r="133" spans="1:4">
      <c r="A133" s="88">
        <v>42136</v>
      </c>
      <c r="B133" s="86" t="str">
        <f t="shared" si="6"/>
        <v>Workweek20</v>
      </c>
      <c r="C133" s="87" t="str">
        <f t="shared" si="8"/>
        <v>MACKSOOD</v>
      </c>
      <c r="D133" s="82" t="str">
        <f t="shared" si="7"/>
        <v>M</v>
      </c>
    </row>
    <row r="134" spans="1:4">
      <c r="A134" s="88">
        <v>42137</v>
      </c>
      <c r="B134" s="86" t="str">
        <f t="shared" si="6"/>
        <v>Workweek20</v>
      </c>
      <c r="C134" s="87" t="str">
        <f t="shared" si="8"/>
        <v>MACKSOOD</v>
      </c>
      <c r="D134" s="82" t="str">
        <f t="shared" si="7"/>
        <v>M</v>
      </c>
    </row>
    <row r="135" spans="1:4">
      <c r="A135" s="88">
        <v>42138</v>
      </c>
      <c r="B135" s="86" t="str">
        <f t="shared" si="6"/>
        <v>Workweek20</v>
      </c>
      <c r="C135" s="87" t="str">
        <f t="shared" si="8"/>
        <v>MACKSOOD</v>
      </c>
      <c r="D135" s="82" t="str">
        <f t="shared" si="7"/>
        <v>M</v>
      </c>
    </row>
    <row r="136" spans="1:4">
      <c r="A136" s="88">
        <v>42139</v>
      </c>
      <c r="B136" s="86" t="str">
        <f t="shared" si="6"/>
        <v>Weekend20</v>
      </c>
      <c r="C136" s="87" t="str">
        <f t="shared" si="8"/>
        <v>THIGPIN</v>
      </c>
      <c r="D136" s="82" t="str">
        <f t="shared" si="7"/>
        <v>T</v>
      </c>
    </row>
    <row r="137" spans="1:4">
      <c r="A137" s="88">
        <v>42140</v>
      </c>
      <c r="B137" s="86" t="str">
        <f t="shared" si="6"/>
        <v>Weekend20</v>
      </c>
      <c r="C137" s="87" t="str">
        <f t="shared" si="8"/>
        <v>THIGPIN</v>
      </c>
      <c r="D137" s="82" t="str">
        <f t="shared" si="7"/>
        <v>T</v>
      </c>
    </row>
    <row r="138" spans="1:4">
      <c r="A138" s="88">
        <v>42141</v>
      </c>
      <c r="B138" s="86" t="str">
        <f t="shared" si="6"/>
        <v>Weekend20</v>
      </c>
      <c r="C138" s="87" t="str">
        <f t="shared" si="8"/>
        <v>THIGPIN</v>
      </c>
      <c r="D138" s="82" t="str">
        <f t="shared" si="7"/>
        <v>T</v>
      </c>
    </row>
    <row r="139" spans="1:4">
      <c r="A139" s="88">
        <v>42142</v>
      </c>
      <c r="B139" s="86" t="str">
        <f t="shared" si="6"/>
        <v>Workweek21</v>
      </c>
      <c r="C139" s="87" t="str">
        <f t="shared" si="8"/>
        <v>SMITH</v>
      </c>
      <c r="D139" s="82" t="str">
        <f t="shared" si="7"/>
        <v>S</v>
      </c>
    </row>
    <row r="140" spans="1:4">
      <c r="A140" s="88">
        <v>42143</v>
      </c>
      <c r="B140" s="86" t="str">
        <f t="shared" si="6"/>
        <v>Workweek21</v>
      </c>
      <c r="C140" s="87" t="str">
        <f t="shared" si="8"/>
        <v>SMITH</v>
      </c>
      <c r="D140" s="82" t="str">
        <f t="shared" si="7"/>
        <v>S</v>
      </c>
    </row>
    <row r="141" spans="1:4">
      <c r="A141" s="88">
        <v>42144</v>
      </c>
      <c r="B141" s="86" t="str">
        <f t="shared" si="6"/>
        <v>Workweek21</v>
      </c>
      <c r="C141" s="87" t="str">
        <f t="shared" si="8"/>
        <v>SMITH</v>
      </c>
      <c r="D141" s="82" t="str">
        <f t="shared" si="7"/>
        <v>S</v>
      </c>
    </row>
    <row r="142" spans="1:4">
      <c r="A142" s="88">
        <v>42145</v>
      </c>
      <c r="B142" s="86" t="str">
        <f t="shared" si="6"/>
        <v>Workweek21</v>
      </c>
      <c r="C142" s="87" t="str">
        <f t="shared" si="8"/>
        <v>SMITH</v>
      </c>
      <c r="D142" s="82" t="str">
        <f t="shared" si="7"/>
        <v>S</v>
      </c>
    </row>
    <row r="143" spans="1:4">
      <c r="A143" s="88">
        <v>42146</v>
      </c>
      <c r="B143" s="86" t="str">
        <f t="shared" si="6"/>
        <v>Weekend21</v>
      </c>
      <c r="C143" s="87" t="str">
        <f t="shared" si="8"/>
        <v>LANDESMAN</v>
      </c>
      <c r="D143" s="82" t="str">
        <f t="shared" si="7"/>
        <v>L</v>
      </c>
    </row>
    <row r="144" spans="1:4">
      <c r="A144" s="88">
        <v>42147</v>
      </c>
      <c r="B144" s="86" t="str">
        <f t="shared" si="6"/>
        <v>Weekend21</v>
      </c>
      <c r="C144" s="87" t="str">
        <f t="shared" si="8"/>
        <v>LANDESMAN</v>
      </c>
      <c r="D144" s="82" t="str">
        <f t="shared" si="7"/>
        <v>L</v>
      </c>
    </row>
    <row r="145" spans="1:4">
      <c r="A145" s="88">
        <v>42148</v>
      </c>
      <c r="B145" s="86" t="str">
        <f t="shared" si="6"/>
        <v>Weekend21</v>
      </c>
      <c r="C145" s="87" t="str">
        <f t="shared" si="8"/>
        <v>LANDESMAN</v>
      </c>
      <c r="D145" s="82" t="str">
        <f t="shared" si="7"/>
        <v>L</v>
      </c>
    </row>
    <row r="146" spans="1:4">
      <c r="A146" s="88">
        <v>42149</v>
      </c>
      <c r="B146" s="86" t="str">
        <f t="shared" si="6"/>
        <v>Workweek22</v>
      </c>
      <c r="C146" s="87" t="str">
        <f t="shared" si="8"/>
        <v>NEUMANN</v>
      </c>
      <c r="D146" s="82" t="str">
        <f t="shared" si="7"/>
        <v>N</v>
      </c>
    </row>
    <row r="147" spans="1:4">
      <c r="A147" s="88">
        <v>42150</v>
      </c>
      <c r="B147" s="86" t="str">
        <f t="shared" si="6"/>
        <v>Workweek22</v>
      </c>
      <c r="C147" s="87" t="str">
        <f t="shared" si="8"/>
        <v>NEUMANN</v>
      </c>
      <c r="D147" s="82" t="str">
        <f t="shared" si="7"/>
        <v>N</v>
      </c>
    </row>
    <row r="148" spans="1:4">
      <c r="A148" s="88">
        <v>42151</v>
      </c>
      <c r="B148" s="86" t="str">
        <f t="shared" si="6"/>
        <v>Workweek22</v>
      </c>
      <c r="C148" s="87" t="str">
        <f t="shared" si="8"/>
        <v>NEUMANN</v>
      </c>
      <c r="D148" s="82" t="str">
        <f t="shared" si="7"/>
        <v>N</v>
      </c>
    </row>
    <row r="149" spans="1:4">
      <c r="A149" s="88">
        <v>42152</v>
      </c>
      <c r="B149" s="86" t="str">
        <f t="shared" si="6"/>
        <v>Workweek22</v>
      </c>
      <c r="C149" s="87" t="str">
        <f t="shared" si="8"/>
        <v>NEUMANN</v>
      </c>
      <c r="D149" s="82" t="str">
        <f t="shared" si="7"/>
        <v>N</v>
      </c>
    </row>
    <row r="150" spans="1:4">
      <c r="A150" s="88">
        <v>42153</v>
      </c>
      <c r="B150" s="86" t="str">
        <f t="shared" si="6"/>
        <v>Weekend22</v>
      </c>
      <c r="C150" s="87" t="str">
        <f t="shared" si="8"/>
        <v>NEUMANN</v>
      </c>
      <c r="D150" s="82" t="str">
        <f t="shared" si="7"/>
        <v>N</v>
      </c>
    </row>
    <row r="151" spans="1:4">
      <c r="A151" s="88">
        <v>42154</v>
      </c>
      <c r="B151" s="86" t="str">
        <f t="shared" si="6"/>
        <v>Weekend22</v>
      </c>
      <c r="C151" s="87" t="str">
        <f t="shared" si="8"/>
        <v>NEUMANN</v>
      </c>
      <c r="D151" s="82" t="str">
        <f t="shared" si="7"/>
        <v>N</v>
      </c>
    </row>
    <row r="152" spans="1:4">
      <c r="A152" s="88">
        <v>42155</v>
      </c>
      <c r="B152" s="86" t="str">
        <f t="shared" si="6"/>
        <v>Weekend22</v>
      </c>
      <c r="C152" s="87" t="str">
        <f t="shared" si="8"/>
        <v>NEUMANN</v>
      </c>
      <c r="D152" s="82" t="str">
        <f t="shared" si="7"/>
        <v>N</v>
      </c>
    </row>
    <row r="153" spans="1:4">
      <c r="A153" s="88">
        <v>42156</v>
      </c>
      <c r="B153" s="86" t="str">
        <f t="shared" si="6"/>
        <v>Workweek23</v>
      </c>
      <c r="C153" s="87" t="str">
        <f t="shared" si="8"/>
        <v>THIGPIN</v>
      </c>
      <c r="D153" s="82" t="str">
        <f t="shared" si="7"/>
        <v>T</v>
      </c>
    </row>
    <row r="154" spans="1:4">
      <c r="A154" s="88">
        <v>42157</v>
      </c>
      <c r="B154" s="86" t="str">
        <f t="shared" si="6"/>
        <v>Workweek23</v>
      </c>
      <c r="C154" s="87" t="str">
        <f t="shared" si="8"/>
        <v>THIGPIN</v>
      </c>
      <c r="D154" s="82" t="str">
        <f t="shared" si="7"/>
        <v>T</v>
      </c>
    </row>
    <row r="155" spans="1:4">
      <c r="A155" s="88">
        <v>42158</v>
      </c>
      <c r="B155" s="86" t="str">
        <f t="shared" si="6"/>
        <v>Workweek23</v>
      </c>
      <c r="C155" s="87" t="str">
        <f t="shared" si="8"/>
        <v>THIGPIN</v>
      </c>
      <c r="D155" s="82" t="str">
        <f t="shared" si="7"/>
        <v>T</v>
      </c>
    </row>
    <row r="156" spans="1:4">
      <c r="A156" s="88">
        <v>42159</v>
      </c>
      <c r="B156" s="86" t="str">
        <f t="shared" si="6"/>
        <v>Workweek23</v>
      </c>
      <c r="C156" s="87" t="str">
        <f t="shared" si="8"/>
        <v>THIGPIN</v>
      </c>
      <c r="D156" s="82" t="str">
        <f t="shared" si="7"/>
        <v>T</v>
      </c>
    </row>
    <row r="157" spans="1:4">
      <c r="A157" s="88">
        <v>42160</v>
      </c>
      <c r="B157" s="86" t="str">
        <f t="shared" si="6"/>
        <v>Weekend23</v>
      </c>
      <c r="C157" s="87" t="str">
        <f t="shared" si="8"/>
        <v>KORTE</v>
      </c>
      <c r="D157" s="82" t="str">
        <f t="shared" si="7"/>
        <v>K</v>
      </c>
    </row>
    <row r="158" spans="1:4">
      <c r="A158" s="88">
        <v>42161</v>
      </c>
      <c r="B158" s="86" t="str">
        <f t="shared" si="6"/>
        <v>Weekend23</v>
      </c>
      <c r="C158" s="87" t="str">
        <f t="shared" si="8"/>
        <v>KORTE</v>
      </c>
      <c r="D158" s="82" t="str">
        <f t="shared" si="7"/>
        <v>K</v>
      </c>
    </row>
    <row r="159" spans="1:4">
      <c r="A159" s="88">
        <v>42162</v>
      </c>
      <c r="B159" s="86" t="str">
        <f t="shared" si="6"/>
        <v>Weekend23</v>
      </c>
      <c r="C159" s="87" t="str">
        <f t="shared" si="8"/>
        <v>KORTE</v>
      </c>
      <c r="D159" s="82" t="str">
        <f t="shared" si="7"/>
        <v>K</v>
      </c>
    </row>
    <row r="160" spans="1:4">
      <c r="A160" s="88">
        <v>42163</v>
      </c>
      <c r="B160" s="86" t="str">
        <f t="shared" si="6"/>
        <v>Workweek24</v>
      </c>
      <c r="C160" s="87" t="str">
        <f t="shared" si="8"/>
        <v>MILLER</v>
      </c>
      <c r="D160" s="82" t="str">
        <f t="shared" si="7"/>
        <v>J</v>
      </c>
    </row>
    <row r="161" spans="1:4">
      <c r="A161" s="88">
        <v>42164</v>
      </c>
      <c r="B161" s="86" t="str">
        <f t="shared" si="6"/>
        <v>Workweek24</v>
      </c>
      <c r="C161" s="87" t="str">
        <f t="shared" si="8"/>
        <v>MILLER</v>
      </c>
      <c r="D161" s="82" t="str">
        <f t="shared" si="7"/>
        <v>J</v>
      </c>
    </row>
    <row r="162" spans="1:4">
      <c r="A162" s="88">
        <v>42165</v>
      </c>
      <c r="B162" s="86" t="str">
        <f t="shared" si="6"/>
        <v>Workweek24</v>
      </c>
      <c r="C162" s="87" t="str">
        <f t="shared" si="8"/>
        <v>MILLER</v>
      </c>
      <c r="D162" s="82" t="str">
        <f t="shared" si="7"/>
        <v>J</v>
      </c>
    </row>
    <row r="163" spans="1:4">
      <c r="A163" s="88">
        <v>42166</v>
      </c>
      <c r="B163" s="86" t="str">
        <f t="shared" si="6"/>
        <v>Workweek24</v>
      </c>
      <c r="C163" s="87" t="str">
        <f t="shared" si="8"/>
        <v>MILLER</v>
      </c>
      <c r="D163" s="82" t="str">
        <f t="shared" si="7"/>
        <v>J</v>
      </c>
    </row>
    <row r="164" spans="1:4">
      <c r="A164" s="88">
        <v>42167</v>
      </c>
      <c r="B164" s="86" t="str">
        <f t="shared" si="6"/>
        <v>Weekend24</v>
      </c>
      <c r="C164" s="87" t="str">
        <f t="shared" si="8"/>
        <v>MINAUDO</v>
      </c>
      <c r="D164" s="82" t="str">
        <f t="shared" si="7"/>
        <v>O</v>
      </c>
    </row>
    <row r="165" spans="1:4">
      <c r="A165" s="88">
        <v>42168</v>
      </c>
      <c r="B165" s="86" t="str">
        <f t="shared" si="6"/>
        <v>Weekend24</v>
      </c>
      <c r="C165" s="87" t="str">
        <f t="shared" si="8"/>
        <v>MINAUDO</v>
      </c>
      <c r="D165" s="82" t="str">
        <f t="shared" si="7"/>
        <v>O</v>
      </c>
    </row>
    <row r="166" spans="1:4">
      <c r="A166" s="88">
        <v>42169</v>
      </c>
      <c r="B166" s="86" t="str">
        <f t="shared" si="6"/>
        <v>Weekend24</v>
      </c>
      <c r="C166" s="87" t="str">
        <f t="shared" si="8"/>
        <v>MINAUDO</v>
      </c>
      <c r="D166" s="82" t="str">
        <f t="shared" si="7"/>
        <v>O</v>
      </c>
    </row>
    <row r="167" spans="1:4">
      <c r="A167" s="88">
        <v>42170</v>
      </c>
      <c r="B167" s="86" t="str">
        <f t="shared" si="6"/>
        <v>Workweek25</v>
      </c>
      <c r="C167" s="87" t="str">
        <f t="shared" si="8"/>
        <v>LANDESMAN</v>
      </c>
      <c r="D167" s="82" t="str">
        <f t="shared" si="7"/>
        <v>L</v>
      </c>
    </row>
    <row r="168" spans="1:4">
      <c r="A168" s="88">
        <v>42171</v>
      </c>
      <c r="B168" s="86" t="str">
        <f t="shared" si="6"/>
        <v>Workweek25</v>
      </c>
      <c r="C168" s="87" t="str">
        <f t="shared" si="8"/>
        <v>LANDESMAN</v>
      </c>
      <c r="D168" s="82" t="str">
        <f t="shared" si="7"/>
        <v>L</v>
      </c>
    </row>
    <row r="169" spans="1:4">
      <c r="A169" s="88">
        <v>42172</v>
      </c>
      <c r="B169" s="86" t="str">
        <f t="shared" si="6"/>
        <v>Workweek25</v>
      </c>
      <c r="C169" s="87" t="str">
        <f t="shared" si="8"/>
        <v>LANDESMAN</v>
      </c>
      <c r="D169" s="82" t="str">
        <f t="shared" si="7"/>
        <v>L</v>
      </c>
    </row>
    <row r="170" spans="1:4">
      <c r="A170" s="88">
        <v>42173</v>
      </c>
      <c r="B170" s="86" t="str">
        <f t="shared" si="6"/>
        <v>Workweek25</v>
      </c>
      <c r="C170" s="87" t="str">
        <f t="shared" si="8"/>
        <v>LANDESMAN</v>
      </c>
      <c r="D170" s="82" t="str">
        <f t="shared" si="7"/>
        <v>L</v>
      </c>
    </row>
    <row r="171" spans="1:4">
      <c r="A171" s="88">
        <v>42174</v>
      </c>
      <c r="B171" s="86" t="str">
        <f t="shared" si="6"/>
        <v>Weekend25</v>
      </c>
      <c r="C171" s="87" t="str">
        <f t="shared" si="8"/>
        <v>MACKSOOD</v>
      </c>
      <c r="D171" s="82" t="str">
        <f t="shared" si="7"/>
        <v>M</v>
      </c>
    </row>
    <row r="172" spans="1:4">
      <c r="A172" s="88">
        <v>42175</v>
      </c>
      <c r="B172" s="86" t="str">
        <f t="shared" si="6"/>
        <v>Weekend25</v>
      </c>
      <c r="C172" s="87" t="str">
        <f t="shared" si="8"/>
        <v>MACKSOOD</v>
      </c>
      <c r="D172" s="82" t="str">
        <f t="shared" si="7"/>
        <v>M</v>
      </c>
    </row>
    <row r="173" spans="1:4">
      <c r="A173" s="88">
        <v>42176</v>
      </c>
      <c r="B173" s="86" t="str">
        <f t="shared" si="6"/>
        <v>Weekend25</v>
      </c>
      <c r="C173" s="87" t="str">
        <f t="shared" si="8"/>
        <v>MACKSOOD</v>
      </c>
      <c r="D173" s="82" t="str">
        <f t="shared" si="7"/>
        <v>M</v>
      </c>
    </row>
    <row r="174" spans="1:4">
      <c r="A174" s="88">
        <v>42177</v>
      </c>
      <c r="B174" s="86" t="str">
        <f t="shared" si="6"/>
        <v>Workweek26</v>
      </c>
      <c r="C174" s="87" t="str">
        <f t="shared" si="8"/>
        <v>MINAUDO</v>
      </c>
      <c r="D174" s="82" t="str">
        <f t="shared" si="7"/>
        <v>O</v>
      </c>
    </row>
    <row r="175" spans="1:4">
      <c r="A175" s="88">
        <v>42178</v>
      </c>
      <c r="B175" s="86" t="str">
        <f t="shared" si="6"/>
        <v>Workweek26</v>
      </c>
      <c r="C175" s="87" t="str">
        <f t="shared" si="8"/>
        <v>MINAUDO</v>
      </c>
      <c r="D175" s="82" t="str">
        <f t="shared" si="7"/>
        <v>O</v>
      </c>
    </row>
    <row r="176" spans="1:4">
      <c r="A176" s="88">
        <v>42179</v>
      </c>
      <c r="B176" s="86" t="str">
        <f t="shared" si="6"/>
        <v>Workweek26</v>
      </c>
      <c r="C176" s="87" t="str">
        <f t="shared" si="8"/>
        <v>MINAUDO</v>
      </c>
      <c r="D176" s="82" t="str">
        <f t="shared" si="7"/>
        <v>O</v>
      </c>
    </row>
    <row r="177" spans="1:4">
      <c r="A177" s="88">
        <v>42180</v>
      </c>
      <c r="B177" s="86" t="str">
        <f t="shared" si="6"/>
        <v>Workweek26</v>
      </c>
      <c r="C177" s="87" t="str">
        <f t="shared" si="8"/>
        <v>MINAUDO</v>
      </c>
      <c r="D177" s="82" t="str">
        <f t="shared" si="7"/>
        <v>O</v>
      </c>
    </row>
    <row r="178" spans="1:4">
      <c r="A178" s="88">
        <v>42181</v>
      </c>
      <c r="B178" s="86" t="str">
        <f t="shared" si="6"/>
        <v>Weekend26</v>
      </c>
      <c r="C178" s="87" t="str">
        <f t="shared" si="8"/>
        <v>THIGPIN</v>
      </c>
      <c r="D178" s="82" t="str">
        <f t="shared" si="7"/>
        <v>T</v>
      </c>
    </row>
    <row r="179" spans="1:4">
      <c r="A179" s="88">
        <v>42182</v>
      </c>
      <c r="B179" s="86" t="str">
        <f t="shared" si="6"/>
        <v>Weekend26</v>
      </c>
      <c r="C179" s="87" t="str">
        <f t="shared" si="8"/>
        <v>THIGPIN</v>
      </c>
      <c r="D179" s="82" t="str">
        <f t="shared" si="7"/>
        <v>T</v>
      </c>
    </row>
    <row r="180" spans="1:4">
      <c r="A180" s="88">
        <v>42183</v>
      </c>
      <c r="B180" s="86" t="str">
        <f t="shared" si="6"/>
        <v>Weekend26</v>
      </c>
      <c r="C180" s="87" t="str">
        <f t="shared" si="8"/>
        <v>THIGPIN</v>
      </c>
      <c r="D180" s="82" t="str">
        <f t="shared" si="7"/>
        <v>T</v>
      </c>
    </row>
    <row r="181" spans="1:4">
      <c r="A181" s="88">
        <v>42184</v>
      </c>
      <c r="B181" s="86" t="str">
        <f t="shared" si="6"/>
        <v>Workweek27</v>
      </c>
      <c r="C181" s="87" t="str">
        <f t="shared" si="8"/>
        <v>KORTE</v>
      </c>
      <c r="D181" s="82" t="str">
        <f t="shared" si="7"/>
        <v>K</v>
      </c>
    </row>
    <row r="182" spans="1:4">
      <c r="A182" s="88">
        <v>42185</v>
      </c>
      <c r="B182" s="86" t="str">
        <f t="shared" si="6"/>
        <v>Workweek27</v>
      </c>
      <c r="C182" s="87" t="str">
        <f t="shared" si="8"/>
        <v>KORTE</v>
      </c>
      <c r="D182" s="82" t="str">
        <f t="shared" si="7"/>
        <v>K</v>
      </c>
    </row>
    <row r="183" spans="1:4">
      <c r="A183" s="88">
        <v>42186</v>
      </c>
      <c r="B183" s="86" t="str">
        <f t="shared" si="6"/>
        <v>Workweek27</v>
      </c>
      <c r="C183" s="87" t="str">
        <f t="shared" si="8"/>
        <v>KORTE</v>
      </c>
      <c r="D183" s="82" t="str">
        <f t="shared" si="7"/>
        <v>K</v>
      </c>
    </row>
    <row r="184" spans="1:4">
      <c r="A184" s="88">
        <v>42187</v>
      </c>
      <c r="B184" s="86" t="str">
        <f t="shared" si="6"/>
        <v>Workweek27</v>
      </c>
      <c r="C184" s="87" t="str">
        <f t="shared" si="8"/>
        <v>KORTE</v>
      </c>
      <c r="D184" s="82" t="str">
        <f t="shared" si="7"/>
        <v>K</v>
      </c>
    </row>
    <row r="185" spans="1:4">
      <c r="A185" s="88">
        <v>42188</v>
      </c>
      <c r="B185" s="86" t="str">
        <f t="shared" si="6"/>
        <v>Weekend27</v>
      </c>
      <c r="C185" s="87" t="str">
        <f t="shared" si="8"/>
        <v>MILLER</v>
      </c>
      <c r="D185" s="82" t="str">
        <f t="shared" si="7"/>
        <v>J</v>
      </c>
    </row>
    <row r="186" spans="1:4">
      <c r="A186" s="88">
        <v>42189</v>
      </c>
      <c r="B186" s="86" t="str">
        <f t="shared" si="6"/>
        <v>Weekend27</v>
      </c>
      <c r="C186" s="87" t="str">
        <f t="shared" si="8"/>
        <v>MILLER</v>
      </c>
      <c r="D186" s="82" t="str">
        <f t="shared" si="7"/>
        <v>J</v>
      </c>
    </row>
    <row r="187" spans="1:4">
      <c r="A187" s="88">
        <v>42190</v>
      </c>
      <c r="B187" s="86" t="str">
        <f t="shared" si="6"/>
        <v>Weekend27</v>
      </c>
      <c r="C187" s="87" t="str">
        <f t="shared" si="8"/>
        <v>MILLER</v>
      </c>
      <c r="D187" s="82" t="str">
        <f t="shared" si="7"/>
        <v>J</v>
      </c>
    </row>
    <row r="188" spans="1:4">
      <c r="A188" s="88">
        <v>42191</v>
      </c>
      <c r="B188" s="86" t="str">
        <f t="shared" si="6"/>
        <v>Workweek28</v>
      </c>
      <c r="C188" s="87" t="str">
        <f t="shared" si="8"/>
        <v>MACKSOOD</v>
      </c>
      <c r="D188" s="82" t="str">
        <f t="shared" si="7"/>
        <v>M</v>
      </c>
    </row>
    <row r="189" spans="1:4">
      <c r="A189" s="88">
        <v>42192</v>
      </c>
      <c r="B189" s="86" t="str">
        <f t="shared" si="6"/>
        <v>Workweek28</v>
      </c>
      <c r="C189" s="87" t="str">
        <f t="shared" si="8"/>
        <v>MACKSOOD</v>
      </c>
      <c r="D189" s="82" t="str">
        <f t="shared" si="7"/>
        <v>M</v>
      </c>
    </row>
    <row r="190" spans="1:4">
      <c r="A190" s="88">
        <v>42193</v>
      </c>
      <c r="B190" s="86" t="str">
        <f t="shared" si="6"/>
        <v>Workweek28</v>
      </c>
      <c r="C190" s="87" t="str">
        <f t="shared" si="8"/>
        <v>MACKSOOD</v>
      </c>
      <c r="D190" s="82" t="str">
        <f t="shared" si="7"/>
        <v>M</v>
      </c>
    </row>
    <row r="191" spans="1:4">
      <c r="A191" s="88">
        <v>42194</v>
      </c>
      <c r="B191" s="86" t="str">
        <f t="shared" si="6"/>
        <v>Workweek28</v>
      </c>
      <c r="C191" s="87" t="str">
        <f t="shared" si="8"/>
        <v>MACKSOOD</v>
      </c>
      <c r="D191" s="82" t="str">
        <f t="shared" si="7"/>
        <v>M</v>
      </c>
    </row>
    <row r="192" spans="1:4">
      <c r="A192" s="88">
        <v>42195</v>
      </c>
      <c r="B192" s="86" t="str">
        <f t="shared" si="6"/>
        <v>Weekend28</v>
      </c>
      <c r="C192" s="87" t="str">
        <f t="shared" si="8"/>
        <v>LANDESMAN</v>
      </c>
      <c r="D192" s="82" t="str">
        <f t="shared" si="7"/>
        <v>L</v>
      </c>
    </row>
    <row r="193" spans="1:4">
      <c r="A193" s="88">
        <v>42196</v>
      </c>
      <c r="B193" s="86" t="str">
        <f t="shared" si="6"/>
        <v>Weekend28</v>
      </c>
      <c r="C193" s="87" t="str">
        <f t="shared" si="8"/>
        <v>LANDESMAN</v>
      </c>
      <c r="D193" s="82" t="str">
        <f t="shared" si="7"/>
        <v>L</v>
      </c>
    </row>
    <row r="194" spans="1:4">
      <c r="A194" s="88">
        <v>42197</v>
      </c>
      <c r="B194" s="86" t="str">
        <f t="shared" ref="B194:B257" si="9">IF(AND(A194=42005,WEEKDAY(A194,2)&lt;&gt;1),"WorkWeek53",VLOOKUP(WEEKDAY(A194,2),Wday_Code,4,FALSE)&amp;WEEKNUM(A194,2))</f>
        <v>Weekend28</v>
      </c>
      <c r="C194" s="87" t="str">
        <f t="shared" si="8"/>
        <v>LANDESMAN</v>
      </c>
      <c r="D194" s="82" t="str">
        <f t="shared" ref="D194:D257" si="10">VLOOKUP(C194,Doc_Code,2,FALSE)</f>
        <v>L</v>
      </c>
    </row>
    <row r="195" spans="1:4">
      <c r="A195" s="88">
        <v>42198</v>
      </c>
      <c r="B195" s="86" t="str">
        <f t="shared" si="9"/>
        <v>Workweek29</v>
      </c>
      <c r="C195" s="87" t="str">
        <f t="shared" ref="C195:C258" si="11">IF(IFERROR(SEARCH("Workweek",B195),"")=1,VLOOKUP(B195,OnCall_Workweek_Array,2,FALSE),VLOOKUP(B195,OnCall_Weekend_Array,2,FALSE))</f>
        <v>NEUMANN</v>
      </c>
      <c r="D195" s="82" t="str">
        <f t="shared" si="10"/>
        <v>N</v>
      </c>
    </row>
    <row r="196" spans="1:4">
      <c r="A196" s="88">
        <v>42199</v>
      </c>
      <c r="B196" s="86" t="str">
        <f t="shared" si="9"/>
        <v>Workweek29</v>
      </c>
      <c r="C196" s="87" t="str">
        <f t="shared" si="11"/>
        <v>NEUMANN</v>
      </c>
      <c r="D196" s="82" t="str">
        <f t="shared" si="10"/>
        <v>N</v>
      </c>
    </row>
    <row r="197" spans="1:4">
      <c r="A197" s="88">
        <v>42200</v>
      </c>
      <c r="B197" s="86" t="str">
        <f t="shared" si="9"/>
        <v>Workweek29</v>
      </c>
      <c r="C197" s="87" t="str">
        <f t="shared" si="11"/>
        <v>NEUMANN</v>
      </c>
      <c r="D197" s="82" t="str">
        <f t="shared" si="10"/>
        <v>N</v>
      </c>
    </row>
    <row r="198" spans="1:4">
      <c r="A198" s="88">
        <v>42201</v>
      </c>
      <c r="B198" s="86" t="str">
        <f t="shared" si="9"/>
        <v>Workweek29</v>
      </c>
      <c r="C198" s="87" t="str">
        <f t="shared" si="11"/>
        <v>NEUMANN</v>
      </c>
      <c r="D198" s="82" t="str">
        <f t="shared" si="10"/>
        <v>N</v>
      </c>
    </row>
    <row r="199" spans="1:4">
      <c r="A199" s="88">
        <v>42202</v>
      </c>
      <c r="B199" s="86" t="str">
        <f t="shared" si="9"/>
        <v>Weekend29</v>
      </c>
      <c r="C199" s="87" t="str">
        <f t="shared" si="11"/>
        <v>NEUMANN</v>
      </c>
      <c r="D199" s="82" t="str">
        <f t="shared" si="10"/>
        <v>N</v>
      </c>
    </row>
    <row r="200" spans="1:4">
      <c r="A200" s="88">
        <v>42203</v>
      </c>
      <c r="B200" s="86" t="str">
        <f t="shared" si="9"/>
        <v>Weekend29</v>
      </c>
      <c r="C200" s="87" t="str">
        <f t="shared" si="11"/>
        <v>NEUMANN</v>
      </c>
      <c r="D200" s="82" t="str">
        <f t="shared" si="10"/>
        <v>N</v>
      </c>
    </row>
    <row r="201" spans="1:4">
      <c r="A201" s="88">
        <v>42204</v>
      </c>
      <c r="B201" s="86" t="str">
        <f t="shared" si="9"/>
        <v>Weekend29</v>
      </c>
      <c r="C201" s="87" t="str">
        <f t="shared" si="11"/>
        <v>NEUMANN</v>
      </c>
      <c r="D201" s="82" t="str">
        <f t="shared" si="10"/>
        <v>N</v>
      </c>
    </row>
    <row r="202" spans="1:4">
      <c r="A202" s="88">
        <v>42205</v>
      </c>
      <c r="B202" s="86" t="str">
        <f t="shared" si="9"/>
        <v>Workweek30</v>
      </c>
      <c r="C202" s="87" t="str">
        <f t="shared" si="11"/>
        <v>MILLER</v>
      </c>
      <c r="D202" s="82" t="str">
        <f t="shared" si="10"/>
        <v>J</v>
      </c>
    </row>
    <row r="203" spans="1:4">
      <c r="A203" s="88">
        <v>42206</v>
      </c>
      <c r="B203" s="86" t="str">
        <f t="shared" si="9"/>
        <v>Workweek30</v>
      </c>
      <c r="C203" s="87" t="str">
        <f t="shared" si="11"/>
        <v>MILLER</v>
      </c>
      <c r="D203" s="82" t="str">
        <f t="shared" si="10"/>
        <v>J</v>
      </c>
    </row>
    <row r="204" spans="1:4">
      <c r="A204" s="88">
        <v>42207</v>
      </c>
      <c r="B204" s="86" t="str">
        <f t="shared" si="9"/>
        <v>Workweek30</v>
      </c>
      <c r="C204" s="87" t="str">
        <f t="shared" si="11"/>
        <v>MILLER</v>
      </c>
      <c r="D204" s="82" t="str">
        <f t="shared" si="10"/>
        <v>J</v>
      </c>
    </row>
    <row r="205" spans="1:4">
      <c r="A205" s="88">
        <v>42208</v>
      </c>
      <c r="B205" s="86" t="str">
        <f t="shared" si="9"/>
        <v>Workweek30</v>
      </c>
      <c r="C205" s="87" t="str">
        <f t="shared" si="11"/>
        <v>MILLER</v>
      </c>
      <c r="D205" s="82" t="str">
        <f t="shared" si="10"/>
        <v>J</v>
      </c>
    </row>
    <row r="206" spans="1:4">
      <c r="A206" s="88">
        <v>42209</v>
      </c>
      <c r="B206" s="86" t="str">
        <f t="shared" si="9"/>
        <v>Weekend30</v>
      </c>
      <c r="C206" s="87" t="str">
        <f t="shared" si="11"/>
        <v>MINAUDO</v>
      </c>
      <c r="D206" s="82" t="str">
        <f t="shared" si="10"/>
        <v>O</v>
      </c>
    </row>
    <row r="207" spans="1:4">
      <c r="A207" s="88">
        <v>42210</v>
      </c>
      <c r="B207" s="86" t="str">
        <f t="shared" si="9"/>
        <v>Weekend30</v>
      </c>
      <c r="C207" s="87" t="str">
        <f t="shared" si="11"/>
        <v>MINAUDO</v>
      </c>
      <c r="D207" s="82" t="str">
        <f t="shared" si="10"/>
        <v>O</v>
      </c>
    </row>
    <row r="208" spans="1:4">
      <c r="A208" s="88">
        <v>42211</v>
      </c>
      <c r="B208" s="86" t="str">
        <f t="shared" si="9"/>
        <v>Weekend30</v>
      </c>
      <c r="C208" s="87" t="str">
        <f t="shared" si="11"/>
        <v>MINAUDO</v>
      </c>
      <c r="D208" s="82" t="str">
        <f t="shared" si="10"/>
        <v>O</v>
      </c>
    </row>
    <row r="209" spans="1:4">
      <c r="A209" s="88">
        <v>42212</v>
      </c>
      <c r="B209" s="86" t="str">
        <f t="shared" si="9"/>
        <v>Workweek31</v>
      </c>
      <c r="C209" s="87" t="str">
        <f t="shared" si="11"/>
        <v>THIGPIN</v>
      </c>
      <c r="D209" s="82" t="str">
        <f t="shared" si="10"/>
        <v>T</v>
      </c>
    </row>
    <row r="210" spans="1:4">
      <c r="A210" s="88">
        <v>42213</v>
      </c>
      <c r="B210" s="86" t="str">
        <f t="shared" si="9"/>
        <v>Workweek31</v>
      </c>
      <c r="C210" s="87" t="str">
        <f t="shared" si="11"/>
        <v>THIGPIN</v>
      </c>
      <c r="D210" s="82" t="str">
        <f t="shared" si="10"/>
        <v>T</v>
      </c>
    </row>
    <row r="211" spans="1:4">
      <c r="A211" s="88">
        <v>42214</v>
      </c>
      <c r="B211" s="86" t="str">
        <f t="shared" si="9"/>
        <v>Workweek31</v>
      </c>
      <c r="C211" s="87" t="str">
        <f t="shared" si="11"/>
        <v>THIGPIN</v>
      </c>
      <c r="D211" s="82" t="str">
        <f t="shared" si="10"/>
        <v>T</v>
      </c>
    </row>
    <row r="212" spans="1:4">
      <c r="A212" s="88">
        <v>42215</v>
      </c>
      <c r="B212" s="86" t="str">
        <f t="shared" si="9"/>
        <v>Workweek31</v>
      </c>
      <c r="C212" s="87" t="str">
        <f t="shared" si="11"/>
        <v>THIGPIN</v>
      </c>
      <c r="D212" s="82" t="str">
        <f t="shared" si="10"/>
        <v>T</v>
      </c>
    </row>
    <row r="213" spans="1:4">
      <c r="A213" s="88">
        <v>42216</v>
      </c>
      <c r="B213" s="86" t="str">
        <f t="shared" si="9"/>
        <v>Weekend31</v>
      </c>
      <c r="C213" s="87" t="str">
        <f t="shared" si="11"/>
        <v>MACKSOOD</v>
      </c>
      <c r="D213" s="82" t="str">
        <f t="shared" si="10"/>
        <v>M</v>
      </c>
    </row>
    <row r="214" spans="1:4">
      <c r="A214" s="88">
        <v>42217</v>
      </c>
      <c r="B214" s="86" t="str">
        <f t="shared" si="9"/>
        <v>Weekend31</v>
      </c>
      <c r="C214" s="87" t="str">
        <f t="shared" si="11"/>
        <v>MACKSOOD</v>
      </c>
      <c r="D214" s="82" t="str">
        <f t="shared" si="10"/>
        <v>M</v>
      </c>
    </row>
    <row r="215" spans="1:4">
      <c r="A215" s="88">
        <v>42218</v>
      </c>
      <c r="B215" s="86" t="str">
        <f t="shared" si="9"/>
        <v>Weekend31</v>
      </c>
      <c r="C215" s="87" t="str">
        <f t="shared" si="11"/>
        <v>MACKSOOD</v>
      </c>
      <c r="D215" s="82" t="str">
        <f t="shared" si="10"/>
        <v>M</v>
      </c>
    </row>
    <row r="216" spans="1:4">
      <c r="A216" s="88">
        <v>42219</v>
      </c>
      <c r="B216" s="86" t="str">
        <f t="shared" si="9"/>
        <v>Workweek32</v>
      </c>
      <c r="C216" s="87" t="str">
        <f t="shared" si="11"/>
        <v>MINAUDO</v>
      </c>
      <c r="D216" s="82" t="str">
        <f t="shared" si="10"/>
        <v>O</v>
      </c>
    </row>
    <row r="217" spans="1:4">
      <c r="A217" s="88">
        <v>42220</v>
      </c>
      <c r="B217" s="86" t="str">
        <f t="shared" si="9"/>
        <v>Workweek32</v>
      </c>
      <c r="C217" s="87" t="str">
        <f t="shared" si="11"/>
        <v>MINAUDO</v>
      </c>
      <c r="D217" s="82" t="str">
        <f t="shared" si="10"/>
        <v>O</v>
      </c>
    </row>
    <row r="218" spans="1:4">
      <c r="A218" s="88">
        <v>42221</v>
      </c>
      <c r="B218" s="86" t="str">
        <f t="shared" si="9"/>
        <v>Workweek32</v>
      </c>
      <c r="C218" s="87" t="str">
        <f t="shared" si="11"/>
        <v>MINAUDO</v>
      </c>
      <c r="D218" s="82" t="str">
        <f t="shared" si="10"/>
        <v>O</v>
      </c>
    </row>
    <row r="219" spans="1:4">
      <c r="A219" s="88">
        <v>42222</v>
      </c>
      <c r="B219" s="86" t="str">
        <f t="shared" si="9"/>
        <v>Workweek32</v>
      </c>
      <c r="C219" s="87" t="str">
        <f t="shared" si="11"/>
        <v>MINAUDO</v>
      </c>
      <c r="D219" s="82" t="str">
        <f t="shared" si="10"/>
        <v>O</v>
      </c>
    </row>
    <row r="220" spans="1:4">
      <c r="A220" s="88">
        <v>42223</v>
      </c>
      <c r="B220" s="86" t="str">
        <f t="shared" si="9"/>
        <v>Weekend32</v>
      </c>
      <c r="C220" s="87" t="str">
        <f t="shared" si="11"/>
        <v>KORTE</v>
      </c>
      <c r="D220" s="82" t="str">
        <f t="shared" si="10"/>
        <v>K</v>
      </c>
    </row>
    <row r="221" spans="1:4">
      <c r="A221" s="88">
        <v>42224</v>
      </c>
      <c r="B221" s="86" t="str">
        <f t="shared" si="9"/>
        <v>Weekend32</v>
      </c>
      <c r="C221" s="87" t="str">
        <f t="shared" si="11"/>
        <v>KORTE</v>
      </c>
      <c r="D221" s="82" t="str">
        <f t="shared" si="10"/>
        <v>K</v>
      </c>
    </row>
    <row r="222" spans="1:4">
      <c r="A222" s="88">
        <v>42225</v>
      </c>
      <c r="B222" s="86" t="str">
        <f t="shared" si="9"/>
        <v>Weekend32</v>
      </c>
      <c r="C222" s="87" t="str">
        <f t="shared" si="11"/>
        <v>KORTE</v>
      </c>
      <c r="D222" s="82" t="str">
        <f t="shared" si="10"/>
        <v>K</v>
      </c>
    </row>
    <row r="223" spans="1:4">
      <c r="A223" s="88">
        <v>42226</v>
      </c>
      <c r="B223" s="86" t="str">
        <f t="shared" si="9"/>
        <v>Workweek33</v>
      </c>
      <c r="C223" s="87" t="str">
        <f t="shared" si="11"/>
        <v>LANDESMAN</v>
      </c>
      <c r="D223" s="82" t="str">
        <f t="shared" si="10"/>
        <v>L</v>
      </c>
    </row>
    <row r="224" spans="1:4">
      <c r="A224" s="88">
        <v>42227</v>
      </c>
      <c r="B224" s="86" t="str">
        <f t="shared" si="9"/>
        <v>Workweek33</v>
      </c>
      <c r="C224" s="87" t="str">
        <f t="shared" si="11"/>
        <v>LANDESMAN</v>
      </c>
      <c r="D224" s="82" t="str">
        <f t="shared" si="10"/>
        <v>L</v>
      </c>
    </row>
    <row r="225" spans="1:4">
      <c r="A225" s="88">
        <v>42228</v>
      </c>
      <c r="B225" s="86" t="str">
        <f t="shared" si="9"/>
        <v>Workweek33</v>
      </c>
      <c r="C225" s="87" t="str">
        <f t="shared" si="11"/>
        <v>LANDESMAN</v>
      </c>
      <c r="D225" s="82" t="str">
        <f t="shared" si="10"/>
        <v>L</v>
      </c>
    </row>
    <row r="226" spans="1:4">
      <c r="A226" s="88">
        <v>42229</v>
      </c>
      <c r="B226" s="86" t="str">
        <f t="shared" si="9"/>
        <v>Workweek33</v>
      </c>
      <c r="C226" s="87" t="str">
        <f t="shared" si="11"/>
        <v>LANDESMAN</v>
      </c>
      <c r="D226" s="82" t="str">
        <f t="shared" si="10"/>
        <v>L</v>
      </c>
    </row>
    <row r="227" spans="1:4">
      <c r="A227" s="88">
        <v>42230</v>
      </c>
      <c r="B227" s="86" t="str">
        <f t="shared" si="9"/>
        <v>Weekend33</v>
      </c>
      <c r="C227" s="87" t="str">
        <f t="shared" si="11"/>
        <v>THIGPIN</v>
      </c>
      <c r="D227" s="82" t="str">
        <f t="shared" si="10"/>
        <v>T</v>
      </c>
    </row>
    <row r="228" spans="1:4">
      <c r="A228" s="88">
        <v>42231</v>
      </c>
      <c r="B228" s="86" t="str">
        <f t="shared" si="9"/>
        <v>Weekend33</v>
      </c>
      <c r="C228" s="87" t="str">
        <f t="shared" si="11"/>
        <v>THIGPIN</v>
      </c>
      <c r="D228" s="82" t="str">
        <f t="shared" si="10"/>
        <v>T</v>
      </c>
    </row>
    <row r="229" spans="1:4">
      <c r="A229" s="88">
        <v>42232</v>
      </c>
      <c r="B229" s="86" t="str">
        <f t="shared" si="9"/>
        <v>Weekend33</v>
      </c>
      <c r="C229" s="87" t="str">
        <f t="shared" si="11"/>
        <v>THIGPIN</v>
      </c>
      <c r="D229" s="82" t="str">
        <f t="shared" si="10"/>
        <v>T</v>
      </c>
    </row>
    <row r="230" spans="1:4">
      <c r="A230" s="88">
        <v>42233</v>
      </c>
      <c r="B230" s="86" t="str">
        <f t="shared" si="9"/>
        <v>Workweek34</v>
      </c>
      <c r="C230" s="87" t="str">
        <f t="shared" si="11"/>
        <v>SMITH</v>
      </c>
      <c r="D230" s="82" t="str">
        <f t="shared" si="10"/>
        <v>S</v>
      </c>
    </row>
    <row r="231" spans="1:4">
      <c r="A231" s="88">
        <v>42234</v>
      </c>
      <c r="B231" s="86" t="str">
        <f t="shared" si="9"/>
        <v>Workweek34</v>
      </c>
      <c r="C231" s="87" t="str">
        <f t="shared" si="11"/>
        <v>SMITH</v>
      </c>
      <c r="D231" s="82" t="str">
        <f t="shared" si="10"/>
        <v>S</v>
      </c>
    </row>
    <row r="232" spans="1:4">
      <c r="A232" s="88">
        <v>42235</v>
      </c>
      <c r="B232" s="86" t="str">
        <f t="shared" si="9"/>
        <v>Workweek34</v>
      </c>
      <c r="C232" s="87" t="str">
        <f t="shared" si="11"/>
        <v>SMITH</v>
      </c>
      <c r="D232" s="82" t="str">
        <f t="shared" si="10"/>
        <v>S</v>
      </c>
    </row>
    <row r="233" spans="1:4">
      <c r="A233" s="88">
        <v>42236</v>
      </c>
      <c r="B233" s="86" t="str">
        <f t="shared" si="9"/>
        <v>Workweek34</v>
      </c>
      <c r="C233" s="87" t="str">
        <f t="shared" si="11"/>
        <v>SMITH</v>
      </c>
      <c r="D233" s="82" t="str">
        <f t="shared" si="10"/>
        <v>S</v>
      </c>
    </row>
    <row r="234" spans="1:4">
      <c r="A234" s="88">
        <v>42237</v>
      </c>
      <c r="B234" s="86" t="str">
        <f t="shared" si="9"/>
        <v>Weekend34</v>
      </c>
      <c r="C234" s="87" t="str">
        <f t="shared" si="11"/>
        <v>SMITH</v>
      </c>
      <c r="D234" s="82" t="str">
        <f t="shared" si="10"/>
        <v>S</v>
      </c>
    </row>
    <row r="235" spans="1:4">
      <c r="A235" s="88">
        <v>42238</v>
      </c>
      <c r="B235" s="86" t="str">
        <f t="shared" si="9"/>
        <v>Weekend34</v>
      </c>
      <c r="C235" s="87" t="str">
        <f t="shared" si="11"/>
        <v>SMITH</v>
      </c>
      <c r="D235" s="82" t="str">
        <f t="shared" si="10"/>
        <v>S</v>
      </c>
    </row>
    <row r="236" spans="1:4">
      <c r="A236" s="88">
        <v>42239</v>
      </c>
      <c r="B236" s="86" t="str">
        <f t="shared" si="9"/>
        <v>Weekend34</v>
      </c>
      <c r="C236" s="87" t="str">
        <f t="shared" si="11"/>
        <v>SMITH</v>
      </c>
      <c r="D236" s="82" t="str">
        <f t="shared" si="10"/>
        <v>S</v>
      </c>
    </row>
    <row r="237" spans="1:4">
      <c r="A237" s="88">
        <v>42240</v>
      </c>
      <c r="B237" s="86" t="str">
        <f t="shared" si="9"/>
        <v>Workweek35</v>
      </c>
      <c r="C237" s="87" t="str">
        <f t="shared" si="11"/>
        <v>KORTE</v>
      </c>
      <c r="D237" s="82" t="str">
        <f t="shared" si="10"/>
        <v>K</v>
      </c>
    </row>
    <row r="238" spans="1:4">
      <c r="A238" s="88">
        <v>42241</v>
      </c>
      <c r="B238" s="86" t="str">
        <f t="shared" si="9"/>
        <v>Workweek35</v>
      </c>
      <c r="C238" s="87" t="str">
        <f t="shared" si="11"/>
        <v>KORTE</v>
      </c>
      <c r="D238" s="82" t="str">
        <f t="shared" si="10"/>
        <v>K</v>
      </c>
    </row>
    <row r="239" spans="1:4">
      <c r="A239" s="88">
        <v>42242</v>
      </c>
      <c r="B239" s="86" t="str">
        <f t="shared" si="9"/>
        <v>Workweek35</v>
      </c>
      <c r="C239" s="87" t="str">
        <f t="shared" si="11"/>
        <v>KORTE</v>
      </c>
      <c r="D239" s="82" t="str">
        <f t="shared" si="10"/>
        <v>K</v>
      </c>
    </row>
    <row r="240" spans="1:4">
      <c r="A240" s="88">
        <v>42243</v>
      </c>
      <c r="B240" s="86" t="str">
        <f t="shared" si="9"/>
        <v>Workweek35</v>
      </c>
      <c r="C240" s="87" t="str">
        <f t="shared" si="11"/>
        <v>KORTE</v>
      </c>
      <c r="D240" s="82" t="str">
        <f t="shared" si="10"/>
        <v>K</v>
      </c>
    </row>
    <row r="241" spans="1:4">
      <c r="A241" s="88">
        <v>42244</v>
      </c>
      <c r="B241" s="86" t="str">
        <f t="shared" si="9"/>
        <v>Weekend35</v>
      </c>
      <c r="C241" s="87" t="str">
        <f t="shared" si="11"/>
        <v>MILLER</v>
      </c>
      <c r="D241" s="82" t="str">
        <f t="shared" si="10"/>
        <v>J</v>
      </c>
    </row>
    <row r="242" spans="1:4">
      <c r="A242" s="88">
        <v>42245</v>
      </c>
      <c r="B242" s="86" t="str">
        <f t="shared" si="9"/>
        <v>Weekend35</v>
      </c>
      <c r="C242" s="87" t="str">
        <f t="shared" si="11"/>
        <v>MILLER</v>
      </c>
      <c r="D242" s="82" t="str">
        <f t="shared" si="10"/>
        <v>J</v>
      </c>
    </row>
    <row r="243" spans="1:4">
      <c r="A243" s="88">
        <v>42246</v>
      </c>
      <c r="B243" s="86" t="str">
        <f t="shared" si="9"/>
        <v>Weekend35</v>
      </c>
      <c r="C243" s="87" t="str">
        <f t="shared" si="11"/>
        <v>MILLER</v>
      </c>
      <c r="D243" s="82" t="str">
        <f t="shared" si="10"/>
        <v>J</v>
      </c>
    </row>
    <row r="244" spans="1:4">
      <c r="A244" s="88">
        <v>42247</v>
      </c>
      <c r="B244" s="86" t="str">
        <f t="shared" si="9"/>
        <v>Workweek36</v>
      </c>
      <c r="C244" s="87" t="str">
        <f t="shared" si="11"/>
        <v>MINAUDO</v>
      </c>
      <c r="D244" s="82" t="str">
        <f t="shared" si="10"/>
        <v>O</v>
      </c>
    </row>
    <row r="245" spans="1:4">
      <c r="A245" s="88">
        <v>42248</v>
      </c>
      <c r="B245" s="86" t="str">
        <f t="shared" si="9"/>
        <v>Workweek36</v>
      </c>
      <c r="C245" s="87" t="str">
        <f t="shared" si="11"/>
        <v>MINAUDO</v>
      </c>
      <c r="D245" s="82" t="str">
        <f t="shared" si="10"/>
        <v>O</v>
      </c>
    </row>
    <row r="246" spans="1:4">
      <c r="A246" s="88">
        <v>42249</v>
      </c>
      <c r="B246" s="86" t="str">
        <f t="shared" si="9"/>
        <v>Workweek36</v>
      </c>
      <c r="C246" s="87" t="str">
        <f t="shared" si="11"/>
        <v>MINAUDO</v>
      </c>
      <c r="D246" s="82" t="str">
        <f t="shared" si="10"/>
        <v>O</v>
      </c>
    </row>
    <row r="247" spans="1:4">
      <c r="A247" s="88">
        <v>42250</v>
      </c>
      <c r="B247" s="86" t="str">
        <f t="shared" si="9"/>
        <v>Workweek36</v>
      </c>
      <c r="C247" s="87" t="str">
        <f t="shared" si="11"/>
        <v>MINAUDO</v>
      </c>
      <c r="D247" s="82" t="str">
        <f t="shared" si="10"/>
        <v>O</v>
      </c>
    </row>
    <row r="248" spans="1:4">
      <c r="A248" s="88">
        <v>42251</v>
      </c>
      <c r="B248" s="86" t="str">
        <f t="shared" si="9"/>
        <v>Weekend36</v>
      </c>
      <c r="C248" s="87" t="str">
        <f t="shared" si="11"/>
        <v>MACKSOOD</v>
      </c>
      <c r="D248" s="82" t="str">
        <f t="shared" si="10"/>
        <v>M</v>
      </c>
    </row>
    <row r="249" spans="1:4">
      <c r="A249" s="88">
        <v>42252</v>
      </c>
      <c r="B249" s="86" t="str">
        <f t="shared" si="9"/>
        <v>Weekend36</v>
      </c>
      <c r="C249" s="87" t="str">
        <f t="shared" si="11"/>
        <v>MACKSOOD</v>
      </c>
      <c r="D249" s="82" t="str">
        <f t="shared" si="10"/>
        <v>M</v>
      </c>
    </row>
    <row r="250" spans="1:4">
      <c r="A250" s="88">
        <v>42253</v>
      </c>
      <c r="B250" s="86" t="str">
        <f t="shared" si="9"/>
        <v>Weekend36</v>
      </c>
      <c r="C250" s="87" t="str">
        <f t="shared" si="11"/>
        <v>MACKSOOD</v>
      </c>
      <c r="D250" s="82" t="str">
        <f t="shared" si="10"/>
        <v>M</v>
      </c>
    </row>
    <row r="251" spans="1:4">
      <c r="A251" s="88">
        <v>42254</v>
      </c>
      <c r="B251" s="86" t="str">
        <f t="shared" si="9"/>
        <v>Workweek37</v>
      </c>
      <c r="C251" s="87" t="str">
        <f t="shared" si="11"/>
        <v>NEUMANN</v>
      </c>
      <c r="D251" s="82" t="str">
        <f t="shared" si="10"/>
        <v>N</v>
      </c>
    </row>
    <row r="252" spans="1:4">
      <c r="A252" s="88">
        <v>42255</v>
      </c>
      <c r="B252" s="86" t="str">
        <f t="shared" si="9"/>
        <v>Workweek37</v>
      </c>
      <c r="C252" s="87" t="str">
        <f t="shared" si="11"/>
        <v>NEUMANN</v>
      </c>
      <c r="D252" s="82" t="str">
        <f t="shared" si="10"/>
        <v>N</v>
      </c>
    </row>
    <row r="253" spans="1:4">
      <c r="A253" s="88">
        <v>42256</v>
      </c>
      <c r="B253" s="86" t="str">
        <f t="shared" si="9"/>
        <v>Workweek37</v>
      </c>
      <c r="C253" s="87" t="str">
        <f t="shared" si="11"/>
        <v>NEUMANN</v>
      </c>
      <c r="D253" s="82" t="str">
        <f t="shared" si="10"/>
        <v>N</v>
      </c>
    </row>
    <row r="254" spans="1:4">
      <c r="A254" s="88">
        <v>42257</v>
      </c>
      <c r="B254" s="86" t="str">
        <f t="shared" si="9"/>
        <v>Workweek37</v>
      </c>
      <c r="C254" s="87" t="str">
        <f t="shared" si="11"/>
        <v>NEUMANN</v>
      </c>
      <c r="D254" s="82" t="str">
        <f t="shared" si="10"/>
        <v>N</v>
      </c>
    </row>
    <row r="255" spans="1:4">
      <c r="A255" s="88">
        <v>42258</v>
      </c>
      <c r="B255" s="86" t="str">
        <f t="shared" si="9"/>
        <v>Weekend37</v>
      </c>
      <c r="C255" s="87" t="str">
        <f t="shared" si="11"/>
        <v>NEUMANN</v>
      </c>
      <c r="D255" s="82" t="str">
        <f t="shared" si="10"/>
        <v>N</v>
      </c>
    </row>
    <row r="256" spans="1:4">
      <c r="A256" s="88">
        <v>42259</v>
      </c>
      <c r="B256" s="86" t="str">
        <f t="shared" si="9"/>
        <v>Weekend37</v>
      </c>
      <c r="C256" s="87" t="str">
        <f t="shared" si="11"/>
        <v>NEUMANN</v>
      </c>
      <c r="D256" s="82" t="str">
        <f t="shared" si="10"/>
        <v>N</v>
      </c>
    </row>
    <row r="257" spans="1:4">
      <c r="A257" s="88">
        <v>42260</v>
      </c>
      <c r="B257" s="86" t="str">
        <f t="shared" si="9"/>
        <v>Weekend37</v>
      </c>
      <c r="C257" s="87" t="str">
        <f t="shared" si="11"/>
        <v>NEUMANN</v>
      </c>
      <c r="D257" s="82" t="str">
        <f t="shared" si="10"/>
        <v>N</v>
      </c>
    </row>
    <row r="258" spans="1:4">
      <c r="A258" s="88">
        <v>42261</v>
      </c>
      <c r="B258" s="86" t="str">
        <f t="shared" ref="B258:B321" si="12">IF(AND(A258=42005,WEEKDAY(A258,2)&lt;&gt;1),"WorkWeek53",VLOOKUP(WEEKDAY(A258,2),Wday_Code,4,FALSE)&amp;WEEKNUM(A258,2))</f>
        <v>Workweek38</v>
      </c>
      <c r="C258" s="87" t="str">
        <f t="shared" si="11"/>
        <v>LANDESMAN</v>
      </c>
      <c r="D258" s="82" t="str">
        <f t="shared" ref="D258:D321" si="13">VLOOKUP(C258,Doc_Code,2,FALSE)</f>
        <v>L</v>
      </c>
    </row>
    <row r="259" spans="1:4">
      <c r="A259" s="88">
        <v>42262</v>
      </c>
      <c r="B259" s="86" t="str">
        <f t="shared" si="12"/>
        <v>Workweek38</v>
      </c>
      <c r="C259" s="87" t="str">
        <f t="shared" ref="C259:C322" si="14">IF(IFERROR(SEARCH("Workweek",B259),"")=1,VLOOKUP(B259,OnCall_Workweek_Array,2,FALSE),VLOOKUP(B259,OnCall_Weekend_Array,2,FALSE))</f>
        <v>LANDESMAN</v>
      </c>
      <c r="D259" s="82" t="str">
        <f t="shared" si="13"/>
        <v>L</v>
      </c>
    </row>
    <row r="260" spans="1:4">
      <c r="A260" s="88">
        <v>42263</v>
      </c>
      <c r="B260" s="86" t="str">
        <f t="shared" si="12"/>
        <v>Workweek38</v>
      </c>
      <c r="C260" s="87" t="str">
        <f t="shared" si="14"/>
        <v>LANDESMAN</v>
      </c>
      <c r="D260" s="82" t="str">
        <f t="shared" si="13"/>
        <v>L</v>
      </c>
    </row>
    <row r="261" spans="1:4">
      <c r="A261" s="88">
        <v>42264</v>
      </c>
      <c r="B261" s="86" t="str">
        <f t="shared" si="12"/>
        <v>Workweek38</v>
      </c>
      <c r="C261" s="87" t="str">
        <f t="shared" si="14"/>
        <v>LANDESMAN</v>
      </c>
      <c r="D261" s="82" t="str">
        <f t="shared" si="13"/>
        <v>L</v>
      </c>
    </row>
    <row r="262" spans="1:4">
      <c r="A262" s="88">
        <v>42265</v>
      </c>
      <c r="B262" s="86" t="str">
        <f t="shared" si="12"/>
        <v>Weekend38</v>
      </c>
      <c r="C262" s="87" t="str">
        <f t="shared" si="14"/>
        <v>KORTE</v>
      </c>
      <c r="D262" s="82" t="str">
        <f t="shared" si="13"/>
        <v>K</v>
      </c>
    </row>
    <row r="263" spans="1:4">
      <c r="A263" s="88">
        <v>42266</v>
      </c>
      <c r="B263" s="86" t="str">
        <f t="shared" si="12"/>
        <v>Weekend38</v>
      </c>
      <c r="C263" s="87" t="str">
        <f t="shared" si="14"/>
        <v>KORTE</v>
      </c>
      <c r="D263" s="82" t="str">
        <f t="shared" si="13"/>
        <v>K</v>
      </c>
    </row>
    <row r="264" spans="1:4">
      <c r="A264" s="88">
        <v>42267</v>
      </c>
      <c r="B264" s="86" t="str">
        <f t="shared" si="12"/>
        <v>Weekend38</v>
      </c>
      <c r="C264" s="87" t="str">
        <f t="shared" si="14"/>
        <v>KORTE</v>
      </c>
      <c r="D264" s="82" t="str">
        <f t="shared" si="13"/>
        <v>K</v>
      </c>
    </row>
    <row r="265" spans="1:4">
      <c r="A265" s="88">
        <v>42268</v>
      </c>
      <c r="B265" s="86" t="str">
        <f t="shared" si="12"/>
        <v>Workweek39</v>
      </c>
      <c r="C265" s="87" t="str">
        <f t="shared" si="14"/>
        <v>MILLER</v>
      </c>
      <c r="D265" s="82" t="str">
        <f t="shared" si="13"/>
        <v>J</v>
      </c>
    </row>
    <row r="266" spans="1:4">
      <c r="A266" s="88">
        <v>42269</v>
      </c>
      <c r="B266" s="86" t="str">
        <f t="shared" si="12"/>
        <v>Workweek39</v>
      </c>
      <c r="C266" s="87" t="str">
        <f t="shared" si="14"/>
        <v>MILLER</v>
      </c>
      <c r="D266" s="82" t="str">
        <f t="shared" si="13"/>
        <v>J</v>
      </c>
    </row>
    <row r="267" spans="1:4">
      <c r="A267" s="88">
        <v>42270</v>
      </c>
      <c r="B267" s="86" t="str">
        <f t="shared" si="12"/>
        <v>Workweek39</v>
      </c>
      <c r="C267" s="87" t="str">
        <f t="shared" si="14"/>
        <v>MILLER</v>
      </c>
      <c r="D267" s="82" t="str">
        <f t="shared" si="13"/>
        <v>J</v>
      </c>
    </row>
    <row r="268" spans="1:4">
      <c r="A268" s="88">
        <v>42271</v>
      </c>
      <c r="B268" s="86" t="str">
        <f t="shared" si="12"/>
        <v>Workweek39</v>
      </c>
      <c r="C268" s="87" t="str">
        <f t="shared" si="14"/>
        <v>MILLER</v>
      </c>
      <c r="D268" s="82" t="str">
        <f t="shared" si="13"/>
        <v>J</v>
      </c>
    </row>
    <row r="269" spans="1:4">
      <c r="A269" s="88">
        <v>42272</v>
      </c>
      <c r="B269" s="86" t="str">
        <f t="shared" si="12"/>
        <v>Weekend39</v>
      </c>
      <c r="C269" s="87" t="str">
        <f t="shared" si="14"/>
        <v>THIGPIN</v>
      </c>
      <c r="D269" s="82" t="str">
        <f t="shared" si="13"/>
        <v>T</v>
      </c>
    </row>
    <row r="270" spans="1:4">
      <c r="A270" s="88">
        <v>42273</v>
      </c>
      <c r="B270" s="86" t="str">
        <f t="shared" si="12"/>
        <v>Weekend39</v>
      </c>
      <c r="C270" s="87" t="str">
        <f t="shared" si="14"/>
        <v>THIGPIN</v>
      </c>
      <c r="D270" s="82" t="str">
        <f t="shared" si="13"/>
        <v>T</v>
      </c>
    </row>
    <row r="271" spans="1:4">
      <c r="A271" s="88">
        <v>42274</v>
      </c>
      <c r="B271" s="86" t="str">
        <f t="shared" si="12"/>
        <v>Weekend39</v>
      </c>
      <c r="C271" s="87" t="str">
        <f t="shared" si="14"/>
        <v>THIGPIN</v>
      </c>
      <c r="D271" s="82" t="str">
        <f t="shared" si="13"/>
        <v>T</v>
      </c>
    </row>
    <row r="272" spans="1:4">
      <c r="A272" s="88">
        <v>42275</v>
      </c>
      <c r="B272" s="86" t="str">
        <f t="shared" si="12"/>
        <v>Workweek40</v>
      </c>
      <c r="C272" s="87" t="str">
        <f t="shared" si="14"/>
        <v>KORTE</v>
      </c>
      <c r="D272" s="82" t="str">
        <f t="shared" si="13"/>
        <v>K</v>
      </c>
    </row>
    <row r="273" spans="1:4">
      <c r="A273" s="88">
        <v>42276</v>
      </c>
      <c r="B273" s="86" t="str">
        <f t="shared" si="12"/>
        <v>Workweek40</v>
      </c>
      <c r="C273" s="87" t="str">
        <f t="shared" si="14"/>
        <v>KORTE</v>
      </c>
      <c r="D273" s="82" t="str">
        <f t="shared" si="13"/>
        <v>K</v>
      </c>
    </row>
    <row r="274" spans="1:4">
      <c r="A274" s="88">
        <v>42277</v>
      </c>
      <c r="B274" s="86" t="str">
        <f t="shared" si="12"/>
        <v>Workweek40</v>
      </c>
      <c r="C274" s="87" t="str">
        <f t="shared" si="14"/>
        <v>KORTE</v>
      </c>
      <c r="D274" s="82" t="str">
        <f t="shared" si="13"/>
        <v>K</v>
      </c>
    </row>
    <row r="275" spans="1:4">
      <c r="A275" s="88">
        <v>42278</v>
      </c>
      <c r="B275" s="86" t="str">
        <f t="shared" si="12"/>
        <v>Workweek40</v>
      </c>
      <c r="C275" s="87" t="str">
        <f t="shared" si="14"/>
        <v>KORTE</v>
      </c>
      <c r="D275" s="82" t="str">
        <f t="shared" si="13"/>
        <v>K</v>
      </c>
    </row>
    <row r="276" spans="1:4">
      <c r="A276" s="88">
        <v>42279</v>
      </c>
      <c r="B276" s="86" t="str">
        <f t="shared" si="12"/>
        <v>Weekend40</v>
      </c>
      <c r="C276" s="87" t="str">
        <f t="shared" si="14"/>
        <v>MINAUDO</v>
      </c>
      <c r="D276" s="82" t="str">
        <f t="shared" si="13"/>
        <v>O</v>
      </c>
    </row>
    <row r="277" spans="1:4">
      <c r="A277" s="88">
        <v>42280</v>
      </c>
      <c r="B277" s="86" t="str">
        <f t="shared" si="12"/>
        <v>Weekend40</v>
      </c>
      <c r="C277" s="87" t="str">
        <f t="shared" si="14"/>
        <v>MINAUDO</v>
      </c>
      <c r="D277" s="82" t="str">
        <f t="shared" si="13"/>
        <v>O</v>
      </c>
    </row>
    <row r="278" spans="1:4">
      <c r="A278" s="88">
        <v>42281</v>
      </c>
      <c r="B278" s="86" t="str">
        <f t="shared" si="12"/>
        <v>Weekend40</v>
      </c>
      <c r="C278" s="87" t="str">
        <f t="shared" si="14"/>
        <v>MINAUDO</v>
      </c>
      <c r="D278" s="82" t="str">
        <f t="shared" si="13"/>
        <v>O</v>
      </c>
    </row>
    <row r="279" spans="1:4">
      <c r="A279" s="88">
        <v>42282</v>
      </c>
      <c r="B279" s="86" t="str">
        <f t="shared" si="12"/>
        <v>Workweek41</v>
      </c>
      <c r="C279" s="87" t="str">
        <f t="shared" si="14"/>
        <v>MACKSOOD</v>
      </c>
      <c r="D279" s="82" t="str">
        <f t="shared" si="13"/>
        <v>M</v>
      </c>
    </row>
    <row r="280" spans="1:4">
      <c r="A280" s="88">
        <v>42283</v>
      </c>
      <c r="B280" s="86" t="str">
        <f t="shared" si="12"/>
        <v>Workweek41</v>
      </c>
      <c r="C280" s="87" t="str">
        <f t="shared" si="14"/>
        <v>MACKSOOD</v>
      </c>
      <c r="D280" s="82" t="str">
        <f t="shared" si="13"/>
        <v>M</v>
      </c>
    </row>
    <row r="281" spans="1:4">
      <c r="A281" s="88">
        <v>42284</v>
      </c>
      <c r="B281" s="86" t="str">
        <f t="shared" si="12"/>
        <v>Workweek41</v>
      </c>
      <c r="C281" s="87" t="str">
        <f t="shared" si="14"/>
        <v>MACKSOOD</v>
      </c>
      <c r="D281" s="82" t="str">
        <f t="shared" si="13"/>
        <v>M</v>
      </c>
    </row>
    <row r="282" spans="1:4">
      <c r="A282" s="88">
        <v>42285</v>
      </c>
      <c r="B282" s="86" t="str">
        <f t="shared" si="12"/>
        <v>Workweek41</v>
      </c>
      <c r="C282" s="87" t="str">
        <f t="shared" si="14"/>
        <v>MACKSOOD</v>
      </c>
      <c r="D282" s="82" t="str">
        <f t="shared" si="13"/>
        <v>M</v>
      </c>
    </row>
    <row r="283" spans="1:4">
      <c r="A283" s="88">
        <v>42286</v>
      </c>
      <c r="B283" s="86" t="str">
        <f t="shared" si="12"/>
        <v>Weekend41</v>
      </c>
      <c r="C283" s="87" t="str">
        <f t="shared" si="14"/>
        <v>SMITH</v>
      </c>
      <c r="D283" s="82" t="str">
        <f t="shared" si="13"/>
        <v>S</v>
      </c>
    </row>
    <row r="284" spans="1:4">
      <c r="A284" s="88">
        <v>42287</v>
      </c>
      <c r="B284" s="86" t="str">
        <f t="shared" si="12"/>
        <v>Weekend41</v>
      </c>
      <c r="C284" s="87" t="str">
        <f t="shared" si="14"/>
        <v>SMITH</v>
      </c>
      <c r="D284" s="82" t="str">
        <f t="shared" si="13"/>
        <v>S</v>
      </c>
    </row>
    <row r="285" spans="1:4">
      <c r="A285" s="88">
        <v>42288</v>
      </c>
      <c r="B285" s="86" t="str">
        <f t="shared" si="12"/>
        <v>Weekend41</v>
      </c>
      <c r="C285" s="87" t="str">
        <f t="shared" si="14"/>
        <v>SMITH</v>
      </c>
      <c r="D285" s="82" t="str">
        <f t="shared" si="13"/>
        <v>S</v>
      </c>
    </row>
    <row r="286" spans="1:4">
      <c r="A286" s="88">
        <v>42289</v>
      </c>
      <c r="B286" s="86" t="str">
        <f t="shared" si="12"/>
        <v>Workweek42</v>
      </c>
      <c r="C286" s="87" t="str">
        <f t="shared" si="14"/>
        <v>LANDESMAN</v>
      </c>
      <c r="D286" s="82" t="str">
        <f t="shared" si="13"/>
        <v>L</v>
      </c>
    </row>
    <row r="287" spans="1:4">
      <c r="A287" s="88">
        <v>42290</v>
      </c>
      <c r="B287" s="86" t="str">
        <f t="shared" si="12"/>
        <v>Workweek42</v>
      </c>
      <c r="C287" s="87" t="str">
        <f t="shared" si="14"/>
        <v>LANDESMAN</v>
      </c>
      <c r="D287" s="82" t="str">
        <f t="shared" si="13"/>
        <v>L</v>
      </c>
    </row>
    <row r="288" spans="1:4">
      <c r="A288" s="88">
        <v>42291</v>
      </c>
      <c r="B288" s="86" t="str">
        <f t="shared" si="12"/>
        <v>Workweek42</v>
      </c>
      <c r="C288" s="87" t="str">
        <f t="shared" si="14"/>
        <v>LANDESMAN</v>
      </c>
      <c r="D288" s="82" t="str">
        <f t="shared" si="13"/>
        <v>L</v>
      </c>
    </row>
    <row r="289" spans="1:4">
      <c r="A289" s="88">
        <v>42292</v>
      </c>
      <c r="B289" s="86" t="str">
        <f t="shared" si="12"/>
        <v>Workweek42</v>
      </c>
      <c r="C289" s="87" t="str">
        <f t="shared" si="14"/>
        <v>LANDESMAN</v>
      </c>
      <c r="D289" s="82" t="str">
        <f t="shared" si="13"/>
        <v>L</v>
      </c>
    </row>
    <row r="290" spans="1:4">
      <c r="A290" s="88">
        <v>42293</v>
      </c>
      <c r="B290" s="86" t="str">
        <f t="shared" si="12"/>
        <v>Weekend42</v>
      </c>
      <c r="C290" s="87" t="str">
        <f t="shared" si="14"/>
        <v>LANDESMAN</v>
      </c>
      <c r="D290" s="82" t="str">
        <f t="shared" si="13"/>
        <v>L</v>
      </c>
    </row>
    <row r="291" spans="1:4">
      <c r="A291" s="88">
        <v>42294</v>
      </c>
      <c r="B291" s="86" t="str">
        <f t="shared" si="12"/>
        <v>Weekend42</v>
      </c>
      <c r="C291" s="87" t="str">
        <f t="shared" si="14"/>
        <v>LANDESMAN</v>
      </c>
      <c r="D291" s="82" t="str">
        <f t="shared" si="13"/>
        <v>L</v>
      </c>
    </row>
    <row r="292" spans="1:4">
      <c r="A292" s="88">
        <v>42295</v>
      </c>
      <c r="B292" s="86" t="str">
        <f t="shared" si="12"/>
        <v>Weekend42</v>
      </c>
      <c r="C292" s="87" t="str">
        <f t="shared" si="14"/>
        <v>LANDESMAN</v>
      </c>
      <c r="D292" s="82" t="str">
        <f t="shared" si="13"/>
        <v>L</v>
      </c>
    </row>
    <row r="293" spans="1:4">
      <c r="A293" s="88">
        <v>42296</v>
      </c>
      <c r="B293" s="86" t="str">
        <f t="shared" si="12"/>
        <v>Workweek43</v>
      </c>
      <c r="C293" s="87" t="str">
        <f t="shared" si="14"/>
        <v>MINAUDO</v>
      </c>
      <c r="D293" s="82" t="str">
        <f t="shared" si="13"/>
        <v>O</v>
      </c>
    </row>
    <row r="294" spans="1:4">
      <c r="A294" s="88">
        <v>42297</v>
      </c>
      <c r="B294" s="86" t="str">
        <f t="shared" si="12"/>
        <v>Workweek43</v>
      </c>
      <c r="C294" s="87" t="str">
        <f t="shared" si="14"/>
        <v>MINAUDO</v>
      </c>
      <c r="D294" s="82" t="str">
        <f t="shared" si="13"/>
        <v>O</v>
      </c>
    </row>
    <row r="295" spans="1:4">
      <c r="A295" s="88">
        <v>42298</v>
      </c>
      <c r="B295" s="86" t="str">
        <f t="shared" si="12"/>
        <v>Workweek43</v>
      </c>
      <c r="C295" s="87" t="str">
        <f t="shared" si="14"/>
        <v>MINAUDO</v>
      </c>
      <c r="D295" s="82" t="str">
        <f t="shared" si="13"/>
        <v>O</v>
      </c>
    </row>
    <row r="296" spans="1:4">
      <c r="A296" s="88">
        <v>42299</v>
      </c>
      <c r="B296" s="86" t="str">
        <f t="shared" si="12"/>
        <v>Workweek43</v>
      </c>
      <c r="C296" s="87" t="str">
        <f t="shared" si="14"/>
        <v>MINAUDO</v>
      </c>
      <c r="D296" s="82" t="str">
        <f t="shared" si="13"/>
        <v>O</v>
      </c>
    </row>
    <row r="297" spans="1:4">
      <c r="A297" s="88">
        <v>42300</v>
      </c>
      <c r="B297" s="86" t="str">
        <f t="shared" si="12"/>
        <v>Weekend43</v>
      </c>
      <c r="C297" s="87" t="str">
        <f t="shared" si="14"/>
        <v>MILLER</v>
      </c>
      <c r="D297" s="82" t="str">
        <f t="shared" si="13"/>
        <v>J</v>
      </c>
    </row>
    <row r="298" spans="1:4">
      <c r="A298" s="88">
        <v>42301</v>
      </c>
      <c r="B298" s="86" t="str">
        <f t="shared" si="12"/>
        <v>Weekend43</v>
      </c>
      <c r="C298" s="87" t="str">
        <f t="shared" si="14"/>
        <v>MILLER</v>
      </c>
      <c r="D298" s="82" t="str">
        <f t="shared" si="13"/>
        <v>J</v>
      </c>
    </row>
    <row r="299" spans="1:4">
      <c r="A299" s="88">
        <v>42302</v>
      </c>
      <c r="B299" s="86" t="str">
        <f t="shared" si="12"/>
        <v>Weekend43</v>
      </c>
      <c r="C299" s="87" t="str">
        <f t="shared" si="14"/>
        <v>MILLER</v>
      </c>
      <c r="D299" s="82" t="str">
        <f t="shared" si="13"/>
        <v>J</v>
      </c>
    </row>
    <row r="300" spans="1:4">
      <c r="A300" s="88">
        <v>42303</v>
      </c>
      <c r="B300" s="86" t="str">
        <f t="shared" si="12"/>
        <v>Workweek44</v>
      </c>
      <c r="C300" s="87" t="str">
        <f t="shared" si="14"/>
        <v>NEUMANN</v>
      </c>
      <c r="D300" s="82" t="str">
        <f t="shared" si="13"/>
        <v>N</v>
      </c>
    </row>
    <row r="301" spans="1:4">
      <c r="A301" s="88">
        <v>42304</v>
      </c>
      <c r="B301" s="86" t="str">
        <f t="shared" si="12"/>
        <v>Workweek44</v>
      </c>
      <c r="C301" s="87" t="str">
        <f t="shared" si="14"/>
        <v>NEUMANN</v>
      </c>
      <c r="D301" s="82" t="str">
        <f t="shared" si="13"/>
        <v>N</v>
      </c>
    </row>
    <row r="302" spans="1:4">
      <c r="A302" s="88">
        <v>42305</v>
      </c>
      <c r="B302" s="86" t="str">
        <f t="shared" si="12"/>
        <v>Workweek44</v>
      </c>
      <c r="C302" s="87" t="str">
        <f t="shared" si="14"/>
        <v>NEUMANN</v>
      </c>
      <c r="D302" s="82" t="str">
        <f t="shared" si="13"/>
        <v>N</v>
      </c>
    </row>
    <row r="303" spans="1:4">
      <c r="A303" s="88">
        <v>42306</v>
      </c>
      <c r="B303" s="86" t="str">
        <f t="shared" si="12"/>
        <v>Workweek44</v>
      </c>
      <c r="C303" s="87" t="str">
        <f t="shared" si="14"/>
        <v>NEUMANN</v>
      </c>
      <c r="D303" s="82" t="str">
        <f t="shared" si="13"/>
        <v>N</v>
      </c>
    </row>
    <row r="304" spans="1:4">
      <c r="A304" s="88">
        <v>42307</v>
      </c>
      <c r="B304" s="86" t="str">
        <f t="shared" si="12"/>
        <v>Weekend44</v>
      </c>
      <c r="C304" s="87" t="str">
        <f t="shared" si="14"/>
        <v>NEUMANN</v>
      </c>
      <c r="D304" s="82" t="str">
        <f t="shared" si="13"/>
        <v>N</v>
      </c>
    </row>
    <row r="305" spans="1:4">
      <c r="A305" s="88">
        <v>42308</v>
      </c>
      <c r="B305" s="86" t="str">
        <f t="shared" si="12"/>
        <v>Weekend44</v>
      </c>
      <c r="C305" s="87" t="str">
        <f t="shared" si="14"/>
        <v>NEUMANN</v>
      </c>
      <c r="D305" s="82" t="str">
        <f t="shared" si="13"/>
        <v>N</v>
      </c>
    </row>
    <row r="306" spans="1:4">
      <c r="A306" s="88">
        <v>42309</v>
      </c>
      <c r="B306" s="86" t="str">
        <f t="shared" si="12"/>
        <v>Weekend44</v>
      </c>
      <c r="C306" s="87" t="str">
        <f t="shared" si="14"/>
        <v>NEUMANN</v>
      </c>
      <c r="D306" s="82" t="str">
        <f t="shared" si="13"/>
        <v>N</v>
      </c>
    </row>
    <row r="307" spans="1:4">
      <c r="A307" s="88">
        <v>42310</v>
      </c>
      <c r="B307" s="86" t="str">
        <f t="shared" si="12"/>
        <v>Workweek45</v>
      </c>
      <c r="C307" s="87" t="str">
        <f t="shared" si="14"/>
        <v>LANDESMAN</v>
      </c>
      <c r="D307" s="82" t="str">
        <f t="shared" si="13"/>
        <v>L</v>
      </c>
    </row>
    <row r="308" spans="1:4">
      <c r="A308" s="88">
        <v>42311</v>
      </c>
      <c r="B308" s="86" t="str">
        <f t="shared" si="12"/>
        <v>Workweek45</v>
      </c>
      <c r="C308" s="87" t="str">
        <f t="shared" si="14"/>
        <v>LANDESMAN</v>
      </c>
      <c r="D308" s="82" t="str">
        <f t="shared" si="13"/>
        <v>L</v>
      </c>
    </row>
    <row r="309" spans="1:4">
      <c r="A309" s="88">
        <v>42312</v>
      </c>
      <c r="B309" s="86" t="str">
        <f t="shared" si="12"/>
        <v>Workweek45</v>
      </c>
      <c r="C309" s="87" t="str">
        <f t="shared" si="14"/>
        <v>LANDESMAN</v>
      </c>
      <c r="D309" s="82" t="str">
        <f t="shared" si="13"/>
        <v>L</v>
      </c>
    </row>
    <row r="310" spans="1:4">
      <c r="A310" s="88">
        <v>42313</v>
      </c>
      <c r="B310" s="86" t="str">
        <f t="shared" si="12"/>
        <v>Workweek45</v>
      </c>
      <c r="C310" s="87" t="str">
        <f t="shared" si="14"/>
        <v>LANDESMAN</v>
      </c>
      <c r="D310" s="82" t="str">
        <f t="shared" si="13"/>
        <v>L</v>
      </c>
    </row>
    <row r="311" spans="1:4">
      <c r="A311" s="88">
        <v>42314</v>
      </c>
      <c r="B311" s="86" t="str">
        <f t="shared" si="12"/>
        <v>Weekend45</v>
      </c>
      <c r="C311" s="87" t="str">
        <f t="shared" si="14"/>
        <v>MILLER</v>
      </c>
      <c r="D311" s="82" t="str">
        <f t="shared" si="13"/>
        <v>J</v>
      </c>
    </row>
    <row r="312" spans="1:4">
      <c r="A312" s="88">
        <v>42315</v>
      </c>
      <c r="B312" s="86" t="str">
        <f t="shared" si="12"/>
        <v>Weekend45</v>
      </c>
      <c r="C312" s="87" t="str">
        <f t="shared" si="14"/>
        <v>MILLER</v>
      </c>
      <c r="D312" s="82" t="str">
        <f t="shared" si="13"/>
        <v>J</v>
      </c>
    </row>
    <row r="313" spans="1:4">
      <c r="A313" s="88">
        <v>42316</v>
      </c>
      <c r="B313" s="86" t="str">
        <f t="shared" si="12"/>
        <v>Weekend45</v>
      </c>
      <c r="C313" s="87" t="str">
        <f t="shared" si="14"/>
        <v>MILLER</v>
      </c>
      <c r="D313" s="82" t="str">
        <f t="shared" si="13"/>
        <v>J</v>
      </c>
    </row>
    <row r="314" spans="1:4">
      <c r="A314" s="88">
        <v>42317</v>
      </c>
      <c r="B314" s="86" t="str">
        <f t="shared" si="12"/>
        <v>Workweek46</v>
      </c>
      <c r="C314" s="87" t="str">
        <f t="shared" si="14"/>
        <v>THIGPIN</v>
      </c>
      <c r="D314" s="82" t="str">
        <f t="shared" si="13"/>
        <v>T</v>
      </c>
    </row>
    <row r="315" spans="1:4">
      <c r="A315" s="88">
        <v>42318</v>
      </c>
      <c r="B315" s="86" t="str">
        <f t="shared" si="12"/>
        <v>Workweek46</v>
      </c>
      <c r="C315" s="87" t="str">
        <f t="shared" si="14"/>
        <v>THIGPIN</v>
      </c>
      <c r="D315" s="82" t="str">
        <f t="shared" si="13"/>
        <v>T</v>
      </c>
    </row>
    <row r="316" spans="1:4">
      <c r="A316" s="88">
        <v>42319</v>
      </c>
      <c r="B316" s="86" t="str">
        <f t="shared" si="12"/>
        <v>Workweek46</v>
      </c>
      <c r="C316" s="87" t="str">
        <f t="shared" si="14"/>
        <v>THIGPIN</v>
      </c>
      <c r="D316" s="82" t="str">
        <f t="shared" si="13"/>
        <v>T</v>
      </c>
    </row>
    <row r="317" spans="1:4">
      <c r="A317" s="88">
        <v>42320</v>
      </c>
      <c r="B317" s="86" t="str">
        <f t="shared" si="12"/>
        <v>Workweek46</v>
      </c>
      <c r="C317" s="87" t="str">
        <f t="shared" si="14"/>
        <v>THIGPIN</v>
      </c>
      <c r="D317" s="82" t="str">
        <f t="shared" si="13"/>
        <v>T</v>
      </c>
    </row>
    <row r="318" spans="1:4">
      <c r="A318" s="88">
        <v>42321</v>
      </c>
      <c r="B318" s="86" t="str">
        <f t="shared" si="12"/>
        <v>Weekend46</v>
      </c>
      <c r="C318" s="87" t="str">
        <f t="shared" si="14"/>
        <v>MACKSOOD</v>
      </c>
      <c r="D318" s="82" t="str">
        <f t="shared" si="13"/>
        <v>M</v>
      </c>
    </row>
    <row r="319" spans="1:4">
      <c r="A319" s="88">
        <v>42322</v>
      </c>
      <c r="B319" s="86" t="str">
        <f t="shared" si="12"/>
        <v>Weekend46</v>
      </c>
      <c r="C319" s="87" t="str">
        <f t="shared" si="14"/>
        <v>MACKSOOD</v>
      </c>
      <c r="D319" s="82" t="str">
        <f t="shared" si="13"/>
        <v>M</v>
      </c>
    </row>
    <row r="320" spans="1:4">
      <c r="A320" s="88">
        <v>42323</v>
      </c>
      <c r="B320" s="86" t="str">
        <f t="shared" si="12"/>
        <v>Weekend46</v>
      </c>
      <c r="C320" s="87" t="str">
        <f t="shared" si="14"/>
        <v>MACKSOOD</v>
      </c>
      <c r="D320" s="82" t="str">
        <f t="shared" si="13"/>
        <v>M</v>
      </c>
    </row>
    <row r="321" spans="1:4">
      <c r="A321" s="88">
        <v>42324</v>
      </c>
      <c r="B321" s="86" t="str">
        <f t="shared" si="12"/>
        <v>Workweek47</v>
      </c>
      <c r="C321" s="87" t="str">
        <f t="shared" si="14"/>
        <v>MILLER</v>
      </c>
      <c r="D321" s="82" t="str">
        <f t="shared" si="13"/>
        <v>J</v>
      </c>
    </row>
    <row r="322" spans="1:4">
      <c r="A322" s="88">
        <v>42325</v>
      </c>
      <c r="B322" s="86" t="str">
        <f t="shared" ref="B322:B366" si="15">IF(AND(A322=42005,WEEKDAY(A322,2)&lt;&gt;1),"WorkWeek53",VLOOKUP(WEEKDAY(A322,2),Wday_Code,4,FALSE)&amp;WEEKNUM(A322,2))</f>
        <v>Workweek47</v>
      </c>
      <c r="C322" s="87" t="str">
        <f t="shared" si="14"/>
        <v>MILLER</v>
      </c>
      <c r="D322" s="82" t="str">
        <f t="shared" ref="D322:D366" si="16">VLOOKUP(C322,Doc_Code,2,FALSE)</f>
        <v>J</v>
      </c>
    </row>
    <row r="323" spans="1:4">
      <c r="A323" s="88">
        <v>42326</v>
      </c>
      <c r="B323" s="86" t="str">
        <f t="shared" si="15"/>
        <v>Workweek47</v>
      </c>
      <c r="C323" s="87" t="str">
        <f t="shared" ref="C323:C366" si="17">IF(IFERROR(SEARCH("Workweek",B323),"")=1,VLOOKUP(B323,OnCall_Workweek_Array,2,FALSE),VLOOKUP(B323,OnCall_Weekend_Array,2,FALSE))</f>
        <v>MILLER</v>
      </c>
      <c r="D323" s="82" t="str">
        <f t="shared" si="16"/>
        <v>J</v>
      </c>
    </row>
    <row r="324" spans="1:4">
      <c r="A324" s="88">
        <v>42327</v>
      </c>
      <c r="B324" s="86" t="str">
        <f t="shared" si="15"/>
        <v>Workweek47</v>
      </c>
      <c r="C324" s="87" t="str">
        <f t="shared" si="17"/>
        <v>MILLER</v>
      </c>
      <c r="D324" s="82" t="str">
        <f t="shared" si="16"/>
        <v>J</v>
      </c>
    </row>
    <row r="325" spans="1:4">
      <c r="A325" s="88">
        <v>42328</v>
      </c>
      <c r="B325" s="86" t="str">
        <f t="shared" si="15"/>
        <v>Weekend47</v>
      </c>
      <c r="C325" s="87" t="str">
        <f t="shared" si="17"/>
        <v>LANDESMAN</v>
      </c>
      <c r="D325" s="82" t="str">
        <f t="shared" si="16"/>
        <v>L</v>
      </c>
    </row>
    <row r="326" spans="1:4">
      <c r="A326" s="88">
        <v>42329</v>
      </c>
      <c r="B326" s="86" t="str">
        <f t="shared" si="15"/>
        <v>Weekend47</v>
      </c>
      <c r="C326" s="87" t="str">
        <f t="shared" si="17"/>
        <v>LANDESMAN</v>
      </c>
      <c r="D326" s="82" t="str">
        <f t="shared" si="16"/>
        <v>L</v>
      </c>
    </row>
    <row r="327" spans="1:4">
      <c r="A327" s="88">
        <v>42330</v>
      </c>
      <c r="B327" s="86" t="str">
        <f t="shared" si="15"/>
        <v>Weekend47</v>
      </c>
      <c r="C327" s="87" t="str">
        <f t="shared" si="17"/>
        <v>LANDESMAN</v>
      </c>
      <c r="D327" s="82" t="str">
        <f t="shared" si="16"/>
        <v>L</v>
      </c>
    </row>
    <row r="328" spans="1:4">
      <c r="A328" s="88">
        <v>42331</v>
      </c>
      <c r="B328" s="86" t="str">
        <f t="shared" si="15"/>
        <v>Workweek48</v>
      </c>
      <c r="C328" s="87" t="str">
        <f t="shared" si="17"/>
        <v>SMITH</v>
      </c>
      <c r="D328" s="82" t="str">
        <f t="shared" si="16"/>
        <v>S</v>
      </c>
    </row>
    <row r="329" spans="1:4">
      <c r="A329" s="88">
        <v>42332</v>
      </c>
      <c r="B329" s="86" t="str">
        <f t="shared" si="15"/>
        <v>Workweek48</v>
      </c>
      <c r="C329" s="87" t="str">
        <f t="shared" si="17"/>
        <v>SMITH</v>
      </c>
      <c r="D329" s="82" t="str">
        <f t="shared" si="16"/>
        <v>S</v>
      </c>
    </row>
    <row r="330" spans="1:4">
      <c r="A330" s="88">
        <v>42333</v>
      </c>
      <c r="B330" s="86" t="str">
        <f t="shared" si="15"/>
        <v>Workweek48</v>
      </c>
      <c r="C330" s="87" t="str">
        <f t="shared" si="17"/>
        <v>SMITH</v>
      </c>
      <c r="D330" s="82" t="str">
        <f t="shared" si="16"/>
        <v>S</v>
      </c>
    </row>
    <row r="331" spans="1:4">
      <c r="A331" s="88">
        <v>42334</v>
      </c>
      <c r="B331" s="86" t="str">
        <f t="shared" si="15"/>
        <v>Workweek48</v>
      </c>
      <c r="C331" s="87" t="str">
        <f t="shared" si="17"/>
        <v>SMITH</v>
      </c>
      <c r="D331" s="82" t="str">
        <f t="shared" si="16"/>
        <v>S</v>
      </c>
    </row>
    <row r="332" spans="1:4">
      <c r="A332" s="88">
        <v>42335</v>
      </c>
      <c r="B332" s="86" t="str">
        <f>IF(AND(A332=42005,WEEKDAY(A332,2)&lt;&gt;1),"WorkWeek53",VLOOKUP(WEEKDAY(A332,2),Wday_Code,4,FALSE)&amp;WEEKNUM(A332,2))</f>
        <v>Weekend48</v>
      </c>
      <c r="C332" s="87" t="str">
        <f>IF(IFERROR(SEARCH("Workweek",B332),"")=1,VLOOKUP(B332,OnCall_Workweek_Array,2,FALSE),VLOOKUP(B332,OnCall_Weekend_Array,2,FALSE))</f>
        <v>KORTE</v>
      </c>
      <c r="D332" s="82" t="str">
        <f t="shared" si="16"/>
        <v>K</v>
      </c>
    </row>
    <row r="333" spans="1:4">
      <c r="A333" s="88">
        <v>42336</v>
      </c>
      <c r="B333" s="86" t="str">
        <f t="shared" si="15"/>
        <v>Weekend48</v>
      </c>
      <c r="C333" s="87" t="str">
        <f>IF(IFERROR(SEARCH("Workweek",B333),"")=1,VLOOKUP(B333,OnCall_Workweek_Array,2,FALSE),VLOOKUP(B333,OnCall_Weekend_Array,2,FALSE))</f>
        <v>KORTE</v>
      </c>
      <c r="D333" s="82" t="str">
        <f t="shared" si="16"/>
        <v>K</v>
      </c>
    </row>
    <row r="334" spans="1:4">
      <c r="A334" s="88">
        <v>42337</v>
      </c>
      <c r="B334" s="86" t="str">
        <f t="shared" si="15"/>
        <v>Weekend48</v>
      </c>
      <c r="C334" s="87" t="str">
        <f t="shared" si="17"/>
        <v>KORTE</v>
      </c>
      <c r="D334" s="82" t="str">
        <f t="shared" si="16"/>
        <v>K</v>
      </c>
    </row>
    <row r="335" spans="1:4">
      <c r="A335" s="88">
        <v>42338</v>
      </c>
      <c r="B335" s="86" t="str">
        <f t="shared" si="15"/>
        <v>Workweek49</v>
      </c>
      <c r="C335" s="87" t="str">
        <f t="shared" si="17"/>
        <v>MACKSOOD</v>
      </c>
      <c r="D335" s="82" t="str">
        <f t="shared" si="16"/>
        <v>M</v>
      </c>
    </row>
    <row r="336" spans="1:4">
      <c r="A336" s="88">
        <v>42339</v>
      </c>
      <c r="B336" s="86" t="str">
        <f t="shared" si="15"/>
        <v>Workweek49</v>
      </c>
      <c r="C336" s="87" t="str">
        <f t="shared" si="17"/>
        <v>MACKSOOD</v>
      </c>
      <c r="D336" s="82" t="str">
        <f t="shared" si="16"/>
        <v>M</v>
      </c>
    </row>
    <row r="337" spans="1:4">
      <c r="A337" s="88">
        <v>42340</v>
      </c>
      <c r="B337" s="86" t="str">
        <f t="shared" si="15"/>
        <v>Workweek49</v>
      </c>
      <c r="C337" s="87" t="str">
        <f t="shared" si="17"/>
        <v>MACKSOOD</v>
      </c>
      <c r="D337" s="82" t="str">
        <f t="shared" si="16"/>
        <v>M</v>
      </c>
    </row>
    <row r="338" spans="1:4">
      <c r="A338" s="88">
        <v>42341</v>
      </c>
      <c r="B338" s="86" t="str">
        <f t="shared" si="15"/>
        <v>Workweek49</v>
      </c>
      <c r="C338" s="87" t="str">
        <f t="shared" si="17"/>
        <v>MACKSOOD</v>
      </c>
      <c r="D338" s="82" t="str">
        <f t="shared" si="16"/>
        <v>M</v>
      </c>
    </row>
    <row r="339" spans="1:4">
      <c r="A339" s="88">
        <v>42342</v>
      </c>
      <c r="B339" s="86" t="str">
        <f t="shared" si="15"/>
        <v>Weekend49</v>
      </c>
      <c r="C339" s="87" t="str">
        <f t="shared" si="17"/>
        <v>MINAUDO</v>
      </c>
      <c r="D339" s="82" t="str">
        <f t="shared" si="16"/>
        <v>O</v>
      </c>
    </row>
    <row r="340" spans="1:4">
      <c r="A340" s="88">
        <v>42343</v>
      </c>
      <c r="B340" s="86" t="str">
        <f t="shared" si="15"/>
        <v>Weekend49</v>
      </c>
      <c r="C340" s="87" t="str">
        <f t="shared" si="17"/>
        <v>MINAUDO</v>
      </c>
      <c r="D340" s="82" t="str">
        <f t="shared" si="16"/>
        <v>O</v>
      </c>
    </row>
    <row r="341" spans="1:4">
      <c r="A341" s="88">
        <v>42344</v>
      </c>
      <c r="B341" s="86" t="str">
        <f t="shared" si="15"/>
        <v>Weekend49</v>
      </c>
      <c r="C341" s="87" t="str">
        <f t="shared" si="17"/>
        <v>MINAUDO</v>
      </c>
      <c r="D341" s="82" t="str">
        <f t="shared" si="16"/>
        <v>O</v>
      </c>
    </row>
    <row r="342" spans="1:4">
      <c r="A342" s="88">
        <v>42345</v>
      </c>
      <c r="B342" s="86" t="str">
        <f t="shared" si="15"/>
        <v>Workweek50</v>
      </c>
      <c r="C342" s="87" t="str">
        <f t="shared" si="17"/>
        <v>NEUMANN</v>
      </c>
      <c r="D342" s="82" t="str">
        <f t="shared" si="16"/>
        <v>N</v>
      </c>
    </row>
    <row r="343" spans="1:4">
      <c r="A343" s="88">
        <v>42346</v>
      </c>
      <c r="B343" s="86" t="str">
        <f t="shared" si="15"/>
        <v>Workweek50</v>
      </c>
      <c r="C343" s="87" t="str">
        <f t="shared" si="17"/>
        <v>NEUMANN</v>
      </c>
      <c r="D343" s="82" t="str">
        <f t="shared" si="16"/>
        <v>N</v>
      </c>
    </row>
    <row r="344" spans="1:4">
      <c r="A344" s="88">
        <v>42347</v>
      </c>
      <c r="B344" s="86" t="str">
        <f t="shared" si="15"/>
        <v>Workweek50</v>
      </c>
      <c r="C344" s="87" t="str">
        <f t="shared" si="17"/>
        <v>NEUMANN</v>
      </c>
      <c r="D344" s="82" t="str">
        <f t="shared" si="16"/>
        <v>N</v>
      </c>
    </row>
    <row r="345" spans="1:4">
      <c r="A345" s="88">
        <v>42348</v>
      </c>
      <c r="B345" s="86" t="str">
        <f t="shared" si="15"/>
        <v>Workweek50</v>
      </c>
      <c r="C345" s="87" t="str">
        <f t="shared" si="17"/>
        <v>NEUMANN</v>
      </c>
      <c r="D345" s="82" t="str">
        <f t="shared" si="16"/>
        <v>N</v>
      </c>
    </row>
    <row r="346" spans="1:4">
      <c r="A346" s="88">
        <v>42349</v>
      </c>
      <c r="B346" s="86" t="str">
        <f t="shared" si="15"/>
        <v>Weekend50</v>
      </c>
      <c r="C346" s="87" t="str">
        <f t="shared" si="17"/>
        <v>MILLER</v>
      </c>
      <c r="D346" s="82" t="str">
        <f t="shared" si="16"/>
        <v>J</v>
      </c>
    </row>
    <row r="347" spans="1:4">
      <c r="A347" s="88">
        <v>42350</v>
      </c>
      <c r="B347" s="86" t="str">
        <f t="shared" si="15"/>
        <v>Weekend50</v>
      </c>
      <c r="C347" s="87" t="str">
        <f t="shared" si="17"/>
        <v>MILLER</v>
      </c>
      <c r="D347" s="82" t="str">
        <f t="shared" si="16"/>
        <v>J</v>
      </c>
    </row>
    <row r="348" spans="1:4">
      <c r="A348" s="88">
        <v>42351</v>
      </c>
      <c r="B348" s="86" t="str">
        <f t="shared" si="15"/>
        <v>Weekend50</v>
      </c>
      <c r="C348" s="87" t="str">
        <f t="shared" si="17"/>
        <v>MILLER</v>
      </c>
      <c r="D348" s="82" t="str">
        <f t="shared" si="16"/>
        <v>J</v>
      </c>
    </row>
    <row r="349" spans="1:4">
      <c r="A349" s="88">
        <v>42352</v>
      </c>
      <c r="B349" s="86" t="str">
        <f t="shared" si="15"/>
        <v>Workweek51</v>
      </c>
      <c r="C349" s="87" t="str">
        <f t="shared" si="17"/>
        <v>MINAUDO</v>
      </c>
      <c r="D349" s="82" t="str">
        <f t="shared" si="16"/>
        <v>O</v>
      </c>
    </row>
    <row r="350" spans="1:4">
      <c r="A350" s="88">
        <v>42353</v>
      </c>
      <c r="B350" s="86" t="str">
        <f t="shared" si="15"/>
        <v>Workweek51</v>
      </c>
      <c r="C350" s="87" t="str">
        <f t="shared" si="17"/>
        <v>MINAUDO</v>
      </c>
      <c r="D350" s="82" t="str">
        <f t="shared" si="16"/>
        <v>O</v>
      </c>
    </row>
    <row r="351" spans="1:4">
      <c r="A351" s="88">
        <v>42354</v>
      </c>
      <c r="B351" s="86" t="str">
        <f t="shared" si="15"/>
        <v>Workweek51</v>
      </c>
      <c r="C351" s="87" t="str">
        <f t="shared" si="17"/>
        <v>MINAUDO</v>
      </c>
      <c r="D351" s="82" t="str">
        <f t="shared" si="16"/>
        <v>O</v>
      </c>
    </row>
    <row r="352" spans="1:4">
      <c r="A352" s="88">
        <v>42355</v>
      </c>
      <c r="B352" s="86" t="str">
        <f t="shared" si="15"/>
        <v>Workweek51</v>
      </c>
      <c r="C352" s="87" t="str">
        <f t="shared" si="17"/>
        <v>MINAUDO</v>
      </c>
      <c r="D352" s="82" t="str">
        <f t="shared" si="16"/>
        <v>O</v>
      </c>
    </row>
    <row r="353" spans="1:4">
      <c r="A353" s="88">
        <v>42356</v>
      </c>
      <c r="B353" s="86" t="str">
        <f t="shared" si="15"/>
        <v>Weekend51</v>
      </c>
      <c r="C353" s="87" t="str">
        <f t="shared" si="17"/>
        <v>MACKSOOD</v>
      </c>
      <c r="D353" s="82" t="str">
        <f t="shared" si="16"/>
        <v>M</v>
      </c>
    </row>
    <row r="354" spans="1:4">
      <c r="A354" s="88">
        <v>42357</v>
      </c>
      <c r="B354" s="86" t="str">
        <f t="shared" si="15"/>
        <v>Weekend51</v>
      </c>
      <c r="C354" s="87" t="str">
        <f t="shared" si="17"/>
        <v>MACKSOOD</v>
      </c>
      <c r="D354" s="82" t="str">
        <f t="shared" si="16"/>
        <v>M</v>
      </c>
    </row>
    <row r="355" spans="1:4">
      <c r="A355" s="88">
        <v>42358</v>
      </c>
      <c r="B355" s="86" t="str">
        <f t="shared" si="15"/>
        <v>Weekend51</v>
      </c>
      <c r="C355" s="87" t="str">
        <f t="shared" si="17"/>
        <v>MACKSOOD</v>
      </c>
      <c r="D355" s="82" t="str">
        <f t="shared" si="16"/>
        <v>M</v>
      </c>
    </row>
    <row r="356" spans="1:4">
      <c r="A356" s="88">
        <v>42359</v>
      </c>
      <c r="B356" s="86" t="str">
        <f t="shared" si="15"/>
        <v>Workweek52</v>
      </c>
      <c r="C356" s="87" t="str">
        <f t="shared" si="17"/>
        <v>THIGPIN</v>
      </c>
      <c r="D356" s="82" t="str">
        <f t="shared" si="16"/>
        <v>T</v>
      </c>
    </row>
    <row r="357" spans="1:4">
      <c r="A357" s="88">
        <v>42360</v>
      </c>
      <c r="B357" s="86" t="str">
        <f t="shared" si="15"/>
        <v>Workweek52</v>
      </c>
      <c r="C357" s="87" t="str">
        <f t="shared" si="17"/>
        <v>THIGPIN</v>
      </c>
      <c r="D357" s="82" t="str">
        <f t="shared" si="16"/>
        <v>T</v>
      </c>
    </row>
    <row r="358" spans="1:4">
      <c r="A358" s="88">
        <v>42361</v>
      </c>
      <c r="B358" s="86" t="str">
        <f t="shared" si="15"/>
        <v>Workweek52</v>
      </c>
      <c r="C358" s="87" t="str">
        <f t="shared" si="17"/>
        <v>THIGPIN</v>
      </c>
      <c r="D358" s="82" t="str">
        <f t="shared" si="16"/>
        <v>T</v>
      </c>
    </row>
    <row r="359" spans="1:4">
      <c r="A359" s="88">
        <v>42362</v>
      </c>
      <c r="B359" s="86" t="str">
        <f t="shared" si="15"/>
        <v>Workweek52</v>
      </c>
      <c r="C359" s="87" t="str">
        <f t="shared" si="17"/>
        <v>THIGPIN</v>
      </c>
      <c r="D359" s="82" t="str">
        <f t="shared" si="16"/>
        <v>T</v>
      </c>
    </row>
    <row r="360" spans="1:4">
      <c r="A360" s="88">
        <v>42363</v>
      </c>
      <c r="B360" s="86" t="str">
        <f t="shared" si="15"/>
        <v>Weekend52</v>
      </c>
      <c r="C360" s="87" t="str">
        <f t="shared" si="17"/>
        <v>THIGPIN</v>
      </c>
      <c r="D360" s="82" t="str">
        <f t="shared" si="16"/>
        <v>T</v>
      </c>
    </row>
    <row r="361" spans="1:4">
      <c r="A361" s="88">
        <v>42364</v>
      </c>
      <c r="B361" s="86" t="str">
        <f t="shared" si="15"/>
        <v>Weekend52</v>
      </c>
      <c r="C361" s="87" t="str">
        <f t="shared" si="17"/>
        <v>THIGPIN</v>
      </c>
      <c r="D361" s="82" t="str">
        <f t="shared" si="16"/>
        <v>T</v>
      </c>
    </row>
    <row r="362" spans="1:4">
      <c r="A362" s="88">
        <v>42365</v>
      </c>
      <c r="B362" s="86" t="str">
        <f t="shared" si="15"/>
        <v>Weekend52</v>
      </c>
      <c r="C362" s="87" t="str">
        <f t="shared" si="17"/>
        <v>THIGPIN</v>
      </c>
      <c r="D362" s="82" t="str">
        <f t="shared" si="16"/>
        <v>T</v>
      </c>
    </row>
    <row r="363" spans="1:4">
      <c r="A363" s="88">
        <v>42366</v>
      </c>
      <c r="B363" s="86" t="str">
        <f t="shared" si="15"/>
        <v>Workweek53</v>
      </c>
      <c r="C363" s="87" t="str">
        <f t="shared" si="17"/>
        <v>MINAUDO</v>
      </c>
      <c r="D363" s="82" t="str">
        <f t="shared" si="16"/>
        <v>O</v>
      </c>
    </row>
    <row r="364" spans="1:4">
      <c r="A364" s="88">
        <v>42367</v>
      </c>
      <c r="B364" s="86" t="str">
        <f t="shared" si="15"/>
        <v>Workweek53</v>
      </c>
      <c r="C364" s="87" t="str">
        <f t="shared" si="17"/>
        <v>MINAUDO</v>
      </c>
      <c r="D364" s="82" t="str">
        <f t="shared" si="16"/>
        <v>O</v>
      </c>
    </row>
    <row r="365" spans="1:4">
      <c r="A365" s="88">
        <v>42368</v>
      </c>
      <c r="B365" s="86" t="str">
        <f t="shared" si="15"/>
        <v>Workweek53</v>
      </c>
      <c r="C365" s="87" t="str">
        <f t="shared" si="17"/>
        <v>MINAUDO</v>
      </c>
      <c r="D365" s="82" t="str">
        <f t="shared" si="16"/>
        <v>O</v>
      </c>
    </row>
    <row r="366" spans="1:4">
      <c r="A366" s="88">
        <v>42369</v>
      </c>
      <c r="B366" s="86" t="str">
        <f t="shared" si="15"/>
        <v>Workweek53</v>
      </c>
      <c r="C366" s="87" t="str">
        <f t="shared" si="17"/>
        <v>MINAUDO</v>
      </c>
      <c r="D366" s="82" t="str">
        <f t="shared" si="16"/>
        <v>O</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5">
    <pageSetUpPr fitToPage="1"/>
  </sheetPr>
  <dimension ref="A1:AL111"/>
  <sheetViews>
    <sheetView zoomScale="70" zoomScaleNormal="70" workbookViewId="0"/>
  </sheetViews>
  <sheetFormatPr defaultRowHeight="15"/>
  <cols>
    <col min="1" max="1" width="5.7109375" customWidth="1"/>
    <col min="2" max="2" width="4.140625" style="2" customWidth="1"/>
    <col min="3" max="3" width="9.140625" style="2"/>
    <col min="4" max="4" width="12.5703125" style="67" customWidth="1"/>
    <col min="5" max="5" width="4.140625" style="2" customWidth="1"/>
    <col min="6" max="6" width="9.140625" style="2"/>
    <col min="7" max="7" width="12.5703125" style="67" customWidth="1"/>
    <col min="8" max="8" width="4.140625" style="2" customWidth="1"/>
    <col min="9" max="9" width="9.140625" style="2"/>
    <col min="10" max="10" width="12.5703125" style="67" customWidth="1"/>
    <col min="11" max="11" width="4.140625" style="2" customWidth="1"/>
    <col min="12" max="12" width="9.140625" style="2"/>
    <col min="13" max="13" width="12.5703125" style="67" customWidth="1"/>
    <col min="14" max="14" width="4.140625" style="2" customWidth="1"/>
    <col min="15" max="15" width="9.140625" style="2"/>
    <col min="16" max="16" width="12.5703125" style="67" customWidth="1"/>
    <col min="17" max="17" width="4.140625" style="2" customWidth="1"/>
    <col min="18" max="18" width="9.140625" style="2"/>
    <col min="19" max="19" width="12.5703125" style="67" customWidth="1"/>
    <col min="20" max="20" width="4.140625" style="2" customWidth="1"/>
    <col min="21" max="21" width="9.140625" style="2"/>
    <col min="22" max="22" width="12.5703125" style="67" customWidth="1"/>
    <col min="23" max="23" width="5.7109375" style="2" customWidth="1"/>
    <col min="24" max="24" width="12.28515625" style="107" customWidth="1"/>
    <col min="25" max="31" width="12.28515625" style="2" customWidth="1"/>
    <col min="32" max="37" width="12.28515625" customWidth="1"/>
  </cols>
  <sheetData>
    <row r="1" spans="1:38" s="1" customFormat="1" ht="27.75" customHeight="1">
      <c r="A1"/>
      <c r="B1" s="185"/>
      <c r="C1" s="185"/>
      <c r="D1" s="185"/>
      <c r="E1" s="185"/>
      <c r="F1" s="185"/>
      <c r="G1" s="185"/>
      <c r="H1" s="185"/>
      <c r="I1" s="185"/>
      <c r="J1" s="185"/>
      <c r="K1" s="185"/>
      <c r="L1" s="185"/>
      <c r="M1" s="185"/>
      <c r="N1" s="185"/>
      <c r="O1" s="185"/>
      <c r="P1" s="185"/>
      <c r="Q1" s="185"/>
      <c r="R1" s="185"/>
      <c r="S1" s="185"/>
      <c r="T1" s="185"/>
      <c r="U1" s="185"/>
      <c r="V1" s="185"/>
      <c r="X1" s="104"/>
    </row>
    <row r="2" spans="1:38" s="74" customFormat="1" ht="25.5" customHeight="1">
      <c r="A2" s="73"/>
      <c r="B2" s="184" t="s">
        <v>0</v>
      </c>
      <c r="C2" s="184"/>
      <c r="D2" s="184"/>
      <c r="E2" s="184" t="s">
        <v>1</v>
      </c>
      <c r="F2" s="184"/>
      <c r="G2" s="184"/>
      <c r="H2" s="184" t="s">
        <v>2</v>
      </c>
      <c r="I2" s="184"/>
      <c r="J2" s="184"/>
      <c r="K2" s="184" t="s">
        <v>160</v>
      </c>
      <c r="L2" s="184"/>
      <c r="M2" s="184"/>
      <c r="N2" s="184" t="s">
        <v>161</v>
      </c>
      <c r="O2" s="184"/>
      <c r="P2" s="184"/>
      <c r="Q2" s="184" t="s">
        <v>162</v>
      </c>
      <c r="R2" s="184"/>
      <c r="S2" s="184"/>
      <c r="T2" s="184" t="s">
        <v>163</v>
      </c>
      <c r="U2" s="184"/>
      <c r="V2" s="184"/>
      <c r="X2" s="105"/>
    </row>
    <row r="3" spans="1:38" s="65" customFormat="1" ht="15.75" customHeight="1">
      <c r="A3" s="64"/>
      <c r="B3" s="174"/>
      <c r="C3" s="174"/>
      <c r="D3" s="162"/>
      <c r="E3" s="174"/>
      <c r="F3" s="174"/>
      <c r="G3" s="163"/>
      <c r="H3" s="174"/>
      <c r="I3" s="174"/>
      <c r="J3" s="163"/>
      <c r="K3" s="174"/>
      <c r="L3" s="174"/>
      <c r="M3" s="163"/>
      <c r="N3" s="174"/>
      <c r="O3" s="174"/>
      <c r="P3" s="164"/>
      <c r="Q3" s="174"/>
      <c r="R3" s="174"/>
      <c r="S3" s="163"/>
      <c r="T3" s="174"/>
      <c r="U3" s="174"/>
      <c r="V3" s="164"/>
      <c r="X3" s="106"/>
      <c r="Y3" s="106"/>
      <c r="Z3" s="106"/>
      <c r="AA3" s="106"/>
      <c r="AB3" s="106"/>
      <c r="AC3" s="106"/>
      <c r="AD3" s="106"/>
      <c r="AE3" s="106"/>
      <c r="AF3" s="106"/>
      <c r="AG3" s="106"/>
      <c r="AH3" s="106"/>
      <c r="AI3" s="106"/>
      <c r="AJ3" s="106"/>
    </row>
    <row r="4" spans="1:38" s="2" customFormat="1" ht="18.75">
      <c r="A4"/>
      <c r="B4" s="61" t="str">
        <f>IF(ISBLANK(B3),"",DAY(B3))</f>
        <v/>
      </c>
      <c r="C4" s="62"/>
      <c r="D4" s="102"/>
      <c r="E4" s="61" t="str">
        <f>IF(ISBLANK(E3),"",DAY(E3))</f>
        <v/>
      </c>
      <c r="F4" s="62"/>
      <c r="G4" s="66"/>
      <c r="H4" s="61" t="str">
        <f>IF(ISBLANK(H3),"",DAY(H3))</f>
        <v/>
      </c>
      <c r="I4" s="62"/>
      <c r="J4" s="66"/>
      <c r="K4" s="61" t="str">
        <f>IF(ISBLANK(K3),"",DAY(K3))</f>
        <v/>
      </c>
      <c r="L4" s="62"/>
      <c r="M4" s="66"/>
      <c r="N4" s="61" t="str">
        <f>IF(ISBLANK(N3),"",DAY(N3))</f>
        <v/>
      </c>
      <c r="O4" s="62"/>
      <c r="P4" s="66"/>
      <c r="Q4" s="61" t="str">
        <f>IF(ISBLANK(Q3),"",DAY(Q3))</f>
        <v/>
      </c>
      <c r="R4" s="62"/>
      <c r="S4" s="66"/>
      <c r="T4" s="61" t="str">
        <f>IF(ISBLANK(T3),"",DAY(T3))</f>
        <v/>
      </c>
      <c r="U4" s="62"/>
      <c r="V4" s="66"/>
      <c r="X4" s="107"/>
      <c r="Y4" s="107"/>
      <c r="Z4" s="59"/>
      <c r="AA4" s="107"/>
      <c r="AB4" s="109"/>
      <c r="AC4" s="109"/>
      <c r="AD4" s="109"/>
      <c r="AE4" s="109"/>
      <c r="AF4" s="109"/>
      <c r="AG4" s="109"/>
      <c r="AH4" s="109"/>
      <c r="AI4" s="109"/>
      <c r="AJ4" s="107"/>
    </row>
    <row r="5" spans="1:38" s="60" customFormat="1" hidden="1">
      <c r="B5" s="75" t="s">
        <v>16</v>
      </c>
      <c r="C5" s="76" t="s">
        <v>17</v>
      </c>
      <c r="D5" s="165" t="s">
        <v>15</v>
      </c>
      <c r="E5" s="75" t="s">
        <v>16</v>
      </c>
      <c r="F5" s="76" t="s">
        <v>17</v>
      </c>
      <c r="G5" s="166" t="s">
        <v>15</v>
      </c>
      <c r="H5" s="75" t="s">
        <v>16</v>
      </c>
      <c r="I5" s="76" t="s">
        <v>17</v>
      </c>
      <c r="J5" s="166" t="s">
        <v>15</v>
      </c>
      <c r="K5" s="75" t="s">
        <v>16</v>
      </c>
      <c r="L5" s="76" t="s">
        <v>17</v>
      </c>
      <c r="M5" s="166" t="s">
        <v>15</v>
      </c>
      <c r="N5" s="75" t="s">
        <v>16</v>
      </c>
      <c r="O5" s="76" t="s">
        <v>17</v>
      </c>
      <c r="P5" s="166" t="s">
        <v>15</v>
      </c>
      <c r="Q5" s="75" t="s">
        <v>16</v>
      </c>
      <c r="R5" s="76" t="s">
        <v>17</v>
      </c>
      <c r="S5" s="166" t="s">
        <v>15</v>
      </c>
      <c r="T5" s="75" t="s">
        <v>16</v>
      </c>
      <c r="U5" s="76" t="s">
        <v>17</v>
      </c>
      <c r="V5" s="166" t="s">
        <v>15</v>
      </c>
      <c r="W5" s="21"/>
      <c r="X5" s="21"/>
      <c r="Y5" s="21"/>
      <c r="Z5" s="59"/>
      <c r="AA5" s="21"/>
      <c r="AB5" s="21"/>
      <c r="AC5" s="21"/>
      <c r="AD5" s="21"/>
      <c r="AE5" s="21"/>
    </row>
    <row r="6" spans="1:38" ht="15.75" customHeight="1">
      <c r="B6" s="122" t="s">
        <v>165</v>
      </c>
      <c r="C6" s="120" t="s">
        <v>159</v>
      </c>
      <c r="D6" s="123"/>
      <c r="E6" s="122" t="s">
        <v>165</v>
      </c>
      <c r="F6" s="120" t="s">
        <v>159</v>
      </c>
      <c r="G6" s="121"/>
      <c r="H6" s="122" t="s">
        <v>165</v>
      </c>
      <c r="I6" s="120" t="s">
        <v>159</v>
      </c>
      <c r="J6" s="121"/>
      <c r="K6" s="122" t="s">
        <v>165</v>
      </c>
      <c r="L6" s="120" t="s">
        <v>159</v>
      </c>
      <c r="M6" s="121"/>
      <c r="N6" s="122" t="s">
        <v>165</v>
      </c>
      <c r="O6" s="120" t="s">
        <v>159</v>
      </c>
      <c r="P6" s="121"/>
      <c r="Q6" s="122" t="s">
        <v>165</v>
      </c>
      <c r="R6" s="120" t="s">
        <v>159</v>
      </c>
      <c r="S6" s="121"/>
      <c r="T6" s="122" t="s">
        <v>165</v>
      </c>
      <c r="U6" s="120" t="s">
        <v>159</v>
      </c>
      <c r="V6" s="121"/>
      <c r="X6" s="124"/>
      <c r="Y6" s="147" t="s">
        <v>18</v>
      </c>
      <c r="Z6" s="147" t="s">
        <v>153</v>
      </c>
      <c r="AA6" s="147" t="s">
        <v>19</v>
      </c>
      <c r="AB6" s="147" t="s">
        <v>20</v>
      </c>
      <c r="AC6" s="147" t="s">
        <v>21</v>
      </c>
      <c r="AD6" s="147" t="s">
        <v>22</v>
      </c>
      <c r="AE6" s="147" t="s">
        <v>23</v>
      </c>
      <c r="AF6" s="147" t="s">
        <v>24</v>
      </c>
      <c r="AG6" s="147" t="s">
        <v>44</v>
      </c>
      <c r="AH6" s="147" t="s">
        <v>179</v>
      </c>
      <c r="AI6" s="147" t="s">
        <v>180</v>
      </c>
      <c r="AJ6" s="147" t="s">
        <v>159</v>
      </c>
      <c r="AK6" s="156" t="s">
        <v>211</v>
      </c>
    </row>
    <row r="7" spans="1:38" s="77" customFormat="1" ht="15.75" customHeight="1">
      <c r="B7" s="79" t="s">
        <v>3</v>
      </c>
      <c r="C7" s="9"/>
      <c r="D7" s="103"/>
      <c r="E7" s="79" t="s">
        <v>3</v>
      </c>
      <c r="F7" s="9"/>
      <c r="G7" s="63"/>
      <c r="H7" s="79" t="s">
        <v>3</v>
      </c>
      <c r="I7" s="9"/>
      <c r="J7" s="63"/>
      <c r="K7" s="79" t="s">
        <v>3</v>
      </c>
      <c r="L7" s="9"/>
      <c r="M7" s="63"/>
      <c r="N7" s="79" t="s">
        <v>3</v>
      </c>
      <c r="O7" s="9"/>
      <c r="P7" s="63"/>
      <c r="Q7" s="79" t="s">
        <v>3</v>
      </c>
      <c r="R7" s="9"/>
      <c r="S7" s="63"/>
      <c r="T7" s="79" t="s">
        <v>3</v>
      </c>
      <c r="U7" s="9"/>
      <c r="V7" s="63"/>
      <c r="X7" s="145" t="s">
        <v>3</v>
      </c>
      <c r="Y7" s="148">
        <f>COUNTIF($B7:$V7,Y$6)+COUNTIF($B22:$V22,Y$6)+COUNTIF($B37:$V37,Y$6)+COUNTIF($B52:$V52,Y$6)+COUNTIF($B67:$V67,Y$6)+COUNTIF($B82:$V82,Y$6)</f>
        <v>0</v>
      </c>
      <c r="Z7" s="148">
        <f t="shared" ref="Z7:AJ7" si="0">COUNTIF($B7:$V7,Z$6)+COUNTIF($B22:$V22,Z$6)+COUNTIF($B37:$V37,Z$6)+COUNTIF($B52:$V52,Z$6)+COUNTIF($B67:$V67,Z$6)+COUNTIF($B82:$V82,Z$6)</f>
        <v>0</v>
      </c>
      <c r="AA7" s="148">
        <f t="shared" si="0"/>
        <v>0</v>
      </c>
      <c r="AB7" s="148">
        <f t="shared" si="0"/>
        <v>0</v>
      </c>
      <c r="AC7" s="148">
        <f t="shared" si="0"/>
        <v>0</v>
      </c>
      <c r="AD7" s="148">
        <f t="shared" si="0"/>
        <v>0</v>
      </c>
      <c r="AE7" s="148">
        <f t="shared" si="0"/>
        <v>0</v>
      </c>
      <c r="AF7" s="148">
        <f t="shared" si="0"/>
        <v>0</v>
      </c>
      <c r="AG7" s="148">
        <f t="shared" si="0"/>
        <v>0</v>
      </c>
      <c r="AH7" s="148">
        <f t="shared" si="0"/>
        <v>0</v>
      </c>
      <c r="AI7" s="148">
        <f t="shared" si="0"/>
        <v>0</v>
      </c>
      <c r="AJ7" s="148">
        <f t="shared" si="0"/>
        <v>0</v>
      </c>
      <c r="AK7" s="154">
        <f t="shared" ref="AK7:AK14" si="1">SUM(Y7:AJ7)</f>
        <v>0</v>
      </c>
      <c r="AL7"/>
    </row>
    <row r="8" spans="1:38" ht="15.75" customHeight="1">
      <c r="B8" s="5" t="s">
        <v>4</v>
      </c>
      <c r="C8" s="9"/>
      <c r="D8" s="103"/>
      <c r="E8" s="5" t="s">
        <v>4</v>
      </c>
      <c r="F8" s="9"/>
      <c r="G8" s="63"/>
      <c r="H8" s="5" t="s">
        <v>4</v>
      </c>
      <c r="I8" s="9"/>
      <c r="J8" s="63"/>
      <c r="K8" s="5" t="s">
        <v>4</v>
      </c>
      <c r="L8" s="9"/>
      <c r="M8" s="63"/>
      <c r="N8" s="5" t="s">
        <v>4</v>
      </c>
      <c r="O8" s="9"/>
      <c r="P8" s="63"/>
      <c r="Q8" s="5" t="s">
        <v>4</v>
      </c>
      <c r="R8" s="9"/>
      <c r="S8" s="63"/>
      <c r="T8" s="5" t="s">
        <v>4</v>
      </c>
      <c r="U8" s="9"/>
      <c r="V8" s="63"/>
      <c r="X8" s="145" t="s">
        <v>4</v>
      </c>
      <c r="Y8" s="148">
        <f t="shared" ref="Y8:AJ8" si="2">COUNTIF($B8:$V8,Y$6)+COUNTIF($B23:$V23,Y$6)+COUNTIF($B38:$V38,Y$6)+COUNTIF($B53:$V53,Y$6)+COUNTIF($B68:$V68,Y$6)+COUNTIF($B83:$V83,Y$6)</f>
        <v>0</v>
      </c>
      <c r="Z8" s="148">
        <f t="shared" si="2"/>
        <v>0</v>
      </c>
      <c r="AA8" s="148">
        <f t="shared" si="2"/>
        <v>0</v>
      </c>
      <c r="AB8" s="148">
        <f t="shared" si="2"/>
        <v>0</v>
      </c>
      <c r="AC8" s="148">
        <f t="shared" si="2"/>
        <v>0</v>
      </c>
      <c r="AD8" s="148">
        <f t="shared" si="2"/>
        <v>0</v>
      </c>
      <c r="AE8" s="148">
        <f t="shared" si="2"/>
        <v>0</v>
      </c>
      <c r="AF8" s="148">
        <f t="shared" si="2"/>
        <v>0</v>
      </c>
      <c r="AG8" s="148">
        <f t="shared" si="2"/>
        <v>0</v>
      </c>
      <c r="AH8" s="148">
        <f t="shared" si="2"/>
        <v>0</v>
      </c>
      <c r="AI8" s="148">
        <f t="shared" si="2"/>
        <v>0</v>
      </c>
      <c r="AJ8" s="148">
        <f t="shared" si="2"/>
        <v>0</v>
      </c>
      <c r="AK8" s="153">
        <f t="shared" si="1"/>
        <v>0</v>
      </c>
    </row>
    <row r="9" spans="1:38" ht="15.75" customHeight="1">
      <c r="B9" s="5" t="s">
        <v>5</v>
      </c>
      <c r="C9" s="9"/>
      <c r="D9" s="103"/>
      <c r="E9" s="5" t="s">
        <v>5</v>
      </c>
      <c r="F9" s="9"/>
      <c r="G9" s="63"/>
      <c r="H9" s="5" t="s">
        <v>5</v>
      </c>
      <c r="I9" s="9"/>
      <c r="J9" s="63"/>
      <c r="K9" s="5" t="s">
        <v>5</v>
      </c>
      <c r="L9" s="9"/>
      <c r="M9" s="63"/>
      <c r="N9" s="5" t="s">
        <v>5</v>
      </c>
      <c r="O9" s="9"/>
      <c r="P9" s="63"/>
      <c r="Q9" s="5" t="s">
        <v>5</v>
      </c>
      <c r="R9" s="9"/>
      <c r="S9" s="63"/>
      <c r="T9" s="5" t="s">
        <v>5</v>
      </c>
      <c r="U9" s="9"/>
      <c r="V9" s="63"/>
      <c r="X9" s="145" t="s">
        <v>5</v>
      </c>
      <c r="Y9" s="148">
        <f t="shared" ref="Y9:AJ9" si="3">COUNTIF($B9:$V9,Y$6)+COUNTIF($B24:$V24,Y$6)+COUNTIF($B39:$V39,Y$6)+COUNTIF($B54:$V54,Y$6)+COUNTIF($B69:$V69,Y$6)+COUNTIF($B84:$V84,Y$6)</f>
        <v>0</v>
      </c>
      <c r="Z9" s="148">
        <f t="shared" si="3"/>
        <v>0</v>
      </c>
      <c r="AA9" s="148">
        <f t="shared" si="3"/>
        <v>0</v>
      </c>
      <c r="AB9" s="148">
        <f t="shared" si="3"/>
        <v>0</v>
      </c>
      <c r="AC9" s="148">
        <f t="shared" si="3"/>
        <v>0</v>
      </c>
      <c r="AD9" s="148">
        <f t="shared" si="3"/>
        <v>0</v>
      </c>
      <c r="AE9" s="148">
        <f t="shared" si="3"/>
        <v>0</v>
      </c>
      <c r="AF9" s="148">
        <f t="shared" si="3"/>
        <v>0</v>
      </c>
      <c r="AG9" s="148">
        <f t="shared" si="3"/>
        <v>0</v>
      </c>
      <c r="AH9" s="148">
        <f t="shared" si="3"/>
        <v>0</v>
      </c>
      <c r="AI9" s="148">
        <f t="shared" si="3"/>
        <v>0</v>
      </c>
      <c r="AJ9" s="148">
        <f t="shared" si="3"/>
        <v>0</v>
      </c>
      <c r="AK9" s="153">
        <f t="shared" si="1"/>
        <v>0</v>
      </c>
    </row>
    <row r="10" spans="1:38" ht="15.75" customHeight="1">
      <c r="B10" s="5" t="s">
        <v>6</v>
      </c>
      <c r="C10" s="9"/>
      <c r="D10" s="103"/>
      <c r="E10" s="5" t="s">
        <v>6</v>
      </c>
      <c r="F10" s="9"/>
      <c r="G10" s="63"/>
      <c r="H10" s="5" t="s">
        <v>6</v>
      </c>
      <c r="I10" s="9"/>
      <c r="J10" s="63"/>
      <c r="K10" s="5" t="s">
        <v>6</v>
      </c>
      <c r="L10" s="9"/>
      <c r="M10" s="63"/>
      <c r="N10" s="5" t="s">
        <v>6</v>
      </c>
      <c r="O10" s="9"/>
      <c r="P10" s="63"/>
      <c r="Q10" s="5" t="s">
        <v>6</v>
      </c>
      <c r="R10" s="9"/>
      <c r="S10" s="63"/>
      <c r="T10" s="5" t="s">
        <v>6</v>
      </c>
      <c r="U10" s="9"/>
      <c r="V10" s="63"/>
      <c r="X10" s="145" t="s">
        <v>6</v>
      </c>
      <c r="Y10" s="148">
        <f t="shared" ref="Y10:AJ10" si="4">COUNTIF($B10:$V10,Y$6)+COUNTIF($B25:$V25,Y$6)+COUNTIF($B40:$V40,Y$6)+COUNTIF($B55:$V55,Y$6)+COUNTIF($B70:$V70,Y$6)+COUNTIF($B85:$V85,Y$6)</f>
        <v>0</v>
      </c>
      <c r="Z10" s="148">
        <f t="shared" si="4"/>
        <v>0</v>
      </c>
      <c r="AA10" s="148">
        <f t="shared" si="4"/>
        <v>0</v>
      </c>
      <c r="AB10" s="148">
        <f t="shared" si="4"/>
        <v>0</v>
      </c>
      <c r="AC10" s="148">
        <f t="shared" si="4"/>
        <v>0</v>
      </c>
      <c r="AD10" s="148">
        <f t="shared" si="4"/>
        <v>0</v>
      </c>
      <c r="AE10" s="148">
        <f t="shared" si="4"/>
        <v>0</v>
      </c>
      <c r="AF10" s="148">
        <f t="shared" si="4"/>
        <v>0</v>
      </c>
      <c r="AG10" s="148">
        <f t="shared" si="4"/>
        <v>0</v>
      </c>
      <c r="AH10" s="148">
        <f t="shared" si="4"/>
        <v>0</v>
      </c>
      <c r="AI10" s="148">
        <f t="shared" si="4"/>
        <v>0</v>
      </c>
      <c r="AJ10" s="148">
        <f t="shared" si="4"/>
        <v>0</v>
      </c>
      <c r="AK10" s="153">
        <f t="shared" si="1"/>
        <v>0</v>
      </c>
    </row>
    <row r="11" spans="1:38" s="3" customFormat="1" ht="15.75" customHeight="1">
      <c r="B11" s="6" t="s">
        <v>7</v>
      </c>
      <c r="C11" s="9"/>
      <c r="D11" s="103" t="s">
        <v>178</v>
      </c>
      <c r="E11" s="6" t="s">
        <v>7</v>
      </c>
      <c r="F11" s="9"/>
      <c r="G11" s="161"/>
      <c r="H11" s="6" t="s">
        <v>7</v>
      </c>
      <c r="I11" s="9"/>
      <c r="J11" s="161"/>
      <c r="K11" s="6" t="s">
        <v>7</v>
      </c>
      <c r="L11" s="9"/>
      <c r="M11" s="161"/>
      <c r="N11" s="6" t="s">
        <v>7</v>
      </c>
      <c r="O11" s="9"/>
      <c r="P11" s="161"/>
      <c r="Q11" s="6" t="s">
        <v>7</v>
      </c>
      <c r="R11" s="9"/>
      <c r="S11" s="161"/>
      <c r="T11" s="6" t="s">
        <v>7</v>
      </c>
      <c r="U11" s="9"/>
      <c r="V11" s="161"/>
      <c r="W11" s="4"/>
      <c r="X11" s="145" t="s">
        <v>7</v>
      </c>
      <c r="Y11" s="148">
        <f t="shared" ref="Y11:AJ11" si="5">COUNTIF($B11:$V11,Y$6)+COUNTIF($B26:$V26,Y$6)+COUNTIF($B41:$V41,Y$6)+COUNTIF($B56:$V56,Y$6)+COUNTIF($B71:$V71,Y$6)+COUNTIF($B86:$V86,Y$6)</f>
        <v>0</v>
      </c>
      <c r="Z11" s="148">
        <f t="shared" si="5"/>
        <v>0</v>
      </c>
      <c r="AA11" s="148">
        <f t="shared" si="5"/>
        <v>0</v>
      </c>
      <c r="AB11" s="148">
        <f t="shared" si="5"/>
        <v>0</v>
      </c>
      <c r="AC11" s="148">
        <f t="shared" si="5"/>
        <v>0</v>
      </c>
      <c r="AD11" s="148">
        <f t="shared" si="5"/>
        <v>0</v>
      </c>
      <c r="AE11" s="148">
        <f t="shared" si="5"/>
        <v>0</v>
      </c>
      <c r="AF11" s="148">
        <f t="shared" si="5"/>
        <v>0</v>
      </c>
      <c r="AG11" s="148">
        <f t="shared" si="5"/>
        <v>0</v>
      </c>
      <c r="AH11" s="148">
        <f t="shared" si="5"/>
        <v>0</v>
      </c>
      <c r="AI11" s="148">
        <f t="shared" si="5"/>
        <v>0</v>
      </c>
      <c r="AJ11" s="148">
        <f t="shared" si="5"/>
        <v>0</v>
      </c>
      <c r="AK11" s="153">
        <f t="shared" si="1"/>
        <v>0</v>
      </c>
      <c r="AL11"/>
    </row>
    <row r="12" spans="1:38" ht="15.75" customHeight="1">
      <c r="B12" s="6" t="s">
        <v>8</v>
      </c>
      <c r="C12" s="9"/>
      <c r="D12" s="103"/>
      <c r="E12" s="6" t="s">
        <v>8</v>
      </c>
      <c r="F12" s="9"/>
      <c r="G12" s="63"/>
      <c r="H12" s="6" t="s">
        <v>8</v>
      </c>
      <c r="I12" s="9"/>
      <c r="J12" s="63"/>
      <c r="K12" s="6" t="s">
        <v>8</v>
      </c>
      <c r="L12" s="9"/>
      <c r="M12" s="63"/>
      <c r="N12" s="6" t="s">
        <v>8</v>
      </c>
      <c r="O12" s="9"/>
      <c r="P12" s="63"/>
      <c r="Q12" s="6" t="s">
        <v>8</v>
      </c>
      <c r="R12" s="9"/>
      <c r="S12" s="63"/>
      <c r="T12" s="6" t="s">
        <v>8</v>
      </c>
      <c r="U12" s="9"/>
      <c r="V12" s="63"/>
      <c r="X12" s="145" t="s">
        <v>8</v>
      </c>
      <c r="Y12" s="148">
        <f t="shared" ref="Y12:AJ12" si="6">COUNTIF($B12:$V12,Y$6)+COUNTIF($B27:$V27,Y$6)+COUNTIF($B42:$V42,Y$6)+COUNTIF($B57:$V57,Y$6)+COUNTIF($B72:$V72,Y$6)+COUNTIF($B87:$V87,Y$6)</f>
        <v>0</v>
      </c>
      <c r="Z12" s="148">
        <f t="shared" si="6"/>
        <v>0</v>
      </c>
      <c r="AA12" s="148">
        <f t="shared" si="6"/>
        <v>0</v>
      </c>
      <c r="AB12" s="148">
        <f t="shared" si="6"/>
        <v>0</v>
      </c>
      <c r="AC12" s="148">
        <f t="shared" si="6"/>
        <v>0</v>
      </c>
      <c r="AD12" s="148">
        <f t="shared" si="6"/>
        <v>0</v>
      </c>
      <c r="AE12" s="148">
        <f t="shared" si="6"/>
        <v>0</v>
      </c>
      <c r="AF12" s="148">
        <f t="shared" si="6"/>
        <v>0</v>
      </c>
      <c r="AG12" s="148">
        <f t="shared" si="6"/>
        <v>0</v>
      </c>
      <c r="AH12" s="148">
        <f t="shared" si="6"/>
        <v>0</v>
      </c>
      <c r="AI12" s="148">
        <f t="shared" si="6"/>
        <v>0</v>
      </c>
      <c r="AJ12" s="148">
        <f t="shared" si="6"/>
        <v>0</v>
      </c>
      <c r="AK12" s="153">
        <f t="shared" si="1"/>
        <v>0</v>
      </c>
    </row>
    <row r="13" spans="1:38" ht="15.75" customHeight="1">
      <c r="B13" s="6" t="s">
        <v>9</v>
      </c>
      <c r="C13" s="9"/>
      <c r="D13" s="103"/>
      <c r="E13" s="6" t="s">
        <v>9</v>
      </c>
      <c r="F13" s="9"/>
      <c r="G13" s="63"/>
      <c r="H13" s="6" t="s">
        <v>9</v>
      </c>
      <c r="I13" s="9"/>
      <c r="J13" s="63"/>
      <c r="K13" s="6" t="s">
        <v>9</v>
      </c>
      <c r="L13" s="9"/>
      <c r="M13" s="63"/>
      <c r="N13" s="6" t="s">
        <v>9</v>
      </c>
      <c r="O13" s="9"/>
      <c r="P13" s="63"/>
      <c r="Q13" s="6" t="s">
        <v>9</v>
      </c>
      <c r="R13" s="9"/>
      <c r="S13" s="63"/>
      <c r="T13" s="6" t="s">
        <v>9</v>
      </c>
      <c r="U13" s="9"/>
      <c r="V13" s="63"/>
      <c r="X13" s="145" t="s">
        <v>9</v>
      </c>
      <c r="Y13" s="148">
        <f t="shared" ref="Y13:AJ13" si="7">COUNTIF($B13:$V13,Y$6)+COUNTIF($B28:$V28,Y$6)+COUNTIF($B43:$V43,Y$6)+COUNTIF($B58:$V58,Y$6)+COUNTIF($B73:$V73,Y$6)+COUNTIF($B88:$V88,Y$6)</f>
        <v>0</v>
      </c>
      <c r="Z13" s="148">
        <f t="shared" si="7"/>
        <v>0</v>
      </c>
      <c r="AA13" s="148">
        <f t="shared" si="7"/>
        <v>0</v>
      </c>
      <c r="AB13" s="148">
        <f t="shared" si="7"/>
        <v>0</v>
      </c>
      <c r="AC13" s="148">
        <f t="shared" si="7"/>
        <v>0</v>
      </c>
      <c r="AD13" s="148">
        <f t="shared" si="7"/>
        <v>0</v>
      </c>
      <c r="AE13" s="148">
        <f t="shared" si="7"/>
        <v>0</v>
      </c>
      <c r="AF13" s="148">
        <f t="shared" si="7"/>
        <v>0</v>
      </c>
      <c r="AG13" s="148">
        <f t="shared" si="7"/>
        <v>0</v>
      </c>
      <c r="AH13" s="148">
        <f t="shared" si="7"/>
        <v>0</v>
      </c>
      <c r="AI13" s="148">
        <f t="shared" si="7"/>
        <v>0</v>
      </c>
      <c r="AJ13" s="148">
        <f t="shared" si="7"/>
        <v>0</v>
      </c>
      <c r="AK13" s="153">
        <f t="shared" si="1"/>
        <v>0</v>
      </c>
    </row>
    <row r="14" spans="1:38" ht="15.75" customHeight="1">
      <c r="B14" s="6" t="s">
        <v>10</v>
      </c>
      <c r="C14" s="9"/>
      <c r="D14" s="103"/>
      <c r="E14" s="6" t="s">
        <v>10</v>
      </c>
      <c r="F14" s="9"/>
      <c r="G14" s="63"/>
      <c r="H14" s="6" t="s">
        <v>10</v>
      </c>
      <c r="I14" s="9"/>
      <c r="J14" s="63"/>
      <c r="K14" s="6" t="s">
        <v>10</v>
      </c>
      <c r="L14" s="9"/>
      <c r="M14" s="63"/>
      <c r="N14" s="6" t="s">
        <v>10</v>
      </c>
      <c r="O14" s="9"/>
      <c r="P14" s="63"/>
      <c r="Q14" s="6" t="s">
        <v>10</v>
      </c>
      <c r="R14" s="9"/>
      <c r="S14" s="63"/>
      <c r="T14" s="6" t="s">
        <v>10</v>
      </c>
      <c r="U14" s="9"/>
      <c r="V14" s="63"/>
      <c r="X14" s="145" t="s">
        <v>10</v>
      </c>
      <c r="Y14" s="148">
        <f t="shared" ref="Y14:AJ14" si="8">COUNTIF($B14:$V14,Y$6)+COUNTIF($B29:$V29,Y$6)+COUNTIF($B44:$V44,Y$6)+COUNTIF($B59:$V59,Y$6)+COUNTIF($B74:$V74,Y$6)+COUNTIF($B89:$V89,Y$6)</f>
        <v>0</v>
      </c>
      <c r="Z14" s="148">
        <f t="shared" si="8"/>
        <v>0</v>
      </c>
      <c r="AA14" s="148">
        <f t="shared" si="8"/>
        <v>0</v>
      </c>
      <c r="AB14" s="148">
        <f t="shared" si="8"/>
        <v>0</v>
      </c>
      <c r="AC14" s="148">
        <f t="shared" si="8"/>
        <v>0</v>
      </c>
      <c r="AD14" s="148">
        <f t="shared" si="8"/>
        <v>0</v>
      </c>
      <c r="AE14" s="148">
        <f t="shared" si="8"/>
        <v>0</v>
      </c>
      <c r="AF14" s="148">
        <f t="shared" si="8"/>
        <v>0</v>
      </c>
      <c r="AG14" s="148">
        <f t="shared" si="8"/>
        <v>0</v>
      </c>
      <c r="AH14" s="148">
        <f t="shared" si="8"/>
        <v>0</v>
      </c>
      <c r="AI14" s="148">
        <f t="shared" si="8"/>
        <v>0</v>
      </c>
      <c r="AJ14" s="148">
        <f t="shared" si="8"/>
        <v>0</v>
      </c>
      <c r="AK14" s="153">
        <f t="shared" si="1"/>
        <v>0</v>
      </c>
    </row>
    <row r="15" spans="1:38" s="56" customFormat="1">
      <c r="B15" s="178"/>
      <c r="C15" s="179"/>
      <c r="D15" s="179"/>
      <c r="E15" s="178" t="str">
        <f>IF(ISBLANK(TueBox1),"",IF(OR(Month="January",Month="July"),"",Tue1Mtg1))</f>
        <v/>
      </c>
      <c r="F15" s="179"/>
      <c r="G15" s="180"/>
      <c r="H15" s="181" t="s">
        <v>208</v>
      </c>
      <c r="I15" s="182"/>
      <c r="J15" s="183"/>
      <c r="K15" s="178" t="str">
        <f>IF(ISBLANK(ThuBox1),"",Thu1Mtg1)</f>
        <v/>
      </c>
      <c r="L15" s="179"/>
      <c r="M15" s="180"/>
      <c r="N15" s="178"/>
      <c r="O15" s="179"/>
      <c r="P15" s="180"/>
      <c r="Q15" s="178"/>
      <c r="R15" s="179"/>
      <c r="S15" s="180"/>
      <c r="T15" s="178"/>
      <c r="U15" s="179"/>
      <c r="V15" s="180"/>
      <c r="W15" s="81"/>
      <c r="X15" s="155" t="s">
        <v>212</v>
      </c>
      <c r="Y15" s="152">
        <f t="shared" ref="Y15:AJ15" si="9">SUM(Y7:Y14)</f>
        <v>0</v>
      </c>
      <c r="Z15" s="152">
        <f t="shared" si="9"/>
        <v>0</v>
      </c>
      <c r="AA15" s="152">
        <f t="shared" si="9"/>
        <v>0</v>
      </c>
      <c r="AB15" s="152">
        <f t="shared" si="9"/>
        <v>0</v>
      </c>
      <c r="AC15" s="152">
        <f t="shared" si="9"/>
        <v>0</v>
      </c>
      <c r="AD15" s="152">
        <f t="shared" si="9"/>
        <v>0</v>
      </c>
      <c r="AE15" s="152">
        <f t="shared" si="9"/>
        <v>0</v>
      </c>
      <c r="AF15" s="152">
        <f t="shared" si="9"/>
        <v>0</v>
      </c>
      <c r="AG15" s="152">
        <f t="shared" si="9"/>
        <v>0</v>
      </c>
      <c r="AH15" s="152">
        <f t="shared" si="9"/>
        <v>0</v>
      </c>
      <c r="AI15" s="152">
        <f t="shared" si="9"/>
        <v>0</v>
      </c>
      <c r="AJ15" s="152">
        <f t="shared" si="9"/>
        <v>0</v>
      </c>
      <c r="AK15" s="153"/>
      <c r="AL15"/>
    </row>
    <row r="16" spans="1:38" s="56" customFormat="1">
      <c r="B16" s="178"/>
      <c r="C16" s="179"/>
      <c r="D16" s="179"/>
      <c r="E16" s="178"/>
      <c r="F16" s="179"/>
      <c r="G16" s="180"/>
      <c r="H16" s="178"/>
      <c r="I16" s="179"/>
      <c r="J16" s="180"/>
      <c r="K16" s="178" t="str">
        <f>IF(AND(ISBLANK(ThuBox1),OR(Month="March",Month="June",Month="September",Month="December")),Thu1Mtg2,"")</f>
        <v/>
      </c>
      <c r="L16" s="179"/>
      <c r="M16" s="180"/>
      <c r="N16" s="178"/>
      <c r="O16" s="179"/>
      <c r="P16" s="180"/>
      <c r="Q16" s="178"/>
      <c r="R16" s="179"/>
      <c r="S16" s="180"/>
      <c r="T16" s="178"/>
      <c r="U16" s="179"/>
      <c r="V16" s="180"/>
      <c r="W16" s="81"/>
      <c r="X16" s="111"/>
      <c r="Y16" s="149"/>
      <c r="Z16" s="149"/>
      <c r="AA16" s="149"/>
      <c r="AB16" s="149"/>
      <c r="AC16" s="149"/>
      <c r="AD16" s="149"/>
      <c r="AE16" s="149"/>
      <c r="AF16" s="149"/>
      <c r="AG16" s="149"/>
      <c r="AH16" s="149"/>
      <c r="AI16" s="149"/>
      <c r="AJ16" s="149"/>
      <c r="AK16" s="57"/>
      <c r="AL16"/>
    </row>
    <row r="17" spans="1:38" s="56" customFormat="1" ht="15" customHeight="1">
      <c r="B17" s="175"/>
      <c r="C17" s="176"/>
      <c r="D17" s="176"/>
      <c r="E17" s="175"/>
      <c r="F17" s="176"/>
      <c r="G17" s="177"/>
      <c r="H17" s="175"/>
      <c r="I17" s="176"/>
      <c r="J17" s="177"/>
      <c r="K17" s="175"/>
      <c r="L17" s="176"/>
      <c r="M17" s="177"/>
      <c r="N17" s="175"/>
      <c r="O17" s="176"/>
      <c r="P17" s="177"/>
      <c r="Q17" s="175"/>
      <c r="R17" s="176"/>
      <c r="S17" s="177"/>
      <c r="T17" s="175"/>
      <c r="U17" s="176"/>
      <c r="V17" s="177"/>
      <c r="W17" s="81"/>
      <c r="X17"/>
      <c r="Y17" s="59"/>
      <c r="Z17" s="59"/>
      <c r="AA17" s="59"/>
      <c r="AB17" s="59"/>
      <c r="AC17" s="59"/>
      <c r="AD17" s="59"/>
      <c r="AE17" s="59"/>
      <c r="AF17" s="59"/>
      <c r="AG17" s="59"/>
      <c r="AH17" s="59"/>
      <c r="AI17" s="59"/>
      <c r="AJ17" s="59"/>
      <c r="AK17"/>
      <c r="AL17"/>
    </row>
    <row r="18" spans="1:38" s="65" customFormat="1" hidden="1">
      <c r="A18" s="64"/>
      <c r="B18" s="174"/>
      <c r="C18" s="174"/>
      <c r="D18" s="162"/>
      <c r="E18" s="174"/>
      <c r="F18" s="174"/>
      <c r="G18" s="163"/>
      <c r="H18" s="174"/>
      <c r="I18" s="174"/>
      <c r="J18" s="163"/>
      <c r="K18" s="174"/>
      <c r="L18" s="174"/>
      <c r="M18" s="163"/>
      <c r="N18" s="174"/>
      <c r="O18" s="174"/>
      <c r="P18" s="164"/>
      <c r="Q18" s="174"/>
      <c r="R18" s="174"/>
      <c r="S18" s="163"/>
      <c r="T18" s="174"/>
      <c r="U18" s="174"/>
      <c r="V18" s="164"/>
      <c r="X18"/>
      <c r="Y18" s="59"/>
      <c r="Z18" s="59"/>
      <c r="AA18" s="106"/>
      <c r="AB18" s="106"/>
      <c r="AC18" s="106"/>
      <c r="AD18" s="106"/>
      <c r="AE18" s="106"/>
      <c r="AF18" s="106"/>
      <c r="AG18" s="106"/>
      <c r="AH18" s="106"/>
      <c r="AI18" s="106"/>
      <c r="AJ18" s="106"/>
    </row>
    <row r="19" spans="1:38" s="2" customFormat="1" ht="18.75" customHeight="1">
      <c r="A19"/>
      <c r="B19" s="61" t="str">
        <f>IF(ISBLANK(B18),"",DAY(B18))</f>
        <v/>
      </c>
      <c r="C19" s="62"/>
      <c r="D19" s="66"/>
      <c r="E19" s="61" t="str">
        <f>IF(ISBLANK(E18),"",DAY(E18))</f>
        <v/>
      </c>
      <c r="F19" s="62"/>
      <c r="G19" s="66"/>
      <c r="H19" s="61" t="str">
        <f>IF(ISBLANK(H18),"",DAY(H18))</f>
        <v/>
      </c>
      <c r="I19" s="62"/>
      <c r="J19" s="66"/>
      <c r="K19" s="61" t="str">
        <f>IF(ISBLANK(K18),"",DAY(K18))</f>
        <v/>
      </c>
      <c r="L19" s="62"/>
      <c r="M19" s="66"/>
      <c r="N19" s="61" t="str">
        <f>IF(ISBLANK(N18),"",DAY(N18))</f>
        <v/>
      </c>
      <c r="O19" s="62"/>
      <c r="P19" s="66"/>
      <c r="Q19" s="61" t="str">
        <f>IF(ISBLANK(Q18),"",DAY(Q18))</f>
        <v/>
      </c>
      <c r="R19" s="62"/>
      <c r="S19" s="66"/>
      <c r="T19" s="61" t="str">
        <f>IF(ISBLANK(T18),"",DAY(T18))</f>
        <v/>
      </c>
      <c r="U19" s="62"/>
      <c r="V19" s="66"/>
      <c r="X19"/>
      <c r="Y19" s="59"/>
      <c r="Z19" s="59"/>
      <c r="AA19" s="107"/>
      <c r="AB19" s="107"/>
      <c r="AC19" s="107"/>
      <c r="AD19" s="107"/>
      <c r="AE19" s="107"/>
      <c r="AF19" s="107"/>
      <c r="AG19" s="107"/>
      <c r="AJ19" s="124" t="s">
        <v>204</v>
      </c>
      <c r="AK19" s="147" t="s">
        <v>205</v>
      </c>
    </row>
    <row r="20" spans="1:38" s="60" customFormat="1" hidden="1">
      <c r="B20" s="75" t="s">
        <v>16</v>
      </c>
      <c r="C20" s="76" t="s">
        <v>17</v>
      </c>
      <c r="D20" s="166" t="s">
        <v>15</v>
      </c>
      <c r="E20" s="75" t="s">
        <v>16</v>
      </c>
      <c r="F20" s="76" t="s">
        <v>17</v>
      </c>
      <c r="G20" s="166" t="s">
        <v>15</v>
      </c>
      <c r="H20" s="75" t="s">
        <v>16</v>
      </c>
      <c r="I20" s="76" t="s">
        <v>17</v>
      </c>
      <c r="J20" s="166" t="s">
        <v>15</v>
      </c>
      <c r="K20" s="75" t="s">
        <v>16</v>
      </c>
      <c r="L20" s="76" t="s">
        <v>17</v>
      </c>
      <c r="M20" s="166" t="s">
        <v>15</v>
      </c>
      <c r="N20" s="75" t="s">
        <v>16</v>
      </c>
      <c r="O20" s="76" t="s">
        <v>17</v>
      </c>
      <c r="P20" s="166" t="s">
        <v>15</v>
      </c>
      <c r="Q20" s="75" t="s">
        <v>16</v>
      </c>
      <c r="R20" s="76" t="s">
        <v>17</v>
      </c>
      <c r="S20" s="166" t="s">
        <v>15</v>
      </c>
      <c r="T20" s="75" t="s">
        <v>16</v>
      </c>
      <c r="U20" s="76" t="s">
        <v>17</v>
      </c>
      <c r="V20" s="166" t="s">
        <v>15</v>
      </c>
      <c r="W20" s="21"/>
      <c r="X20"/>
      <c r="Y20" s="59"/>
      <c r="Z20" s="59"/>
      <c r="AJ20" s="146" t="s">
        <v>168</v>
      </c>
      <c r="AK20" s="150">
        <f>COUNTIF($D$1:$D$92,AJ20)+COUNTIF($G$1:$G$92,AJ20)+COUNTIF($J$1:$J$92,AJ20)+COUNTIF($M$1:$M$92,AJ20)+COUNTIF($P$1:$P$92,AJ20)+COUNTIF($S$1:$S$92,AJ20)+COUNTIF($V$1:$V$92,AJ20)</f>
        <v>0</v>
      </c>
    </row>
    <row r="21" spans="1:38" ht="15.75" customHeight="1">
      <c r="B21" s="122" t="s">
        <v>165</v>
      </c>
      <c r="C21" s="120" t="s">
        <v>159</v>
      </c>
      <c r="D21" s="121"/>
      <c r="E21" s="122" t="s">
        <v>165</v>
      </c>
      <c r="F21" s="120" t="s">
        <v>159</v>
      </c>
      <c r="G21" s="121"/>
      <c r="H21" s="122" t="s">
        <v>165</v>
      </c>
      <c r="I21" s="120" t="s">
        <v>159</v>
      </c>
      <c r="J21" s="121"/>
      <c r="K21" s="122" t="s">
        <v>165</v>
      </c>
      <c r="L21" s="120" t="s">
        <v>159</v>
      </c>
      <c r="M21" s="121"/>
      <c r="N21" s="122" t="s">
        <v>165</v>
      </c>
      <c r="O21" s="120" t="s">
        <v>159</v>
      </c>
      <c r="P21" s="121"/>
      <c r="Q21" s="122" t="s">
        <v>165</v>
      </c>
      <c r="R21" s="120" t="s">
        <v>159</v>
      </c>
      <c r="S21" s="121"/>
      <c r="T21" s="122" t="s">
        <v>165</v>
      </c>
      <c r="U21" s="120" t="s">
        <v>159</v>
      </c>
      <c r="V21" s="121"/>
      <c r="Z21" s="59"/>
      <c r="AA21" s="107"/>
      <c r="AB21" s="107"/>
      <c r="AC21" s="107"/>
      <c r="AD21" s="107"/>
      <c r="AE21" s="107"/>
      <c r="AF21" s="59"/>
      <c r="AG21" s="59"/>
      <c r="AJ21" s="146" t="s">
        <v>170</v>
      </c>
      <c r="AK21" s="150">
        <f>COUNTIF($D$1:$D$92,AJ21)+COUNTIF($G$1:$G$92,AJ21)+COUNTIF($J$1:$J$92,AJ21)+COUNTIF($M$1:$M$92,AJ21)+COUNTIF($P$1:$P$92,AJ21)+COUNTIF($S$1:$S$92,AJ21)+COUNTIF($V$1:$V$92,AJ21)</f>
        <v>0</v>
      </c>
    </row>
    <row r="22" spans="1:38" s="77" customFormat="1" ht="15.75" customHeight="1">
      <c r="B22" s="79" t="s">
        <v>3</v>
      </c>
      <c r="C22" s="9"/>
      <c r="D22" s="63"/>
      <c r="E22" s="79" t="s">
        <v>3</v>
      </c>
      <c r="F22" s="9"/>
      <c r="G22" s="63"/>
      <c r="H22" s="79" t="s">
        <v>3</v>
      </c>
      <c r="I22" s="9"/>
      <c r="J22" s="63"/>
      <c r="K22" s="79" t="s">
        <v>3</v>
      </c>
      <c r="L22" s="9"/>
      <c r="M22" s="63"/>
      <c r="N22" s="79" t="s">
        <v>3</v>
      </c>
      <c r="O22" s="9"/>
      <c r="P22" s="63"/>
      <c r="Q22" s="79" t="s">
        <v>3</v>
      </c>
      <c r="R22" s="9"/>
      <c r="S22" s="63"/>
      <c r="T22" s="79" t="s">
        <v>3</v>
      </c>
      <c r="U22" s="9"/>
      <c r="V22" s="63"/>
      <c r="W22" s="78"/>
      <c r="Z22" s="59"/>
      <c r="AA22" s="108"/>
      <c r="AB22" s="108"/>
      <c r="AC22" s="108"/>
      <c r="AD22" s="108"/>
      <c r="AE22" s="108"/>
      <c r="AF22" s="108"/>
      <c r="AG22" s="108"/>
      <c r="AJ22" s="146" t="s">
        <v>172</v>
      </c>
      <c r="AK22" s="150">
        <f t="shared" ref="AK22:AK23" si="10">COUNTIF($D$1:$D$92,AJ22)+COUNTIF($G$1:$G$92,AJ22)+COUNTIF($J$1:$J$92,AJ22)+COUNTIF($M$1:$M$92,AJ22)+COUNTIF($P$1:$P$92,AJ22)+COUNTIF($S$1:$S$92,AJ22)+COUNTIF($V$1:$V$92,AJ22)</f>
        <v>0</v>
      </c>
    </row>
    <row r="23" spans="1:38" ht="15.75" customHeight="1">
      <c r="B23" s="5" t="s">
        <v>4</v>
      </c>
      <c r="C23" s="9"/>
      <c r="D23" s="63"/>
      <c r="E23" s="5" t="s">
        <v>4</v>
      </c>
      <c r="F23" s="9"/>
      <c r="G23" s="63"/>
      <c r="H23" s="5" t="s">
        <v>4</v>
      </c>
      <c r="I23" s="9"/>
      <c r="J23" s="63"/>
      <c r="K23" s="5" t="s">
        <v>4</v>
      </c>
      <c r="L23" s="9"/>
      <c r="M23" s="63"/>
      <c r="N23" s="5" t="s">
        <v>4</v>
      </c>
      <c r="O23" s="9"/>
      <c r="P23" s="63"/>
      <c r="Q23" s="5" t="s">
        <v>4</v>
      </c>
      <c r="R23" s="9"/>
      <c r="S23" s="63"/>
      <c r="T23" s="5" t="s">
        <v>4</v>
      </c>
      <c r="U23" s="9"/>
      <c r="V23" s="63"/>
      <c r="Z23" s="59"/>
      <c r="AA23" s="107"/>
      <c r="AB23" s="107"/>
      <c r="AC23" s="107"/>
      <c r="AD23" s="107"/>
      <c r="AE23" s="107"/>
      <c r="AF23" s="59"/>
      <c r="AG23" s="59"/>
      <c r="AJ23" s="146" t="s">
        <v>174</v>
      </c>
      <c r="AK23" s="150">
        <f t="shared" si="10"/>
        <v>0</v>
      </c>
    </row>
    <row r="24" spans="1:38" ht="15.75" customHeight="1">
      <c r="B24" s="5" t="s">
        <v>5</v>
      </c>
      <c r="C24" s="9"/>
      <c r="D24" s="63"/>
      <c r="E24" s="5" t="s">
        <v>5</v>
      </c>
      <c r="F24" s="9"/>
      <c r="G24" s="63"/>
      <c r="H24" s="5" t="s">
        <v>5</v>
      </c>
      <c r="I24" s="9"/>
      <c r="J24" s="63"/>
      <c r="K24" s="5" t="s">
        <v>5</v>
      </c>
      <c r="L24" s="9"/>
      <c r="M24" s="63"/>
      <c r="N24" s="5" t="s">
        <v>5</v>
      </c>
      <c r="O24" s="9"/>
      <c r="P24" s="63"/>
      <c r="Q24" s="5" t="s">
        <v>5</v>
      </c>
      <c r="R24" s="9"/>
      <c r="S24" s="63"/>
      <c r="T24" s="5" t="s">
        <v>5</v>
      </c>
      <c r="U24" s="9"/>
      <c r="V24" s="63"/>
      <c r="Z24" s="107"/>
      <c r="AA24" s="107"/>
      <c r="AB24" s="107"/>
      <c r="AC24" s="107"/>
      <c r="AD24" s="107"/>
      <c r="AE24" s="107"/>
      <c r="AF24" s="59"/>
      <c r="AG24" s="59"/>
      <c r="AJ24" s="158" t="s">
        <v>210</v>
      </c>
      <c r="AK24" s="151">
        <f>SUM(AK20:AK23)</f>
        <v>0</v>
      </c>
    </row>
    <row r="25" spans="1:38" ht="15.75" customHeight="1">
      <c r="B25" s="5" t="s">
        <v>6</v>
      </c>
      <c r="C25" s="9"/>
      <c r="D25" s="63"/>
      <c r="E25" s="5" t="s">
        <v>6</v>
      </c>
      <c r="F25" s="9"/>
      <c r="G25" s="63"/>
      <c r="H25" s="5" t="s">
        <v>6</v>
      </c>
      <c r="I25" s="9"/>
      <c r="J25" s="63"/>
      <c r="K25" s="5" t="s">
        <v>6</v>
      </c>
      <c r="L25" s="9"/>
      <c r="M25" s="63"/>
      <c r="N25" s="5" t="s">
        <v>6</v>
      </c>
      <c r="O25" s="9"/>
      <c r="P25" s="63"/>
      <c r="Q25" s="5" t="s">
        <v>6</v>
      </c>
      <c r="R25" s="9"/>
      <c r="S25" s="63"/>
      <c r="T25" s="5" t="s">
        <v>6</v>
      </c>
      <c r="U25" s="9"/>
      <c r="V25" s="63"/>
      <c r="Z25" s="107"/>
      <c r="AA25" s="107"/>
      <c r="AB25" s="107"/>
      <c r="AC25" s="107"/>
      <c r="AD25" s="107"/>
      <c r="AE25" s="107"/>
      <c r="AF25" s="59"/>
      <c r="AG25" s="59"/>
      <c r="AH25" s="59"/>
      <c r="AI25" s="59"/>
      <c r="AJ25" s="59"/>
    </row>
    <row r="26" spans="1:38" s="3" customFormat="1" ht="15.75" customHeight="1">
      <c r="B26" s="6" t="s">
        <v>7</v>
      </c>
      <c r="C26" s="9"/>
      <c r="D26" s="63" t="s">
        <v>178</v>
      </c>
      <c r="E26" s="6" t="s">
        <v>7</v>
      </c>
      <c r="F26" s="9"/>
      <c r="G26" s="161"/>
      <c r="H26" s="6" t="s">
        <v>7</v>
      </c>
      <c r="I26" s="9"/>
      <c r="J26" s="161"/>
      <c r="K26" s="6" t="s">
        <v>7</v>
      </c>
      <c r="L26" s="9"/>
      <c r="M26" s="161"/>
      <c r="N26" s="6" t="s">
        <v>7</v>
      </c>
      <c r="O26" s="9"/>
      <c r="P26" s="161"/>
      <c r="Q26" s="6" t="s">
        <v>7</v>
      </c>
      <c r="R26" s="9"/>
      <c r="S26" s="161"/>
      <c r="T26" s="6" t="s">
        <v>7</v>
      </c>
      <c r="U26" s="9"/>
      <c r="V26" s="161"/>
      <c r="W26" s="4"/>
      <c r="Z26" s="60"/>
      <c r="AA26" s="60"/>
      <c r="AB26" s="60"/>
      <c r="AC26" s="60"/>
      <c r="AD26" s="60"/>
      <c r="AE26" s="60"/>
      <c r="AF26" s="60"/>
      <c r="AG26" s="60"/>
      <c r="AH26" s="60"/>
      <c r="AI26" s="60"/>
      <c r="AJ26" s="60"/>
    </row>
    <row r="27" spans="1:38" ht="15.75" customHeight="1">
      <c r="B27" s="6" t="s">
        <v>8</v>
      </c>
      <c r="C27" s="9"/>
      <c r="D27" s="63"/>
      <c r="E27" s="6" t="s">
        <v>8</v>
      </c>
      <c r="F27" s="9"/>
      <c r="G27" s="63"/>
      <c r="H27" s="6" t="s">
        <v>8</v>
      </c>
      <c r="I27" s="9"/>
      <c r="J27" s="63"/>
      <c r="K27" s="6" t="s">
        <v>8</v>
      </c>
      <c r="L27" s="9"/>
      <c r="M27" s="63"/>
      <c r="N27" s="6" t="s">
        <v>8</v>
      </c>
      <c r="O27" s="9"/>
      <c r="P27" s="63"/>
      <c r="Q27" s="6" t="s">
        <v>8</v>
      </c>
      <c r="R27" s="9"/>
      <c r="S27" s="63"/>
      <c r="T27" s="6" t="s">
        <v>8</v>
      </c>
      <c r="U27" s="9"/>
      <c r="V27" s="63"/>
    </row>
    <row r="28" spans="1:38" ht="15.75" customHeight="1">
      <c r="B28" s="6" t="s">
        <v>9</v>
      </c>
      <c r="C28" s="9"/>
      <c r="D28" s="63"/>
      <c r="E28" s="6" t="s">
        <v>9</v>
      </c>
      <c r="F28" s="9"/>
      <c r="G28" s="63"/>
      <c r="H28" s="6" t="s">
        <v>9</v>
      </c>
      <c r="I28" s="9"/>
      <c r="J28" s="63"/>
      <c r="K28" s="6" t="s">
        <v>9</v>
      </c>
      <c r="L28" s="9"/>
      <c r="M28" s="63"/>
      <c r="N28" s="6" t="s">
        <v>9</v>
      </c>
      <c r="O28" s="9"/>
      <c r="P28" s="63"/>
      <c r="Q28" s="6" t="s">
        <v>9</v>
      </c>
      <c r="R28" s="9"/>
      <c r="S28" s="63"/>
      <c r="T28" s="6" t="s">
        <v>9</v>
      </c>
      <c r="U28" s="9"/>
      <c r="V28" s="63"/>
    </row>
    <row r="29" spans="1:38" ht="15.75" customHeight="1">
      <c r="B29" s="6" t="s">
        <v>10</v>
      </c>
      <c r="C29" s="9"/>
      <c r="D29" s="63"/>
      <c r="E29" s="6" t="s">
        <v>10</v>
      </c>
      <c r="F29" s="9"/>
      <c r="G29" s="63"/>
      <c r="H29" s="6" t="s">
        <v>10</v>
      </c>
      <c r="I29" s="9"/>
      <c r="J29" s="63"/>
      <c r="K29" s="6" t="s">
        <v>10</v>
      </c>
      <c r="L29" s="9"/>
      <c r="M29" s="63"/>
      <c r="N29" s="6" t="s">
        <v>10</v>
      </c>
      <c r="O29" s="9"/>
      <c r="P29" s="63"/>
      <c r="Q29" s="6" t="s">
        <v>10</v>
      </c>
      <c r="R29" s="9"/>
      <c r="S29" s="63"/>
      <c r="T29" s="6" t="s">
        <v>10</v>
      </c>
      <c r="U29" s="9"/>
      <c r="V29" s="63"/>
    </row>
    <row r="30" spans="1:38" s="56" customFormat="1" ht="15.75" customHeight="1">
      <c r="B30" s="178" t="str">
        <f>IF(ISBLANK(MonBox1),"",IF(OR(Month="February",Month="April",Month="June",Month="August"),Mon2Mtg1,IF(Month="November",Mon2Mtg2,"")))</f>
        <v/>
      </c>
      <c r="C30" s="179"/>
      <c r="D30" s="180"/>
      <c r="E30" s="178" t="str">
        <f>IF(ISBLANK(TueBox1),IF(OR(Month="January",Month="July"),"",Tue1Mtg1),"")</f>
        <v>J=GMEC 7-8</v>
      </c>
      <c r="F30" s="179"/>
      <c r="G30" s="180"/>
      <c r="H30" s="181" t="s">
        <v>208</v>
      </c>
      <c r="I30" s="182"/>
      <c r="J30" s="183"/>
      <c r="K30" s="178" t="str">
        <f>IF(ISBLANK(ThuBox1),Thu1Mtg1,"")</f>
        <v>Loc HPE4 Not Avail</v>
      </c>
      <c r="L30" s="179"/>
      <c r="M30" s="180"/>
      <c r="N30" s="178"/>
      <c r="O30" s="179"/>
      <c r="P30" s="180"/>
      <c r="Q30" s="178"/>
      <c r="R30" s="179"/>
      <c r="S30" s="180"/>
      <c r="T30" s="178"/>
      <c r="U30" s="179"/>
      <c r="V30" s="180"/>
      <c r="W30" s="81"/>
      <c r="X30" s="107"/>
      <c r="Y30" s="81"/>
      <c r="Z30" s="81"/>
      <c r="AA30" s="81"/>
      <c r="AB30" s="81"/>
      <c r="AC30" s="81"/>
      <c r="AD30" s="81"/>
      <c r="AE30" s="81"/>
    </row>
    <row r="31" spans="1:38" s="56" customFormat="1" ht="15.75" customHeight="1">
      <c r="B31" s="178"/>
      <c r="C31" s="179"/>
      <c r="D31" s="180"/>
      <c r="E31" s="178" t="str">
        <f>IF(ISBLANK(TueBox1),"",Tue2Mtg1)</f>
        <v/>
      </c>
      <c r="F31" s="179"/>
      <c r="G31" s="180"/>
      <c r="H31" s="178" t="str">
        <f>IF(ISBLANK(WedBox1),"",Wed2Mtg1)</f>
        <v/>
      </c>
      <c r="I31" s="179"/>
      <c r="J31" s="180"/>
      <c r="K31" s="178" t="str">
        <f>IF(AND(ISBLANK(ThuBox1),OR(Month="March",Month="June",Month="September",Month="December")),"",Thu1Mtg2)</f>
        <v>GI Mtg 7:30, start 8:30</v>
      </c>
      <c r="L31" s="179"/>
      <c r="M31" s="180"/>
      <c r="N31" s="178"/>
      <c r="O31" s="179"/>
      <c r="P31" s="180"/>
      <c r="Q31" s="178"/>
      <c r="R31" s="179"/>
      <c r="S31" s="180"/>
      <c r="T31" s="178"/>
      <c r="U31" s="179"/>
      <c r="V31" s="180"/>
      <c r="W31" s="81"/>
      <c r="X31" s="107"/>
      <c r="Y31" s="81"/>
      <c r="Z31" s="81"/>
      <c r="AA31" s="81"/>
      <c r="AB31" s="81"/>
      <c r="AC31" s="81"/>
      <c r="AD31" s="81"/>
      <c r="AE31" s="81"/>
    </row>
    <row r="32" spans="1:38" s="56" customFormat="1" ht="15.75" customHeight="1">
      <c r="B32" s="175"/>
      <c r="C32" s="176"/>
      <c r="D32" s="177"/>
      <c r="E32" s="175" t="str">
        <f>IF(ISBLANK(TueBox1),"",IF(Month="December",Tue2Mtg2,""))</f>
        <v/>
      </c>
      <c r="F32" s="176"/>
      <c r="G32" s="177"/>
      <c r="H32" s="175"/>
      <c r="I32" s="176"/>
      <c r="J32" s="177"/>
      <c r="K32" s="175" t="str">
        <f>IF(ISBLANK(ThuBox1),"",Thu2Mtg1)</f>
        <v/>
      </c>
      <c r="L32" s="176"/>
      <c r="M32" s="177"/>
      <c r="N32" s="175"/>
      <c r="O32" s="176"/>
      <c r="P32" s="177"/>
      <c r="Q32" s="175"/>
      <c r="R32" s="176"/>
      <c r="S32" s="177"/>
      <c r="T32" s="175"/>
      <c r="U32" s="176"/>
      <c r="V32" s="177"/>
      <c r="W32" s="81"/>
      <c r="X32" s="107"/>
      <c r="Y32" s="81"/>
      <c r="Z32" s="81"/>
      <c r="AA32" s="81"/>
      <c r="AB32" s="81"/>
      <c r="AC32" s="81"/>
      <c r="AD32" s="81"/>
      <c r="AE32" s="81"/>
    </row>
    <row r="33" spans="1:31" s="65" customFormat="1" ht="15.75" hidden="1" customHeight="1">
      <c r="A33" s="64"/>
      <c r="B33" s="174"/>
      <c r="C33" s="174"/>
      <c r="D33" s="162"/>
      <c r="E33" s="174"/>
      <c r="F33" s="174"/>
      <c r="G33" s="163"/>
      <c r="H33" s="174"/>
      <c r="I33" s="174"/>
      <c r="J33" s="163"/>
      <c r="K33" s="174"/>
      <c r="L33" s="174"/>
      <c r="M33" s="163"/>
      <c r="N33" s="174"/>
      <c r="O33" s="174"/>
      <c r="P33" s="164"/>
      <c r="Q33" s="174"/>
      <c r="R33" s="174"/>
      <c r="S33" s="163"/>
      <c r="T33" s="174"/>
      <c r="U33" s="174"/>
      <c r="V33" s="164"/>
      <c r="X33" s="106"/>
    </row>
    <row r="34" spans="1:31" s="2" customFormat="1" ht="18.75">
      <c r="A34"/>
      <c r="B34" s="61" t="str">
        <f>IF(ISBLANK(B33),"",DAY(B33))</f>
        <v/>
      </c>
      <c r="C34" s="62"/>
      <c r="D34" s="66"/>
      <c r="E34" s="61" t="str">
        <f>IF(ISBLANK(E33),"",DAY(E33))</f>
        <v/>
      </c>
      <c r="F34" s="62"/>
      <c r="G34" s="66"/>
      <c r="H34" s="61" t="str">
        <f>IF(ISBLANK(H33),"",DAY(H33))</f>
        <v/>
      </c>
      <c r="I34" s="62"/>
      <c r="J34" s="66"/>
      <c r="K34" s="61" t="str">
        <f>IF(ISBLANK(K33),"",DAY(K33))</f>
        <v/>
      </c>
      <c r="L34" s="62"/>
      <c r="M34" s="66"/>
      <c r="N34" s="61" t="str">
        <f>IF(ISBLANK(N33),"",DAY(N33))</f>
        <v/>
      </c>
      <c r="O34" s="62"/>
      <c r="P34" s="66"/>
      <c r="Q34" s="61" t="str">
        <f>IF(ISBLANK(Q33),"",DAY(Q33))</f>
        <v/>
      </c>
      <c r="R34" s="62"/>
      <c r="S34" s="66"/>
      <c r="T34" s="61" t="str">
        <f>IF(ISBLANK(T33),"",DAY(T33))</f>
        <v/>
      </c>
      <c r="U34" s="62"/>
      <c r="V34" s="66"/>
      <c r="X34" s="107"/>
    </row>
    <row r="35" spans="1:31" s="60" customFormat="1" ht="12.75" hidden="1" customHeight="1">
      <c r="B35" s="75" t="s">
        <v>16</v>
      </c>
      <c r="C35" s="76" t="s">
        <v>17</v>
      </c>
      <c r="D35" s="166" t="s">
        <v>15</v>
      </c>
      <c r="E35" s="75" t="s">
        <v>16</v>
      </c>
      <c r="F35" s="76" t="s">
        <v>17</v>
      </c>
      <c r="G35" s="166" t="s">
        <v>15</v>
      </c>
      <c r="H35" s="75" t="s">
        <v>16</v>
      </c>
      <c r="I35" s="76" t="s">
        <v>17</v>
      </c>
      <c r="J35" s="166" t="s">
        <v>15</v>
      </c>
      <c r="K35" s="75" t="s">
        <v>16</v>
      </c>
      <c r="L35" s="76" t="s">
        <v>17</v>
      </c>
      <c r="M35" s="166" t="s">
        <v>15</v>
      </c>
      <c r="N35" s="75" t="s">
        <v>16</v>
      </c>
      <c r="O35" s="76" t="s">
        <v>17</v>
      </c>
      <c r="P35" s="166" t="s">
        <v>15</v>
      </c>
      <c r="Q35" s="75" t="s">
        <v>16</v>
      </c>
      <c r="R35" s="76" t="s">
        <v>17</v>
      </c>
      <c r="S35" s="166" t="s">
        <v>15</v>
      </c>
      <c r="T35" s="75" t="s">
        <v>16</v>
      </c>
      <c r="U35" s="76" t="s">
        <v>17</v>
      </c>
      <c r="V35" s="166" t="s">
        <v>15</v>
      </c>
      <c r="W35" s="21"/>
      <c r="X35" s="21"/>
      <c r="Y35" s="21"/>
      <c r="Z35" s="21"/>
      <c r="AA35" s="21"/>
      <c r="AB35" s="21"/>
      <c r="AC35" s="21"/>
      <c r="AD35" s="21"/>
      <c r="AE35" s="21"/>
    </row>
    <row r="36" spans="1:31" ht="15.75" customHeight="1">
      <c r="B36" s="122" t="s">
        <v>165</v>
      </c>
      <c r="C36" s="120" t="s">
        <v>159</v>
      </c>
      <c r="D36" s="121"/>
      <c r="E36" s="122" t="s">
        <v>165</v>
      </c>
      <c r="F36" s="120" t="s">
        <v>159</v>
      </c>
      <c r="G36" s="121"/>
      <c r="H36" s="122" t="s">
        <v>165</v>
      </c>
      <c r="I36" s="120" t="s">
        <v>159</v>
      </c>
      <c r="J36" s="121"/>
      <c r="K36" s="122" t="s">
        <v>165</v>
      </c>
      <c r="L36" s="120" t="s">
        <v>159</v>
      </c>
      <c r="M36" s="121"/>
      <c r="N36" s="122" t="s">
        <v>165</v>
      </c>
      <c r="O36" s="120" t="s">
        <v>159</v>
      </c>
      <c r="P36" s="121"/>
      <c r="Q36" s="122" t="s">
        <v>165</v>
      </c>
      <c r="R36" s="120" t="s">
        <v>159</v>
      </c>
      <c r="S36" s="121"/>
      <c r="T36" s="122" t="s">
        <v>165</v>
      </c>
      <c r="U36" s="120" t="s">
        <v>159</v>
      </c>
      <c r="V36" s="121"/>
    </row>
    <row r="37" spans="1:31" s="77" customFormat="1" ht="15.75" customHeight="1">
      <c r="B37" s="79" t="s">
        <v>3</v>
      </c>
      <c r="C37" s="9"/>
      <c r="D37" s="63"/>
      <c r="E37" s="79" t="s">
        <v>3</v>
      </c>
      <c r="F37" s="9"/>
      <c r="G37" s="63"/>
      <c r="H37" s="79" t="s">
        <v>3</v>
      </c>
      <c r="I37" s="9"/>
      <c r="J37" s="63"/>
      <c r="K37" s="79" t="s">
        <v>3</v>
      </c>
      <c r="L37" s="9"/>
      <c r="M37" s="63"/>
      <c r="N37" s="79" t="s">
        <v>3</v>
      </c>
      <c r="O37" s="9"/>
      <c r="P37" s="63"/>
      <c r="Q37" s="79" t="s">
        <v>3</v>
      </c>
      <c r="R37" s="9"/>
      <c r="S37" s="63"/>
      <c r="T37" s="79" t="s">
        <v>3</v>
      </c>
      <c r="U37" s="9"/>
      <c r="V37" s="63"/>
      <c r="W37" s="78"/>
      <c r="X37" s="109"/>
      <c r="Y37" s="78"/>
      <c r="Z37" s="78"/>
      <c r="AA37" s="78"/>
      <c r="AB37" s="78"/>
      <c r="AC37" s="78"/>
      <c r="AD37" s="78"/>
      <c r="AE37" s="78"/>
    </row>
    <row r="38" spans="1:31" ht="15.75" customHeight="1">
      <c r="B38" s="5" t="s">
        <v>4</v>
      </c>
      <c r="C38" s="9"/>
      <c r="D38" s="63"/>
      <c r="E38" s="5" t="s">
        <v>4</v>
      </c>
      <c r="F38" s="9"/>
      <c r="G38" s="63"/>
      <c r="H38" s="5" t="s">
        <v>4</v>
      </c>
      <c r="I38" s="9"/>
      <c r="J38" s="63"/>
      <c r="K38" s="5" t="s">
        <v>4</v>
      </c>
      <c r="L38" s="9"/>
      <c r="M38" s="63"/>
      <c r="N38" s="5" t="s">
        <v>4</v>
      </c>
      <c r="O38" s="9"/>
      <c r="P38" s="63"/>
      <c r="Q38" s="5" t="s">
        <v>4</v>
      </c>
      <c r="R38" s="9"/>
      <c r="S38" s="63"/>
      <c r="T38" s="5" t="s">
        <v>4</v>
      </c>
      <c r="U38" s="9"/>
      <c r="V38" s="63"/>
    </row>
    <row r="39" spans="1:31" ht="15.75" customHeight="1">
      <c r="B39" s="5" t="s">
        <v>5</v>
      </c>
      <c r="C39" s="9"/>
      <c r="D39" s="63"/>
      <c r="E39" s="5" t="s">
        <v>5</v>
      </c>
      <c r="F39" s="9"/>
      <c r="G39" s="63"/>
      <c r="H39" s="5" t="s">
        <v>5</v>
      </c>
      <c r="I39" s="9"/>
      <c r="J39" s="63"/>
      <c r="K39" s="5" t="s">
        <v>5</v>
      </c>
      <c r="L39" s="9"/>
      <c r="M39" s="63"/>
      <c r="N39" s="5" t="s">
        <v>5</v>
      </c>
      <c r="O39" s="9"/>
      <c r="P39" s="63"/>
      <c r="Q39" s="5" t="s">
        <v>5</v>
      </c>
      <c r="R39" s="9"/>
      <c r="S39" s="63"/>
      <c r="T39" s="5" t="s">
        <v>5</v>
      </c>
      <c r="U39" s="9"/>
      <c r="V39" s="63"/>
    </row>
    <row r="40" spans="1:31" ht="15.75" customHeight="1">
      <c r="B40" s="5" t="s">
        <v>6</v>
      </c>
      <c r="C40" s="9"/>
      <c r="D40" s="63"/>
      <c r="E40" s="5" t="s">
        <v>6</v>
      </c>
      <c r="F40" s="9"/>
      <c r="G40" s="63"/>
      <c r="H40" s="5" t="s">
        <v>6</v>
      </c>
      <c r="I40" s="9"/>
      <c r="J40" s="63"/>
      <c r="K40" s="5" t="s">
        <v>6</v>
      </c>
      <c r="L40" s="9"/>
      <c r="M40" s="63"/>
      <c r="N40" s="5" t="s">
        <v>6</v>
      </c>
      <c r="O40" s="9"/>
      <c r="P40" s="63"/>
      <c r="Q40" s="5" t="s">
        <v>6</v>
      </c>
      <c r="R40" s="9"/>
      <c r="S40" s="63"/>
      <c r="T40" s="5" t="s">
        <v>6</v>
      </c>
      <c r="U40" s="9"/>
      <c r="V40" s="63"/>
    </row>
    <row r="41" spans="1:31" s="3" customFormat="1" ht="15.75" customHeight="1">
      <c r="B41" s="6" t="s">
        <v>7</v>
      </c>
      <c r="C41" s="9"/>
      <c r="D41" s="63" t="s">
        <v>178</v>
      </c>
      <c r="E41" s="6" t="s">
        <v>7</v>
      </c>
      <c r="F41" s="9"/>
      <c r="G41" s="161"/>
      <c r="H41" s="6" t="s">
        <v>7</v>
      </c>
      <c r="I41" s="9"/>
      <c r="J41" s="161"/>
      <c r="K41" s="6" t="s">
        <v>7</v>
      </c>
      <c r="L41" s="9"/>
      <c r="M41" s="161"/>
      <c r="N41" s="6" t="s">
        <v>7</v>
      </c>
      <c r="O41" s="9"/>
      <c r="P41" s="161"/>
      <c r="Q41" s="6" t="s">
        <v>7</v>
      </c>
      <c r="R41" s="9"/>
      <c r="S41" s="161"/>
      <c r="T41" s="6" t="s">
        <v>7</v>
      </c>
      <c r="U41" s="9"/>
      <c r="V41" s="161"/>
      <c r="W41" s="4"/>
      <c r="X41" s="21"/>
      <c r="Y41" s="4"/>
      <c r="Z41" s="4"/>
      <c r="AA41" s="4"/>
      <c r="AB41" s="4"/>
      <c r="AC41" s="4"/>
      <c r="AD41" s="4"/>
      <c r="AE41" s="4"/>
    </row>
    <row r="42" spans="1:31" ht="15.75" customHeight="1">
      <c r="B42" s="6" t="s">
        <v>8</v>
      </c>
      <c r="C42" s="9"/>
      <c r="D42" s="63"/>
      <c r="E42" s="6" t="s">
        <v>8</v>
      </c>
      <c r="F42" s="9"/>
      <c r="G42" s="63"/>
      <c r="H42" s="6" t="s">
        <v>8</v>
      </c>
      <c r="I42" s="9"/>
      <c r="J42" s="63"/>
      <c r="K42" s="6" t="s">
        <v>8</v>
      </c>
      <c r="L42" s="9"/>
      <c r="M42" s="63"/>
      <c r="N42" s="6" t="s">
        <v>8</v>
      </c>
      <c r="O42" s="9"/>
      <c r="P42" s="63"/>
      <c r="Q42" s="6" t="s">
        <v>8</v>
      </c>
      <c r="R42" s="9"/>
      <c r="S42" s="63"/>
      <c r="T42" s="6" t="s">
        <v>8</v>
      </c>
      <c r="U42" s="9"/>
      <c r="V42" s="63"/>
    </row>
    <row r="43" spans="1:31" ht="15.75" customHeight="1">
      <c r="B43" s="6" t="s">
        <v>9</v>
      </c>
      <c r="C43" s="9"/>
      <c r="D43" s="63"/>
      <c r="E43" s="6" t="s">
        <v>9</v>
      </c>
      <c r="F43" s="9"/>
      <c r="G43" s="63"/>
      <c r="H43" s="6" t="s">
        <v>9</v>
      </c>
      <c r="I43" s="9"/>
      <c r="J43" s="63"/>
      <c r="K43" s="6" t="s">
        <v>9</v>
      </c>
      <c r="L43" s="9"/>
      <c r="M43" s="63"/>
      <c r="N43" s="6" t="s">
        <v>9</v>
      </c>
      <c r="O43" s="9"/>
      <c r="P43" s="63"/>
      <c r="Q43" s="6" t="s">
        <v>9</v>
      </c>
      <c r="R43" s="9"/>
      <c r="S43" s="63"/>
      <c r="T43" s="6" t="s">
        <v>9</v>
      </c>
      <c r="U43" s="9"/>
      <c r="V43" s="63"/>
    </row>
    <row r="44" spans="1:31" ht="15.75" customHeight="1">
      <c r="B44" s="6" t="s">
        <v>10</v>
      </c>
      <c r="C44" s="9"/>
      <c r="D44" s="63"/>
      <c r="E44" s="6" t="s">
        <v>10</v>
      </c>
      <c r="F44" s="9"/>
      <c r="G44" s="63"/>
      <c r="H44" s="6" t="s">
        <v>10</v>
      </c>
      <c r="I44" s="9"/>
      <c r="J44" s="63"/>
      <c r="K44" s="6" t="s">
        <v>10</v>
      </c>
      <c r="L44" s="9"/>
      <c r="M44" s="63"/>
      <c r="N44" s="6" t="s">
        <v>10</v>
      </c>
      <c r="O44" s="9"/>
      <c r="P44" s="63"/>
      <c r="Q44" s="6" t="s">
        <v>10</v>
      </c>
      <c r="R44" s="9"/>
      <c r="S44" s="63"/>
      <c r="T44" s="6" t="s">
        <v>10</v>
      </c>
      <c r="U44" s="9"/>
      <c r="V44" s="63"/>
    </row>
    <row r="45" spans="1:31" s="56" customFormat="1" ht="15.75" customHeight="1">
      <c r="B45" s="178" t="str">
        <f>IF(ISBLANK(MonBox1),IF(OR(Month="February",Month="April",Month="June",Month="August"),Mon2Mtg1,IF(Month="November",Mon2Mtg2,"")),"")</f>
        <v/>
      </c>
      <c r="C45" s="179"/>
      <c r="D45" s="180"/>
      <c r="E45" s="178" t="str">
        <f>IF(ISBLANK(TueBox1),Tue2Mtg1,"")</f>
        <v>J=Med Ed Prgm Dir 7-8</v>
      </c>
      <c r="F45" s="179"/>
      <c r="G45" s="180"/>
      <c r="H45" s="181" t="s">
        <v>208</v>
      </c>
      <c r="I45" s="182"/>
      <c r="J45" s="183"/>
      <c r="K45" s="178" t="str">
        <f>IF(ISBLANK(ThuBox1),Thu2Mtg1,"")</f>
        <v>All Loc HPE start 8:30</v>
      </c>
      <c r="L45" s="179"/>
      <c r="M45" s="180"/>
      <c r="N45" s="178"/>
      <c r="O45" s="179"/>
      <c r="P45" s="180"/>
      <c r="Q45" s="178"/>
      <c r="R45" s="179"/>
      <c r="S45" s="180"/>
      <c r="T45" s="178"/>
      <c r="U45" s="179"/>
      <c r="V45" s="180"/>
      <c r="W45" s="81"/>
      <c r="Z45" s="81"/>
      <c r="AA45" s="81"/>
      <c r="AB45" s="81"/>
      <c r="AC45" s="81"/>
      <c r="AD45" s="81"/>
      <c r="AE45" s="81"/>
    </row>
    <row r="46" spans="1:31" s="56" customFormat="1" ht="15.75" customHeight="1">
      <c r="B46" s="178" t="str">
        <f>IF(ISBLANK(MonBox1),"",Mon3Mtg1)</f>
        <v/>
      </c>
      <c r="C46" s="179"/>
      <c r="D46" s="180"/>
      <c r="E46" s="178" t="str">
        <f>IF(ISBLANK(TueBox1),IF(Month="December",Tue2Mtg2,""),"")</f>
        <v/>
      </c>
      <c r="F46" s="179"/>
      <c r="G46" s="180"/>
      <c r="H46" s="178" t="str">
        <f>IF(ISBLANK(WedBox1),Wed2Mtg1,"")</f>
        <v>Cogdon Lecture Series</v>
      </c>
      <c r="I46" s="179"/>
      <c r="J46" s="180"/>
      <c r="K46" s="178"/>
      <c r="L46" s="179"/>
      <c r="M46" s="180"/>
      <c r="N46" s="178"/>
      <c r="O46" s="179"/>
      <c r="P46" s="180"/>
      <c r="Q46" s="178"/>
      <c r="R46" s="179"/>
      <c r="S46" s="180"/>
      <c r="T46" s="178"/>
      <c r="U46" s="179"/>
      <c r="V46" s="180"/>
      <c r="W46" s="81"/>
      <c r="X46" s="168"/>
      <c r="Z46" s="81"/>
      <c r="AA46" s="81"/>
      <c r="AB46" s="81"/>
      <c r="AC46" s="81"/>
      <c r="AD46" s="81"/>
      <c r="AE46" s="81"/>
    </row>
    <row r="47" spans="1:31" s="56" customFormat="1">
      <c r="B47" s="175" t="str">
        <f>IF(ISBLANK(MonBox1),"",IF(OR(Month="January",Month="March",Month="May",Month="July",Month="September",Month="November"),Mon3Mtg2,Mon3Mtg3))</f>
        <v/>
      </c>
      <c r="C47" s="176"/>
      <c r="D47" s="177"/>
      <c r="E47" s="175" t="str">
        <f>IF(ISBLANK(TueBox1),"",Tue3Mtg1)</f>
        <v/>
      </c>
      <c r="F47" s="176"/>
      <c r="G47" s="177"/>
      <c r="H47" s="175"/>
      <c r="I47" s="176"/>
      <c r="J47" s="177"/>
      <c r="K47" s="175"/>
      <c r="L47" s="176"/>
      <c r="M47" s="177"/>
      <c r="N47" s="175"/>
      <c r="O47" s="176"/>
      <c r="P47" s="177"/>
      <c r="Q47" s="175"/>
      <c r="R47" s="176"/>
      <c r="S47" s="177"/>
      <c r="T47" s="175"/>
      <c r="U47" s="176"/>
      <c r="V47" s="177"/>
      <c r="W47" s="81"/>
      <c r="X47" s="109"/>
      <c r="Y47" s="81"/>
      <c r="Z47" s="81"/>
      <c r="AA47" s="81"/>
      <c r="AB47" s="81"/>
      <c r="AC47" s="81"/>
      <c r="AD47" s="81"/>
      <c r="AE47" s="81"/>
    </row>
    <row r="48" spans="1:31" s="65" customFormat="1" ht="15.75" hidden="1" customHeight="1">
      <c r="A48" s="64"/>
      <c r="B48" s="174"/>
      <c r="C48" s="174"/>
      <c r="D48" s="162"/>
      <c r="E48" s="174"/>
      <c r="F48" s="174"/>
      <c r="G48" s="163"/>
      <c r="H48" s="174"/>
      <c r="I48" s="174"/>
      <c r="J48" s="163"/>
      <c r="K48" s="174"/>
      <c r="L48" s="174"/>
      <c r="M48" s="163"/>
      <c r="N48" s="174"/>
      <c r="O48" s="174"/>
      <c r="P48" s="164"/>
      <c r="Q48" s="174"/>
      <c r="R48" s="174"/>
      <c r="S48" s="163"/>
      <c r="T48" s="174"/>
      <c r="U48" s="174"/>
      <c r="V48" s="164"/>
      <c r="X48" s="169"/>
    </row>
    <row r="49" spans="1:31" s="2" customFormat="1" ht="18.75">
      <c r="A49"/>
      <c r="B49" s="61" t="str">
        <f>IF(ISBLANK(B48),"",DAY(B48))</f>
        <v/>
      </c>
      <c r="C49" s="62"/>
      <c r="D49" s="66"/>
      <c r="E49" s="61" t="str">
        <f>IF(ISBLANK(E48),"",DAY(E48))</f>
        <v/>
      </c>
      <c r="F49" s="62"/>
      <c r="G49" s="66"/>
      <c r="H49" s="61" t="str">
        <f>IF(ISBLANK(H48),"",DAY(H48))</f>
        <v/>
      </c>
      <c r="I49" s="62"/>
      <c r="J49" s="66"/>
      <c r="K49" s="61" t="str">
        <f>IF(ISBLANK(K48),"",DAY(K48))</f>
        <v/>
      </c>
      <c r="L49" s="62"/>
      <c r="M49" s="66"/>
      <c r="N49" s="61" t="str">
        <f>IF(ISBLANK(N48),"",DAY(N48))</f>
        <v/>
      </c>
      <c r="O49" s="62"/>
      <c r="P49" s="66"/>
      <c r="Q49" s="61" t="str">
        <f>IF(ISBLANK(Q48),"",DAY(Q48))</f>
        <v/>
      </c>
      <c r="R49" s="62"/>
      <c r="S49" s="66"/>
      <c r="T49" s="61" t="str">
        <f>IF(ISBLANK(T48),"",DAY(T48))</f>
        <v/>
      </c>
      <c r="U49" s="62"/>
      <c r="V49" s="66"/>
      <c r="X49" s="109"/>
    </row>
    <row r="50" spans="1:31" s="60" customFormat="1" ht="12.75" hidden="1" customHeight="1">
      <c r="B50" s="75" t="s">
        <v>16</v>
      </c>
      <c r="C50" s="76" t="s">
        <v>17</v>
      </c>
      <c r="D50" s="166" t="s">
        <v>15</v>
      </c>
      <c r="E50" s="75" t="s">
        <v>16</v>
      </c>
      <c r="F50" s="76" t="s">
        <v>17</v>
      </c>
      <c r="G50" s="166" t="s">
        <v>15</v>
      </c>
      <c r="H50" s="75" t="s">
        <v>16</v>
      </c>
      <c r="I50" s="76" t="s">
        <v>17</v>
      </c>
      <c r="J50" s="166" t="s">
        <v>15</v>
      </c>
      <c r="K50" s="75" t="s">
        <v>16</v>
      </c>
      <c r="L50" s="76" t="s">
        <v>17</v>
      </c>
      <c r="M50" s="166" t="s">
        <v>15</v>
      </c>
      <c r="N50" s="75" t="s">
        <v>16</v>
      </c>
      <c r="O50" s="76" t="s">
        <v>17</v>
      </c>
      <c r="P50" s="166" t="s">
        <v>15</v>
      </c>
      <c r="Q50" s="75" t="s">
        <v>16</v>
      </c>
      <c r="R50" s="76" t="s">
        <v>17</v>
      </c>
      <c r="S50" s="166" t="s">
        <v>15</v>
      </c>
      <c r="T50" s="75" t="s">
        <v>16</v>
      </c>
      <c r="U50" s="76" t="s">
        <v>17</v>
      </c>
      <c r="V50" s="166" t="s">
        <v>15</v>
      </c>
      <c r="W50" s="21"/>
      <c r="X50" s="170"/>
      <c r="Y50" s="21"/>
      <c r="Z50" s="21"/>
      <c r="AA50" s="21"/>
      <c r="AB50" s="21"/>
      <c r="AC50" s="21"/>
      <c r="AD50" s="21"/>
      <c r="AE50" s="21"/>
    </row>
    <row r="51" spans="1:31" ht="15.75" customHeight="1">
      <c r="B51" s="122" t="s">
        <v>165</v>
      </c>
      <c r="C51" s="120" t="s">
        <v>159</v>
      </c>
      <c r="D51" s="121"/>
      <c r="E51" s="122" t="s">
        <v>165</v>
      </c>
      <c r="F51" s="120" t="s">
        <v>159</v>
      </c>
      <c r="G51" s="121"/>
      <c r="H51" s="122" t="s">
        <v>165</v>
      </c>
      <c r="I51" s="120" t="s">
        <v>159</v>
      </c>
      <c r="J51" s="121"/>
      <c r="K51" s="122" t="s">
        <v>165</v>
      </c>
      <c r="L51" s="120" t="s">
        <v>159</v>
      </c>
      <c r="M51" s="121"/>
      <c r="N51" s="122" t="s">
        <v>165</v>
      </c>
      <c r="O51" s="120" t="s">
        <v>159</v>
      </c>
      <c r="P51" s="121"/>
      <c r="Q51" s="122" t="s">
        <v>165</v>
      </c>
      <c r="R51" s="120" t="s">
        <v>159</v>
      </c>
      <c r="S51" s="121"/>
      <c r="T51" s="122" t="s">
        <v>165</v>
      </c>
      <c r="U51" s="120" t="s">
        <v>159</v>
      </c>
      <c r="V51" s="121"/>
      <c r="X51" s="125"/>
    </row>
    <row r="52" spans="1:31" s="77" customFormat="1" ht="15.75" customHeight="1">
      <c r="B52" s="79" t="s">
        <v>3</v>
      </c>
      <c r="C52" s="9"/>
      <c r="D52" s="63"/>
      <c r="E52" s="79" t="s">
        <v>3</v>
      </c>
      <c r="F52" s="9"/>
      <c r="G52" s="63"/>
      <c r="H52" s="79" t="s">
        <v>3</v>
      </c>
      <c r="I52" s="9"/>
      <c r="J52" s="63"/>
      <c r="K52" s="79" t="s">
        <v>3</v>
      </c>
      <c r="L52" s="9"/>
      <c r="M52" s="63"/>
      <c r="N52" s="79" t="s">
        <v>3</v>
      </c>
      <c r="O52" s="9"/>
      <c r="P52" s="63"/>
      <c r="Q52" s="79" t="s">
        <v>3</v>
      </c>
      <c r="R52" s="9"/>
      <c r="S52" s="63"/>
      <c r="T52" s="79" t="s">
        <v>3</v>
      </c>
      <c r="U52" s="9"/>
      <c r="V52" s="63"/>
      <c r="W52" s="78"/>
      <c r="X52" s="109"/>
      <c r="Y52" s="78"/>
      <c r="Z52" s="78"/>
      <c r="AA52" s="78"/>
      <c r="AB52" s="78"/>
      <c r="AC52" s="78"/>
      <c r="AD52" s="78"/>
      <c r="AE52" s="78"/>
    </row>
    <row r="53" spans="1:31" ht="15.75" customHeight="1">
      <c r="B53" s="5" t="s">
        <v>4</v>
      </c>
      <c r="C53" s="9"/>
      <c r="D53" s="63"/>
      <c r="E53" s="5" t="s">
        <v>4</v>
      </c>
      <c r="F53" s="9"/>
      <c r="G53" s="63"/>
      <c r="H53" s="5" t="s">
        <v>4</v>
      </c>
      <c r="I53" s="9"/>
      <c r="J53" s="63"/>
      <c r="K53" s="5" t="s">
        <v>4</v>
      </c>
      <c r="L53" s="9"/>
      <c r="M53" s="63"/>
      <c r="N53" s="5" t="s">
        <v>4</v>
      </c>
      <c r="O53" s="9"/>
      <c r="P53" s="63"/>
      <c r="Q53" s="5" t="s">
        <v>4</v>
      </c>
      <c r="R53" s="9"/>
      <c r="S53" s="63"/>
      <c r="T53" s="5" t="s">
        <v>4</v>
      </c>
      <c r="U53" s="9"/>
      <c r="V53" s="63"/>
      <c r="X53" s="109"/>
    </row>
    <row r="54" spans="1:31" ht="15.75" customHeight="1">
      <c r="B54" s="5" t="s">
        <v>5</v>
      </c>
      <c r="C54" s="9"/>
      <c r="D54" s="63"/>
      <c r="E54" s="5" t="s">
        <v>5</v>
      </c>
      <c r="F54" s="9"/>
      <c r="G54" s="63"/>
      <c r="H54" s="5" t="s">
        <v>5</v>
      </c>
      <c r="I54" s="9"/>
      <c r="J54" s="63"/>
      <c r="K54" s="5" t="s">
        <v>5</v>
      </c>
      <c r="L54" s="9"/>
      <c r="M54" s="63"/>
      <c r="N54" s="5" t="s">
        <v>5</v>
      </c>
      <c r="O54" s="9"/>
      <c r="P54" s="63"/>
      <c r="Q54" s="5" t="s">
        <v>5</v>
      </c>
      <c r="R54" s="9"/>
      <c r="S54" s="63"/>
      <c r="T54" s="5" t="s">
        <v>5</v>
      </c>
      <c r="U54" s="9"/>
      <c r="V54" s="63"/>
      <c r="X54" s="109"/>
    </row>
    <row r="55" spans="1:31" ht="15.75" customHeight="1">
      <c r="B55" s="5" t="s">
        <v>6</v>
      </c>
      <c r="C55" s="9"/>
      <c r="D55" s="63"/>
      <c r="E55" s="5" t="s">
        <v>6</v>
      </c>
      <c r="F55" s="9"/>
      <c r="G55" s="63"/>
      <c r="H55" s="5" t="s">
        <v>6</v>
      </c>
      <c r="I55" s="9"/>
      <c r="J55" s="63"/>
      <c r="K55" s="5" t="s">
        <v>6</v>
      </c>
      <c r="L55" s="9"/>
      <c r="M55" s="63"/>
      <c r="N55" s="5" t="s">
        <v>6</v>
      </c>
      <c r="O55" s="9"/>
      <c r="P55" s="63"/>
      <c r="Q55" s="5" t="s">
        <v>6</v>
      </c>
      <c r="R55" s="9"/>
      <c r="S55" s="63"/>
      <c r="T55" s="5" t="s">
        <v>6</v>
      </c>
      <c r="U55" s="9"/>
      <c r="V55" s="63"/>
      <c r="X55" s="109"/>
    </row>
    <row r="56" spans="1:31" s="3" customFormat="1" ht="15.75" customHeight="1">
      <c r="B56" s="6" t="s">
        <v>7</v>
      </c>
      <c r="C56" s="9"/>
      <c r="D56" s="63" t="s">
        <v>178</v>
      </c>
      <c r="E56" s="6" t="s">
        <v>7</v>
      </c>
      <c r="F56" s="9"/>
      <c r="G56" s="161"/>
      <c r="H56" s="6" t="s">
        <v>7</v>
      </c>
      <c r="I56" s="9"/>
      <c r="J56" s="161"/>
      <c r="K56" s="6" t="s">
        <v>7</v>
      </c>
      <c r="L56" s="9"/>
      <c r="M56" s="161"/>
      <c r="N56" s="6" t="s">
        <v>7</v>
      </c>
      <c r="O56" s="9"/>
      <c r="P56" s="161"/>
      <c r="Q56" s="6" t="s">
        <v>7</v>
      </c>
      <c r="R56" s="9"/>
      <c r="S56" s="161"/>
      <c r="T56" s="6" t="s">
        <v>7</v>
      </c>
      <c r="U56" s="9"/>
      <c r="V56" s="161"/>
      <c r="W56" s="4"/>
      <c r="X56" s="21"/>
      <c r="Y56" s="4"/>
      <c r="Z56" s="4"/>
      <c r="AA56" s="4"/>
      <c r="AB56" s="4"/>
      <c r="AC56" s="4"/>
      <c r="AD56" s="4"/>
      <c r="AE56" s="4"/>
    </row>
    <row r="57" spans="1:31" ht="15.75" customHeight="1">
      <c r="B57" s="6" t="s">
        <v>8</v>
      </c>
      <c r="C57" s="9"/>
      <c r="D57" s="63"/>
      <c r="E57" s="6" t="s">
        <v>8</v>
      </c>
      <c r="F57" s="9"/>
      <c r="G57" s="63"/>
      <c r="H57" s="6" t="s">
        <v>8</v>
      </c>
      <c r="I57" s="9"/>
      <c r="J57" s="63"/>
      <c r="K57" s="6" t="s">
        <v>8</v>
      </c>
      <c r="L57" s="9"/>
      <c r="M57" s="63"/>
      <c r="N57" s="6" t="s">
        <v>8</v>
      </c>
      <c r="O57" s="9"/>
      <c r="P57" s="63"/>
      <c r="Q57" s="6" t="s">
        <v>8</v>
      </c>
      <c r="R57" s="9"/>
      <c r="S57" s="63"/>
      <c r="T57" s="6" t="s">
        <v>8</v>
      </c>
      <c r="U57" s="9"/>
      <c r="V57" s="63"/>
    </row>
    <row r="58" spans="1:31" ht="15.75" customHeight="1">
      <c r="B58" s="6" t="s">
        <v>9</v>
      </c>
      <c r="C58" s="9"/>
      <c r="D58" s="63"/>
      <c r="E58" s="6" t="s">
        <v>9</v>
      </c>
      <c r="F58" s="9"/>
      <c r="G58" s="63"/>
      <c r="H58" s="6" t="s">
        <v>9</v>
      </c>
      <c r="I58" s="9"/>
      <c r="J58" s="63"/>
      <c r="K58" s="6" t="s">
        <v>9</v>
      </c>
      <c r="L58" s="9"/>
      <c r="M58" s="63"/>
      <c r="N58" s="6" t="s">
        <v>9</v>
      </c>
      <c r="O58" s="9"/>
      <c r="P58" s="63"/>
      <c r="Q58" s="6" t="s">
        <v>9</v>
      </c>
      <c r="R58" s="9"/>
      <c r="S58" s="63"/>
      <c r="T58" s="6" t="s">
        <v>9</v>
      </c>
      <c r="U58" s="9"/>
      <c r="V58" s="63"/>
    </row>
    <row r="59" spans="1:31" ht="15.75" customHeight="1">
      <c r="B59" s="6" t="s">
        <v>10</v>
      </c>
      <c r="C59" s="9"/>
      <c r="D59" s="63"/>
      <c r="E59" s="6" t="s">
        <v>10</v>
      </c>
      <c r="F59" s="9"/>
      <c r="G59" s="63"/>
      <c r="H59" s="6" t="s">
        <v>10</v>
      </c>
      <c r="I59" s="9"/>
      <c r="J59" s="63"/>
      <c r="K59" s="6" t="s">
        <v>10</v>
      </c>
      <c r="L59" s="9"/>
      <c r="M59" s="63"/>
      <c r="N59" s="6" t="s">
        <v>10</v>
      </c>
      <c r="O59" s="9"/>
      <c r="P59" s="63"/>
      <c r="Q59" s="6" t="s">
        <v>10</v>
      </c>
      <c r="R59" s="9"/>
      <c r="S59" s="63"/>
      <c r="T59" s="6" t="s">
        <v>10</v>
      </c>
      <c r="U59" s="9"/>
      <c r="V59" s="63"/>
    </row>
    <row r="60" spans="1:31" s="56" customFormat="1" ht="15.75" customHeight="1">
      <c r="B60" s="178" t="str">
        <f>IF(ISBLANK(MonBox1),Mon3Mtg1,"")</f>
        <v>Morning Rpt 7-8, Start 8:30</v>
      </c>
      <c r="C60" s="179"/>
      <c r="D60" s="180"/>
      <c r="E60" s="178" t="str">
        <f>IF(ISBLANK(TueBox1),Tue3Mtg1,"")</f>
        <v>Journal Club</v>
      </c>
      <c r="F60" s="179"/>
      <c r="G60" s="180"/>
      <c r="H60" s="181" t="s">
        <v>208</v>
      </c>
      <c r="I60" s="182"/>
      <c r="J60" s="183"/>
      <c r="K60" s="178" t="str">
        <f>IF(ISBLANK(ThuBox1),"",Thu4Mtg1)</f>
        <v/>
      </c>
      <c r="L60" s="179"/>
      <c r="M60" s="180"/>
      <c r="N60" s="178" t="str">
        <f>IF(ISBLANK(FriBox1),"",Fri4Mtg1)</f>
        <v/>
      </c>
      <c r="O60" s="179"/>
      <c r="P60" s="180"/>
      <c r="Q60" s="178"/>
      <c r="R60" s="179"/>
      <c r="S60" s="180"/>
      <c r="T60" s="178"/>
      <c r="U60" s="179"/>
      <c r="V60" s="180"/>
      <c r="W60" s="81"/>
      <c r="X60" s="107"/>
      <c r="Y60" s="81"/>
      <c r="Z60" s="81"/>
      <c r="AA60" s="81"/>
      <c r="AB60" s="81"/>
      <c r="AC60" s="81"/>
      <c r="AD60" s="81"/>
      <c r="AE60" s="81"/>
    </row>
    <row r="61" spans="1:31" s="56" customFormat="1" ht="15.75" customHeight="1">
      <c r="B61" s="178" t="str">
        <f>IF(ISBLANK(MonBox1),IF(OR(Month="January",Month="March",Month="May",Month="July",Month="September",Month="November"),Mon3Mtg2,Mon3Mtg3))</f>
        <v>HPE Board Mtg</v>
      </c>
      <c r="C61" s="179"/>
      <c r="D61" s="180"/>
      <c r="E61" s="178" t="str">
        <f>IF(ISBLANK(TueBox1),"",Tue4Mtg1)</f>
        <v/>
      </c>
      <c r="F61" s="179"/>
      <c r="G61" s="180"/>
      <c r="H61" s="178"/>
      <c r="I61" s="179"/>
      <c r="J61" s="180"/>
      <c r="K61" s="178"/>
      <c r="L61" s="179"/>
      <c r="M61" s="180"/>
      <c r="N61" s="178"/>
      <c r="O61" s="179"/>
      <c r="P61" s="180"/>
      <c r="Q61" s="178"/>
      <c r="R61" s="179"/>
      <c r="S61" s="180"/>
      <c r="T61" s="178"/>
      <c r="U61" s="179"/>
      <c r="V61" s="180"/>
      <c r="W61" s="81"/>
      <c r="X61" s="107"/>
      <c r="Y61" s="81"/>
      <c r="Z61" s="81"/>
      <c r="AA61" s="81"/>
      <c r="AB61" s="81"/>
      <c r="AC61" s="81"/>
      <c r="AD61" s="81"/>
      <c r="AE61" s="81"/>
    </row>
    <row r="62" spans="1:31" s="56" customFormat="1" ht="15.75" customHeight="1">
      <c r="B62" s="175"/>
      <c r="C62" s="176"/>
      <c r="D62" s="177"/>
      <c r="E62" s="175" t="str">
        <f>IF(ISBLANK(TueBox1),"",Tue4Mtg2)</f>
        <v/>
      </c>
      <c r="F62" s="176"/>
      <c r="G62" s="177"/>
      <c r="H62" s="175"/>
      <c r="I62" s="176"/>
      <c r="J62" s="177"/>
      <c r="K62" s="175"/>
      <c r="L62" s="176"/>
      <c r="M62" s="177"/>
      <c r="N62" s="175"/>
      <c r="O62" s="176"/>
      <c r="P62" s="177"/>
      <c r="Q62" s="175"/>
      <c r="R62" s="176"/>
      <c r="S62" s="177"/>
      <c r="T62" s="175"/>
      <c r="U62" s="176"/>
      <c r="V62" s="177"/>
      <c r="W62" s="81"/>
      <c r="X62" s="107"/>
      <c r="Y62" s="81"/>
      <c r="Z62" s="81"/>
      <c r="AA62" s="81"/>
      <c r="AB62" s="81"/>
      <c r="AC62" s="81"/>
      <c r="AD62" s="81"/>
      <c r="AE62" s="81"/>
    </row>
    <row r="63" spans="1:31" s="65" customFormat="1" ht="15.75" hidden="1" customHeight="1">
      <c r="A63" s="64"/>
      <c r="B63" s="174"/>
      <c r="C63" s="174"/>
      <c r="D63" s="162"/>
      <c r="E63" s="174"/>
      <c r="F63" s="174"/>
      <c r="G63" s="163"/>
      <c r="H63" s="174"/>
      <c r="I63" s="174"/>
      <c r="J63" s="163"/>
      <c r="K63" s="174"/>
      <c r="L63" s="174"/>
      <c r="M63" s="163"/>
      <c r="N63" s="174"/>
      <c r="O63" s="174"/>
      <c r="P63" s="164"/>
      <c r="Q63" s="174"/>
      <c r="R63" s="174"/>
      <c r="S63" s="163"/>
      <c r="T63" s="174"/>
      <c r="U63" s="174"/>
      <c r="V63" s="164"/>
      <c r="X63" s="106"/>
    </row>
    <row r="64" spans="1:31" s="2" customFormat="1" ht="18.75">
      <c r="A64"/>
      <c r="B64" s="61" t="str">
        <f>IF(ISBLANK(B63),"",DAY(B63))</f>
        <v/>
      </c>
      <c r="C64" s="62"/>
      <c r="D64" s="66"/>
      <c r="E64" s="61" t="str">
        <f>IF(ISBLANK(E63),"",DAY(E63))</f>
        <v/>
      </c>
      <c r="F64" s="62"/>
      <c r="G64" s="66"/>
      <c r="H64" s="61" t="str">
        <f>IF(ISBLANK(H63),"",DAY(H63))</f>
        <v/>
      </c>
      <c r="I64" s="62"/>
      <c r="J64" s="66"/>
      <c r="K64" s="61" t="str">
        <f>IF(ISBLANK(K63),"",DAY(K63))</f>
        <v/>
      </c>
      <c r="L64" s="62"/>
      <c r="M64" s="66"/>
      <c r="N64" s="61" t="str">
        <f>IF(ISBLANK(N63),"",DAY(N63))</f>
        <v/>
      </c>
      <c r="O64" s="62"/>
      <c r="P64" s="66"/>
      <c r="Q64" s="61" t="str">
        <f>IF(ISBLANK(Q63),"",DAY(Q63))</f>
        <v/>
      </c>
      <c r="R64" s="62"/>
      <c r="S64" s="66"/>
      <c r="T64" s="61" t="str">
        <f>IF(ISBLANK(T63),"",DAY(T63))</f>
        <v/>
      </c>
      <c r="U64" s="62"/>
      <c r="V64" s="66"/>
      <c r="X64" s="107"/>
    </row>
    <row r="65" spans="1:31" s="60" customFormat="1" ht="15.75" hidden="1" customHeight="1">
      <c r="B65" s="75" t="s">
        <v>16</v>
      </c>
      <c r="C65" s="76" t="s">
        <v>17</v>
      </c>
      <c r="D65" s="166" t="s">
        <v>15</v>
      </c>
      <c r="E65" s="75" t="s">
        <v>16</v>
      </c>
      <c r="F65" s="76" t="s">
        <v>17</v>
      </c>
      <c r="G65" s="166" t="s">
        <v>15</v>
      </c>
      <c r="H65" s="75" t="s">
        <v>16</v>
      </c>
      <c r="I65" s="76" t="s">
        <v>17</v>
      </c>
      <c r="J65" s="166" t="s">
        <v>15</v>
      </c>
      <c r="K65" s="75" t="s">
        <v>16</v>
      </c>
      <c r="L65" s="76" t="s">
        <v>17</v>
      </c>
      <c r="M65" s="166" t="s">
        <v>15</v>
      </c>
      <c r="N65" s="75" t="s">
        <v>16</v>
      </c>
      <c r="O65" s="76" t="s">
        <v>17</v>
      </c>
      <c r="P65" s="166" t="s">
        <v>15</v>
      </c>
      <c r="Q65" s="75" t="s">
        <v>16</v>
      </c>
      <c r="R65" s="76" t="s">
        <v>17</v>
      </c>
      <c r="S65" s="166" t="s">
        <v>15</v>
      </c>
      <c r="T65" s="75" t="s">
        <v>16</v>
      </c>
      <c r="U65" s="76" t="s">
        <v>17</v>
      </c>
      <c r="V65" s="166" t="s">
        <v>15</v>
      </c>
      <c r="W65" s="21"/>
      <c r="X65" s="21"/>
      <c r="Y65" s="21"/>
      <c r="Z65" s="21"/>
      <c r="AA65" s="21"/>
      <c r="AB65" s="21"/>
      <c r="AC65" s="21"/>
      <c r="AD65" s="21"/>
      <c r="AE65" s="21"/>
    </row>
    <row r="66" spans="1:31" ht="15.75" customHeight="1">
      <c r="B66" s="122" t="s">
        <v>165</v>
      </c>
      <c r="C66" s="120" t="s">
        <v>159</v>
      </c>
      <c r="D66" s="121"/>
      <c r="E66" s="122" t="s">
        <v>165</v>
      </c>
      <c r="F66" s="120" t="s">
        <v>159</v>
      </c>
      <c r="G66" s="121"/>
      <c r="H66" s="122" t="s">
        <v>165</v>
      </c>
      <c r="I66" s="120" t="s">
        <v>159</v>
      </c>
      <c r="J66" s="121"/>
      <c r="K66" s="122" t="s">
        <v>165</v>
      </c>
      <c r="L66" s="120" t="s">
        <v>159</v>
      </c>
      <c r="M66" s="121"/>
      <c r="N66" s="122" t="s">
        <v>165</v>
      </c>
      <c r="O66" s="120" t="s">
        <v>159</v>
      </c>
      <c r="P66" s="121"/>
      <c r="Q66" s="122" t="s">
        <v>165</v>
      </c>
      <c r="R66" s="120" t="s">
        <v>159</v>
      </c>
      <c r="S66" s="121"/>
      <c r="T66" s="122" t="s">
        <v>165</v>
      </c>
      <c r="U66" s="120" t="s">
        <v>159</v>
      </c>
      <c r="V66" s="121"/>
    </row>
    <row r="67" spans="1:31" s="77" customFormat="1" ht="15.75" customHeight="1">
      <c r="B67" s="79" t="s">
        <v>3</v>
      </c>
      <c r="C67" s="9"/>
      <c r="D67" s="63"/>
      <c r="E67" s="79" t="s">
        <v>3</v>
      </c>
      <c r="F67" s="9"/>
      <c r="G67" s="63"/>
      <c r="H67" s="79" t="s">
        <v>3</v>
      </c>
      <c r="I67" s="9"/>
      <c r="J67" s="63"/>
      <c r="K67" s="79" t="s">
        <v>3</v>
      </c>
      <c r="L67" s="9"/>
      <c r="M67" s="63"/>
      <c r="N67" s="79" t="s">
        <v>3</v>
      </c>
      <c r="O67" s="9"/>
      <c r="P67" s="63"/>
      <c r="Q67" s="79" t="s">
        <v>3</v>
      </c>
      <c r="R67" s="9"/>
      <c r="S67" s="63"/>
      <c r="T67" s="79" t="s">
        <v>3</v>
      </c>
      <c r="U67" s="9"/>
      <c r="V67" s="63"/>
      <c r="W67" s="78"/>
      <c r="X67" s="109"/>
      <c r="Y67" s="78"/>
      <c r="Z67" s="78"/>
      <c r="AA67" s="78"/>
      <c r="AB67" s="78"/>
      <c r="AC67" s="78"/>
      <c r="AD67" s="78"/>
      <c r="AE67" s="78"/>
    </row>
    <row r="68" spans="1:31" ht="15.75" customHeight="1">
      <c r="B68" s="5" t="s">
        <v>4</v>
      </c>
      <c r="C68" s="9"/>
      <c r="D68" s="63"/>
      <c r="E68" s="5" t="s">
        <v>4</v>
      </c>
      <c r="F68" s="9"/>
      <c r="G68" s="63"/>
      <c r="H68" s="5" t="s">
        <v>4</v>
      </c>
      <c r="I68" s="9"/>
      <c r="J68" s="63"/>
      <c r="K68" s="5" t="s">
        <v>4</v>
      </c>
      <c r="L68" s="9"/>
      <c r="M68" s="63"/>
      <c r="N68" s="5" t="s">
        <v>4</v>
      </c>
      <c r="O68" s="9"/>
      <c r="P68" s="63"/>
      <c r="Q68" s="5" t="s">
        <v>4</v>
      </c>
      <c r="R68" s="9"/>
      <c r="S68" s="63"/>
      <c r="T68" s="5" t="s">
        <v>4</v>
      </c>
      <c r="U68" s="9"/>
      <c r="V68" s="63"/>
    </row>
    <row r="69" spans="1:31" ht="15.75" customHeight="1">
      <c r="B69" s="5" t="s">
        <v>5</v>
      </c>
      <c r="C69" s="9"/>
      <c r="D69" s="63"/>
      <c r="E69" s="5" t="s">
        <v>5</v>
      </c>
      <c r="F69" s="9"/>
      <c r="G69" s="63"/>
      <c r="H69" s="5" t="s">
        <v>5</v>
      </c>
      <c r="I69" s="9"/>
      <c r="J69" s="63"/>
      <c r="K69" s="5" t="s">
        <v>5</v>
      </c>
      <c r="L69" s="9"/>
      <c r="M69" s="63"/>
      <c r="N69" s="5" t="s">
        <v>5</v>
      </c>
      <c r="O69" s="9"/>
      <c r="P69" s="63"/>
      <c r="Q69" s="5" t="s">
        <v>5</v>
      </c>
      <c r="R69" s="9"/>
      <c r="S69" s="63"/>
      <c r="T69" s="5" t="s">
        <v>5</v>
      </c>
      <c r="U69" s="9"/>
      <c r="V69" s="63"/>
    </row>
    <row r="70" spans="1:31" ht="15.75" customHeight="1">
      <c r="B70" s="5" t="s">
        <v>6</v>
      </c>
      <c r="C70" s="9"/>
      <c r="D70" s="63"/>
      <c r="E70" s="5" t="s">
        <v>6</v>
      </c>
      <c r="F70" s="9"/>
      <c r="G70" s="63"/>
      <c r="H70" s="5" t="s">
        <v>6</v>
      </c>
      <c r="I70" s="9"/>
      <c r="J70" s="63"/>
      <c r="K70" s="5" t="s">
        <v>6</v>
      </c>
      <c r="L70" s="9"/>
      <c r="M70" s="63"/>
      <c r="N70" s="5" t="s">
        <v>6</v>
      </c>
      <c r="O70" s="9"/>
      <c r="P70" s="63"/>
      <c r="Q70" s="5" t="s">
        <v>6</v>
      </c>
      <c r="R70" s="9"/>
      <c r="S70" s="63"/>
      <c r="T70" s="5" t="s">
        <v>6</v>
      </c>
      <c r="U70" s="9"/>
      <c r="V70" s="63"/>
    </row>
    <row r="71" spans="1:31" s="3" customFormat="1" ht="15.75" customHeight="1">
      <c r="B71" s="6" t="s">
        <v>7</v>
      </c>
      <c r="C71" s="9"/>
      <c r="D71" s="63" t="s">
        <v>178</v>
      </c>
      <c r="E71" s="6" t="s">
        <v>7</v>
      </c>
      <c r="F71" s="9"/>
      <c r="G71" s="161"/>
      <c r="H71" s="6" t="s">
        <v>7</v>
      </c>
      <c r="I71" s="9"/>
      <c r="J71" s="161"/>
      <c r="K71" s="6" t="s">
        <v>7</v>
      </c>
      <c r="L71" s="9"/>
      <c r="M71" s="161"/>
      <c r="N71" s="6" t="s">
        <v>7</v>
      </c>
      <c r="O71" s="9"/>
      <c r="P71" s="161"/>
      <c r="Q71" s="6" t="s">
        <v>7</v>
      </c>
      <c r="R71" s="9"/>
      <c r="S71" s="161"/>
      <c r="T71" s="6" t="s">
        <v>7</v>
      </c>
      <c r="U71" s="9"/>
      <c r="V71" s="161"/>
      <c r="W71" s="4"/>
      <c r="X71" s="21"/>
      <c r="Y71" s="4"/>
      <c r="Z71" s="4"/>
      <c r="AA71" s="4"/>
      <c r="AB71" s="4"/>
      <c r="AC71" s="4"/>
      <c r="AD71" s="4"/>
      <c r="AE71" s="4"/>
    </row>
    <row r="72" spans="1:31" ht="15.75" customHeight="1">
      <c r="B72" s="6" t="s">
        <v>8</v>
      </c>
      <c r="C72" s="9"/>
      <c r="D72" s="63"/>
      <c r="E72" s="6" t="s">
        <v>8</v>
      </c>
      <c r="F72" s="9"/>
      <c r="G72" s="63"/>
      <c r="H72" s="6" t="s">
        <v>8</v>
      </c>
      <c r="I72" s="9"/>
      <c r="J72" s="63"/>
      <c r="K72" s="6" t="s">
        <v>8</v>
      </c>
      <c r="L72" s="9"/>
      <c r="M72" s="63"/>
      <c r="N72" s="6" t="s">
        <v>8</v>
      </c>
      <c r="O72" s="9"/>
      <c r="P72" s="63"/>
      <c r="Q72" s="6" t="s">
        <v>8</v>
      </c>
      <c r="R72" s="9"/>
      <c r="S72" s="63"/>
      <c r="T72" s="6" t="s">
        <v>8</v>
      </c>
      <c r="U72" s="9"/>
      <c r="V72" s="63"/>
    </row>
    <row r="73" spans="1:31" ht="15.75" customHeight="1">
      <c r="B73" s="6" t="s">
        <v>9</v>
      </c>
      <c r="C73" s="9"/>
      <c r="D73" s="63"/>
      <c r="E73" s="6" t="s">
        <v>9</v>
      </c>
      <c r="F73" s="9"/>
      <c r="G73" s="63"/>
      <c r="H73" s="6" t="s">
        <v>9</v>
      </c>
      <c r="I73" s="9"/>
      <c r="J73" s="63"/>
      <c r="K73" s="6" t="s">
        <v>9</v>
      </c>
      <c r="L73" s="9"/>
      <c r="M73" s="63"/>
      <c r="N73" s="6" t="s">
        <v>9</v>
      </c>
      <c r="O73" s="9"/>
      <c r="P73" s="63"/>
      <c r="Q73" s="6" t="s">
        <v>9</v>
      </c>
      <c r="R73" s="9"/>
      <c r="S73" s="63"/>
      <c r="T73" s="6" t="s">
        <v>9</v>
      </c>
      <c r="U73" s="9"/>
      <c r="V73" s="63"/>
    </row>
    <row r="74" spans="1:31" ht="15.75" customHeight="1">
      <c r="B74" s="6" t="s">
        <v>10</v>
      </c>
      <c r="C74" s="9"/>
      <c r="D74" s="63"/>
      <c r="E74" s="6" t="s">
        <v>10</v>
      </c>
      <c r="F74" s="9"/>
      <c r="G74" s="63"/>
      <c r="H74" s="6" t="s">
        <v>10</v>
      </c>
      <c r="I74" s="9"/>
      <c r="J74" s="63"/>
      <c r="K74" s="6" t="s">
        <v>10</v>
      </c>
      <c r="L74" s="9"/>
      <c r="M74" s="63"/>
      <c r="N74" s="6" t="s">
        <v>10</v>
      </c>
      <c r="O74" s="9"/>
      <c r="P74" s="63"/>
      <c r="Q74" s="6" t="s">
        <v>10</v>
      </c>
      <c r="R74" s="9"/>
      <c r="S74" s="63"/>
      <c r="T74" s="6" t="s">
        <v>10</v>
      </c>
      <c r="U74" s="9"/>
      <c r="V74" s="63"/>
    </row>
    <row r="75" spans="1:31" s="56" customFormat="1" ht="15.75" customHeight="1">
      <c r="B75" s="178"/>
      <c r="C75" s="179"/>
      <c r="D75" s="180"/>
      <c r="E75" s="178" t="str">
        <f>IF(ISBLANK(TueBox1),Tue4Mtg1,"")</f>
        <v>J=Accred Subcom 7-8, Start 8:15</v>
      </c>
      <c r="F75" s="179"/>
      <c r="G75" s="180"/>
      <c r="H75" s="181" t="s">
        <v>208</v>
      </c>
      <c r="I75" s="182"/>
      <c r="J75" s="183"/>
      <c r="K75" s="178" t="str">
        <f>IF(ISBLANK(ThuBox1),Thu4Mtg1,"")</f>
        <v>Loc HPE4 Not Avail</v>
      </c>
      <c r="L75" s="179"/>
      <c r="M75" s="180"/>
      <c r="N75" s="178" t="str">
        <f>IF(ISBLANK(FriBox1),Fri4Mtg1,"")</f>
        <v>Loc HPE4 Not Avail</v>
      </c>
      <c r="O75" s="179"/>
      <c r="P75" s="180"/>
      <c r="Q75" s="178"/>
      <c r="R75" s="179"/>
      <c r="S75" s="180"/>
      <c r="T75" s="178"/>
      <c r="U75" s="179"/>
      <c r="V75" s="180"/>
      <c r="W75" s="81"/>
      <c r="X75" s="107"/>
      <c r="Y75" s="81"/>
      <c r="Z75" s="81"/>
      <c r="AA75" s="81"/>
      <c r="AB75" s="81"/>
      <c r="AC75" s="81"/>
      <c r="AD75" s="81"/>
      <c r="AE75" s="81"/>
    </row>
    <row r="76" spans="1:31" s="56" customFormat="1" ht="15.75" customHeight="1">
      <c r="B76" s="178"/>
      <c r="C76" s="179"/>
      <c r="D76" s="180"/>
      <c r="E76" s="178" t="str">
        <f>IF(ISBLANK(TueBox1),Tue4Mtg2,"")</f>
        <v>G Dept of Med Mtg 7:30</v>
      </c>
      <c r="F76" s="179"/>
      <c r="G76" s="180"/>
      <c r="H76" s="178"/>
      <c r="I76" s="179"/>
      <c r="J76" s="180"/>
      <c r="K76" s="178"/>
      <c r="L76" s="179"/>
      <c r="M76" s="180"/>
      <c r="N76" s="178"/>
      <c r="O76" s="179"/>
      <c r="P76" s="180"/>
      <c r="Q76" s="178"/>
      <c r="R76" s="179"/>
      <c r="S76" s="180"/>
      <c r="T76" s="178"/>
      <c r="U76" s="179"/>
      <c r="V76" s="180"/>
      <c r="W76" s="81"/>
      <c r="X76" s="107"/>
      <c r="Y76" s="81"/>
      <c r="Z76" s="81"/>
      <c r="AA76" s="81"/>
      <c r="AB76" s="81"/>
      <c r="AC76" s="81"/>
      <c r="AD76" s="81"/>
      <c r="AE76" s="81"/>
    </row>
    <row r="77" spans="1:31" s="56" customFormat="1" ht="15.75" customHeight="1">
      <c r="B77" s="175"/>
      <c r="C77" s="176"/>
      <c r="D77" s="177"/>
      <c r="E77" s="175"/>
      <c r="F77" s="176"/>
      <c r="G77" s="177"/>
      <c r="H77" s="175"/>
      <c r="I77" s="176"/>
      <c r="J77" s="177"/>
      <c r="K77" s="175"/>
      <c r="L77" s="176"/>
      <c r="M77" s="177"/>
      <c r="N77" s="175"/>
      <c r="O77" s="176"/>
      <c r="P77" s="177"/>
      <c r="Q77" s="175"/>
      <c r="R77" s="176"/>
      <c r="S77" s="177"/>
      <c r="T77" s="175"/>
      <c r="U77" s="176"/>
      <c r="V77" s="177"/>
      <c r="W77" s="81"/>
      <c r="X77" s="107"/>
      <c r="Y77" s="81"/>
      <c r="Z77" s="81"/>
      <c r="AA77" s="81"/>
      <c r="AB77" s="81"/>
      <c r="AC77" s="81"/>
      <c r="AD77" s="81"/>
      <c r="AE77" s="81"/>
    </row>
    <row r="78" spans="1:31" ht="15.75" hidden="1" customHeight="1">
      <c r="A78" s="64"/>
      <c r="B78" s="174"/>
      <c r="C78" s="174"/>
      <c r="D78" s="162"/>
      <c r="E78" s="174"/>
      <c r="F78" s="174"/>
      <c r="G78" s="163"/>
      <c r="H78" s="174"/>
      <c r="I78" s="174"/>
      <c r="J78" s="163"/>
      <c r="K78" s="174"/>
      <c r="L78" s="174"/>
      <c r="M78" s="163"/>
      <c r="N78" s="174"/>
      <c r="O78" s="174"/>
      <c r="P78" s="164"/>
      <c r="Q78" s="174"/>
      <c r="R78" s="174"/>
      <c r="S78" s="163"/>
      <c r="T78" s="174"/>
      <c r="U78" s="174"/>
      <c r="V78" s="164"/>
    </row>
    <row r="79" spans="1:31" ht="18.75">
      <c r="B79" s="61" t="str">
        <f>IF(ISBLANK(B78),"",DAY(B78))</f>
        <v/>
      </c>
      <c r="C79" s="62"/>
      <c r="D79" s="66"/>
      <c r="E79" s="61" t="str">
        <f>IF(ISBLANK(E78),"",DAY(E78))</f>
        <v/>
      </c>
      <c r="F79" s="62"/>
      <c r="G79" s="66"/>
      <c r="H79" s="61" t="str">
        <f>IF(ISBLANK(H78),"",DAY(H78))</f>
        <v/>
      </c>
      <c r="I79" s="62"/>
      <c r="J79" s="66"/>
      <c r="K79" s="61" t="str">
        <f>IF(ISBLANK(K78),"",DAY(K78))</f>
        <v/>
      </c>
      <c r="L79" s="62"/>
      <c r="M79" s="66"/>
      <c r="N79" s="61" t="str">
        <f>IF(ISBLANK(N78),"",DAY(N78))</f>
        <v/>
      </c>
      <c r="O79" s="62"/>
      <c r="P79" s="66"/>
      <c r="Q79" s="61" t="str">
        <f>IF(ISBLANK(Q78),"",DAY(Q78))</f>
        <v/>
      </c>
      <c r="R79" s="62"/>
      <c r="S79" s="66"/>
      <c r="T79" s="61" t="str">
        <f>IF(ISBLANK(T78),"",DAY(T78))</f>
        <v/>
      </c>
      <c r="U79" s="62"/>
      <c r="V79" s="66"/>
    </row>
    <row r="80" spans="1:31" hidden="1">
      <c r="A80" s="60"/>
      <c r="B80" s="75" t="s">
        <v>16</v>
      </c>
      <c r="C80" s="76" t="s">
        <v>17</v>
      </c>
      <c r="D80" s="166" t="s">
        <v>15</v>
      </c>
      <c r="E80" s="75" t="s">
        <v>16</v>
      </c>
      <c r="F80" s="76" t="s">
        <v>17</v>
      </c>
      <c r="G80" s="166" t="s">
        <v>15</v>
      </c>
      <c r="H80" s="75" t="s">
        <v>16</v>
      </c>
      <c r="I80" s="76" t="s">
        <v>17</v>
      </c>
      <c r="J80" s="166" t="s">
        <v>15</v>
      </c>
      <c r="K80" s="75" t="s">
        <v>16</v>
      </c>
      <c r="L80" s="76" t="s">
        <v>17</v>
      </c>
      <c r="M80" s="166" t="s">
        <v>15</v>
      </c>
      <c r="N80" s="75" t="s">
        <v>16</v>
      </c>
      <c r="O80" s="76" t="s">
        <v>17</v>
      </c>
      <c r="P80" s="166" t="s">
        <v>15</v>
      </c>
      <c r="Q80" s="75" t="s">
        <v>16</v>
      </c>
      <c r="R80" s="76" t="s">
        <v>17</v>
      </c>
      <c r="S80" s="166" t="s">
        <v>15</v>
      </c>
      <c r="T80" s="75" t="s">
        <v>16</v>
      </c>
      <c r="U80" s="76" t="s">
        <v>17</v>
      </c>
      <c r="V80" s="166" t="s">
        <v>15</v>
      </c>
    </row>
    <row r="81" spans="1:31" ht="15.75" customHeight="1">
      <c r="B81" s="122" t="s">
        <v>165</v>
      </c>
      <c r="C81" s="120" t="s">
        <v>159</v>
      </c>
      <c r="D81" s="121"/>
      <c r="E81" s="122" t="s">
        <v>165</v>
      </c>
      <c r="F81" s="120" t="s">
        <v>159</v>
      </c>
      <c r="G81" s="121"/>
      <c r="H81" s="122" t="s">
        <v>165</v>
      </c>
      <c r="I81" s="120" t="s">
        <v>159</v>
      </c>
      <c r="J81" s="121"/>
      <c r="K81" s="122" t="s">
        <v>165</v>
      </c>
      <c r="L81" s="120" t="s">
        <v>159</v>
      </c>
      <c r="M81" s="121"/>
      <c r="N81" s="122" t="s">
        <v>165</v>
      </c>
      <c r="O81" s="120" t="s">
        <v>159</v>
      </c>
      <c r="P81" s="121"/>
      <c r="Q81" s="122" t="s">
        <v>165</v>
      </c>
      <c r="R81" s="120" t="s">
        <v>159</v>
      </c>
      <c r="S81" s="121"/>
      <c r="T81" s="122" t="s">
        <v>165</v>
      </c>
      <c r="U81" s="120" t="s">
        <v>159</v>
      </c>
      <c r="V81" s="121"/>
    </row>
    <row r="82" spans="1:31" s="77" customFormat="1" ht="15.75" customHeight="1">
      <c r="B82" s="79" t="s">
        <v>3</v>
      </c>
      <c r="C82" s="9"/>
      <c r="D82" s="63"/>
      <c r="E82" s="79" t="s">
        <v>3</v>
      </c>
      <c r="F82" s="9"/>
      <c r="G82" s="63"/>
      <c r="H82" s="79" t="s">
        <v>3</v>
      </c>
      <c r="I82" s="9"/>
      <c r="J82" s="63"/>
      <c r="K82" s="79" t="s">
        <v>3</v>
      </c>
      <c r="L82" s="9"/>
      <c r="M82" s="63"/>
      <c r="N82" s="79" t="s">
        <v>3</v>
      </c>
      <c r="O82" s="9"/>
      <c r="P82" s="63"/>
      <c r="Q82" s="79" t="s">
        <v>3</v>
      </c>
      <c r="R82" s="9"/>
      <c r="S82" s="63"/>
      <c r="T82" s="79" t="s">
        <v>3</v>
      </c>
      <c r="U82" s="9"/>
      <c r="V82" s="63"/>
      <c r="W82" s="78"/>
      <c r="X82" s="109"/>
      <c r="Y82" s="78"/>
      <c r="Z82" s="78"/>
      <c r="AA82" s="78"/>
      <c r="AB82" s="78"/>
      <c r="AC82" s="78"/>
      <c r="AD82" s="78"/>
      <c r="AE82" s="78"/>
    </row>
    <row r="83" spans="1:31" ht="15.75">
      <c r="B83" s="5" t="s">
        <v>4</v>
      </c>
      <c r="C83" s="9"/>
      <c r="D83" s="63"/>
      <c r="E83" s="5" t="s">
        <v>4</v>
      </c>
      <c r="F83" s="9"/>
      <c r="G83" s="63"/>
      <c r="H83" s="5" t="s">
        <v>4</v>
      </c>
      <c r="I83" s="9"/>
      <c r="J83" s="63"/>
      <c r="K83" s="5" t="s">
        <v>4</v>
      </c>
      <c r="L83" s="9"/>
      <c r="M83" s="63"/>
      <c r="N83" s="5" t="s">
        <v>4</v>
      </c>
      <c r="O83" s="9"/>
      <c r="P83" s="63"/>
      <c r="Q83" s="5" t="s">
        <v>4</v>
      </c>
      <c r="R83" s="9"/>
      <c r="S83" s="63"/>
      <c r="T83" s="5" t="s">
        <v>4</v>
      </c>
      <c r="U83" s="9"/>
      <c r="V83" s="63"/>
    </row>
    <row r="84" spans="1:31" ht="15.75">
      <c r="B84" s="5" t="s">
        <v>5</v>
      </c>
      <c r="C84" s="9"/>
      <c r="D84" s="63"/>
      <c r="E84" s="5" t="s">
        <v>5</v>
      </c>
      <c r="F84" s="9"/>
      <c r="G84" s="63"/>
      <c r="H84" s="5" t="s">
        <v>5</v>
      </c>
      <c r="I84" s="9"/>
      <c r="J84" s="63"/>
      <c r="K84" s="5" t="s">
        <v>5</v>
      </c>
      <c r="L84" s="9"/>
      <c r="M84" s="63"/>
      <c r="N84" s="5" t="s">
        <v>5</v>
      </c>
      <c r="O84" s="9"/>
      <c r="P84" s="63"/>
      <c r="Q84" s="5" t="s">
        <v>5</v>
      </c>
      <c r="R84" s="9"/>
      <c r="S84" s="63"/>
      <c r="T84" s="5" t="s">
        <v>5</v>
      </c>
      <c r="U84" s="9"/>
      <c r="V84" s="63"/>
    </row>
    <row r="85" spans="1:31" ht="15.75">
      <c r="B85" s="5" t="s">
        <v>6</v>
      </c>
      <c r="C85" s="9"/>
      <c r="D85" s="63"/>
      <c r="E85" s="5" t="s">
        <v>6</v>
      </c>
      <c r="F85" s="9"/>
      <c r="G85" s="63"/>
      <c r="H85" s="5" t="s">
        <v>6</v>
      </c>
      <c r="I85" s="9"/>
      <c r="J85" s="63"/>
      <c r="K85" s="5" t="s">
        <v>6</v>
      </c>
      <c r="L85" s="9"/>
      <c r="M85" s="63"/>
      <c r="N85" s="5" t="s">
        <v>6</v>
      </c>
      <c r="O85" s="9"/>
      <c r="P85" s="63"/>
      <c r="Q85" s="5" t="s">
        <v>6</v>
      </c>
      <c r="R85" s="9"/>
      <c r="S85" s="63"/>
      <c r="T85" s="5" t="s">
        <v>6</v>
      </c>
      <c r="U85" s="9"/>
      <c r="V85" s="63"/>
    </row>
    <row r="86" spans="1:31" ht="15.75">
      <c r="A86" s="3"/>
      <c r="B86" s="6" t="s">
        <v>7</v>
      </c>
      <c r="C86" s="9"/>
      <c r="D86" s="63" t="s">
        <v>178</v>
      </c>
      <c r="E86" s="6" t="s">
        <v>7</v>
      </c>
      <c r="F86" s="9"/>
      <c r="G86" s="161"/>
      <c r="H86" s="6" t="s">
        <v>7</v>
      </c>
      <c r="I86" s="9"/>
      <c r="J86" s="161"/>
      <c r="K86" s="6" t="s">
        <v>7</v>
      </c>
      <c r="L86" s="9"/>
      <c r="M86" s="161"/>
      <c r="N86" s="6" t="s">
        <v>7</v>
      </c>
      <c r="O86" s="9"/>
      <c r="P86" s="161"/>
      <c r="Q86" s="6" t="s">
        <v>7</v>
      </c>
      <c r="R86" s="9"/>
      <c r="S86" s="161"/>
      <c r="T86" s="6" t="s">
        <v>7</v>
      </c>
      <c r="U86" s="9"/>
      <c r="V86" s="161"/>
    </row>
    <row r="87" spans="1:31" ht="15.75">
      <c r="B87" s="6" t="s">
        <v>8</v>
      </c>
      <c r="C87" s="9"/>
      <c r="D87" s="63"/>
      <c r="E87" s="6" t="s">
        <v>8</v>
      </c>
      <c r="F87" s="9"/>
      <c r="G87" s="63"/>
      <c r="H87" s="6" t="s">
        <v>8</v>
      </c>
      <c r="I87" s="9"/>
      <c r="J87" s="63"/>
      <c r="K87" s="6" t="s">
        <v>8</v>
      </c>
      <c r="L87" s="9"/>
      <c r="M87" s="63"/>
      <c r="N87" s="6" t="s">
        <v>8</v>
      </c>
      <c r="O87" s="9"/>
      <c r="P87" s="63"/>
      <c r="Q87" s="6" t="s">
        <v>8</v>
      </c>
      <c r="R87" s="9"/>
      <c r="S87" s="63"/>
      <c r="T87" s="6" t="s">
        <v>8</v>
      </c>
      <c r="U87" s="9"/>
      <c r="V87" s="63"/>
    </row>
    <row r="88" spans="1:31" ht="15.75">
      <c r="B88" s="6" t="s">
        <v>9</v>
      </c>
      <c r="C88" s="9"/>
      <c r="D88" s="63"/>
      <c r="E88" s="6" t="s">
        <v>9</v>
      </c>
      <c r="F88" s="9"/>
      <c r="G88" s="63"/>
      <c r="H88" s="6" t="s">
        <v>9</v>
      </c>
      <c r="I88" s="9"/>
      <c r="J88" s="63"/>
      <c r="K88" s="6" t="s">
        <v>9</v>
      </c>
      <c r="L88" s="9"/>
      <c r="M88" s="63"/>
      <c r="N88" s="6" t="s">
        <v>9</v>
      </c>
      <c r="O88" s="9"/>
      <c r="P88" s="63"/>
      <c r="Q88" s="6" t="s">
        <v>9</v>
      </c>
      <c r="R88" s="9"/>
      <c r="S88" s="63"/>
      <c r="T88" s="6" t="s">
        <v>9</v>
      </c>
      <c r="U88" s="9"/>
      <c r="V88" s="63"/>
    </row>
    <row r="89" spans="1:31" ht="15.75">
      <c r="B89" s="6" t="s">
        <v>10</v>
      </c>
      <c r="C89" s="9"/>
      <c r="D89" s="63"/>
      <c r="E89" s="6" t="s">
        <v>10</v>
      </c>
      <c r="F89" s="9"/>
      <c r="G89" s="63"/>
      <c r="H89" s="6" t="s">
        <v>10</v>
      </c>
      <c r="I89" s="9"/>
      <c r="J89" s="63"/>
      <c r="K89" s="6" t="s">
        <v>10</v>
      </c>
      <c r="L89" s="9"/>
      <c r="M89" s="63"/>
      <c r="N89" s="6" t="s">
        <v>10</v>
      </c>
      <c r="O89" s="9"/>
      <c r="P89" s="63"/>
      <c r="Q89" s="6" t="s">
        <v>10</v>
      </c>
      <c r="R89" s="9"/>
      <c r="S89" s="63"/>
      <c r="T89" s="6" t="s">
        <v>10</v>
      </c>
      <c r="U89" s="9"/>
      <c r="V89" s="63"/>
    </row>
    <row r="90" spans="1:31" s="56" customFormat="1">
      <c r="B90" s="178"/>
      <c r="C90" s="179"/>
      <c r="D90" s="180"/>
      <c r="E90" s="178"/>
      <c r="F90" s="179"/>
      <c r="G90" s="180"/>
      <c r="H90" s="181" t="s">
        <v>208</v>
      </c>
      <c r="I90" s="182"/>
      <c r="J90" s="183"/>
      <c r="K90" s="178"/>
      <c r="L90" s="179"/>
      <c r="M90" s="180"/>
      <c r="N90" s="178"/>
      <c r="O90" s="179"/>
      <c r="P90" s="180"/>
      <c r="Q90" s="178"/>
      <c r="R90" s="179"/>
      <c r="S90" s="180"/>
      <c r="T90" s="178"/>
      <c r="U90" s="179"/>
      <c r="V90" s="180"/>
      <c r="W90" s="81"/>
      <c r="X90" s="59"/>
    </row>
    <row r="91" spans="1:31" s="56" customFormat="1">
      <c r="B91" s="178"/>
      <c r="C91" s="179"/>
      <c r="D91" s="180"/>
      <c r="E91" s="178"/>
      <c r="F91" s="179"/>
      <c r="G91" s="180"/>
      <c r="H91" s="178"/>
      <c r="I91" s="179"/>
      <c r="J91" s="180"/>
      <c r="K91" s="178"/>
      <c r="L91" s="179"/>
      <c r="M91" s="180"/>
      <c r="N91" s="178"/>
      <c r="O91" s="179"/>
      <c r="P91" s="180"/>
      <c r="Q91" s="178"/>
      <c r="R91" s="179"/>
      <c r="S91" s="180"/>
      <c r="T91" s="178"/>
      <c r="U91" s="179"/>
      <c r="V91" s="180"/>
      <c r="W91" s="81"/>
      <c r="X91" s="59"/>
    </row>
    <row r="92" spans="1:31" s="56" customFormat="1">
      <c r="B92" s="175"/>
      <c r="C92" s="176"/>
      <c r="D92" s="177"/>
      <c r="E92" s="175"/>
      <c r="F92" s="176"/>
      <c r="G92" s="177"/>
      <c r="H92" s="175"/>
      <c r="I92" s="176"/>
      <c r="J92" s="177"/>
      <c r="K92" s="175"/>
      <c r="L92" s="176"/>
      <c r="M92" s="177"/>
      <c r="N92" s="175"/>
      <c r="O92" s="176"/>
      <c r="P92" s="177"/>
      <c r="Q92" s="175"/>
      <c r="R92" s="176"/>
      <c r="S92" s="177"/>
      <c r="T92" s="175"/>
      <c r="U92" s="176"/>
      <c r="V92" s="177"/>
      <c r="W92" s="81"/>
      <c r="X92" s="59"/>
    </row>
    <row r="104" spans="2:2">
      <c r="B104"/>
    </row>
    <row r="105" spans="2:2">
      <c r="B105"/>
    </row>
    <row r="106" spans="2:2">
      <c r="B106"/>
    </row>
    <row r="107" spans="2:2">
      <c r="B107"/>
    </row>
    <row r="108" spans="2:2">
      <c r="B108"/>
    </row>
    <row r="109" spans="2:2">
      <c r="B109"/>
    </row>
    <row r="110" spans="2:2">
      <c r="B110"/>
    </row>
    <row r="111" spans="2:2">
      <c r="B111"/>
    </row>
  </sheetData>
  <mergeCells count="176">
    <mergeCell ref="T76:V76"/>
    <mergeCell ref="B77:D77"/>
    <mergeCell ref="E77:G77"/>
    <mergeCell ref="H77:J77"/>
    <mergeCell ref="K77:M77"/>
    <mergeCell ref="N77:P77"/>
    <mergeCell ref="Q77:S77"/>
    <mergeCell ref="T77:V77"/>
    <mergeCell ref="B76:D76"/>
    <mergeCell ref="E76:G76"/>
    <mergeCell ref="H76:J76"/>
    <mergeCell ref="K76:M76"/>
    <mergeCell ref="N76:P76"/>
    <mergeCell ref="Q76:S76"/>
    <mergeCell ref="B75:D75"/>
    <mergeCell ref="E75:G75"/>
    <mergeCell ref="H75:J75"/>
    <mergeCell ref="K75:M75"/>
    <mergeCell ref="N75:P75"/>
    <mergeCell ref="Q75:S75"/>
    <mergeCell ref="T75:V75"/>
    <mergeCell ref="B63:C63"/>
    <mergeCell ref="E63:F63"/>
    <mergeCell ref="H63:I63"/>
    <mergeCell ref="K63:L63"/>
    <mergeCell ref="N63:O63"/>
    <mergeCell ref="Q63:R63"/>
    <mergeCell ref="T63:U63"/>
    <mergeCell ref="H61:J61"/>
    <mergeCell ref="K61:M61"/>
    <mergeCell ref="N61:P61"/>
    <mergeCell ref="Q61:S61"/>
    <mergeCell ref="T61:V61"/>
    <mergeCell ref="B62:D62"/>
    <mergeCell ref="E62:G62"/>
    <mergeCell ref="H62:J62"/>
    <mergeCell ref="K62:M62"/>
    <mergeCell ref="N62:P62"/>
    <mergeCell ref="B61:D61"/>
    <mergeCell ref="E61:G61"/>
    <mergeCell ref="Q62:S62"/>
    <mergeCell ref="T62:V62"/>
    <mergeCell ref="B60:D60"/>
    <mergeCell ref="E60:G60"/>
    <mergeCell ref="H60:J60"/>
    <mergeCell ref="K60:M60"/>
    <mergeCell ref="N60:P60"/>
    <mergeCell ref="Q60:S60"/>
    <mergeCell ref="T60:V60"/>
    <mergeCell ref="B48:C48"/>
    <mergeCell ref="E48:F48"/>
    <mergeCell ref="H48:I48"/>
    <mergeCell ref="K48:L48"/>
    <mergeCell ref="N48:O48"/>
    <mergeCell ref="Q48:R48"/>
    <mergeCell ref="T48:U48"/>
    <mergeCell ref="H46:J46"/>
    <mergeCell ref="K46:M46"/>
    <mergeCell ref="N46:P46"/>
    <mergeCell ref="Q46:S46"/>
    <mergeCell ref="T46:V46"/>
    <mergeCell ref="B47:D47"/>
    <mergeCell ref="E47:G47"/>
    <mergeCell ref="H47:J47"/>
    <mergeCell ref="K47:M47"/>
    <mergeCell ref="N47:P47"/>
    <mergeCell ref="B46:D46"/>
    <mergeCell ref="E46:G46"/>
    <mergeCell ref="Q47:S47"/>
    <mergeCell ref="T47:V47"/>
    <mergeCell ref="T32:V32"/>
    <mergeCell ref="B45:D45"/>
    <mergeCell ref="E45:G45"/>
    <mergeCell ref="H45:J45"/>
    <mergeCell ref="K45:M45"/>
    <mergeCell ref="N45:P45"/>
    <mergeCell ref="Q45:S45"/>
    <mergeCell ref="T45:V45"/>
    <mergeCell ref="H31:J31"/>
    <mergeCell ref="K31:M31"/>
    <mergeCell ref="N31:P31"/>
    <mergeCell ref="Q31:S31"/>
    <mergeCell ref="T31:V31"/>
    <mergeCell ref="B32:D32"/>
    <mergeCell ref="E32:G32"/>
    <mergeCell ref="H32:J32"/>
    <mergeCell ref="K32:M32"/>
    <mergeCell ref="N32:P32"/>
    <mergeCell ref="N30:P30"/>
    <mergeCell ref="H17:J17"/>
    <mergeCell ref="H16:J16"/>
    <mergeCell ref="H15:J15"/>
    <mergeCell ref="E17:G17"/>
    <mergeCell ref="E16:G16"/>
    <mergeCell ref="E15:G15"/>
    <mergeCell ref="N17:P17"/>
    <mergeCell ref="N16:P16"/>
    <mergeCell ref="K17:M17"/>
    <mergeCell ref="K16:M16"/>
    <mergeCell ref="K15:M15"/>
    <mergeCell ref="B2:D2"/>
    <mergeCell ref="B31:D31"/>
    <mergeCell ref="E31:G31"/>
    <mergeCell ref="B1:V1"/>
    <mergeCell ref="T2:V2"/>
    <mergeCell ref="Q2:S2"/>
    <mergeCell ref="N2:P2"/>
    <mergeCell ref="K2:M2"/>
    <mergeCell ref="H2:J2"/>
    <mergeCell ref="E2:G2"/>
    <mergeCell ref="T17:V17"/>
    <mergeCell ref="T16:V16"/>
    <mergeCell ref="T15:V15"/>
    <mergeCell ref="Q17:S17"/>
    <mergeCell ref="Q16:S16"/>
    <mergeCell ref="Q15:S15"/>
    <mergeCell ref="Q30:S30"/>
    <mergeCell ref="T30:V30"/>
    <mergeCell ref="T3:U3"/>
    <mergeCell ref="Q3:R3"/>
    <mergeCell ref="N3:O3"/>
    <mergeCell ref="K3:L3"/>
    <mergeCell ref="H3:I3"/>
    <mergeCell ref="E3:F3"/>
    <mergeCell ref="B90:D90"/>
    <mergeCell ref="E90:G90"/>
    <mergeCell ref="H90:J90"/>
    <mergeCell ref="K90:M90"/>
    <mergeCell ref="N90:P90"/>
    <mergeCell ref="Q90:S90"/>
    <mergeCell ref="T90:V90"/>
    <mergeCell ref="B78:C78"/>
    <mergeCell ref="E78:F78"/>
    <mergeCell ref="H78:I78"/>
    <mergeCell ref="K78:L78"/>
    <mergeCell ref="N78:O78"/>
    <mergeCell ref="Q78:R78"/>
    <mergeCell ref="T78:U78"/>
    <mergeCell ref="B91:D91"/>
    <mergeCell ref="E91:G91"/>
    <mergeCell ref="H91:J91"/>
    <mergeCell ref="K91:M91"/>
    <mergeCell ref="N91:P91"/>
    <mergeCell ref="Q91:S91"/>
    <mergeCell ref="T91:V91"/>
    <mergeCell ref="B92:D92"/>
    <mergeCell ref="E92:G92"/>
    <mergeCell ref="H92:J92"/>
    <mergeCell ref="K92:M92"/>
    <mergeCell ref="N92:P92"/>
    <mergeCell ref="Q92:S92"/>
    <mergeCell ref="T92:V92"/>
    <mergeCell ref="B3:C3"/>
    <mergeCell ref="B18:C18"/>
    <mergeCell ref="E18:F18"/>
    <mergeCell ref="H18:I18"/>
    <mergeCell ref="K18:L18"/>
    <mergeCell ref="N18:O18"/>
    <mergeCell ref="Q18:R18"/>
    <mergeCell ref="T18:U18"/>
    <mergeCell ref="B33:C33"/>
    <mergeCell ref="E33:F33"/>
    <mergeCell ref="H33:I33"/>
    <mergeCell ref="K33:L33"/>
    <mergeCell ref="N33:O33"/>
    <mergeCell ref="Q33:R33"/>
    <mergeCell ref="T33:U33"/>
    <mergeCell ref="Q32:S32"/>
    <mergeCell ref="B17:D17"/>
    <mergeCell ref="B16:D16"/>
    <mergeCell ref="B15:D15"/>
    <mergeCell ref="N15:P15"/>
    <mergeCell ref="B30:D30"/>
    <mergeCell ref="E30:G30"/>
    <mergeCell ref="H30:J30"/>
    <mergeCell ref="K30:M30"/>
  </mergeCells>
  <dataValidations count="2">
    <dataValidation type="list" allowBlank="1" showInputMessage="1" showErrorMessage="1" sqref="G6 D6 D21 D36 D51 D66 D81 V81 S81 P81 M81 J81 G81 V66 S66 P66 M66 J66 G66 V51 S51 P51 M51 J51 G51 V36 S36 P36 M36 J36 G36 V21 S21 P21 M21 J21 G21 V6 S6 P6 M6 J6">
      <formula1>Fel_Names</formula1>
    </dataValidation>
    <dataValidation type="list" allowBlank="1" showInputMessage="1" showErrorMessage="1" sqref="C21:C29 C36:C44 C51:C59 C66:C74 C81:C89 U81:U89 R81:R89 O81:O89 L81:L89 I81:I89 F81:F89 U66:U74 R66:R74 O66:O74 L66:L74 I66:I74 F66:F74 U51:U59 R51:R59 O51:O59 L51:L59 I51:I59 F51:F59 U36:U44 R36:R44 O36:O44 L36:L44 I36:I44 F36:F44 U21:U29 R21:R29 O21:O29 L21:L29 I21:I29 F21:F29 F6:F14 I6:I14 L6:L14 O6:O14 R6:R14 C6:C14 U6:U14">
      <formula1>Loc_Code</formula1>
    </dataValidation>
  </dataValidations>
  <pageMargins left="0.7" right="0.7" top="0.75" bottom="0.75" header="0.3" footer="0.3"/>
  <pageSetup scale="49"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13" operator="equal" id="{56DBD3E2-B98F-412D-B03F-CD9E88B4305B}">
            <xm:f>DefinitionArrays!$B$7</xm:f>
            <x14:dxf>
              <font>
                <b/>
                <i val="0"/>
                <color auto="1"/>
              </font>
            </x14:dxf>
          </x14:cfRule>
          <x14:cfRule type="cellIs" priority="14" operator="equal" id="{2D3C657A-9D03-4D24-9E15-152C369E7D11}">
            <xm:f>DefinitionArrays!$B$8</xm:f>
            <x14:dxf>
              <font>
                <b/>
                <i val="0"/>
                <color auto="1"/>
              </font>
            </x14:dxf>
          </x14:cfRule>
          <x14:cfRule type="cellIs" priority="15" operator="equal" id="{1BF6B9A1-2812-47DF-A155-C4C57F130347}">
            <xm:f>DefinitionArrays!$B$6</xm:f>
            <x14:dxf>
              <font>
                <b/>
                <i val="0"/>
                <color rgb="FF7030A0"/>
              </font>
            </x14:dxf>
          </x14:cfRule>
          <x14:cfRule type="cellIs" priority="16" operator="equal" id="{50DEB777-D1D2-4232-81B9-E7C76DD21B96}">
            <xm:f>DefinitionArrays!$B$17</xm:f>
            <x14:dxf>
              <font>
                <b/>
                <i val="0"/>
                <color rgb="FFFF0000"/>
              </font>
            </x14:dxf>
          </x14:cfRule>
          <x14:cfRule type="cellIs" priority="17" operator="equal" id="{1E8A5455-58C2-4CC2-83DB-E771609330FB}">
            <xm:f>DefinitionArrays!$B$14</xm:f>
            <x14:dxf>
              <font>
                <b/>
                <i val="0"/>
                <color rgb="FF00B0F0"/>
              </font>
            </x14:dxf>
          </x14:cfRule>
          <x14:cfRule type="cellIs" priority="18" operator="equal" id="{77FFC6E0-23D3-4C90-8385-A2D4668C5ACE}">
            <xm:f>DefinitionArrays!$B$9</xm:f>
            <x14:dxf>
              <font>
                <b/>
                <i val="0"/>
                <color rgb="FF009900"/>
              </font>
            </x14:dxf>
          </x14:cfRule>
          <x14:cfRule type="cellIs" priority="19" operator="equal" id="{C4C66332-479C-422D-B16A-556099F3239A}">
            <xm:f>DefinitionArrays!$B$10</xm:f>
            <x14:dxf>
              <font>
                <b/>
                <i val="0"/>
                <color rgb="FF009900"/>
              </font>
            </x14:dxf>
          </x14:cfRule>
          <x14:cfRule type="cellIs" priority="20" operator="equal" id="{8DE2E13D-D0A0-4875-9FBA-E7B568D47326}">
            <xm:f>DefinitionArrays!$B$11</xm:f>
            <x14:dxf>
              <font>
                <b/>
                <i val="0"/>
                <color rgb="FF009900"/>
              </font>
            </x14:dxf>
          </x14:cfRule>
          <x14:cfRule type="cellIs" priority="21" operator="equal" id="{3BD41C16-5571-4FCA-A721-6EC731C22A89}">
            <xm:f>DefinitionArrays!$B$12</xm:f>
            <x14:dxf>
              <font>
                <b/>
                <i val="0"/>
                <color rgb="FF009900"/>
              </font>
            </x14:dxf>
          </x14:cfRule>
          <x14:cfRule type="cellIs" priority="22" operator="equal" id="{AAE835D6-B2A8-49B9-B4A4-B09362FAE515}">
            <xm:f>DefinitionArrays!$B$13</xm:f>
            <x14:dxf>
              <font>
                <b/>
                <i val="0"/>
                <color rgb="FF0000FF"/>
              </font>
            </x14:dxf>
          </x14:cfRule>
          <x14:cfRule type="cellIs" priority="23" operator="equal" id="{D9752B69-E718-4C99-B643-6654BDEDC121}">
            <xm:f>DefinitionArrays!$B$15</xm:f>
            <x14:dxf>
              <font>
                <b/>
                <i val="0"/>
                <color rgb="FF663300"/>
              </font>
            </x14:dxf>
          </x14:cfRule>
          <x14:cfRule type="cellIs" priority="24" operator="equal" id="{91C8E918-7910-4FE3-BCD4-DAD57F0D8739}">
            <xm:f>DefinitionArrays!$B$16</xm:f>
            <x14:dxf>
              <font>
                <b/>
                <i val="0"/>
                <color rgb="FF663300"/>
              </font>
            </x14:dxf>
          </x14:cfRule>
          <xm:sqref>A27:XFD1048576 Z25:XFD26 A19:AG20 A21:W26 Z21:AG24 AJ19:XFD20 A1:XFD18 AJ24:XFD24 AJ21:AJ23 AL21:XFD23</xm:sqref>
        </x14:conditionalFormatting>
        <x14:conditionalFormatting xmlns:xm="http://schemas.microsoft.com/office/excel/2006/main">
          <x14:cfRule type="cellIs" priority="1" operator="equal" id="{8FDF2496-2468-4897-A507-C1B72FE658EC}">
            <xm:f>DefinitionArrays!$B$7</xm:f>
            <x14:dxf>
              <font>
                <b/>
                <i val="0"/>
                <color auto="1"/>
              </font>
            </x14:dxf>
          </x14:cfRule>
          <x14:cfRule type="cellIs" priority="2" operator="equal" id="{7B58FB3D-D18A-4669-B692-E155A5FC4D1E}">
            <xm:f>DefinitionArrays!$B$8</xm:f>
            <x14:dxf>
              <font>
                <b/>
                <i val="0"/>
                <color auto="1"/>
              </font>
            </x14:dxf>
          </x14:cfRule>
          <x14:cfRule type="cellIs" priority="3" operator="equal" id="{2BA542EF-BFD7-4546-ACCA-428FA5CCBA4E}">
            <xm:f>DefinitionArrays!$B$6</xm:f>
            <x14:dxf>
              <font>
                <b/>
                <i val="0"/>
                <color rgb="FF7030A0"/>
              </font>
            </x14:dxf>
          </x14:cfRule>
          <x14:cfRule type="cellIs" priority="4" operator="equal" id="{0EDC783C-7A80-4DEF-A856-07990F2B0999}">
            <xm:f>DefinitionArrays!$B$17</xm:f>
            <x14:dxf>
              <font>
                <b/>
                <i val="0"/>
                <color rgb="FFFF0000"/>
              </font>
            </x14:dxf>
          </x14:cfRule>
          <x14:cfRule type="cellIs" priority="5" operator="equal" id="{48C6E8DE-06EA-48E8-98A2-4BEDBCD64EF1}">
            <xm:f>DefinitionArrays!$B$14</xm:f>
            <x14:dxf>
              <font>
                <b/>
                <i val="0"/>
                <color rgb="FF00B0F0"/>
              </font>
            </x14:dxf>
          </x14:cfRule>
          <x14:cfRule type="cellIs" priority="6" operator="equal" id="{2B9DA9C4-A7D3-4B61-B2B6-55B5E58DA77A}">
            <xm:f>DefinitionArrays!$B$9</xm:f>
            <x14:dxf>
              <font>
                <b/>
                <i val="0"/>
                <color rgb="FF009900"/>
              </font>
            </x14:dxf>
          </x14:cfRule>
          <x14:cfRule type="cellIs" priority="7" operator="equal" id="{1290EEA9-67DF-4C00-94A5-38DB79FEBD96}">
            <xm:f>DefinitionArrays!$B$10</xm:f>
            <x14:dxf>
              <font>
                <b/>
                <i val="0"/>
                <color rgb="FF009900"/>
              </font>
            </x14:dxf>
          </x14:cfRule>
          <x14:cfRule type="cellIs" priority="8" operator="equal" id="{82603A96-C871-45BB-8A9F-8067F4C5D3E4}">
            <xm:f>DefinitionArrays!$B$11</xm:f>
            <x14:dxf>
              <font>
                <b/>
                <i val="0"/>
                <color rgb="FF009900"/>
              </font>
            </x14:dxf>
          </x14:cfRule>
          <x14:cfRule type="cellIs" priority="9" operator="equal" id="{3514C237-D89A-4E81-A15C-80CCC3C00F28}">
            <xm:f>DefinitionArrays!$B$12</xm:f>
            <x14:dxf>
              <font>
                <b/>
                <i val="0"/>
                <color rgb="FF009900"/>
              </font>
            </x14:dxf>
          </x14:cfRule>
          <x14:cfRule type="cellIs" priority="10" operator="equal" id="{408510CD-28CB-4193-81F9-B4687237871D}">
            <xm:f>DefinitionArrays!$B$13</xm:f>
            <x14:dxf>
              <font>
                <b/>
                <i val="0"/>
                <color rgb="FF0000FF"/>
              </font>
            </x14:dxf>
          </x14:cfRule>
          <x14:cfRule type="cellIs" priority="11" operator="equal" id="{CB818637-7D51-47CC-BFD3-1DCD9CC45445}">
            <xm:f>DefinitionArrays!$B$15</xm:f>
            <x14:dxf>
              <font>
                <b/>
                <i val="0"/>
                <color rgb="FF663300"/>
              </font>
            </x14:dxf>
          </x14:cfRule>
          <x14:cfRule type="cellIs" priority="12" operator="equal" id="{070CE419-6BD7-44D9-AC96-AEFE626E0318}">
            <xm:f>DefinitionArrays!$B$16</xm:f>
            <x14:dxf>
              <font>
                <b/>
                <i val="0"/>
                <color rgb="FF663300"/>
              </font>
            </x14:dxf>
          </x14:cfRule>
          <xm:sqref>AK21:AK23</xm:sqref>
        </x14:conditionalFormatting>
      </x14:conditionalFormattings>
    </ext>
  </extLst>
</worksheet>
</file>

<file path=xl/worksheets/sheet7.xml><?xml version="1.0" encoding="utf-8"?>
<worksheet xmlns="http://schemas.openxmlformats.org/spreadsheetml/2006/main" xmlns:r="http://schemas.openxmlformats.org/officeDocument/2006/relationships">
  <sheetPr codeName="Sheet19"/>
  <dimension ref="A3:N13"/>
  <sheetViews>
    <sheetView zoomScale="85" zoomScaleNormal="85" workbookViewId="0"/>
  </sheetViews>
  <sheetFormatPr defaultRowHeight="15"/>
  <cols>
    <col min="1" max="1" width="12.28515625" customWidth="1"/>
    <col min="2" max="2" width="10.7109375" bestFit="1" customWidth="1"/>
    <col min="3" max="3" width="5.42578125" bestFit="1" customWidth="1"/>
    <col min="4" max="7" width="5.5703125" bestFit="1" customWidth="1"/>
    <col min="8" max="8" width="7" bestFit="1" customWidth="1"/>
    <col min="9" max="9" width="6" bestFit="1" customWidth="1"/>
    <col min="10" max="10" width="4.5703125" bestFit="1" customWidth="1"/>
    <col min="11" max="12" width="8.140625" bestFit="1" customWidth="1"/>
    <col min="13" max="13" width="8.7109375" bestFit="1" customWidth="1"/>
    <col min="14" max="14" width="11.28515625" bestFit="1" customWidth="1"/>
  </cols>
  <sheetData>
    <row r="3" spans="1:14">
      <c r="A3" s="112" t="s">
        <v>238</v>
      </c>
      <c r="B3" s="112" t="s">
        <v>214</v>
      </c>
    </row>
    <row r="4" spans="1:14">
      <c r="A4" s="112" t="s">
        <v>239</v>
      </c>
      <c r="B4" t="s">
        <v>18</v>
      </c>
      <c r="C4" t="s">
        <v>153</v>
      </c>
      <c r="D4" t="s">
        <v>19</v>
      </c>
      <c r="E4" t="s">
        <v>20</v>
      </c>
      <c r="F4" t="s">
        <v>21</v>
      </c>
      <c r="G4" t="s">
        <v>22</v>
      </c>
      <c r="H4" t="s">
        <v>23</v>
      </c>
      <c r="I4" t="s">
        <v>24</v>
      </c>
      <c r="J4" t="s">
        <v>44</v>
      </c>
      <c r="K4" t="s">
        <v>179</v>
      </c>
      <c r="L4" t="s">
        <v>180</v>
      </c>
      <c r="M4" t="s">
        <v>159</v>
      </c>
      <c r="N4" t="s">
        <v>203</v>
      </c>
    </row>
    <row r="5" spans="1:14">
      <c r="A5" s="171" t="s">
        <v>3</v>
      </c>
      <c r="B5" s="57">
        <v>2</v>
      </c>
      <c r="C5" s="57">
        <v>1</v>
      </c>
      <c r="D5" s="57">
        <v>6</v>
      </c>
      <c r="E5" s="57">
        <v>0</v>
      </c>
      <c r="F5" s="57">
        <v>0</v>
      </c>
      <c r="G5" s="57">
        <v>0</v>
      </c>
      <c r="H5" s="57">
        <v>0</v>
      </c>
      <c r="I5" s="57">
        <v>0</v>
      </c>
      <c r="J5" s="57">
        <v>1</v>
      </c>
      <c r="K5" s="57">
        <v>3</v>
      </c>
      <c r="L5" s="57">
        <v>0</v>
      </c>
      <c r="M5" s="57">
        <v>4</v>
      </c>
      <c r="N5" s="57">
        <v>17</v>
      </c>
    </row>
    <row r="6" spans="1:14">
      <c r="A6" s="171" t="s">
        <v>4</v>
      </c>
      <c r="B6" s="57">
        <v>1</v>
      </c>
      <c r="C6" s="57">
        <v>0</v>
      </c>
      <c r="D6" s="57">
        <v>5</v>
      </c>
      <c r="E6" s="57">
        <v>1</v>
      </c>
      <c r="F6" s="57">
        <v>0</v>
      </c>
      <c r="G6" s="57">
        <v>0</v>
      </c>
      <c r="H6" s="57">
        <v>0</v>
      </c>
      <c r="I6" s="57">
        <v>1</v>
      </c>
      <c r="J6" s="57">
        <v>2</v>
      </c>
      <c r="K6" s="57">
        <v>3</v>
      </c>
      <c r="L6" s="57">
        <v>0</v>
      </c>
      <c r="M6" s="57">
        <v>4</v>
      </c>
      <c r="N6" s="57">
        <v>17</v>
      </c>
    </row>
    <row r="7" spans="1:14">
      <c r="A7" s="171" t="s">
        <v>5</v>
      </c>
      <c r="B7" s="57">
        <v>1</v>
      </c>
      <c r="C7" s="57">
        <v>1</v>
      </c>
      <c r="D7" s="57">
        <v>4</v>
      </c>
      <c r="E7" s="57">
        <v>4</v>
      </c>
      <c r="F7" s="57">
        <v>0</v>
      </c>
      <c r="G7" s="57">
        <v>0</v>
      </c>
      <c r="H7" s="57">
        <v>0</v>
      </c>
      <c r="I7" s="57">
        <v>1</v>
      </c>
      <c r="J7" s="57">
        <v>2</v>
      </c>
      <c r="K7" s="57">
        <v>4</v>
      </c>
      <c r="L7" s="57">
        <v>0</v>
      </c>
      <c r="M7" s="57">
        <v>0</v>
      </c>
      <c r="N7" s="57">
        <v>17</v>
      </c>
    </row>
    <row r="8" spans="1:14">
      <c r="A8" s="171" t="s">
        <v>6</v>
      </c>
      <c r="B8" s="57">
        <v>2</v>
      </c>
      <c r="C8" s="57">
        <v>0</v>
      </c>
      <c r="D8" s="57">
        <v>1</v>
      </c>
      <c r="E8" s="57">
        <v>5</v>
      </c>
      <c r="F8" s="57">
        <v>1</v>
      </c>
      <c r="G8" s="57">
        <v>0</v>
      </c>
      <c r="H8" s="57">
        <v>0</v>
      </c>
      <c r="I8" s="57">
        <v>1</v>
      </c>
      <c r="J8" s="57">
        <v>3</v>
      </c>
      <c r="K8" s="57">
        <v>3</v>
      </c>
      <c r="L8" s="57">
        <v>1</v>
      </c>
      <c r="M8" s="57">
        <v>0</v>
      </c>
      <c r="N8" s="57">
        <v>17</v>
      </c>
    </row>
    <row r="9" spans="1:14">
      <c r="A9" s="171" t="s">
        <v>7</v>
      </c>
      <c r="B9" s="57">
        <v>1</v>
      </c>
      <c r="C9" s="57">
        <v>0</v>
      </c>
      <c r="D9" s="57">
        <v>0</v>
      </c>
      <c r="E9" s="57">
        <v>4</v>
      </c>
      <c r="F9" s="57">
        <v>3</v>
      </c>
      <c r="G9" s="57">
        <v>0</v>
      </c>
      <c r="H9" s="57">
        <v>0</v>
      </c>
      <c r="I9" s="57">
        <v>1</v>
      </c>
      <c r="J9" s="57">
        <v>1</v>
      </c>
      <c r="K9" s="57">
        <v>3</v>
      </c>
      <c r="L9" s="57">
        <v>0</v>
      </c>
      <c r="M9" s="57">
        <v>4</v>
      </c>
      <c r="N9" s="57">
        <v>17</v>
      </c>
    </row>
    <row r="10" spans="1:14">
      <c r="A10" s="171" t="s">
        <v>8</v>
      </c>
      <c r="B10" s="57">
        <v>9</v>
      </c>
      <c r="C10" s="57">
        <v>0</v>
      </c>
      <c r="D10" s="57">
        <v>0</v>
      </c>
      <c r="E10" s="57">
        <v>0</v>
      </c>
      <c r="F10" s="57">
        <v>0</v>
      </c>
      <c r="G10" s="57">
        <v>0</v>
      </c>
      <c r="H10" s="57">
        <v>0</v>
      </c>
      <c r="I10" s="57">
        <v>0</v>
      </c>
      <c r="J10" s="57">
        <v>1</v>
      </c>
      <c r="K10" s="57">
        <v>0</v>
      </c>
      <c r="L10" s="57">
        <v>3</v>
      </c>
      <c r="M10" s="57">
        <v>4</v>
      </c>
      <c r="N10" s="57">
        <v>17</v>
      </c>
    </row>
    <row r="11" spans="1:14">
      <c r="A11" s="171" t="s">
        <v>9</v>
      </c>
      <c r="B11" s="57">
        <v>0</v>
      </c>
      <c r="C11" s="57">
        <v>2</v>
      </c>
      <c r="D11" s="57">
        <v>0</v>
      </c>
      <c r="E11" s="57">
        <v>2</v>
      </c>
      <c r="F11" s="57">
        <v>5</v>
      </c>
      <c r="G11" s="57">
        <v>2</v>
      </c>
      <c r="H11" s="57">
        <v>0</v>
      </c>
      <c r="I11" s="57">
        <v>1</v>
      </c>
      <c r="J11" s="57">
        <v>0</v>
      </c>
      <c r="K11" s="57">
        <v>0</v>
      </c>
      <c r="L11" s="57">
        <v>4</v>
      </c>
      <c r="M11" s="57">
        <v>1</v>
      </c>
      <c r="N11" s="57">
        <v>17</v>
      </c>
    </row>
    <row r="12" spans="1:14">
      <c r="A12" s="171" t="s">
        <v>10</v>
      </c>
      <c r="B12" s="57">
        <v>1</v>
      </c>
      <c r="C12" s="57">
        <v>0</v>
      </c>
      <c r="D12" s="57">
        <v>0</v>
      </c>
      <c r="E12" s="57">
        <v>0</v>
      </c>
      <c r="F12" s="57">
        <v>5</v>
      </c>
      <c r="G12" s="57">
        <v>6</v>
      </c>
      <c r="H12" s="57">
        <v>0</v>
      </c>
      <c r="I12" s="57">
        <v>1</v>
      </c>
      <c r="J12" s="57">
        <v>1</v>
      </c>
      <c r="K12" s="57">
        <v>0</v>
      </c>
      <c r="L12" s="57">
        <v>3</v>
      </c>
      <c r="M12" s="57">
        <v>0</v>
      </c>
      <c r="N12" s="57">
        <v>17</v>
      </c>
    </row>
    <row r="13" spans="1:14">
      <c r="A13" s="171" t="s">
        <v>203</v>
      </c>
      <c r="B13" s="57">
        <v>17</v>
      </c>
      <c r="C13" s="57">
        <v>4</v>
      </c>
      <c r="D13" s="57">
        <v>16</v>
      </c>
      <c r="E13" s="57">
        <v>16</v>
      </c>
      <c r="F13" s="57">
        <v>14</v>
      </c>
      <c r="G13" s="57">
        <v>8</v>
      </c>
      <c r="H13" s="57">
        <v>0</v>
      </c>
      <c r="I13" s="57">
        <v>6</v>
      </c>
      <c r="J13" s="57">
        <v>11</v>
      </c>
      <c r="K13" s="57">
        <v>16</v>
      </c>
      <c r="L13" s="57">
        <v>11</v>
      </c>
      <c r="M13" s="57">
        <v>17</v>
      </c>
      <c r="N13" s="57">
        <v>136</v>
      </c>
    </row>
  </sheetData>
  <pageMargins left="0.7" right="0.7" top="0.75" bottom="0.75" header="0.3" footer="0.3"/>
  <drawing r:id="rId2"/>
  <legacyDrawing r:id="rId3"/>
  <extLst xmlns:x14="http://schemas.microsoft.com/office/spreadsheetml/2009/9/main">
    <ext uri="{A8765BA9-456A-4dab-B4F3-ACF838C121DE}">
      <x14:slicerList>
        <x14:slicer r:id="rId5"/>
      </x14:slicerList>
    </ext>
  </extLst>
</worksheet>
</file>

<file path=xl/worksheets/sheet8.xml><?xml version="1.0" encoding="utf-8"?>
<worksheet xmlns="http://schemas.openxmlformats.org/spreadsheetml/2006/main" xmlns:r="http://schemas.openxmlformats.org/officeDocument/2006/relationships">
  <sheetPr codeName="Sheet21"/>
  <dimension ref="A3:B18"/>
  <sheetViews>
    <sheetView zoomScale="85" zoomScaleNormal="85" workbookViewId="0"/>
  </sheetViews>
  <sheetFormatPr defaultRowHeight="15"/>
  <cols>
    <col min="1" max="1" width="13.28515625" bestFit="1" customWidth="1"/>
    <col min="2" max="2" width="20" customWidth="1"/>
  </cols>
  <sheetData>
    <row r="3" spans="1:2">
      <c r="A3" s="112" t="s">
        <v>213</v>
      </c>
      <c r="B3" t="s">
        <v>245</v>
      </c>
    </row>
    <row r="5" spans="1:2">
      <c r="A5" s="112" t="s">
        <v>240</v>
      </c>
      <c r="B5" t="s">
        <v>241</v>
      </c>
    </row>
    <row r="6" spans="1:2">
      <c r="A6" s="171" t="s">
        <v>18</v>
      </c>
      <c r="B6" s="57">
        <v>17</v>
      </c>
    </row>
    <row r="7" spans="1:2">
      <c r="A7" s="171" t="s">
        <v>153</v>
      </c>
      <c r="B7" s="57">
        <v>4</v>
      </c>
    </row>
    <row r="8" spans="1:2">
      <c r="A8" s="171" t="s">
        <v>19</v>
      </c>
      <c r="B8" s="57">
        <v>16</v>
      </c>
    </row>
    <row r="9" spans="1:2">
      <c r="A9" s="171" t="s">
        <v>20</v>
      </c>
      <c r="B9" s="57">
        <v>16</v>
      </c>
    </row>
    <row r="10" spans="1:2">
      <c r="A10" s="171" t="s">
        <v>21</v>
      </c>
      <c r="B10" s="57">
        <v>14</v>
      </c>
    </row>
    <row r="11" spans="1:2">
      <c r="A11" s="171" t="s">
        <v>22</v>
      </c>
      <c r="B11" s="57">
        <v>8</v>
      </c>
    </row>
    <row r="12" spans="1:2">
      <c r="A12" s="171" t="s">
        <v>23</v>
      </c>
      <c r="B12" s="57">
        <v>0</v>
      </c>
    </row>
    <row r="13" spans="1:2">
      <c r="A13" s="171" t="s">
        <v>24</v>
      </c>
      <c r="B13" s="57">
        <v>6</v>
      </c>
    </row>
    <row r="14" spans="1:2">
      <c r="A14" s="171" t="s">
        <v>44</v>
      </c>
      <c r="B14" s="57">
        <v>11</v>
      </c>
    </row>
    <row r="15" spans="1:2">
      <c r="A15" s="171" t="s">
        <v>179</v>
      </c>
      <c r="B15" s="57">
        <v>16</v>
      </c>
    </row>
    <row r="16" spans="1:2">
      <c r="A16" s="171" t="s">
        <v>180</v>
      </c>
      <c r="B16" s="57">
        <v>11</v>
      </c>
    </row>
    <row r="17" spans="1:2">
      <c r="A17" s="171" t="s">
        <v>159</v>
      </c>
      <c r="B17" s="57">
        <v>17</v>
      </c>
    </row>
    <row r="18" spans="1:2">
      <c r="A18" s="171" t="s">
        <v>203</v>
      </c>
      <c r="B18" s="57">
        <v>136</v>
      </c>
    </row>
  </sheetData>
  <pageMargins left="0.7" right="0.7" top="0.75" bottom="0.75" header="0.3" footer="0.3"/>
  <drawing r:id="rId2"/>
  <legacyDrawing r:id="rId3"/>
  <extLst xmlns:x14="http://schemas.microsoft.com/office/spreadsheetml/2009/9/main">
    <ext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sheetPr codeName="Sheet6"/>
  <dimension ref="A1:K5953"/>
  <sheetViews>
    <sheetView workbookViewId="0"/>
  </sheetViews>
  <sheetFormatPr defaultRowHeight="15"/>
  <cols>
    <col min="1" max="1" width="16.42578125" style="159" customWidth="1"/>
    <col min="2" max="2" width="17.85546875" style="159" bestFit="1" customWidth="1"/>
    <col min="3" max="3" width="19" style="159" bestFit="1" customWidth="1"/>
    <col min="4" max="4" width="19" style="159" customWidth="1"/>
    <col min="5" max="5" width="6.85546875" bestFit="1" customWidth="1"/>
    <col min="6" max="6" width="7.7109375" bestFit="1" customWidth="1"/>
    <col min="9" max="9" width="13.28515625" bestFit="1" customWidth="1"/>
  </cols>
  <sheetData>
    <row r="1" spans="1:11">
      <c r="A1" s="159" t="s">
        <v>218</v>
      </c>
      <c r="B1" s="159" t="s">
        <v>219</v>
      </c>
      <c r="C1" s="159" t="s">
        <v>220</v>
      </c>
      <c r="D1" s="159" t="s">
        <v>221</v>
      </c>
      <c r="E1" s="157" t="s">
        <v>213</v>
      </c>
      <c r="F1" s="157" t="s">
        <v>47</v>
      </c>
      <c r="G1" s="157" t="s">
        <v>133</v>
      </c>
      <c r="H1" s="157" t="s">
        <v>214</v>
      </c>
      <c r="I1" t="s">
        <v>222</v>
      </c>
      <c r="J1" t="s">
        <v>237</v>
      </c>
      <c r="K1" s="167" t="s">
        <v>216</v>
      </c>
    </row>
    <row r="2" spans="1:11">
      <c r="A2" s="159" t="str">
        <f>VLOOKUP($G2,Fx_Code,2,FALSE)</f>
        <v>$B$1:$B$92</v>
      </c>
      <c r="B2" s="159" t="str">
        <f t="shared" ref="B2:B65" si="0">VLOOKUP($G2,Fx_Code,3,FALSE)</f>
        <v>$C$1:$C$92</v>
      </c>
      <c r="C2" s="159" t="str">
        <f>CONCATENATE($F2,$K$1,A2)</f>
        <v>January!$B$1:$B$92</v>
      </c>
      <c r="D2" s="159" t="str">
        <f t="shared" ref="D2:D65" si="1">CONCATENATE($F2,$K$1,B2)</f>
        <v>January!$C$1:$C$92</v>
      </c>
      <c r="E2" t="s">
        <v>3</v>
      </c>
      <c r="F2" t="s">
        <v>48</v>
      </c>
      <c r="G2" t="s">
        <v>13</v>
      </c>
      <c r="H2" t="s">
        <v>159</v>
      </c>
      <c r="I2" t="e">
        <f ca="1">COUNTIFS(INDIRECT($C2),$E2,INDIRECT($D2),$H2)</f>
        <v>#REF!</v>
      </c>
      <c r="J2" t="str">
        <f>VLOOKUP($G2,DefinitionArrays!$I$6:$J$12,2,FALSE)</f>
        <v>Workweek</v>
      </c>
    </row>
    <row r="3" spans="1:11">
      <c r="A3" s="159" t="str">
        <f t="shared" ref="A3:A65" si="2">VLOOKUP($G3,Fx_Code,2,FALSE)</f>
        <v>$B$1:$B$92</v>
      </c>
      <c r="B3" s="159" t="str">
        <f t="shared" si="0"/>
        <v>$C$1:$C$92</v>
      </c>
      <c r="C3" s="159" t="str">
        <f t="shared" ref="C3:C65" si="3">CONCATENATE($F3,$K$1,A3)</f>
        <v>January!$B$1:$B$92</v>
      </c>
      <c r="D3" s="159" t="str">
        <f t="shared" si="1"/>
        <v>January!$C$1:$C$92</v>
      </c>
      <c r="E3" t="s">
        <v>3</v>
      </c>
      <c r="F3" t="s">
        <v>48</v>
      </c>
      <c r="G3" t="s">
        <v>13</v>
      </c>
      <c r="H3" t="s">
        <v>18</v>
      </c>
      <c r="I3" t="e">
        <f ca="1">COUNTIFS(INDIRECT($C3),$E3,INDIRECT($D3),$H3)</f>
        <v>#REF!</v>
      </c>
      <c r="J3" t="str">
        <f>VLOOKUP($G3,DefinitionArrays!$I$6:$J$12,2,FALSE)</f>
        <v>Workweek</v>
      </c>
    </row>
    <row r="4" spans="1:11">
      <c r="A4" s="159" t="str">
        <f t="shared" si="2"/>
        <v>$B$1:$B$92</v>
      </c>
      <c r="B4" s="159" t="str">
        <f t="shared" si="0"/>
        <v>$C$1:$C$92</v>
      </c>
      <c r="C4" s="159" t="str">
        <f t="shared" si="3"/>
        <v>January!$B$1:$B$92</v>
      </c>
      <c r="D4" s="159" t="str">
        <f t="shared" si="1"/>
        <v>January!$C$1:$C$92</v>
      </c>
      <c r="E4" t="s">
        <v>3</v>
      </c>
      <c r="F4" t="s">
        <v>48</v>
      </c>
      <c r="G4" t="s">
        <v>13</v>
      </c>
      <c r="H4" t="s">
        <v>153</v>
      </c>
      <c r="I4" t="e">
        <f t="shared" ref="I4:I63" ca="1" si="4">COUNTIFS(INDIRECT($C4),$E4,INDIRECT($D4),$H4)</f>
        <v>#REF!</v>
      </c>
      <c r="J4" t="str">
        <f>VLOOKUP($G4,DefinitionArrays!$I$6:$J$12,2,FALSE)</f>
        <v>Workweek</v>
      </c>
    </row>
    <row r="5" spans="1:11">
      <c r="A5" s="159" t="str">
        <f t="shared" si="2"/>
        <v>$B$1:$B$92</v>
      </c>
      <c r="B5" s="159" t="str">
        <f t="shared" si="0"/>
        <v>$C$1:$C$92</v>
      </c>
      <c r="C5" s="159" t="str">
        <f t="shared" si="3"/>
        <v>January!$B$1:$B$92</v>
      </c>
      <c r="D5" s="159" t="str">
        <f t="shared" si="1"/>
        <v>January!$C$1:$C$92</v>
      </c>
      <c r="E5" t="s">
        <v>3</v>
      </c>
      <c r="F5" t="s">
        <v>48</v>
      </c>
      <c r="G5" t="s">
        <v>13</v>
      </c>
      <c r="H5" t="s">
        <v>19</v>
      </c>
      <c r="I5" t="e">
        <f t="shared" ca="1" si="4"/>
        <v>#REF!</v>
      </c>
      <c r="J5" t="str">
        <f>VLOOKUP($G5,DefinitionArrays!$I$6:$J$12,2,FALSE)</f>
        <v>Workweek</v>
      </c>
    </row>
    <row r="6" spans="1:11">
      <c r="A6" s="159" t="str">
        <f t="shared" si="2"/>
        <v>$B$1:$B$92</v>
      </c>
      <c r="B6" s="159" t="str">
        <f t="shared" si="0"/>
        <v>$C$1:$C$92</v>
      </c>
      <c r="C6" s="159" t="str">
        <f t="shared" si="3"/>
        <v>January!$B$1:$B$92</v>
      </c>
      <c r="D6" s="159" t="str">
        <f t="shared" si="1"/>
        <v>January!$C$1:$C$92</v>
      </c>
      <c r="E6" t="s">
        <v>3</v>
      </c>
      <c r="F6" t="s">
        <v>48</v>
      </c>
      <c r="G6" t="s">
        <v>13</v>
      </c>
      <c r="H6" t="s">
        <v>20</v>
      </c>
      <c r="I6" t="e">
        <f t="shared" ca="1" si="4"/>
        <v>#REF!</v>
      </c>
      <c r="J6" t="str">
        <f>VLOOKUP($G6,DefinitionArrays!$I$6:$J$12,2,FALSE)</f>
        <v>Workweek</v>
      </c>
    </row>
    <row r="7" spans="1:11">
      <c r="A7" s="159" t="str">
        <f t="shared" si="2"/>
        <v>$B$1:$B$92</v>
      </c>
      <c r="B7" s="159" t="str">
        <f t="shared" si="0"/>
        <v>$C$1:$C$92</v>
      </c>
      <c r="C7" s="159" t="str">
        <f t="shared" si="3"/>
        <v>January!$B$1:$B$92</v>
      </c>
      <c r="D7" s="159" t="str">
        <f t="shared" si="1"/>
        <v>January!$C$1:$C$92</v>
      </c>
      <c r="E7" t="s">
        <v>3</v>
      </c>
      <c r="F7" t="s">
        <v>48</v>
      </c>
      <c r="G7" t="s">
        <v>13</v>
      </c>
      <c r="H7" t="s">
        <v>21</v>
      </c>
      <c r="I7" t="e">
        <f t="shared" ca="1" si="4"/>
        <v>#REF!</v>
      </c>
      <c r="J7" t="str">
        <f>VLOOKUP($G7,DefinitionArrays!$I$6:$J$12,2,FALSE)</f>
        <v>Workweek</v>
      </c>
    </row>
    <row r="8" spans="1:11">
      <c r="A8" s="159" t="str">
        <f t="shared" si="2"/>
        <v>$B$1:$B$92</v>
      </c>
      <c r="B8" s="159" t="str">
        <f t="shared" si="0"/>
        <v>$C$1:$C$92</v>
      </c>
      <c r="C8" s="159" t="str">
        <f t="shared" si="3"/>
        <v>January!$B$1:$B$92</v>
      </c>
      <c r="D8" s="159" t="str">
        <f t="shared" si="1"/>
        <v>January!$C$1:$C$92</v>
      </c>
      <c r="E8" t="s">
        <v>3</v>
      </c>
      <c r="F8" t="s">
        <v>48</v>
      </c>
      <c r="G8" t="s">
        <v>13</v>
      </c>
      <c r="H8" t="s">
        <v>22</v>
      </c>
      <c r="I8" t="e">
        <f t="shared" ca="1" si="4"/>
        <v>#REF!</v>
      </c>
      <c r="J8" t="str">
        <f>VLOOKUP($G8,DefinitionArrays!$I$6:$J$12,2,FALSE)</f>
        <v>Workweek</v>
      </c>
    </row>
    <row r="9" spans="1:11">
      <c r="A9" s="159" t="str">
        <f t="shared" si="2"/>
        <v>$B$1:$B$92</v>
      </c>
      <c r="B9" s="159" t="str">
        <f t="shared" si="0"/>
        <v>$C$1:$C$92</v>
      </c>
      <c r="C9" s="159" t="str">
        <f t="shared" si="3"/>
        <v>January!$B$1:$B$92</v>
      </c>
      <c r="D9" s="159" t="str">
        <f t="shared" si="1"/>
        <v>January!$C$1:$C$92</v>
      </c>
      <c r="E9" t="s">
        <v>3</v>
      </c>
      <c r="F9" t="s">
        <v>48</v>
      </c>
      <c r="G9" t="s">
        <v>13</v>
      </c>
      <c r="H9" t="s">
        <v>23</v>
      </c>
      <c r="I9" t="e">
        <f t="shared" ca="1" si="4"/>
        <v>#REF!</v>
      </c>
      <c r="J9" t="str">
        <f>VLOOKUP($G9,DefinitionArrays!$I$6:$J$12,2,FALSE)</f>
        <v>Workweek</v>
      </c>
    </row>
    <row r="10" spans="1:11">
      <c r="A10" s="159" t="str">
        <f t="shared" si="2"/>
        <v>$B$1:$B$92</v>
      </c>
      <c r="B10" s="159" t="str">
        <f t="shared" si="0"/>
        <v>$C$1:$C$92</v>
      </c>
      <c r="C10" s="159" t="str">
        <f t="shared" si="3"/>
        <v>January!$B$1:$B$92</v>
      </c>
      <c r="D10" s="159" t="str">
        <f t="shared" si="1"/>
        <v>January!$C$1:$C$92</v>
      </c>
      <c r="E10" t="s">
        <v>3</v>
      </c>
      <c r="F10" t="s">
        <v>48</v>
      </c>
      <c r="G10" t="s">
        <v>13</v>
      </c>
      <c r="H10" t="s">
        <v>24</v>
      </c>
      <c r="I10" t="e">
        <f t="shared" ca="1" si="4"/>
        <v>#REF!</v>
      </c>
      <c r="J10" t="str">
        <f>VLOOKUP($G10,DefinitionArrays!$I$6:$J$12,2,FALSE)</f>
        <v>Workweek</v>
      </c>
    </row>
    <row r="11" spans="1:11">
      <c r="A11" s="159" t="str">
        <f t="shared" si="2"/>
        <v>$B$1:$B$92</v>
      </c>
      <c r="B11" s="159" t="str">
        <f t="shared" si="0"/>
        <v>$C$1:$C$92</v>
      </c>
      <c r="C11" s="159" t="str">
        <f t="shared" si="3"/>
        <v>January!$B$1:$B$92</v>
      </c>
      <c r="D11" s="159" t="str">
        <f t="shared" si="1"/>
        <v>January!$C$1:$C$92</v>
      </c>
      <c r="E11" t="s">
        <v>3</v>
      </c>
      <c r="F11" t="s">
        <v>48</v>
      </c>
      <c r="G11" t="s">
        <v>13</v>
      </c>
      <c r="H11" t="s">
        <v>179</v>
      </c>
      <c r="I11" t="e">
        <f t="shared" ca="1" si="4"/>
        <v>#REF!</v>
      </c>
      <c r="J11" t="str">
        <f>VLOOKUP($G11,DefinitionArrays!$I$6:$J$12,2,FALSE)</f>
        <v>Workweek</v>
      </c>
    </row>
    <row r="12" spans="1:11">
      <c r="A12" s="159" t="str">
        <f t="shared" si="2"/>
        <v>$B$1:$B$92</v>
      </c>
      <c r="B12" s="159" t="str">
        <f t="shared" si="0"/>
        <v>$C$1:$C$92</v>
      </c>
      <c r="C12" s="159" t="str">
        <f t="shared" si="3"/>
        <v>January!$B$1:$B$92</v>
      </c>
      <c r="D12" s="159" t="str">
        <f t="shared" si="1"/>
        <v>January!$C$1:$C$92</v>
      </c>
      <c r="E12" t="s">
        <v>3</v>
      </c>
      <c r="F12" t="s">
        <v>48</v>
      </c>
      <c r="G12" t="s">
        <v>13</v>
      </c>
      <c r="H12" t="s">
        <v>180</v>
      </c>
      <c r="I12" t="e">
        <f t="shared" ca="1" si="4"/>
        <v>#REF!</v>
      </c>
      <c r="J12" t="str">
        <f>VLOOKUP($G12,DefinitionArrays!$I$6:$J$12,2,FALSE)</f>
        <v>Workweek</v>
      </c>
    </row>
    <row r="13" spans="1:11">
      <c r="A13" s="159" t="str">
        <f t="shared" si="2"/>
        <v>$B$1:$B$92</v>
      </c>
      <c r="B13" s="159" t="str">
        <f t="shared" si="0"/>
        <v>$C$1:$C$92</v>
      </c>
      <c r="C13" s="159" t="str">
        <f t="shared" si="3"/>
        <v>January!$B$1:$B$92</v>
      </c>
      <c r="D13" s="159" t="str">
        <f t="shared" si="1"/>
        <v>January!$C$1:$C$92</v>
      </c>
      <c r="E13" t="s">
        <v>3</v>
      </c>
      <c r="F13" t="s">
        <v>48</v>
      </c>
      <c r="G13" t="s">
        <v>13</v>
      </c>
      <c r="H13" t="s">
        <v>44</v>
      </c>
      <c r="I13" t="e">
        <f t="shared" ca="1" si="4"/>
        <v>#REF!</v>
      </c>
      <c r="J13" t="str">
        <f>VLOOKUP($G13,DefinitionArrays!$I$6:$J$12,2,FALSE)</f>
        <v>Workweek</v>
      </c>
    </row>
    <row r="14" spans="1:11">
      <c r="A14" s="159" t="str">
        <f t="shared" si="2"/>
        <v>$E$1:$E$92</v>
      </c>
      <c r="B14" s="159" t="str">
        <f t="shared" si="0"/>
        <v>$F$1:$F$92</v>
      </c>
      <c r="C14" s="159" t="str">
        <f t="shared" si="3"/>
        <v>January!$E$1:$E$92</v>
      </c>
      <c r="D14" s="159" t="str">
        <f t="shared" si="1"/>
        <v>January!$F$1:$F$92</v>
      </c>
      <c r="E14" t="s">
        <v>3</v>
      </c>
      <c r="F14" t="s">
        <v>48</v>
      </c>
      <c r="G14" t="s">
        <v>142</v>
      </c>
      <c r="H14" t="s">
        <v>159</v>
      </c>
      <c r="I14" t="e">
        <f t="shared" ca="1" si="4"/>
        <v>#REF!</v>
      </c>
      <c r="J14" t="str">
        <f>VLOOKUP($G14,DefinitionArrays!$I$6:$J$12,2,FALSE)</f>
        <v>Workweek</v>
      </c>
    </row>
    <row r="15" spans="1:11">
      <c r="A15" s="159" t="str">
        <f t="shared" si="2"/>
        <v>$E$1:$E$92</v>
      </c>
      <c r="B15" s="159" t="str">
        <f t="shared" si="0"/>
        <v>$F$1:$F$92</v>
      </c>
      <c r="C15" s="159" t="str">
        <f t="shared" si="3"/>
        <v>January!$E$1:$E$92</v>
      </c>
      <c r="D15" s="159" t="str">
        <f t="shared" si="1"/>
        <v>January!$F$1:$F$92</v>
      </c>
      <c r="E15" t="s">
        <v>3</v>
      </c>
      <c r="F15" t="s">
        <v>48</v>
      </c>
      <c r="G15" t="s">
        <v>142</v>
      </c>
      <c r="H15" t="s">
        <v>18</v>
      </c>
      <c r="I15" t="e">
        <f t="shared" ca="1" si="4"/>
        <v>#REF!</v>
      </c>
      <c r="J15" t="str">
        <f>VLOOKUP($G15,DefinitionArrays!$I$6:$J$12,2,FALSE)</f>
        <v>Workweek</v>
      </c>
    </row>
    <row r="16" spans="1:11">
      <c r="A16" s="159" t="str">
        <f t="shared" si="2"/>
        <v>$E$1:$E$92</v>
      </c>
      <c r="B16" s="159" t="str">
        <f t="shared" si="0"/>
        <v>$F$1:$F$92</v>
      </c>
      <c r="C16" s="159" t="str">
        <f t="shared" si="3"/>
        <v>January!$E$1:$E$92</v>
      </c>
      <c r="D16" s="159" t="str">
        <f t="shared" si="1"/>
        <v>January!$F$1:$F$92</v>
      </c>
      <c r="E16" t="s">
        <v>3</v>
      </c>
      <c r="F16" t="s">
        <v>48</v>
      </c>
      <c r="G16" t="s">
        <v>142</v>
      </c>
      <c r="H16" t="s">
        <v>153</v>
      </c>
      <c r="I16" t="e">
        <f t="shared" ca="1" si="4"/>
        <v>#REF!</v>
      </c>
      <c r="J16" t="str">
        <f>VLOOKUP($G16,DefinitionArrays!$I$6:$J$12,2,FALSE)</f>
        <v>Workweek</v>
      </c>
    </row>
    <row r="17" spans="1:10">
      <c r="A17" s="159" t="str">
        <f t="shared" si="2"/>
        <v>$E$1:$E$92</v>
      </c>
      <c r="B17" s="159" t="str">
        <f t="shared" si="0"/>
        <v>$F$1:$F$92</v>
      </c>
      <c r="C17" s="159" t="str">
        <f t="shared" si="3"/>
        <v>January!$E$1:$E$92</v>
      </c>
      <c r="D17" s="159" t="str">
        <f t="shared" si="1"/>
        <v>January!$F$1:$F$92</v>
      </c>
      <c r="E17" t="s">
        <v>3</v>
      </c>
      <c r="F17" t="s">
        <v>48</v>
      </c>
      <c r="G17" t="s">
        <v>142</v>
      </c>
      <c r="H17" t="s">
        <v>19</v>
      </c>
      <c r="I17" t="e">
        <f t="shared" ca="1" si="4"/>
        <v>#REF!</v>
      </c>
      <c r="J17" t="str">
        <f>VLOOKUP($G17,DefinitionArrays!$I$6:$J$12,2,FALSE)</f>
        <v>Workweek</v>
      </c>
    </row>
    <row r="18" spans="1:10">
      <c r="A18" s="159" t="str">
        <f t="shared" si="2"/>
        <v>$E$1:$E$92</v>
      </c>
      <c r="B18" s="159" t="str">
        <f t="shared" si="0"/>
        <v>$F$1:$F$92</v>
      </c>
      <c r="C18" s="159" t="str">
        <f t="shared" si="3"/>
        <v>January!$E$1:$E$92</v>
      </c>
      <c r="D18" s="159" t="str">
        <f t="shared" si="1"/>
        <v>January!$F$1:$F$92</v>
      </c>
      <c r="E18" t="s">
        <v>3</v>
      </c>
      <c r="F18" t="s">
        <v>48</v>
      </c>
      <c r="G18" t="s">
        <v>142</v>
      </c>
      <c r="H18" t="s">
        <v>20</v>
      </c>
      <c r="I18" t="e">
        <f t="shared" ca="1" si="4"/>
        <v>#REF!</v>
      </c>
      <c r="J18" t="str">
        <f>VLOOKUP($G18,DefinitionArrays!$I$6:$J$12,2,FALSE)</f>
        <v>Workweek</v>
      </c>
    </row>
    <row r="19" spans="1:10">
      <c r="A19" s="159" t="str">
        <f t="shared" si="2"/>
        <v>$E$1:$E$92</v>
      </c>
      <c r="B19" s="159" t="str">
        <f t="shared" si="0"/>
        <v>$F$1:$F$92</v>
      </c>
      <c r="C19" s="159" t="str">
        <f t="shared" si="3"/>
        <v>January!$E$1:$E$92</v>
      </c>
      <c r="D19" s="159" t="str">
        <f t="shared" si="1"/>
        <v>January!$F$1:$F$92</v>
      </c>
      <c r="E19" t="s">
        <v>3</v>
      </c>
      <c r="F19" t="s">
        <v>48</v>
      </c>
      <c r="G19" t="s">
        <v>142</v>
      </c>
      <c r="H19" t="s">
        <v>21</v>
      </c>
      <c r="I19" t="e">
        <f t="shared" ca="1" si="4"/>
        <v>#REF!</v>
      </c>
      <c r="J19" t="str">
        <f>VLOOKUP($G19,DefinitionArrays!$I$6:$J$12,2,FALSE)</f>
        <v>Workweek</v>
      </c>
    </row>
    <row r="20" spans="1:10">
      <c r="A20" s="159" t="str">
        <f t="shared" si="2"/>
        <v>$E$1:$E$92</v>
      </c>
      <c r="B20" s="159" t="str">
        <f t="shared" si="0"/>
        <v>$F$1:$F$92</v>
      </c>
      <c r="C20" s="159" t="str">
        <f t="shared" si="3"/>
        <v>January!$E$1:$E$92</v>
      </c>
      <c r="D20" s="159" t="str">
        <f t="shared" si="1"/>
        <v>January!$F$1:$F$92</v>
      </c>
      <c r="E20" t="s">
        <v>3</v>
      </c>
      <c r="F20" t="s">
        <v>48</v>
      </c>
      <c r="G20" t="s">
        <v>142</v>
      </c>
      <c r="H20" t="s">
        <v>22</v>
      </c>
      <c r="I20" t="e">
        <f t="shared" ca="1" si="4"/>
        <v>#REF!</v>
      </c>
      <c r="J20" t="str">
        <f>VLOOKUP($G20,DefinitionArrays!$I$6:$J$12,2,FALSE)</f>
        <v>Workweek</v>
      </c>
    </row>
    <row r="21" spans="1:10">
      <c r="A21" s="159" t="str">
        <f t="shared" si="2"/>
        <v>$E$1:$E$92</v>
      </c>
      <c r="B21" s="159" t="str">
        <f t="shared" si="0"/>
        <v>$F$1:$F$92</v>
      </c>
      <c r="C21" s="159" t="str">
        <f t="shared" si="3"/>
        <v>January!$E$1:$E$92</v>
      </c>
      <c r="D21" s="159" t="str">
        <f t="shared" si="1"/>
        <v>January!$F$1:$F$92</v>
      </c>
      <c r="E21" t="s">
        <v>3</v>
      </c>
      <c r="F21" t="s">
        <v>48</v>
      </c>
      <c r="G21" t="s">
        <v>142</v>
      </c>
      <c r="H21" t="s">
        <v>23</v>
      </c>
      <c r="I21" t="e">
        <f t="shared" ca="1" si="4"/>
        <v>#REF!</v>
      </c>
      <c r="J21" t="str">
        <f>VLOOKUP($G21,DefinitionArrays!$I$6:$J$12,2,FALSE)</f>
        <v>Workweek</v>
      </c>
    </row>
    <row r="22" spans="1:10">
      <c r="A22" s="159" t="str">
        <f t="shared" si="2"/>
        <v>$E$1:$E$92</v>
      </c>
      <c r="B22" s="159" t="str">
        <f t="shared" si="0"/>
        <v>$F$1:$F$92</v>
      </c>
      <c r="C22" s="159" t="str">
        <f t="shared" si="3"/>
        <v>January!$E$1:$E$92</v>
      </c>
      <c r="D22" s="159" t="str">
        <f t="shared" si="1"/>
        <v>January!$F$1:$F$92</v>
      </c>
      <c r="E22" t="s">
        <v>3</v>
      </c>
      <c r="F22" t="s">
        <v>48</v>
      </c>
      <c r="G22" t="s">
        <v>142</v>
      </c>
      <c r="H22" t="s">
        <v>24</v>
      </c>
      <c r="I22" t="e">
        <f t="shared" ca="1" si="4"/>
        <v>#REF!</v>
      </c>
      <c r="J22" t="str">
        <f>VLOOKUP($G22,DefinitionArrays!$I$6:$J$12,2,FALSE)</f>
        <v>Workweek</v>
      </c>
    </row>
    <row r="23" spans="1:10">
      <c r="A23" s="159" t="str">
        <f t="shared" si="2"/>
        <v>$E$1:$E$92</v>
      </c>
      <c r="B23" s="159" t="str">
        <f t="shared" si="0"/>
        <v>$F$1:$F$92</v>
      </c>
      <c r="C23" s="159" t="str">
        <f t="shared" si="3"/>
        <v>January!$E$1:$E$92</v>
      </c>
      <c r="D23" s="159" t="str">
        <f t="shared" si="1"/>
        <v>January!$F$1:$F$92</v>
      </c>
      <c r="E23" t="s">
        <v>3</v>
      </c>
      <c r="F23" t="s">
        <v>48</v>
      </c>
      <c r="G23" t="s">
        <v>142</v>
      </c>
      <c r="H23" t="s">
        <v>179</v>
      </c>
      <c r="I23" t="e">
        <f t="shared" ca="1" si="4"/>
        <v>#REF!</v>
      </c>
      <c r="J23" t="str">
        <f>VLOOKUP($G23,DefinitionArrays!$I$6:$J$12,2,FALSE)</f>
        <v>Workweek</v>
      </c>
    </row>
    <row r="24" spans="1:10">
      <c r="A24" s="159" t="str">
        <f t="shared" si="2"/>
        <v>$E$1:$E$92</v>
      </c>
      <c r="B24" s="159" t="str">
        <f t="shared" si="0"/>
        <v>$F$1:$F$92</v>
      </c>
      <c r="C24" s="159" t="str">
        <f t="shared" si="3"/>
        <v>January!$E$1:$E$92</v>
      </c>
      <c r="D24" s="159" t="str">
        <f t="shared" si="1"/>
        <v>January!$F$1:$F$92</v>
      </c>
      <c r="E24" t="s">
        <v>3</v>
      </c>
      <c r="F24" t="s">
        <v>48</v>
      </c>
      <c r="G24" t="s">
        <v>142</v>
      </c>
      <c r="H24" t="s">
        <v>180</v>
      </c>
      <c r="I24" t="e">
        <f t="shared" ca="1" si="4"/>
        <v>#REF!</v>
      </c>
      <c r="J24" t="str">
        <f>VLOOKUP($G24,DefinitionArrays!$I$6:$J$12,2,FALSE)</f>
        <v>Workweek</v>
      </c>
    </row>
    <row r="25" spans="1:10">
      <c r="A25" s="159" t="str">
        <f t="shared" si="2"/>
        <v>$E$1:$E$92</v>
      </c>
      <c r="B25" s="159" t="str">
        <f t="shared" si="0"/>
        <v>$F$1:$F$92</v>
      </c>
      <c r="C25" s="159" t="str">
        <f t="shared" si="3"/>
        <v>January!$E$1:$E$92</v>
      </c>
      <c r="D25" s="159" t="str">
        <f t="shared" si="1"/>
        <v>January!$F$1:$F$92</v>
      </c>
      <c r="E25" t="s">
        <v>3</v>
      </c>
      <c r="F25" t="s">
        <v>48</v>
      </c>
      <c r="G25" t="s">
        <v>142</v>
      </c>
      <c r="H25" t="s">
        <v>44</v>
      </c>
      <c r="I25" t="e">
        <f t="shared" ca="1" si="4"/>
        <v>#REF!</v>
      </c>
      <c r="J25" t="str">
        <f>VLOOKUP($G25,DefinitionArrays!$I$6:$J$12,2,FALSE)</f>
        <v>Workweek</v>
      </c>
    </row>
    <row r="26" spans="1:10">
      <c r="A26" s="159" t="str">
        <f t="shared" si="2"/>
        <v>$H$1:$H$92</v>
      </c>
      <c r="B26" s="159" t="str">
        <f t="shared" si="0"/>
        <v>$I$1:$I$92</v>
      </c>
      <c r="C26" s="159" t="str">
        <f t="shared" si="3"/>
        <v>January!$H$1:$H$92</v>
      </c>
      <c r="D26" s="159" t="str">
        <f t="shared" si="1"/>
        <v>January!$I$1:$I$92</v>
      </c>
      <c r="E26" t="s">
        <v>3</v>
      </c>
      <c r="F26" t="s">
        <v>48</v>
      </c>
      <c r="G26" t="s">
        <v>143</v>
      </c>
      <c r="H26" t="s">
        <v>159</v>
      </c>
      <c r="I26" t="e">
        <f t="shared" ca="1" si="4"/>
        <v>#REF!</v>
      </c>
      <c r="J26" t="str">
        <f>VLOOKUP($G26,DefinitionArrays!$I$6:$J$12,2,FALSE)</f>
        <v>Workweek</v>
      </c>
    </row>
    <row r="27" spans="1:10">
      <c r="A27" s="159" t="str">
        <f t="shared" si="2"/>
        <v>$H$1:$H$92</v>
      </c>
      <c r="B27" s="159" t="str">
        <f t="shared" si="0"/>
        <v>$I$1:$I$92</v>
      </c>
      <c r="C27" s="159" t="str">
        <f t="shared" si="3"/>
        <v>January!$H$1:$H$92</v>
      </c>
      <c r="D27" s="159" t="str">
        <f t="shared" si="1"/>
        <v>January!$I$1:$I$92</v>
      </c>
      <c r="E27" t="s">
        <v>3</v>
      </c>
      <c r="F27" t="s">
        <v>48</v>
      </c>
      <c r="G27" t="s">
        <v>143</v>
      </c>
      <c r="H27" t="s">
        <v>18</v>
      </c>
      <c r="I27" t="e">
        <f t="shared" ca="1" si="4"/>
        <v>#REF!</v>
      </c>
      <c r="J27" t="str">
        <f>VLOOKUP($G27,DefinitionArrays!$I$6:$J$12,2,FALSE)</f>
        <v>Workweek</v>
      </c>
    </row>
    <row r="28" spans="1:10">
      <c r="A28" s="159" t="str">
        <f t="shared" si="2"/>
        <v>$H$1:$H$92</v>
      </c>
      <c r="B28" s="159" t="str">
        <f t="shared" si="0"/>
        <v>$I$1:$I$92</v>
      </c>
      <c r="C28" s="159" t="str">
        <f t="shared" si="3"/>
        <v>January!$H$1:$H$92</v>
      </c>
      <c r="D28" s="159" t="str">
        <f t="shared" si="1"/>
        <v>January!$I$1:$I$92</v>
      </c>
      <c r="E28" t="s">
        <v>3</v>
      </c>
      <c r="F28" t="s">
        <v>48</v>
      </c>
      <c r="G28" t="s">
        <v>143</v>
      </c>
      <c r="H28" t="s">
        <v>153</v>
      </c>
      <c r="I28" t="e">
        <f t="shared" ca="1" si="4"/>
        <v>#REF!</v>
      </c>
      <c r="J28" t="str">
        <f>VLOOKUP($G28,DefinitionArrays!$I$6:$J$12,2,FALSE)</f>
        <v>Workweek</v>
      </c>
    </row>
    <row r="29" spans="1:10">
      <c r="A29" s="159" t="str">
        <f t="shared" si="2"/>
        <v>$H$1:$H$92</v>
      </c>
      <c r="B29" s="159" t="str">
        <f t="shared" si="0"/>
        <v>$I$1:$I$92</v>
      </c>
      <c r="C29" s="159" t="str">
        <f t="shared" si="3"/>
        <v>January!$H$1:$H$92</v>
      </c>
      <c r="D29" s="159" t="str">
        <f t="shared" si="1"/>
        <v>January!$I$1:$I$92</v>
      </c>
      <c r="E29" t="s">
        <v>3</v>
      </c>
      <c r="F29" t="s">
        <v>48</v>
      </c>
      <c r="G29" t="s">
        <v>143</v>
      </c>
      <c r="H29" t="s">
        <v>19</v>
      </c>
      <c r="I29" t="e">
        <f t="shared" ca="1" si="4"/>
        <v>#REF!</v>
      </c>
      <c r="J29" t="str">
        <f>VLOOKUP($G29,DefinitionArrays!$I$6:$J$12,2,FALSE)</f>
        <v>Workweek</v>
      </c>
    </row>
    <row r="30" spans="1:10">
      <c r="A30" s="159" t="str">
        <f t="shared" si="2"/>
        <v>$H$1:$H$92</v>
      </c>
      <c r="B30" s="159" t="str">
        <f t="shared" si="0"/>
        <v>$I$1:$I$92</v>
      </c>
      <c r="C30" s="159" t="str">
        <f t="shared" si="3"/>
        <v>January!$H$1:$H$92</v>
      </c>
      <c r="D30" s="159" t="str">
        <f t="shared" si="1"/>
        <v>January!$I$1:$I$92</v>
      </c>
      <c r="E30" t="s">
        <v>3</v>
      </c>
      <c r="F30" t="s">
        <v>48</v>
      </c>
      <c r="G30" t="s">
        <v>143</v>
      </c>
      <c r="H30" t="s">
        <v>20</v>
      </c>
      <c r="I30" t="e">
        <f t="shared" ca="1" si="4"/>
        <v>#REF!</v>
      </c>
      <c r="J30" t="str">
        <f>VLOOKUP($G30,DefinitionArrays!$I$6:$J$12,2,FALSE)</f>
        <v>Workweek</v>
      </c>
    </row>
    <row r="31" spans="1:10">
      <c r="A31" s="159" t="str">
        <f t="shared" si="2"/>
        <v>$H$1:$H$92</v>
      </c>
      <c r="B31" s="159" t="str">
        <f t="shared" si="0"/>
        <v>$I$1:$I$92</v>
      </c>
      <c r="C31" s="159" t="str">
        <f t="shared" si="3"/>
        <v>January!$H$1:$H$92</v>
      </c>
      <c r="D31" s="159" t="str">
        <f t="shared" si="1"/>
        <v>January!$I$1:$I$92</v>
      </c>
      <c r="E31" t="s">
        <v>3</v>
      </c>
      <c r="F31" t="s">
        <v>48</v>
      </c>
      <c r="G31" t="s">
        <v>143</v>
      </c>
      <c r="H31" t="s">
        <v>21</v>
      </c>
      <c r="I31" t="e">
        <f t="shared" ca="1" si="4"/>
        <v>#REF!</v>
      </c>
      <c r="J31" t="str">
        <f>VLOOKUP($G31,DefinitionArrays!$I$6:$J$12,2,FALSE)</f>
        <v>Workweek</v>
      </c>
    </row>
    <row r="32" spans="1:10">
      <c r="A32" s="159" t="str">
        <f t="shared" si="2"/>
        <v>$H$1:$H$92</v>
      </c>
      <c r="B32" s="159" t="str">
        <f t="shared" si="0"/>
        <v>$I$1:$I$92</v>
      </c>
      <c r="C32" s="159" t="str">
        <f t="shared" si="3"/>
        <v>January!$H$1:$H$92</v>
      </c>
      <c r="D32" s="159" t="str">
        <f t="shared" si="1"/>
        <v>January!$I$1:$I$92</v>
      </c>
      <c r="E32" t="s">
        <v>3</v>
      </c>
      <c r="F32" t="s">
        <v>48</v>
      </c>
      <c r="G32" t="s">
        <v>143</v>
      </c>
      <c r="H32" t="s">
        <v>22</v>
      </c>
      <c r="I32" t="e">
        <f t="shared" ca="1" si="4"/>
        <v>#REF!</v>
      </c>
      <c r="J32" t="str">
        <f>VLOOKUP($G32,DefinitionArrays!$I$6:$J$12,2,FALSE)</f>
        <v>Workweek</v>
      </c>
    </row>
    <row r="33" spans="1:10">
      <c r="A33" s="159" t="str">
        <f t="shared" si="2"/>
        <v>$H$1:$H$92</v>
      </c>
      <c r="B33" s="159" t="str">
        <f t="shared" si="0"/>
        <v>$I$1:$I$92</v>
      </c>
      <c r="C33" s="159" t="str">
        <f t="shared" si="3"/>
        <v>January!$H$1:$H$92</v>
      </c>
      <c r="D33" s="159" t="str">
        <f t="shared" si="1"/>
        <v>January!$I$1:$I$92</v>
      </c>
      <c r="E33" t="s">
        <v>3</v>
      </c>
      <c r="F33" t="s">
        <v>48</v>
      </c>
      <c r="G33" t="s">
        <v>143</v>
      </c>
      <c r="H33" t="s">
        <v>23</v>
      </c>
      <c r="I33" t="e">
        <f t="shared" ca="1" si="4"/>
        <v>#REF!</v>
      </c>
      <c r="J33" t="str">
        <f>VLOOKUP($G33,DefinitionArrays!$I$6:$J$12,2,FALSE)</f>
        <v>Workweek</v>
      </c>
    </row>
    <row r="34" spans="1:10">
      <c r="A34" s="159" t="str">
        <f t="shared" si="2"/>
        <v>$H$1:$H$92</v>
      </c>
      <c r="B34" s="159" t="str">
        <f t="shared" si="0"/>
        <v>$I$1:$I$92</v>
      </c>
      <c r="C34" s="159" t="str">
        <f t="shared" si="3"/>
        <v>January!$H$1:$H$92</v>
      </c>
      <c r="D34" s="159" t="str">
        <f t="shared" si="1"/>
        <v>January!$I$1:$I$92</v>
      </c>
      <c r="E34" t="s">
        <v>3</v>
      </c>
      <c r="F34" t="s">
        <v>48</v>
      </c>
      <c r="G34" t="s">
        <v>143</v>
      </c>
      <c r="H34" t="s">
        <v>24</v>
      </c>
      <c r="I34" t="e">
        <f t="shared" ca="1" si="4"/>
        <v>#REF!</v>
      </c>
      <c r="J34" t="str">
        <f>VLOOKUP($G34,DefinitionArrays!$I$6:$J$12,2,FALSE)</f>
        <v>Workweek</v>
      </c>
    </row>
    <row r="35" spans="1:10">
      <c r="A35" s="159" t="str">
        <f t="shared" si="2"/>
        <v>$H$1:$H$92</v>
      </c>
      <c r="B35" s="159" t="str">
        <f t="shared" si="0"/>
        <v>$I$1:$I$92</v>
      </c>
      <c r="C35" s="159" t="str">
        <f t="shared" si="3"/>
        <v>January!$H$1:$H$92</v>
      </c>
      <c r="D35" s="159" t="str">
        <f t="shared" si="1"/>
        <v>January!$I$1:$I$92</v>
      </c>
      <c r="E35" t="s">
        <v>3</v>
      </c>
      <c r="F35" t="s">
        <v>48</v>
      </c>
      <c r="G35" t="s">
        <v>143</v>
      </c>
      <c r="H35" t="s">
        <v>179</v>
      </c>
      <c r="I35" t="e">
        <f t="shared" ca="1" si="4"/>
        <v>#REF!</v>
      </c>
      <c r="J35" t="str">
        <f>VLOOKUP($G35,DefinitionArrays!$I$6:$J$12,2,FALSE)</f>
        <v>Workweek</v>
      </c>
    </row>
    <row r="36" spans="1:10">
      <c r="A36" s="159" t="str">
        <f t="shared" si="2"/>
        <v>$H$1:$H$92</v>
      </c>
      <c r="B36" s="159" t="str">
        <f t="shared" si="0"/>
        <v>$I$1:$I$92</v>
      </c>
      <c r="C36" s="159" t="str">
        <f t="shared" si="3"/>
        <v>January!$H$1:$H$92</v>
      </c>
      <c r="D36" s="159" t="str">
        <f t="shared" si="1"/>
        <v>January!$I$1:$I$92</v>
      </c>
      <c r="E36" t="s">
        <v>3</v>
      </c>
      <c r="F36" t="s">
        <v>48</v>
      </c>
      <c r="G36" t="s">
        <v>143</v>
      </c>
      <c r="H36" t="s">
        <v>180</v>
      </c>
      <c r="I36" t="e">
        <f t="shared" ca="1" si="4"/>
        <v>#REF!</v>
      </c>
      <c r="J36" t="str">
        <f>VLOOKUP($G36,DefinitionArrays!$I$6:$J$12,2,FALSE)</f>
        <v>Workweek</v>
      </c>
    </row>
    <row r="37" spans="1:10">
      <c r="A37" s="159" t="str">
        <f t="shared" si="2"/>
        <v>$H$1:$H$92</v>
      </c>
      <c r="B37" s="159" t="str">
        <f t="shared" si="0"/>
        <v>$I$1:$I$92</v>
      </c>
      <c r="C37" s="159" t="str">
        <f t="shared" si="3"/>
        <v>January!$H$1:$H$92</v>
      </c>
      <c r="D37" s="159" t="str">
        <f t="shared" si="1"/>
        <v>January!$I$1:$I$92</v>
      </c>
      <c r="E37" t="s">
        <v>3</v>
      </c>
      <c r="F37" t="s">
        <v>48</v>
      </c>
      <c r="G37" t="s">
        <v>143</v>
      </c>
      <c r="H37" t="s">
        <v>44</v>
      </c>
      <c r="I37" t="e">
        <f t="shared" ca="1" si="4"/>
        <v>#REF!</v>
      </c>
      <c r="J37" t="str">
        <f>VLOOKUP($G37,DefinitionArrays!$I$6:$J$12,2,FALSE)</f>
        <v>Workweek</v>
      </c>
    </row>
    <row r="38" spans="1:10">
      <c r="A38" s="159" t="str">
        <f t="shared" si="2"/>
        <v>$K$1:$K$92</v>
      </c>
      <c r="B38" s="159" t="str">
        <f t="shared" si="0"/>
        <v>$L$1:$L$92</v>
      </c>
      <c r="C38" s="159" t="str">
        <f t="shared" si="3"/>
        <v>January!$K$1:$K$92</v>
      </c>
      <c r="D38" s="159" t="str">
        <f t="shared" si="1"/>
        <v>January!$L$1:$L$92</v>
      </c>
      <c r="E38" t="s">
        <v>3</v>
      </c>
      <c r="F38" t="s">
        <v>48</v>
      </c>
      <c r="G38" t="s">
        <v>144</v>
      </c>
      <c r="H38" t="s">
        <v>159</v>
      </c>
      <c r="I38" t="e">
        <f t="shared" ca="1" si="4"/>
        <v>#REF!</v>
      </c>
      <c r="J38" t="str">
        <f>VLOOKUP($G38,DefinitionArrays!$I$6:$J$12,2,FALSE)</f>
        <v>Workweek</v>
      </c>
    </row>
    <row r="39" spans="1:10">
      <c r="A39" s="159" t="str">
        <f t="shared" si="2"/>
        <v>$K$1:$K$92</v>
      </c>
      <c r="B39" s="159" t="str">
        <f t="shared" si="0"/>
        <v>$L$1:$L$92</v>
      </c>
      <c r="C39" s="159" t="str">
        <f t="shared" si="3"/>
        <v>January!$K$1:$K$92</v>
      </c>
      <c r="D39" s="159" t="str">
        <f t="shared" si="1"/>
        <v>January!$L$1:$L$92</v>
      </c>
      <c r="E39" t="s">
        <v>3</v>
      </c>
      <c r="F39" t="s">
        <v>48</v>
      </c>
      <c r="G39" t="s">
        <v>144</v>
      </c>
      <c r="H39" t="s">
        <v>18</v>
      </c>
      <c r="I39" t="e">
        <f t="shared" ca="1" si="4"/>
        <v>#REF!</v>
      </c>
      <c r="J39" t="str">
        <f>VLOOKUP($G39,DefinitionArrays!$I$6:$J$12,2,FALSE)</f>
        <v>Workweek</v>
      </c>
    </row>
    <row r="40" spans="1:10">
      <c r="A40" s="159" t="str">
        <f t="shared" si="2"/>
        <v>$K$1:$K$92</v>
      </c>
      <c r="B40" s="159" t="str">
        <f t="shared" si="0"/>
        <v>$L$1:$L$92</v>
      </c>
      <c r="C40" s="159" t="str">
        <f t="shared" si="3"/>
        <v>January!$K$1:$K$92</v>
      </c>
      <c r="D40" s="159" t="str">
        <f t="shared" si="1"/>
        <v>January!$L$1:$L$92</v>
      </c>
      <c r="E40" t="s">
        <v>3</v>
      </c>
      <c r="F40" t="s">
        <v>48</v>
      </c>
      <c r="G40" t="s">
        <v>144</v>
      </c>
      <c r="H40" t="s">
        <v>153</v>
      </c>
      <c r="I40" t="e">
        <f t="shared" ca="1" si="4"/>
        <v>#REF!</v>
      </c>
      <c r="J40" t="str">
        <f>VLOOKUP($G40,DefinitionArrays!$I$6:$J$12,2,FALSE)</f>
        <v>Workweek</v>
      </c>
    </row>
    <row r="41" spans="1:10">
      <c r="A41" s="159" t="str">
        <f t="shared" si="2"/>
        <v>$K$1:$K$92</v>
      </c>
      <c r="B41" s="159" t="str">
        <f t="shared" si="0"/>
        <v>$L$1:$L$92</v>
      </c>
      <c r="C41" s="159" t="str">
        <f t="shared" si="3"/>
        <v>January!$K$1:$K$92</v>
      </c>
      <c r="D41" s="159" t="str">
        <f t="shared" si="1"/>
        <v>January!$L$1:$L$92</v>
      </c>
      <c r="E41" t="s">
        <v>3</v>
      </c>
      <c r="F41" t="s">
        <v>48</v>
      </c>
      <c r="G41" t="s">
        <v>144</v>
      </c>
      <c r="H41" t="s">
        <v>19</v>
      </c>
      <c r="I41" t="e">
        <f t="shared" ca="1" si="4"/>
        <v>#REF!</v>
      </c>
      <c r="J41" t="str">
        <f>VLOOKUP($G41,DefinitionArrays!$I$6:$J$12,2,FALSE)</f>
        <v>Workweek</v>
      </c>
    </row>
    <row r="42" spans="1:10">
      <c r="A42" s="159" t="str">
        <f t="shared" si="2"/>
        <v>$K$1:$K$92</v>
      </c>
      <c r="B42" s="159" t="str">
        <f t="shared" si="0"/>
        <v>$L$1:$L$92</v>
      </c>
      <c r="C42" s="159" t="str">
        <f t="shared" si="3"/>
        <v>January!$K$1:$K$92</v>
      </c>
      <c r="D42" s="159" t="str">
        <f t="shared" si="1"/>
        <v>January!$L$1:$L$92</v>
      </c>
      <c r="E42" t="s">
        <v>3</v>
      </c>
      <c r="F42" t="s">
        <v>48</v>
      </c>
      <c r="G42" t="s">
        <v>144</v>
      </c>
      <c r="H42" t="s">
        <v>20</v>
      </c>
      <c r="I42" t="e">
        <f t="shared" ca="1" si="4"/>
        <v>#REF!</v>
      </c>
      <c r="J42" t="str">
        <f>VLOOKUP($G42,DefinitionArrays!$I$6:$J$12,2,FALSE)</f>
        <v>Workweek</v>
      </c>
    </row>
    <row r="43" spans="1:10">
      <c r="A43" s="159" t="str">
        <f t="shared" si="2"/>
        <v>$K$1:$K$92</v>
      </c>
      <c r="B43" s="159" t="str">
        <f t="shared" si="0"/>
        <v>$L$1:$L$92</v>
      </c>
      <c r="C43" s="159" t="str">
        <f t="shared" si="3"/>
        <v>January!$K$1:$K$92</v>
      </c>
      <c r="D43" s="159" t="str">
        <f t="shared" si="1"/>
        <v>January!$L$1:$L$92</v>
      </c>
      <c r="E43" t="s">
        <v>3</v>
      </c>
      <c r="F43" t="s">
        <v>48</v>
      </c>
      <c r="G43" t="s">
        <v>144</v>
      </c>
      <c r="H43" t="s">
        <v>21</v>
      </c>
      <c r="I43" t="e">
        <f t="shared" ca="1" si="4"/>
        <v>#REF!</v>
      </c>
      <c r="J43" t="str">
        <f>VLOOKUP($G43,DefinitionArrays!$I$6:$J$12,2,FALSE)</f>
        <v>Workweek</v>
      </c>
    </row>
    <row r="44" spans="1:10">
      <c r="A44" s="159" t="str">
        <f t="shared" si="2"/>
        <v>$K$1:$K$92</v>
      </c>
      <c r="B44" s="159" t="str">
        <f t="shared" si="0"/>
        <v>$L$1:$L$92</v>
      </c>
      <c r="C44" s="159" t="str">
        <f t="shared" si="3"/>
        <v>January!$K$1:$K$92</v>
      </c>
      <c r="D44" s="159" t="str">
        <f t="shared" si="1"/>
        <v>January!$L$1:$L$92</v>
      </c>
      <c r="E44" t="s">
        <v>3</v>
      </c>
      <c r="F44" t="s">
        <v>48</v>
      </c>
      <c r="G44" t="s">
        <v>144</v>
      </c>
      <c r="H44" t="s">
        <v>22</v>
      </c>
      <c r="I44" t="e">
        <f t="shared" ca="1" si="4"/>
        <v>#REF!</v>
      </c>
      <c r="J44" t="str">
        <f>VLOOKUP($G44,DefinitionArrays!$I$6:$J$12,2,FALSE)</f>
        <v>Workweek</v>
      </c>
    </row>
    <row r="45" spans="1:10">
      <c r="A45" s="159" t="str">
        <f t="shared" si="2"/>
        <v>$K$1:$K$92</v>
      </c>
      <c r="B45" s="159" t="str">
        <f t="shared" si="0"/>
        <v>$L$1:$L$92</v>
      </c>
      <c r="C45" s="159" t="str">
        <f t="shared" si="3"/>
        <v>January!$K$1:$K$92</v>
      </c>
      <c r="D45" s="159" t="str">
        <f t="shared" si="1"/>
        <v>January!$L$1:$L$92</v>
      </c>
      <c r="E45" t="s">
        <v>3</v>
      </c>
      <c r="F45" t="s">
        <v>48</v>
      </c>
      <c r="G45" t="s">
        <v>144</v>
      </c>
      <c r="H45" t="s">
        <v>23</v>
      </c>
      <c r="I45" t="e">
        <f t="shared" ca="1" si="4"/>
        <v>#REF!</v>
      </c>
      <c r="J45" t="str">
        <f>VLOOKUP($G45,DefinitionArrays!$I$6:$J$12,2,FALSE)</f>
        <v>Workweek</v>
      </c>
    </row>
    <row r="46" spans="1:10">
      <c r="A46" s="159" t="str">
        <f t="shared" si="2"/>
        <v>$K$1:$K$92</v>
      </c>
      <c r="B46" s="159" t="str">
        <f t="shared" si="0"/>
        <v>$L$1:$L$92</v>
      </c>
      <c r="C46" s="159" t="str">
        <f t="shared" si="3"/>
        <v>January!$K$1:$K$92</v>
      </c>
      <c r="D46" s="159" t="str">
        <f t="shared" si="1"/>
        <v>January!$L$1:$L$92</v>
      </c>
      <c r="E46" t="s">
        <v>3</v>
      </c>
      <c r="F46" t="s">
        <v>48</v>
      </c>
      <c r="G46" t="s">
        <v>144</v>
      </c>
      <c r="H46" t="s">
        <v>24</v>
      </c>
      <c r="I46" t="e">
        <f t="shared" ca="1" si="4"/>
        <v>#REF!</v>
      </c>
      <c r="J46" t="str">
        <f>VLOOKUP($G46,DefinitionArrays!$I$6:$J$12,2,FALSE)</f>
        <v>Workweek</v>
      </c>
    </row>
    <row r="47" spans="1:10">
      <c r="A47" s="159" t="str">
        <f t="shared" si="2"/>
        <v>$K$1:$K$92</v>
      </c>
      <c r="B47" s="159" t="str">
        <f t="shared" si="0"/>
        <v>$L$1:$L$92</v>
      </c>
      <c r="C47" s="159" t="str">
        <f t="shared" si="3"/>
        <v>January!$K$1:$K$92</v>
      </c>
      <c r="D47" s="159" t="str">
        <f t="shared" si="1"/>
        <v>January!$L$1:$L$92</v>
      </c>
      <c r="E47" t="s">
        <v>3</v>
      </c>
      <c r="F47" t="s">
        <v>48</v>
      </c>
      <c r="G47" t="s">
        <v>144</v>
      </c>
      <c r="H47" t="s">
        <v>179</v>
      </c>
      <c r="I47" t="e">
        <f t="shared" ca="1" si="4"/>
        <v>#REF!</v>
      </c>
      <c r="J47" t="str">
        <f>VLOOKUP($G47,DefinitionArrays!$I$6:$J$12,2,FALSE)</f>
        <v>Workweek</v>
      </c>
    </row>
    <row r="48" spans="1:10">
      <c r="A48" s="159" t="str">
        <f t="shared" si="2"/>
        <v>$K$1:$K$92</v>
      </c>
      <c r="B48" s="159" t="str">
        <f t="shared" si="0"/>
        <v>$L$1:$L$92</v>
      </c>
      <c r="C48" s="159" t="str">
        <f t="shared" si="3"/>
        <v>January!$K$1:$K$92</v>
      </c>
      <c r="D48" s="159" t="str">
        <f t="shared" si="1"/>
        <v>January!$L$1:$L$92</v>
      </c>
      <c r="E48" t="s">
        <v>3</v>
      </c>
      <c r="F48" t="s">
        <v>48</v>
      </c>
      <c r="G48" t="s">
        <v>144</v>
      </c>
      <c r="H48" t="s">
        <v>180</v>
      </c>
      <c r="I48" t="e">
        <f t="shared" ca="1" si="4"/>
        <v>#REF!</v>
      </c>
      <c r="J48" t="str">
        <f>VLOOKUP($G48,DefinitionArrays!$I$6:$J$12,2,FALSE)</f>
        <v>Workweek</v>
      </c>
    </row>
    <row r="49" spans="1:10">
      <c r="A49" s="159" t="str">
        <f t="shared" si="2"/>
        <v>$K$1:$K$92</v>
      </c>
      <c r="B49" s="159" t="str">
        <f t="shared" si="0"/>
        <v>$L$1:$L$92</v>
      </c>
      <c r="C49" s="159" t="str">
        <f t="shared" si="3"/>
        <v>January!$K$1:$K$92</v>
      </c>
      <c r="D49" s="159" t="str">
        <f t="shared" si="1"/>
        <v>January!$L$1:$L$92</v>
      </c>
      <c r="E49" t="s">
        <v>3</v>
      </c>
      <c r="F49" t="s">
        <v>48</v>
      </c>
      <c r="G49" t="s">
        <v>144</v>
      </c>
      <c r="H49" t="s">
        <v>44</v>
      </c>
      <c r="I49" t="e">
        <f t="shared" ca="1" si="4"/>
        <v>#REF!</v>
      </c>
      <c r="J49" t="str">
        <f>VLOOKUP($G49,DefinitionArrays!$I$6:$J$12,2,FALSE)</f>
        <v>Workweek</v>
      </c>
    </row>
    <row r="50" spans="1:10">
      <c r="A50" s="159" t="str">
        <f t="shared" si="2"/>
        <v>$N$1:$N$92</v>
      </c>
      <c r="B50" s="159" t="str">
        <f t="shared" si="0"/>
        <v>$O$1:$O$92</v>
      </c>
      <c r="C50" s="159" t="str">
        <f t="shared" si="3"/>
        <v>January!$N$1:$N$92</v>
      </c>
      <c r="D50" s="159" t="str">
        <f t="shared" si="1"/>
        <v>January!$O$1:$O$92</v>
      </c>
      <c r="E50" t="s">
        <v>3</v>
      </c>
      <c r="F50" t="s">
        <v>48</v>
      </c>
      <c r="G50" t="s">
        <v>145</v>
      </c>
      <c r="H50" t="s">
        <v>159</v>
      </c>
      <c r="I50" t="e">
        <f t="shared" ca="1" si="4"/>
        <v>#REF!</v>
      </c>
      <c r="J50" t="str">
        <f>VLOOKUP($G50,DefinitionArrays!$I$6:$J$12,2,FALSE)</f>
        <v>Weekend</v>
      </c>
    </row>
    <row r="51" spans="1:10">
      <c r="A51" s="159" t="str">
        <f t="shared" si="2"/>
        <v>$N$1:$N$92</v>
      </c>
      <c r="B51" s="159" t="str">
        <f t="shared" si="0"/>
        <v>$O$1:$O$92</v>
      </c>
      <c r="C51" s="159" t="str">
        <f t="shared" si="3"/>
        <v>January!$N$1:$N$92</v>
      </c>
      <c r="D51" s="159" t="str">
        <f t="shared" si="1"/>
        <v>January!$O$1:$O$92</v>
      </c>
      <c r="E51" t="s">
        <v>3</v>
      </c>
      <c r="F51" t="s">
        <v>48</v>
      </c>
      <c r="G51" t="s">
        <v>145</v>
      </c>
      <c r="H51" t="s">
        <v>18</v>
      </c>
      <c r="I51" t="e">
        <f t="shared" ca="1" si="4"/>
        <v>#REF!</v>
      </c>
      <c r="J51" t="str">
        <f>VLOOKUP($G51,DefinitionArrays!$I$6:$J$12,2,FALSE)</f>
        <v>Weekend</v>
      </c>
    </row>
    <row r="52" spans="1:10">
      <c r="A52" s="159" t="str">
        <f t="shared" si="2"/>
        <v>$N$1:$N$92</v>
      </c>
      <c r="B52" s="159" t="str">
        <f t="shared" si="0"/>
        <v>$O$1:$O$92</v>
      </c>
      <c r="C52" s="159" t="str">
        <f t="shared" si="3"/>
        <v>January!$N$1:$N$92</v>
      </c>
      <c r="D52" s="159" t="str">
        <f t="shared" si="1"/>
        <v>January!$O$1:$O$92</v>
      </c>
      <c r="E52" t="s">
        <v>3</v>
      </c>
      <c r="F52" t="s">
        <v>48</v>
      </c>
      <c r="G52" t="s">
        <v>145</v>
      </c>
      <c r="H52" t="s">
        <v>153</v>
      </c>
      <c r="I52" t="e">
        <f t="shared" ca="1" si="4"/>
        <v>#REF!</v>
      </c>
      <c r="J52" t="str">
        <f>VLOOKUP($G52,DefinitionArrays!$I$6:$J$12,2,FALSE)</f>
        <v>Weekend</v>
      </c>
    </row>
    <row r="53" spans="1:10">
      <c r="A53" s="159" t="str">
        <f t="shared" si="2"/>
        <v>$N$1:$N$92</v>
      </c>
      <c r="B53" s="159" t="str">
        <f t="shared" si="0"/>
        <v>$O$1:$O$92</v>
      </c>
      <c r="C53" s="159" t="str">
        <f t="shared" si="3"/>
        <v>January!$N$1:$N$92</v>
      </c>
      <c r="D53" s="159" t="str">
        <f t="shared" si="1"/>
        <v>January!$O$1:$O$92</v>
      </c>
      <c r="E53" t="s">
        <v>3</v>
      </c>
      <c r="F53" t="s">
        <v>48</v>
      </c>
      <c r="G53" t="s">
        <v>145</v>
      </c>
      <c r="H53" t="s">
        <v>19</v>
      </c>
      <c r="I53" t="e">
        <f t="shared" ca="1" si="4"/>
        <v>#REF!</v>
      </c>
      <c r="J53" t="str">
        <f>VLOOKUP($G53,DefinitionArrays!$I$6:$J$12,2,FALSE)</f>
        <v>Weekend</v>
      </c>
    </row>
    <row r="54" spans="1:10">
      <c r="A54" s="159" t="str">
        <f t="shared" si="2"/>
        <v>$N$1:$N$92</v>
      </c>
      <c r="B54" s="159" t="str">
        <f t="shared" si="0"/>
        <v>$O$1:$O$92</v>
      </c>
      <c r="C54" s="159" t="str">
        <f t="shared" si="3"/>
        <v>January!$N$1:$N$92</v>
      </c>
      <c r="D54" s="159" t="str">
        <f t="shared" si="1"/>
        <v>January!$O$1:$O$92</v>
      </c>
      <c r="E54" t="s">
        <v>3</v>
      </c>
      <c r="F54" t="s">
        <v>48</v>
      </c>
      <c r="G54" t="s">
        <v>145</v>
      </c>
      <c r="H54" t="s">
        <v>20</v>
      </c>
      <c r="I54" t="e">
        <f t="shared" ca="1" si="4"/>
        <v>#REF!</v>
      </c>
      <c r="J54" t="str">
        <f>VLOOKUP($G54,DefinitionArrays!$I$6:$J$12,2,FALSE)</f>
        <v>Weekend</v>
      </c>
    </row>
    <row r="55" spans="1:10">
      <c r="A55" s="159" t="str">
        <f t="shared" si="2"/>
        <v>$N$1:$N$92</v>
      </c>
      <c r="B55" s="159" t="str">
        <f t="shared" si="0"/>
        <v>$O$1:$O$92</v>
      </c>
      <c r="C55" s="159" t="str">
        <f t="shared" si="3"/>
        <v>January!$N$1:$N$92</v>
      </c>
      <c r="D55" s="159" t="str">
        <f t="shared" si="1"/>
        <v>January!$O$1:$O$92</v>
      </c>
      <c r="E55" t="s">
        <v>3</v>
      </c>
      <c r="F55" t="s">
        <v>48</v>
      </c>
      <c r="G55" t="s">
        <v>145</v>
      </c>
      <c r="H55" t="s">
        <v>21</v>
      </c>
      <c r="I55" t="e">
        <f t="shared" ca="1" si="4"/>
        <v>#REF!</v>
      </c>
      <c r="J55" t="str">
        <f>VLOOKUP($G55,DefinitionArrays!$I$6:$J$12,2,FALSE)</f>
        <v>Weekend</v>
      </c>
    </row>
    <row r="56" spans="1:10">
      <c r="A56" s="159" t="str">
        <f t="shared" si="2"/>
        <v>$N$1:$N$92</v>
      </c>
      <c r="B56" s="159" t="str">
        <f t="shared" si="0"/>
        <v>$O$1:$O$92</v>
      </c>
      <c r="C56" s="159" t="str">
        <f t="shared" si="3"/>
        <v>January!$N$1:$N$92</v>
      </c>
      <c r="D56" s="159" t="str">
        <f t="shared" si="1"/>
        <v>January!$O$1:$O$92</v>
      </c>
      <c r="E56" t="s">
        <v>3</v>
      </c>
      <c r="F56" t="s">
        <v>48</v>
      </c>
      <c r="G56" t="s">
        <v>145</v>
      </c>
      <c r="H56" t="s">
        <v>22</v>
      </c>
      <c r="I56" t="e">
        <f t="shared" ca="1" si="4"/>
        <v>#REF!</v>
      </c>
      <c r="J56" t="str">
        <f>VLOOKUP($G56,DefinitionArrays!$I$6:$J$12,2,FALSE)</f>
        <v>Weekend</v>
      </c>
    </row>
    <row r="57" spans="1:10">
      <c r="A57" s="159" t="str">
        <f t="shared" si="2"/>
        <v>$N$1:$N$92</v>
      </c>
      <c r="B57" s="159" t="str">
        <f t="shared" si="0"/>
        <v>$O$1:$O$92</v>
      </c>
      <c r="C57" s="159" t="str">
        <f t="shared" si="3"/>
        <v>January!$N$1:$N$92</v>
      </c>
      <c r="D57" s="159" t="str">
        <f t="shared" si="1"/>
        <v>January!$O$1:$O$92</v>
      </c>
      <c r="E57" t="s">
        <v>3</v>
      </c>
      <c r="F57" t="s">
        <v>48</v>
      </c>
      <c r="G57" t="s">
        <v>145</v>
      </c>
      <c r="H57" t="s">
        <v>23</v>
      </c>
      <c r="I57" t="e">
        <f t="shared" ca="1" si="4"/>
        <v>#REF!</v>
      </c>
      <c r="J57" t="str">
        <f>VLOOKUP($G57,DefinitionArrays!$I$6:$J$12,2,FALSE)</f>
        <v>Weekend</v>
      </c>
    </row>
    <row r="58" spans="1:10">
      <c r="A58" s="159" t="str">
        <f t="shared" si="2"/>
        <v>$N$1:$N$92</v>
      </c>
      <c r="B58" s="159" t="str">
        <f t="shared" si="0"/>
        <v>$O$1:$O$92</v>
      </c>
      <c r="C58" s="159" t="str">
        <f t="shared" si="3"/>
        <v>January!$N$1:$N$92</v>
      </c>
      <c r="D58" s="159" t="str">
        <f t="shared" si="1"/>
        <v>January!$O$1:$O$92</v>
      </c>
      <c r="E58" t="s">
        <v>3</v>
      </c>
      <c r="F58" t="s">
        <v>48</v>
      </c>
      <c r="G58" t="s">
        <v>145</v>
      </c>
      <c r="H58" t="s">
        <v>24</v>
      </c>
      <c r="I58" t="e">
        <f t="shared" ca="1" si="4"/>
        <v>#REF!</v>
      </c>
      <c r="J58" t="str">
        <f>VLOOKUP($G58,DefinitionArrays!$I$6:$J$12,2,FALSE)</f>
        <v>Weekend</v>
      </c>
    </row>
    <row r="59" spans="1:10">
      <c r="A59" s="159" t="str">
        <f t="shared" si="2"/>
        <v>$N$1:$N$92</v>
      </c>
      <c r="B59" s="159" t="str">
        <f t="shared" si="0"/>
        <v>$O$1:$O$92</v>
      </c>
      <c r="C59" s="159" t="str">
        <f t="shared" si="3"/>
        <v>January!$N$1:$N$92</v>
      </c>
      <c r="D59" s="159" t="str">
        <f t="shared" si="1"/>
        <v>January!$O$1:$O$92</v>
      </c>
      <c r="E59" t="s">
        <v>3</v>
      </c>
      <c r="F59" t="s">
        <v>48</v>
      </c>
      <c r="G59" t="s">
        <v>145</v>
      </c>
      <c r="H59" t="s">
        <v>179</v>
      </c>
      <c r="I59" t="e">
        <f t="shared" ca="1" si="4"/>
        <v>#REF!</v>
      </c>
      <c r="J59" t="str">
        <f>VLOOKUP($G59,DefinitionArrays!$I$6:$J$12,2,FALSE)</f>
        <v>Weekend</v>
      </c>
    </row>
    <row r="60" spans="1:10">
      <c r="A60" s="159" t="str">
        <f t="shared" si="2"/>
        <v>$N$1:$N$92</v>
      </c>
      <c r="B60" s="159" t="str">
        <f t="shared" si="0"/>
        <v>$O$1:$O$92</v>
      </c>
      <c r="C60" s="159" t="str">
        <f t="shared" si="3"/>
        <v>January!$N$1:$N$92</v>
      </c>
      <c r="D60" s="159" t="str">
        <f t="shared" si="1"/>
        <v>January!$O$1:$O$92</v>
      </c>
      <c r="E60" t="s">
        <v>3</v>
      </c>
      <c r="F60" t="s">
        <v>48</v>
      </c>
      <c r="G60" t="s">
        <v>145</v>
      </c>
      <c r="H60" t="s">
        <v>180</v>
      </c>
      <c r="I60" t="e">
        <f t="shared" ca="1" si="4"/>
        <v>#REF!</v>
      </c>
      <c r="J60" t="str">
        <f>VLOOKUP($G60,DefinitionArrays!$I$6:$J$12,2,FALSE)</f>
        <v>Weekend</v>
      </c>
    </row>
    <row r="61" spans="1:10">
      <c r="A61" s="159" t="str">
        <f t="shared" si="2"/>
        <v>$N$1:$N$92</v>
      </c>
      <c r="B61" s="159" t="str">
        <f t="shared" si="0"/>
        <v>$O$1:$O$92</v>
      </c>
      <c r="C61" s="159" t="str">
        <f t="shared" si="3"/>
        <v>January!$N$1:$N$92</v>
      </c>
      <c r="D61" s="159" t="str">
        <f t="shared" si="1"/>
        <v>January!$O$1:$O$92</v>
      </c>
      <c r="E61" t="s">
        <v>3</v>
      </c>
      <c r="F61" t="s">
        <v>48</v>
      </c>
      <c r="G61" t="s">
        <v>145</v>
      </c>
      <c r="H61" t="s">
        <v>44</v>
      </c>
      <c r="I61" t="e">
        <f t="shared" ca="1" si="4"/>
        <v>#REF!</v>
      </c>
      <c r="J61" t="str">
        <f>VLOOKUP($G61,DefinitionArrays!$I$6:$J$12,2,FALSE)</f>
        <v>Weekend</v>
      </c>
    </row>
    <row r="62" spans="1:10">
      <c r="A62" s="159" t="str">
        <f t="shared" si="2"/>
        <v>$Q$1:$Q$92</v>
      </c>
      <c r="B62" s="159" t="str">
        <f t="shared" si="0"/>
        <v>$R$1:$R$92</v>
      </c>
      <c r="C62" s="159" t="str">
        <f t="shared" si="3"/>
        <v>January!$Q$1:$Q$92</v>
      </c>
      <c r="D62" s="159" t="str">
        <f t="shared" si="1"/>
        <v>January!$R$1:$R$92</v>
      </c>
      <c r="E62" t="s">
        <v>3</v>
      </c>
      <c r="F62" t="s">
        <v>48</v>
      </c>
      <c r="G62" t="s">
        <v>146</v>
      </c>
      <c r="H62" t="s">
        <v>159</v>
      </c>
      <c r="I62" t="e">
        <f t="shared" ca="1" si="4"/>
        <v>#REF!</v>
      </c>
      <c r="J62" t="str">
        <f>VLOOKUP($G62,DefinitionArrays!$I$6:$J$12,2,FALSE)</f>
        <v>Weekend</v>
      </c>
    </row>
    <row r="63" spans="1:10">
      <c r="A63" s="159" t="str">
        <f t="shared" si="2"/>
        <v>$T$1:$T$92</v>
      </c>
      <c r="B63" s="159" t="str">
        <f t="shared" si="0"/>
        <v>$U$1:$U$92</v>
      </c>
      <c r="C63" s="159" t="str">
        <f t="shared" si="3"/>
        <v>January!$T$1:$T$92</v>
      </c>
      <c r="D63" s="159" t="str">
        <f t="shared" si="1"/>
        <v>January!$U$1:$U$92</v>
      </c>
      <c r="E63" t="s">
        <v>3</v>
      </c>
      <c r="F63" t="s">
        <v>48</v>
      </c>
      <c r="G63" t="s">
        <v>141</v>
      </c>
      <c r="H63" t="s">
        <v>159</v>
      </c>
      <c r="I63" t="e">
        <f t="shared" ca="1" si="4"/>
        <v>#REF!</v>
      </c>
      <c r="J63" t="str">
        <f>VLOOKUP($G63,DefinitionArrays!$I$6:$J$12,2,FALSE)</f>
        <v>Weekend</v>
      </c>
    </row>
    <row r="64" spans="1:10">
      <c r="A64" s="159" t="str">
        <f t="shared" si="2"/>
        <v>$B$1:$B$92</v>
      </c>
      <c r="B64" s="159" t="str">
        <f t="shared" si="0"/>
        <v>$C$1:$C$92</v>
      </c>
      <c r="C64" s="159" t="str">
        <f t="shared" si="3"/>
        <v>February!$B$1:$B$92</v>
      </c>
      <c r="D64" s="159" t="str">
        <f t="shared" si="1"/>
        <v>February!$C$1:$C$92</v>
      </c>
      <c r="E64" t="s">
        <v>3</v>
      </c>
      <c r="F64" t="s">
        <v>121</v>
      </c>
      <c r="G64" t="s">
        <v>13</v>
      </c>
      <c r="H64" t="s">
        <v>159</v>
      </c>
      <c r="I64" t="e">
        <f ca="1">COUNTIFS(INDIRECT($C64),$E64,INDIRECT($D64),$H64)</f>
        <v>#REF!</v>
      </c>
      <c r="J64" t="str">
        <f>VLOOKUP($G64,DefinitionArrays!$I$6:$J$12,2,FALSE)</f>
        <v>Workweek</v>
      </c>
    </row>
    <row r="65" spans="1:10">
      <c r="A65" s="159" t="str">
        <f t="shared" si="2"/>
        <v>$B$1:$B$92</v>
      </c>
      <c r="B65" s="159" t="str">
        <f t="shared" si="0"/>
        <v>$C$1:$C$92</v>
      </c>
      <c r="C65" s="159" t="str">
        <f t="shared" si="3"/>
        <v>February!$B$1:$B$92</v>
      </c>
      <c r="D65" s="159" t="str">
        <f t="shared" si="1"/>
        <v>February!$C$1:$C$92</v>
      </c>
      <c r="E65" t="s">
        <v>3</v>
      </c>
      <c r="F65" t="s">
        <v>121</v>
      </c>
      <c r="G65" t="s">
        <v>13</v>
      </c>
      <c r="H65" t="s">
        <v>18</v>
      </c>
      <c r="I65" t="e">
        <f t="shared" ref="I65:I125" ca="1" si="5">COUNTIFS(INDIRECT($C65),$E65,INDIRECT($D65),$H65)</f>
        <v>#REF!</v>
      </c>
      <c r="J65" t="str">
        <f>VLOOKUP($G65,DefinitionArrays!$I$6:$J$12,2,FALSE)</f>
        <v>Workweek</v>
      </c>
    </row>
    <row r="66" spans="1:10">
      <c r="A66" s="159" t="str">
        <f t="shared" ref="A66:A129" si="6">VLOOKUP($G66,Fx_Code,2,FALSE)</f>
        <v>$B$1:$B$92</v>
      </c>
      <c r="B66" s="159" t="str">
        <f t="shared" ref="B66:B129" si="7">VLOOKUP($G66,Fx_Code,3,FALSE)</f>
        <v>$C$1:$C$92</v>
      </c>
      <c r="C66" s="159" t="str">
        <f t="shared" ref="C66:C129" si="8">CONCATENATE($F66,$K$1,A66)</f>
        <v>February!$B$1:$B$92</v>
      </c>
      <c r="D66" s="159" t="str">
        <f t="shared" ref="D66:D129" si="9">CONCATENATE($F66,$K$1,B66)</f>
        <v>February!$C$1:$C$92</v>
      </c>
      <c r="E66" t="s">
        <v>3</v>
      </c>
      <c r="F66" t="s">
        <v>121</v>
      </c>
      <c r="G66" t="s">
        <v>13</v>
      </c>
      <c r="H66" t="s">
        <v>153</v>
      </c>
      <c r="I66" t="e">
        <f t="shared" ca="1" si="5"/>
        <v>#REF!</v>
      </c>
      <c r="J66" t="str">
        <f>VLOOKUP($G66,DefinitionArrays!$I$6:$J$12,2,FALSE)</f>
        <v>Workweek</v>
      </c>
    </row>
    <row r="67" spans="1:10">
      <c r="A67" s="159" t="str">
        <f t="shared" si="6"/>
        <v>$B$1:$B$92</v>
      </c>
      <c r="B67" s="159" t="str">
        <f t="shared" si="7"/>
        <v>$C$1:$C$92</v>
      </c>
      <c r="C67" s="159" t="str">
        <f t="shared" si="8"/>
        <v>February!$B$1:$B$92</v>
      </c>
      <c r="D67" s="159" t="str">
        <f t="shared" si="9"/>
        <v>February!$C$1:$C$92</v>
      </c>
      <c r="E67" t="s">
        <v>3</v>
      </c>
      <c r="F67" t="s">
        <v>121</v>
      </c>
      <c r="G67" t="s">
        <v>13</v>
      </c>
      <c r="H67" t="s">
        <v>19</v>
      </c>
      <c r="I67" t="e">
        <f t="shared" ca="1" si="5"/>
        <v>#REF!</v>
      </c>
      <c r="J67" t="str">
        <f>VLOOKUP($G67,DefinitionArrays!$I$6:$J$12,2,FALSE)</f>
        <v>Workweek</v>
      </c>
    </row>
    <row r="68" spans="1:10">
      <c r="A68" s="159" t="str">
        <f t="shared" si="6"/>
        <v>$B$1:$B$92</v>
      </c>
      <c r="B68" s="159" t="str">
        <f t="shared" si="7"/>
        <v>$C$1:$C$92</v>
      </c>
      <c r="C68" s="159" t="str">
        <f t="shared" si="8"/>
        <v>February!$B$1:$B$92</v>
      </c>
      <c r="D68" s="159" t="str">
        <f t="shared" si="9"/>
        <v>February!$C$1:$C$92</v>
      </c>
      <c r="E68" t="s">
        <v>3</v>
      </c>
      <c r="F68" t="s">
        <v>121</v>
      </c>
      <c r="G68" t="s">
        <v>13</v>
      </c>
      <c r="H68" t="s">
        <v>20</v>
      </c>
      <c r="I68" t="e">
        <f t="shared" ca="1" si="5"/>
        <v>#REF!</v>
      </c>
      <c r="J68" t="str">
        <f>VLOOKUP($G68,DefinitionArrays!$I$6:$J$12,2,FALSE)</f>
        <v>Workweek</v>
      </c>
    </row>
    <row r="69" spans="1:10">
      <c r="A69" s="159" t="str">
        <f t="shared" si="6"/>
        <v>$B$1:$B$92</v>
      </c>
      <c r="B69" s="159" t="str">
        <f t="shared" si="7"/>
        <v>$C$1:$C$92</v>
      </c>
      <c r="C69" s="159" t="str">
        <f t="shared" si="8"/>
        <v>February!$B$1:$B$92</v>
      </c>
      <c r="D69" s="159" t="str">
        <f t="shared" si="9"/>
        <v>February!$C$1:$C$92</v>
      </c>
      <c r="E69" t="s">
        <v>3</v>
      </c>
      <c r="F69" t="s">
        <v>121</v>
      </c>
      <c r="G69" t="s">
        <v>13</v>
      </c>
      <c r="H69" t="s">
        <v>21</v>
      </c>
      <c r="I69" t="e">
        <f t="shared" ca="1" si="5"/>
        <v>#REF!</v>
      </c>
      <c r="J69" t="str">
        <f>VLOOKUP($G69,DefinitionArrays!$I$6:$J$12,2,FALSE)</f>
        <v>Workweek</v>
      </c>
    </row>
    <row r="70" spans="1:10">
      <c r="A70" s="159" t="str">
        <f t="shared" si="6"/>
        <v>$B$1:$B$92</v>
      </c>
      <c r="B70" s="159" t="str">
        <f t="shared" si="7"/>
        <v>$C$1:$C$92</v>
      </c>
      <c r="C70" s="159" t="str">
        <f t="shared" si="8"/>
        <v>February!$B$1:$B$92</v>
      </c>
      <c r="D70" s="159" t="str">
        <f t="shared" si="9"/>
        <v>February!$C$1:$C$92</v>
      </c>
      <c r="E70" t="s">
        <v>3</v>
      </c>
      <c r="F70" t="s">
        <v>121</v>
      </c>
      <c r="G70" t="s">
        <v>13</v>
      </c>
      <c r="H70" t="s">
        <v>22</v>
      </c>
      <c r="I70" t="e">
        <f t="shared" ca="1" si="5"/>
        <v>#REF!</v>
      </c>
      <c r="J70" t="str">
        <f>VLOOKUP($G70,DefinitionArrays!$I$6:$J$12,2,FALSE)</f>
        <v>Workweek</v>
      </c>
    </row>
    <row r="71" spans="1:10">
      <c r="A71" s="159" t="str">
        <f t="shared" si="6"/>
        <v>$B$1:$B$92</v>
      </c>
      <c r="B71" s="159" t="str">
        <f t="shared" si="7"/>
        <v>$C$1:$C$92</v>
      </c>
      <c r="C71" s="159" t="str">
        <f t="shared" si="8"/>
        <v>February!$B$1:$B$92</v>
      </c>
      <c r="D71" s="159" t="str">
        <f t="shared" si="9"/>
        <v>February!$C$1:$C$92</v>
      </c>
      <c r="E71" t="s">
        <v>3</v>
      </c>
      <c r="F71" t="s">
        <v>121</v>
      </c>
      <c r="G71" t="s">
        <v>13</v>
      </c>
      <c r="H71" t="s">
        <v>23</v>
      </c>
      <c r="I71" t="e">
        <f t="shared" ca="1" si="5"/>
        <v>#REF!</v>
      </c>
      <c r="J71" t="str">
        <f>VLOOKUP($G71,DefinitionArrays!$I$6:$J$12,2,FALSE)</f>
        <v>Workweek</v>
      </c>
    </row>
    <row r="72" spans="1:10">
      <c r="A72" s="159" t="str">
        <f t="shared" si="6"/>
        <v>$B$1:$B$92</v>
      </c>
      <c r="B72" s="159" t="str">
        <f t="shared" si="7"/>
        <v>$C$1:$C$92</v>
      </c>
      <c r="C72" s="159" t="str">
        <f t="shared" si="8"/>
        <v>February!$B$1:$B$92</v>
      </c>
      <c r="D72" s="159" t="str">
        <f t="shared" si="9"/>
        <v>February!$C$1:$C$92</v>
      </c>
      <c r="E72" t="s">
        <v>3</v>
      </c>
      <c r="F72" t="s">
        <v>121</v>
      </c>
      <c r="G72" t="s">
        <v>13</v>
      </c>
      <c r="H72" t="s">
        <v>24</v>
      </c>
      <c r="I72" t="e">
        <f t="shared" ca="1" si="5"/>
        <v>#REF!</v>
      </c>
      <c r="J72" t="str">
        <f>VLOOKUP($G72,DefinitionArrays!$I$6:$J$12,2,FALSE)</f>
        <v>Workweek</v>
      </c>
    </row>
    <row r="73" spans="1:10">
      <c r="A73" s="159" t="str">
        <f t="shared" si="6"/>
        <v>$B$1:$B$92</v>
      </c>
      <c r="B73" s="159" t="str">
        <f t="shared" si="7"/>
        <v>$C$1:$C$92</v>
      </c>
      <c r="C73" s="159" t="str">
        <f t="shared" si="8"/>
        <v>February!$B$1:$B$92</v>
      </c>
      <c r="D73" s="159" t="str">
        <f t="shared" si="9"/>
        <v>February!$C$1:$C$92</v>
      </c>
      <c r="E73" t="s">
        <v>3</v>
      </c>
      <c r="F73" t="s">
        <v>121</v>
      </c>
      <c r="G73" t="s">
        <v>13</v>
      </c>
      <c r="H73" t="s">
        <v>179</v>
      </c>
      <c r="I73" t="e">
        <f t="shared" ca="1" si="5"/>
        <v>#REF!</v>
      </c>
      <c r="J73" t="str">
        <f>VLOOKUP($G73,DefinitionArrays!$I$6:$J$12,2,FALSE)</f>
        <v>Workweek</v>
      </c>
    </row>
    <row r="74" spans="1:10">
      <c r="A74" s="159" t="str">
        <f t="shared" si="6"/>
        <v>$B$1:$B$92</v>
      </c>
      <c r="B74" s="159" t="str">
        <f t="shared" si="7"/>
        <v>$C$1:$C$92</v>
      </c>
      <c r="C74" s="159" t="str">
        <f t="shared" si="8"/>
        <v>February!$B$1:$B$92</v>
      </c>
      <c r="D74" s="159" t="str">
        <f t="shared" si="9"/>
        <v>February!$C$1:$C$92</v>
      </c>
      <c r="E74" t="s">
        <v>3</v>
      </c>
      <c r="F74" t="s">
        <v>121</v>
      </c>
      <c r="G74" t="s">
        <v>13</v>
      </c>
      <c r="H74" t="s">
        <v>180</v>
      </c>
      <c r="I74" t="e">
        <f t="shared" ca="1" si="5"/>
        <v>#REF!</v>
      </c>
      <c r="J74" t="str">
        <f>VLOOKUP($G74,DefinitionArrays!$I$6:$J$12,2,FALSE)</f>
        <v>Workweek</v>
      </c>
    </row>
    <row r="75" spans="1:10">
      <c r="A75" s="159" t="str">
        <f t="shared" si="6"/>
        <v>$B$1:$B$92</v>
      </c>
      <c r="B75" s="159" t="str">
        <f t="shared" si="7"/>
        <v>$C$1:$C$92</v>
      </c>
      <c r="C75" s="159" t="str">
        <f t="shared" si="8"/>
        <v>February!$B$1:$B$92</v>
      </c>
      <c r="D75" s="159" t="str">
        <f t="shared" si="9"/>
        <v>February!$C$1:$C$92</v>
      </c>
      <c r="E75" t="s">
        <v>3</v>
      </c>
      <c r="F75" t="s">
        <v>121</v>
      </c>
      <c r="G75" t="s">
        <v>13</v>
      </c>
      <c r="H75" t="s">
        <v>44</v>
      </c>
      <c r="I75" t="e">
        <f t="shared" ca="1" si="5"/>
        <v>#REF!</v>
      </c>
      <c r="J75" t="str">
        <f>VLOOKUP($G75,DefinitionArrays!$I$6:$J$12,2,FALSE)</f>
        <v>Workweek</v>
      </c>
    </row>
    <row r="76" spans="1:10">
      <c r="A76" s="159" t="str">
        <f t="shared" si="6"/>
        <v>$E$1:$E$92</v>
      </c>
      <c r="B76" s="159" t="str">
        <f t="shared" si="7"/>
        <v>$F$1:$F$92</v>
      </c>
      <c r="C76" s="159" t="str">
        <f t="shared" si="8"/>
        <v>February!$E$1:$E$92</v>
      </c>
      <c r="D76" s="159" t="str">
        <f t="shared" si="9"/>
        <v>February!$F$1:$F$92</v>
      </c>
      <c r="E76" t="s">
        <v>3</v>
      </c>
      <c r="F76" t="s">
        <v>121</v>
      </c>
      <c r="G76" t="s">
        <v>142</v>
      </c>
      <c r="H76" t="s">
        <v>159</v>
      </c>
      <c r="I76" t="e">
        <f t="shared" ca="1" si="5"/>
        <v>#REF!</v>
      </c>
      <c r="J76" t="str">
        <f>VLOOKUP($G76,DefinitionArrays!$I$6:$J$12,2,FALSE)</f>
        <v>Workweek</v>
      </c>
    </row>
    <row r="77" spans="1:10">
      <c r="A77" s="159" t="str">
        <f t="shared" si="6"/>
        <v>$E$1:$E$92</v>
      </c>
      <c r="B77" s="159" t="str">
        <f t="shared" si="7"/>
        <v>$F$1:$F$92</v>
      </c>
      <c r="C77" s="159" t="str">
        <f t="shared" si="8"/>
        <v>February!$E$1:$E$92</v>
      </c>
      <c r="D77" s="159" t="str">
        <f t="shared" si="9"/>
        <v>February!$F$1:$F$92</v>
      </c>
      <c r="E77" t="s">
        <v>3</v>
      </c>
      <c r="F77" t="s">
        <v>121</v>
      </c>
      <c r="G77" t="s">
        <v>142</v>
      </c>
      <c r="H77" t="s">
        <v>18</v>
      </c>
      <c r="I77" t="e">
        <f t="shared" ca="1" si="5"/>
        <v>#REF!</v>
      </c>
      <c r="J77" t="str">
        <f>VLOOKUP($G77,DefinitionArrays!$I$6:$J$12,2,FALSE)</f>
        <v>Workweek</v>
      </c>
    </row>
    <row r="78" spans="1:10">
      <c r="A78" s="159" t="str">
        <f t="shared" si="6"/>
        <v>$E$1:$E$92</v>
      </c>
      <c r="B78" s="159" t="str">
        <f t="shared" si="7"/>
        <v>$F$1:$F$92</v>
      </c>
      <c r="C78" s="159" t="str">
        <f t="shared" si="8"/>
        <v>February!$E$1:$E$92</v>
      </c>
      <c r="D78" s="159" t="str">
        <f t="shared" si="9"/>
        <v>February!$F$1:$F$92</v>
      </c>
      <c r="E78" t="s">
        <v>3</v>
      </c>
      <c r="F78" t="s">
        <v>121</v>
      </c>
      <c r="G78" t="s">
        <v>142</v>
      </c>
      <c r="H78" t="s">
        <v>153</v>
      </c>
      <c r="I78" t="e">
        <f t="shared" ca="1" si="5"/>
        <v>#REF!</v>
      </c>
      <c r="J78" t="str">
        <f>VLOOKUP($G78,DefinitionArrays!$I$6:$J$12,2,FALSE)</f>
        <v>Workweek</v>
      </c>
    </row>
    <row r="79" spans="1:10">
      <c r="A79" s="159" t="str">
        <f t="shared" si="6"/>
        <v>$E$1:$E$92</v>
      </c>
      <c r="B79" s="159" t="str">
        <f t="shared" si="7"/>
        <v>$F$1:$F$92</v>
      </c>
      <c r="C79" s="159" t="str">
        <f t="shared" si="8"/>
        <v>February!$E$1:$E$92</v>
      </c>
      <c r="D79" s="159" t="str">
        <f t="shared" si="9"/>
        <v>February!$F$1:$F$92</v>
      </c>
      <c r="E79" t="s">
        <v>3</v>
      </c>
      <c r="F79" t="s">
        <v>121</v>
      </c>
      <c r="G79" t="s">
        <v>142</v>
      </c>
      <c r="H79" t="s">
        <v>19</v>
      </c>
      <c r="I79" t="e">
        <f t="shared" ca="1" si="5"/>
        <v>#REF!</v>
      </c>
      <c r="J79" t="str">
        <f>VLOOKUP($G79,DefinitionArrays!$I$6:$J$12,2,FALSE)</f>
        <v>Workweek</v>
      </c>
    </row>
    <row r="80" spans="1:10">
      <c r="A80" s="159" t="str">
        <f t="shared" si="6"/>
        <v>$E$1:$E$92</v>
      </c>
      <c r="B80" s="159" t="str">
        <f t="shared" si="7"/>
        <v>$F$1:$F$92</v>
      </c>
      <c r="C80" s="159" t="str">
        <f t="shared" si="8"/>
        <v>February!$E$1:$E$92</v>
      </c>
      <c r="D80" s="159" t="str">
        <f t="shared" si="9"/>
        <v>February!$F$1:$F$92</v>
      </c>
      <c r="E80" t="s">
        <v>3</v>
      </c>
      <c r="F80" t="s">
        <v>121</v>
      </c>
      <c r="G80" t="s">
        <v>142</v>
      </c>
      <c r="H80" t="s">
        <v>20</v>
      </c>
      <c r="I80" t="e">
        <f t="shared" ca="1" si="5"/>
        <v>#REF!</v>
      </c>
      <c r="J80" t="str">
        <f>VLOOKUP($G80,DefinitionArrays!$I$6:$J$12,2,FALSE)</f>
        <v>Workweek</v>
      </c>
    </row>
    <row r="81" spans="1:10">
      <c r="A81" s="159" t="str">
        <f t="shared" si="6"/>
        <v>$E$1:$E$92</v>
      </c>
      <c r="B81" s="159" t="str">
        <f t="shared" si="7"/>
        <v>$F$1:$F$92</v>
      </c>
      <c r="C81" s="159" t="str">
        <f t="shared" si="8"/>
        <v>February!$E$1:$E$92</v>
      </c>
      <c r="D81" s="159" t="str">
        <f t="shared" si="9"/>
        <v>February!$F$1:$F$92</v>
      </c>
      <c r="E81" t="s">
        <v>3</v>
      </c>
      <c r="F81" t="s">
        <v>121</v>
      </c>
      <c r="G81" t="s">
        <v>142</v>
      </c>
      <c r="H81" t="s">
        <v>21</v>
      </c>
      <c r="I81" t="e">
        <f t="shared" ca="1" si="5"/>
        <v>#REF!</v>
      </c>
      <c r="J81" t="str">
        <f>VLOOKUP($G81,DefinitionArrays!$I$6:$J$12,2,FALSE)</f>
        <v>Workweek</v>
      </c>
    </row>
    <row r="82" spans="1:10">
      <c r="A82" s="159" t="str">
        <f t="shared" si="6"/>
        <v>$E$1:$E$92</v>
      </c>
      <c r="B82" s="159" t="str">
        <f t="shared" si="7"/>
        <v>$F$1:$F$92</v>
      </c>
      <c r="C82" s="159" t="str">
        <f t="shared" si="8"/>
        <v>February!$E$1:$E$92</v>
      </c>
      <c r="D82" s="159" t="str">
        <f t="shared" si="9"/>
        <v>February!$F$1:$F$92</v>
      </c>
      <c r="E82" t="s">
        <v>3</v>
      </c>
      <c r="F82" t="s">
        <v>121</v>
      </c>
      <c r="G82" t="s">
        <v>142</v>
      </c>
      <c r="H82" t="s">
        <v>22</v>
      </c>
      <c r="I82" t="e">
        <f t="shared" ca="1" si="5"/>
        <v>#REF!</v>
      </c>
      <c r="J82" t="str">
        <f>VLOOKUP($G82,DefinitionArrays!$I$6:$J$12,2,FALSE)</f>
        <v>Workweek</v>
      </c>
    </row>
    <row r="83" spans="1:10">
      <c r="A83" s="159" t="str">
        <f t="shared" si="6"/>
        <v>$E$1:$E$92</v>
      </c>
      <c r="B83" s="159" t="str">
        <f t="shared" si="7"/>
        <v>$F$1:$F$92</v>
      </c>
      <c r="C83" s="159" t="str">
        <f t="shared" si="8"/>
        <v>February!$E$1:$E$92</v>
      </c>
      <c r="D83" s="159" t="str">
        <f t="shared" si="9"/>
        <v>February!$F$1:$F$92</v>
      </c>
      <c r="E83" t="s">
        <v>3</v>
      </c>
      <c r="F83" t="s">
        <v>121</v>
      </c>
      <c r="G83" t="s">
        <v>142</v>
      </c>
      <c r="H83" t="s">
        <v>23</v>
      </c>
      <c r="I83" t="e">
        <f t="shared" ca="1" si="5"/>
        <v>#REF!</v>
      </c>
      <c r="J83" t="str">
        <f>VLOOKUP($G83,DefinitionArrays!$I$6:$J$12,2,FALSE)</f>
        <v>Workweek</v>
      </c>
    </row>
    <row r="84" spans="1:10">
      <c r="A84" s="159" t="str">
        <f t="shared" si="6"/>
        <v>$E$1:$E$92</v>
      </c>
      <c r="B84" s="159" t="str">
        <f t="shared" si="7"/>
        <v>$F$1:$F$92</v>
      </c>
      <c r="C84" s="159" t="str">
        <f t="shared" si="8"/>
        <v>February!$E$1:$E$92</v>
      </c>
      <c r="D84" s="159" t="str">
        <f t="shared" si="9"/>
        <v>February!$F$1:$F$92</v>
      </c>
      <c r="E84" t="s">
        <v>3</v>
      </c>
      <c r="F84" t="s">
        <v>121</v>
      </c>
      <c r="G84" t="s">
        <v>142</v>
      </c>
      <c r="H84" t="s">
        <v>24</v>
      </c>
      <c r="I84" t="e">
        <f t="shared" ca="1" si="5"/>
        <v>#REF!</v>
      </c>
      <c r="J84" t="str">
        <f>VLOOKUP($G84,DefinitionArrays!$I$6:$J$12,2,FALSE)</f>
        <v>Workweek</v>
      </c>
    </row>
    <row r="85" spans="1:10">
      <c r="A85" s="159" t="str">
        <f t="shared" si="6"/>
        <v>$E$1:$E$92</v>
      </c>
      <c r="B85" s="159" t="str">
        <f t="shared" si="7"/>
        <v>$F$1:$F$92</v>
      </c>
      <c r="C85" s="159" t="str">
        <f t="shared" si="8"/>
        <v>February!$E$1:$E$92</v>
      </c>
      <c r="D85" s="159" t="str">
        <f t="shared" si="9"/>
        <v>February!$F$1:$F$92</v>
      </c>
      <c r="E85" t="s">
        <v>3</v>
      </c>
      <c r="F85" t="s">
        <v>121</v>
      </c>
      <c r="G85" t="s">
        <v>142</v>
      </c>
      <c r="H85" t="s">
        <v>179</v>
      </c>
      <c r="I85" t="e">
        <f t="shared" ca="1" si="5"/>
        <v>#REF!</v>
      </c>
      <c r="J85" t="str">
        <f>VLOOKUP($G85,DefinitionArrays!$I$6:$J$12,2,FALSE)</f>
        <v>Workweek</v>
      </c>
    </row>
    <row r="86" spans="1:10">
      <c r="A86" s="159" t="str">
        <f t="shared" si="6"/>
        <v>$E$1:$E$92</v>
      </c>
      <c r="B86" s="159" t="str">
        <f t="shared" si="7"/>
        <v>$F$1:$F$92</v>
      </c>
      <c r="C86" s="159" t="str">
        <f t="shared" si="8"/>
        <v>February!$E$1:$E$92</v>
      </c>
      <c r="D86" s="159" t="str">
        <f t="shared" si="9"/>
        <v>February!$F$1:$F$92</v>
      </c>
      <c r="E86" t="s">
        <v>3</v>
      </c>
      <c r="F86" t="s">
        <v>121</v>
      </c>
      <c r="G86" t="s">
        <v>142</v>
      </c>
      <c r="H86" t="s">
        <v>180</v>
      </c>
      <c r="I86" t="e">
        <f t="shared" ca="1" si="5"/>
        <v>#REF!</v>
      </c>
      <c r="J86" t="str">
        <f>VLOOKUP($G86,DefinitionArrays!$I$6:$J$12,2,FALSE)</f>
        <v>Workweek</v>
      </c>
    </row>
    <row r="87" spans="1:10">
      <c r="A87" s="159" t="str">
        <f t="shared" si="6"/>
        <v>$E$1:$E$92</v>
      </c>
      <c r="B87" s="159" t="str">
        <f t="shared" si="7"/>
        <v>$F$1:$F$92</v>
      </c>
      <c r="C87" s="159" t="str">
        <f t="shared" si="8"/>
        <v>February!$E$1:$E$92</v>
      </c>
      <c r="D87" s="159" t="str">
        <f t="shared" si="9"/>
        <v>February!$F$1:$F$92</v>
      </c>
      <c r="E87" t="s">
        <v>3</v>
      </c>
      <c r="F87" t="s">
        <v>121</v>
      </c>
      <c r="G87" t="s">
        <v>142</v>
      </c>
      <c r="H87" t="s">
        <v>44</v>
      </c>
      <c r="I87" t="e">
        <f t="shared" ca="1" si="5"/>
        <v>#REF!</v>
      </c>
      <c r="J87" t="str">
        <f>VLOOKUP($G87,DefinitionArrays!$I$6:$J$12,2,FALSE)</f>
        <v>Workweek</v>
      </c>
    </row>
    <row r="88" spans="1:10">
      <c r="A88" s="159" t="str">
        <f t="shared" si="6"/>
        <v>$H$1:$H$92</v>
      </c>
      <c r="B88" s="159" t="str">
        <f t="shared" si="7"/>
        <v>$I$1:$I$92</v>
      </c>
      <c r="C88" s="159" t="str">
        <f t="shared" si="8"/>
        <v>February!$H$1:$H$92</v>
      </c>
      <c r="D88" s="159" t="str">
        <f t="shared" si="9"/>
        <v>February!$I$1:$I$92</v>
      </c>
      <c r="E88" t="s">
        <v>3</v>
      </c>
      <c r="F88" t="s">
        <v>121</v>
      </c>
      <c r="G88" t="s">
        <v>143</v>
      </c>
      <c r="H88" t="s">
        <v>159</v>
      </c>
      <c r="I88" t="e">
        <f t="shared" ca="1" si="5"/>
        <v>#REF!</v>
      </c>
      <c r="J88" t="str">
        <f>VLOOKUP($G88,DefinitionArrays!$I$6:$J$12,2,FALSE)</f>
        <v>Workweek</v>
      </c>
    </row>
    <row r="89" spans="1:10">
      <c r="A89" s="159" t="str">
        <f t="shared" si="6"/>
        <v>$H$1:$H$92</v>
      </c>
      <c r="B89" s="159" t="str">
        <f t="shared" si="7"/>
        <v>$I$1:$I$92</v>
      </c>
      <c r="C89" s="159" t="str">
        <f t="shared" si="8"/>
        <v>February!$H$1:$H$92</v>
      </c>
      <c r="D89" s="159" t="str">
        <f t="shared" si="9"/>
        <v>February!$I$1:$I$92</v>
      </c>
      <c r="E89" t="s">
        <v>3</v>
      </c>
      <c r="F89" t="s">
        <v>121</v>
      </c>
      <c r="G89" t="s">
        <v>143</v>
      </c>
      <c r="H89" t="s">
        <v>18</v>
      </c>
      <c r="I89" t="e">
        <f t="shared" ca="1" si="5"/>
        <v>#REF!</v>
      </c>
      <c r="J89" t="str">
        <f>VLOOKUP($G89,DefinitionArrays!$I$6:$J$12,2,FALSE)</f>
        <v>Workweek</v>
      </c>
    </row>
    <row r="90" spans="1:10">
      <c r="A90" s="159" t="str">
        <f t="shared" si="6"/>
        <v>$H$1:$H$92</v>
      </c>
      <c r="B90" s="159" t="str">
        <f t="shared" si="7"/>
        <v>$I$1:$I$92</v>
      </c>
      <c r="C90" s="159" t="str">
        <f t="shared" si="8"/>
        <v>February!$H$1:$H$92</v>
      </c>
      <c r="D90" s="159" t="str">
        <f t="shared" si="9"/>
        <v>February!$I$1:$I$92</v>
      </c>
      <c r="E90" t="s">
        <v>3</v>
      </c>
      <c r="F90" t="s">
        <v>121</v>
      </c>
      <c r="G90" t="s">
        <v>143</v>
      </c>
      <c r="H90" t="s">
        <v>153</v>
      </c>
      <c r="I90" t="e">
        <f t="shared" ca="1" si="5"/>
        <v>#REF!</v>
      </c>
      <c r="J90" t="str">
        <f>VLOOKUP($G90,DefinitionArrays!$I$6:$J$12,2,FALSE)</f>
        <v>Workweek</v>
      </c>
    </row>
    <row r="91" spans="1:10">
      <c r="A91" s="159" t="str">
        <f t="shared" si="6"/>
        <v>$H$1:$H$92</v>
      </c>
      <c r="B91" s="159" t="str">
        <f t="shared" si="7"/>
        <v>$I$1:$I$92</v>
      </c>
      <c r="C91" s="159" t="str">
        <f t="shared" si="8"/>
        <v>February!$H$1:$H$92</v>
      </c>
      <c r="D91" s="159" t="str">
        <f t="shared" si="9"/>
        <v>February!$I$1:$I$92</v>
      </c>
      <c r="E91" t="s">
        <v>3</v>
      </c>
      <c r="F91" t="s">
        <v>121</v>
      </c>
      <c r="G91" t="s">
        <v>143</v>
      </c>
      <c r="H91" t="s">
        <v>19</v>
      </c>
      <c r="I91" t="e">
        <f t="shared" ca="1" si="5"/>
        <v>#REF!</v>
      </c>
      <c r="J91" t="str">
        <f>VLOOKUP($G91,DefinitionArrays!$I$6:$J$12,2,FALSE)</f>
        <v>Workweek</v>
      </c>
    </row>
    <row r="92" spans="1:10">
      <c r="A92" s="159" t="str">
        <f t="shared" si="6"/>
        <v>$H$1:$H$92</v>
      </c>
      <c r="B92" s="159" t="str">
        <f t="shared" si="7"/>
        <v>$I$1:$I$92</v>
      </c>
      <c r="C92" s="159" t="str">
        <f t="shared" si="8"/>
        <v>February!$H$1:$H$92</v>
      </c>
      <c r="D92" s="159" t="str">
        <f t="shared" si="9"/>
        <v>February!$I$1:$I$92</v>
      </c>
      <c r="E92" t="s">
        <v>3</v>
      </c>
      <c r="F92" t="s">
        <v>121</v>
      </c>
      <c r="G92" t="s">
        <v>143</v>
      </c>
      <c r="H92" t="s">
        <v>20</v>
      </c>
      <c r="I92" t="e">
        <f t="shared" ca="1" si="5"/>
        <v>#REF!</v>
      </c>
      <c r="J92" t="str">
        <f>VLOOKUP($G92,DefinitionArrays!$I$6:$J$12,2,FALSE)</f>
        <v>Workweek</v>
      </c>
    </row>
    <row r="93" spans="1:10">
      <c r="A93" s="159" t="str">
        <f t="shared" si="6"/>
        <v>$H$1:$H$92</v>
      </c>
      <c r="B93" s="159" t="str">
        <f t="shared" si="7"/>
        <v>$I$1:$I$92</v>
      </c>
      <c r="C93" s="159" t="str">
        <f t="shared" si="8"/>
        <v>February!$H$1:$H$92</v>
      </c>
      <c r="D93" s="159" t="str">
        <f t="shared" si="9"/>
        <v>February!$I$1:$I$92</v>
      </c>
      <c r="E93" t="s">
        <v>3</v>
      </c>
      <c r="F93" t="s">
        <v>121</v>
      </c>
      <c r="G93" t="s">
        <v>143</v>
      </c>
      <c r="H93" t="s">
        <v>21</v>
      </c>
      <c r="I93" t="e">
        <f t="shared" ca="1" si="5"/>
        <v>#REF!</v>
      </c>
      <c r="J93" t="str">
        <f>VLOOKUP($G93,DefinitionArrays!$I$6:$J$12,2,FALSE)</f>
        <v>Workweek</v>
      </c>
    </row>
    <row r="94" spans="1:10">
      <c r="A94" s="159" t="str">
        <f t="shared" si="6"/>
        <v>$H$1:$H$92</v>
      </c>
      <c r="B94" s="159" t="str">
        <f t="shared" si="7"/>
        <v>$I$1:$I$92</v>
      </c>
      <c r="C94" s="159" t="str">
        <f t="shared" si="8"/>
        <v>February!$H$1:$H$92</v>
      </c>
      <c r="D94" s="159" t="str">
        <f t="shared" si="9"/>
        <v>February!$I$1:$I$92</v>
      </c>
      <c r="E94" t="s">
        <v>3</v>
      </c>
      <c r="F94" t="s">
        <v>121</v>
      </c>
      <c r="G94" t="s">
        <v>143</v>
      </c>
      <c r="H94" t="s">
        <v>22</v>
      </c>
      <c r="I94" t="e">
        <f t="shared" ca="1" si="5"/>
        <v>#REF!</v>
      </c>
      <c r="J94" t="str">
        <f>VLOOKUP($G94,DefinitionArrays!$I$6:$J$12,2,FALSE)</f>
        <v>Workweek</v>
      </c>
    </row>
    <row r="95" spans="1:10">
      <c r="A95" s="159" t="str">
        <f t="shared" si="6"/>
        <v>$H$1:$H$92</v>
      </c>
      <c r="B95" s="159" t="str">
        <f t="shared" si="7"/>
        <v>$I$1:$I$92</v>
      </c>
      <c r="C95" s="159" t="str">
        <f t="shared" si="8"/>
        <v>February!$H$1:$H$92</v>
      </c>
      <c r="D95" s="159" t="str">
        <f t="shared" si="9"/>
        <v>February!$I$1:$I$92</v>
      </c>
      <c r="E95" t="s">
        <v>3</v>
      </c>
      <c r="F95" t="s">
        <v>121</v>
      </c>
      <c r="G95" t="s">
        <v>143</v>
      </c>
      <c r="H95" t="s">
        <v>23</v>
      </c>
      <c r="I95" t="e">
        <f t="shared" ca="1" si="5"/>
        <v>#REF!</v>
      </c>
      <c r="J95" t="str">
        <f>VLOOKUP($G95,DefinitionArrays!$I$6:$J$12,2,FALSE)</f>
        <v>Workweek</v>
      </c>
    </row>
    <row r="96" spans="1:10">
      <c r="A96" s="159" t="str">
        <f t="shared" si="6"/>
        <v>$H$1:$H$92</v>
      </c>
      <c r="B96" s="159" t="str">
        <f t="shared" si="7"/>
        <v>$I$1:$I$92</v>
      </c>
      <c r="C96" s="159" t="str">
        <f t="shared" si="8"/>
        <v>February!$H$1:$H$92</v>
      </c>
      <c r="D96" s="159" t="str">
        <f t="shared" si="9"/>
        <v>February!$I$1:$I$92</v>
      </c>
      <c r="E96" t="s">
        <v>3</v>
      </c>
      <c r="F96" t="s">
        <v>121</v>
      </c>
      <c r="G96" t="s">
        <v>143</v>
      </c>
      <c r="H96" t="s">
        <v>24</v>
      </c>
      <c r="I96" t="e">
        <f t="shared" ca="1" si="5"/>
        <v>#REF!</v>
      </c>
      <c r="J96" t="str">
        <f>VLOOKUP($G96,DefinitionArrays!$I$6:$J$12,2,FALSE)</f>
        <v>Workweek</v>
      </c>
    </row>
    <row r="97" spans="1:10">
      <c r="A97" s="159" t="str">
        <f t="shared" si="6"/>
        <v>$H$1:$H$92</v>
      </c>
      <c r="B97" s="159" t="str">
        <f t="shared" si="7"/>
        <v>$I$1:$I$92</v>
      </c>
      <c r="C97" s="159" t="str">
        <f t="shared" si="8"/>
        <v>February!$H$1:$H$92</v>
      </c>
      <c r="D97" s="159" t="str">
        <f t="shared" si="9"/>
        <v>February!$I$1:$I$92</v>
      </c>
      <c r="E97" t="s">
        <v>3</v>
      </c>
      <c r="F97" t="s">
        <v>121</v>
      </c>
      <c r="G97" t="s">
        <v>143</v>
      </c>
      <c r="H97" t="s">
        <v>179</v>
      </c>
      <c r="I97" t="e">
        <f t="shared" ca="1" si="5"/>
        <v>#REF!</v>
      </c>
      <c r="J97" t="str">
        <f>VLOOKUP($G97,DefinitionArrays!$I$6:$J$12,2,FALSE)</f>
        <v>Workweek</v>
      </c>
    </row>
    <row r="98" spans="1:10">
      <c r="A98" s="159" t="str">
        <f t="shared" si="6"/>
        <v>$H$1:$H$92</v>
      </c>
      <c r="B98" s="159" t="str">
        <f t="shared" si="7"/>
        <v>$I$1:$I$92</v>
      </c>
      <c r="C98" s="159" t="str">
        <f t="shared" si="8"/>
        <v>February!$H$1:$H$92</v>
      </c>
      <c r="D98" s="159" t="str">
        <f t="shared" si="9"/>
        <v>February!$I$1:$I$92</v>
      </c>
      <c r="E98" t="s">
        <v>3</v>
      </c>
      <c r="F98" t="s">
        <v>121</v>
      </c>
      <c r="G98" t="s">
        <v>143</v>
      </c>
      <c r="H98" t="s">
        <v>180</v>
      </c>
      <c r="I98" t="e">
        <f t="shared" ca="1" si="5"/>
        <v>#REF!</v>
      </c>
      <c r="J98" t="str">
        <f>VLOOKUP($G98,DefinitionArrays!$I$6:$J$12,2,FALSE)</f>
        <v>Workweek</v>
      </c>
    </row>
    <row r="99" spans="1:10">
      <c r="A99" s="159" t="str">
        <f t="shared" si="6"/>
        <v>$H$1:$H$92</v>
      </c>
      <c r="B99" s="159" t="str">
        <f t="shared" si="7"/>
        <v>$I$1:$I$92</v>
      </c>
      <c r="C99" s="159" t="str">
        <f t="shared" si="8"/>
        <v>February!$H$1:$H$92</v>
      </c>
      <c r="D99" s="159" t="str">
        <f t="shared" si="9"/>
        <v>February!$I$1:$I$92</v>
      </c>
      <c r="E99" t="s">
        <v>3</v>
      </c>
      <c r="F99" t="s">
        <v>121</v>
      </c>
      <c r="G99" t="s">
        <v>143</v>
      </c>
      <c r="H99" t="s">
        <v>44</v>
      </c>
      <c r="I99" t="e">
        <f t="shared" ca="1" si="5"/>
        <v>#REF!</v>
      </c>
      <c r="J99" t="str">
        <f>VLOOKUP($G99,DefinitionArrays!$I$6:$J$12,2,FALSE)</f>
        <v>Workweek</v>
      </c>
    </row>
    <row r="100" spans="1:10">
      <c r="A100" s="159" t="str">
        <f t="shared" si="6"/>
        <v>$K$1:$K$92</v>
      </c>
      <c r="B100" s="159" t="str">
        <f t="shared" si="7"/>
        <v>$L$1:$L$92</v>
      </c>
      <c r="C100" s="159" t="str">
        <f t="shared" si="8"/>
        <v>February!$K$1:$K$92</v>
      </c>
      <c r="D100" s="159" t="str">
        <f t="shared" si="9"/>
        <v>February!$L$1:$L$92</v>
      </c>
      <c r="E100" t="s">
        <v>3</v>
      </c>
      <c r="F100" t="s">
        <v>121</v>
      </c>
      <c r="G100" t="s">
        <v>144</v>
      </c>
      <c r="H100" t="s">
        <v>159</v>
      </c>
      <c r="I100" t="e">
        <f t="shared" ca="1" si="5"/>
        <v>#REF!</v>
      </c>
      <c r="J100" t="str">
        <f>VLOOKUP($G100,DefinitionArrays!$I$6:$J$12,2,FALSE)</f>
        <v>Workweek</v>
      </c>
    </row>
    <row r="101" spans="1:10">
      <c r="A101" s="159" t="str">
        <f t="shared" si="6"/>
        <v>$K$1:$K$92</v>
      </c>
      <c r="B101" s="159" t="str">
        <f t="shared" si="7"/>
        <v>$L$1:$L$92</v>
      </c>
      <c r="C101" s="159" t="str">
        <f t="shared" si="8"/>
        <v>February!$K$1:$K$92</v>
      </c>
      <c r="D101" s="159" t="str">
        <f t="shared" si="9"/>
        <v>February!$L$1:$L$92</v>
      </c>
      <c r="E101" t="s">
        <v>3</v>
      </c>
      <c r="F101" t="s">
        <v>121</v>
      </c>
      <c r="G101" t="s">
        <v>144</v>
      </c>
      <c r="H101" t="s">
        <v>18</v>
      </c>
      <c r="I101" t="e">
        <f t="shared" ca="1" si="5"/>
        <v>#REF!</v>
      </c>
      <c r="J101" t="str">
        <f>VLOOKUP($G101,DefinitionArrays!$I$6:$J$12,2,FALSE)</f>
        <v>Workweek</v>
      </c>
    </row>
    <row r="102" spans="1:10">
      <c r="A102" s="159" t="str">
        <f t="shared" si="6"/>
        <v>$K$1:$K$92</v>
      </c>
      <c r="B102" s="159" t="str">
        <f t="shared" si="7"/>
        <v>$L$1:$L$92</v>
      </c>
      <c r="C102" s="159" t="str">
        <f t="shared" si="8"/>
        <v>February!$K$1:$K$92</v>
      </c>
      <c r="D102" s="159" t="str">
        <f t="shared" si="9"/>
        <v>February!$L$1:$L$92</v>
      </c>
      <c r="E102" t="s">
        <v>3</v>
      </c>
      <c r="F102" t="s">
        <v>121</v>
      </c>
      <c r="G102" t="s">
        <v>144</v>
      </c>
      <c r="H102" t="s">
        <v>153</v>
      </c>
      <c r="I102" t="e">
        <f t="shared" ca="1" si="5"/>
        <v>#REF!</v>
      </c>
      <c r="J102" t="str">
        <f>VLOOKUP($G102,DefinitionArrays!$I$6:$J$12,2,FALSE)</f>
        <v>Workweek</v>
      </c>
    </row>
    <row r="103" spans="1:10">
      <c r="A103" s="159" t="str">
        <f t="shared" si="6"/>
        <v>$K$1:$K$92</v>
      </c>
      <c r="B103" s="159" t="str">
        <f t="shared" si="7"/>
        <v>$L$1:$L$92</v>
      </c>
      <c r="C103" s="159" t="str">
        <f t="shared" si="8"/>
        <v>February!$K$1:$K$92</v>
      </c>
      <c r="D103" s="159" t="str">
        <f t="shared" si="9"/>
        <v>February!$L$1:$L$92</v>
      </c>
      <c r="E103" t="s">
        <v>3</v>
      </c>
      <c r="F103" t="s">
        <v>121</v>
      </c>
      <c r="G103" t="s">
        <v>144</v>
      </c>
      <c r="H103" t="s">
        <v>19</v>
      </c>
      <c r="I103" t="e">
        <f t="shared" ca="1" si="5"/>
        <v>#REF!</v>
      </c>
      <c r="J103" t="str">
        <f>VLOOKUP($G103,DefinitionArrays!$I$6:$J$12,2,FALSE)</f>
        <v>Workweek</v>
      </c>
    </row>
    <row r="104" spans="1:10">
      <c r="A104" s="159" t="str">
        <f t="shared" si="6"/>
        <v>$K$1:$K$92</v>
      </c>
      <c r="B104" s="159" t="str">
        <f t="shared" si="7"/>
        <v>$L$1:$L$92</v>
      </c>
      <c r="C104" s="159" t="str">
        <f t="shared" si="8"/>
        <v>February!$K$1:$K$92</v>
      </c>
      <c r="D104" s="159" t="str">
        <f t="shared" si="9"/>
        <v>February!$L$1:$L$92</v>
      </c>
      <c r="E104" t="s">
        <v>3</v>
      </c>
      <c r="F104" t="s">
        <v>121</v>
      </c>
      <c r="G104" t="s">
        <v>144</v>
      </c>
      <c r="H104" t="s">
        <v>20</v>
      </c>
      <c r="I104" t="e">
        <f t="shared" ca="1" si="5"/>
        <v>#REF!</v>
      </c>
      <c r="J104" t="str">
        <f>VLOOKUP($G104,DefinitionArrays!$I$6:$J$12,2,FALSE)</f>
        <v>Workweek</v>
      </c>
    </row>
    <row r="105" spans="1:10">
      <c r="A105" s="159" t="str">
        <f t="shared" si="6"/>
        <v>$K$1:$K$92</v>
      </c>
      <c r="B105" s="159" t="str">
        <f t="shared" si="7"/>
        <v>$L$1:$L$92</v>
      </c>
      <c r="C105" s="159" t="str">
        <f t="shared" si="8"/>
        <v>February!$K$1:$K$92</v>
      </c>
      <c r="D105" s="159" t="str">
        <f t="shared" si="9"/>
        <v>February!$L$1:$L$92</v>
      </c>
      <c r="E105" t="s">
        <v>3</v>
      </c>
      <c r="F105" t="s">
        <v>121</v>
      </c>
      <c r="G105" t="s">
        <v>144</v>
      </c>
      <c r="H105" t="s">
        <v>21</v>
      </c>
      <c r="I105" t="e">
        <f t="shared" ca="1" si="5"/>
        <v>#REF!</v>
      </c>
      <c r="J105" t="str">
        <f>VLOOKUP($G105,DefinitionArrays!$I$6:$J$12,2,FALSE)</f>
        <v>Workweek</v>
      </c>
    </row>
    <row r="106" spans="1:10">
      <c r="A106" s="159" t="str">
        <f t="shared" si="6"/>
        <v>$K$1:$K$92</v>
      </c>
      <c r="B106" s="159" t="str">
        <f t="shared" si="7"/>
        <v>$L$1:$L$92</v>
      </c>
      <c r="C106" s="159" t="str">
        <f t="shared" si="8"/>
        <v>February!$K$1:$K$92</v>
      </c>
      <c r="D106" s="159" t="str">
        <f t="shared" si="9"/>
        <v>February!$L$1:$L$92</v>
      </c>
      <c r="E106" t="s">
        <v>3</v>
      </c>
      <c r="F106" t="s">
        <v>121</v>
      </c>
      <c r="G106" t="s">
        <v>144</v>
      </c>
      <c r="H106" t="s">
        <v>22</v>
      </c>
      <c r="I106" t="e">
        <f t="shared" ca="1" si="5"/>
        <v>#REF!</v>
      </c>
      <c r="J106" t="str">
        <f>VLOOKUP($G106,DefinitionArrays!$I$6:$J$12,2,FALSE)</f>
        <v>Workweek</v>
      </c>
    </row>
    <row r="107" spans="1:10">
      <c r="A107" s="159" t="str">
        <f t="shared" si="6"/>
        <v>$K$1:$K$92</v>
      </c>
      <c r="B107" s="159" t="str">
        <f t="shared" si="7"/>
        <v>$L$1:$L$92</v>
      </c>
      <c r="C107" s="159" t="str">
        <f t="shared" si="8"/>
        <v>February!$K$1:$K$92</v>
      </c>
      <c r="D107" s="159" t="str">
        <f t="shared" si="9"/>
        <v>February!$L$1:$L$92</v>
      </c>
      <c r="E107" t="s">
        <v>3</v>
      </c>
      <c r="F107" t="s">
        <v>121</v>
      </c>
      <c r="G107" t="s">
        <v>144</v>
      </c>
      <c r="H107" t="s">
        <v>23</v>
      </c>
      <c r="I107" t="e">
        <f t="shared" ca="1" si="5"/>
        <v>#REF!</v>
      </c>
      <c r="J107" t="str">
        <f>VLOOKUP($G107,DefinitionArrays!$I$6:$J$12,2,FALSE)</f>
        <v>Workweek</v>
      </c>
    </row>
    <row r="108" spans="1:10">
      <c r="A108" s="159" t="str">
        <f t="shared" si="6"/>
        <v>$K$1:$K$92</v>
      </c>
      <c r="B108" s="159" t="str">
        <f t="shared" si="7"/>
        <v>$L$1:$L$92</v>
      </c>
      <c r="C108" s="159" t="str">
        <f t="shared" si="8"/>
        <v>February!$K$1:$K$92</v>
      </c>
      <c r="D108" s="159" t="str">
        <f t="shared" si="9"/>
        <v>February!$L$1:$L$92</v>
      </c>
      <c r="E108" t="s">
        <v>3</v>
      </c>
      <c r="F108" t="s">
        <v>121</v>
      </c>
      <c r="G108" t="s">
        <v>144</v>
      </c>
      <c r="H108" t="s">
        <v>24</v>
      </c>
      <c r="I108" t="e">
        <f t="shared" ca="1" si="5"/>
        <v>#REF!</v>
      </c>
      <c r="J108" t="str">
        <f>VLOOKUP($G108,DefinitionArrays!$I$6:$J$12,2,FALSE)</f>
        <v>Workweek</v>
      </c>
    </row>
    <row r="109" spans="1:10">
      <c r="A109" s="159" t="str">
        <f t="shared" si="6"/>
        <v>$K$1:$K$92</v>
      </c>
      <c r="B109" s="159" t="str">
        <f t="shared" si="7"/>
        <v>$L$1:$L$92</v>
      </c>
      <c r="C109" s="159" t="str">
        <f t="shared" si="8"/>
        <v>February!$K$1:$K$92</v>
      </c>
      <c r="D109" s="159" t="str">
        <f t="shared" si="9"/>
        <v>February!$L$1:$L$92</v>
      </c>
      <c r="E109" t="s">
        <v>3</v>
      </c>
      <c r="F109" t="s">
        <v>121</v>
      </c>
      <c r="G109" t="s">
        <v>144</v>
      </c>
      <c r="H109" t="s">
        <v>179</v>
      </c>
      <c r="I109" t="e">
        <f t="shared" ca="1" si="5"/>
        <v>#REF!</v>
      </c>
      <c r="J109" t="str">
        <f>VLOOKUP($G109,DefinitionArrays!$I$6:$J$12,2,FALSE)</f>
        <v>Workweek</v>
      </c>
    </row>
    <row r="110" spans="1:10">
      <c r="A110" s="159" t="str">
        <f t="shared" si="6"/>
        <v>$K$1:$K$92</v>
      </c>
      <c r="B110" s="159" t="str">
        <f t="shared" si="7"/>
        <v>$L$1:$L$92</v>
      </c>
      <c r="C110" s="159" t="str">
        <f t="shared" si="8"/>
        <v>February!$K$1:$K$92</v>
      </c>
      <c r="D110" s="159" t="str">
        <f t="shared" si="9"/>
        <v>February!$L$1:$L$92</v>
      </c>
      <c r="E110" t="s">
        <v>3</v>
      </c>
      <c r="F110" t="s">
        <v>121</v>
      </c>
      <c r="G110" t="s">
        <v>144</v>
      </c>
      <c r="H110" t="s">
        <v>180</v>
      </c>
      <c r="I110" t="e">
        <f t="shared" ca="1" si="5"/>
        <v>#REF!</v>
      </c>
      <c r="J110" t="str">
        <f>VLOOKUP($G110,DefinitionArrays!$I$6:$J$12,2,FALSE)</f>
        <v>Workweek</v>
      </c>
    </row>
    <row r="111" spans="1:10">
      <c r="A111" s="159" t="str">
        <f t="shared" si="6"/>
        <v>$K$1:$K$92</v>
      </c>
      <c r="B111" s="159" t="str">
        <f t="shared" si="7"/>
        <v>$L$1:$L$92</v>
      </c>
      <c r="C111" s="159" t="str">
        <f t="shared" si="8"/>
        <v>February!$K$1:$K$92</v>
      </c>
      <c r="D111" s="159" t="str">
        <f t="shared" si="9"/>
        <v>February!$L$1:$L$92</v>
      </c>
      <c r="E111" t="s">
        <v>3</v>
      </c>
      <c r="F111" t="s">
        <v>121</v>
      </c>
      <c r="G111" t="s">
        <v>144</v>
      </c>
      <c r="H111" t="s">
        <v>44</v>
      </c>
      <c r="I111" t="e">
        <f t="shared" ca="1" si="5"/>
        <v>#REF!</v>
      </c>
      <c r="J111" t="str">
        <f>VLOOKUP($G111,DefinitionArrays!$I$6:$J$12,2,FALSE)</f>
        <v>Workweek</v>
      </c>
    </row>
    <row r="112" spans="1:10">
      <c r="A112" s="159" t="str">
        <f t="shared" si="6"/>
        <v>$N$1:$N$92</v>
      </c>
      <c r="B112" s="159" t="str">
        <f t="shared" si="7"/>
        <v>$O$1:$O$92</v>
      </c>
      <c r="C112" s="159" t="str">
        <f t="shared" si="8"/>
        <v>February!$N$1:$N$92</v>
      </c>
      <c r="D112" s="159" t="str">
        <f t="shared" si="9"/>
        <v>February!$O$1:$O$92</v>
      </c>
      <c r="E112" t="s">
        <v>3</v>
      </c>
      <c r="F112" t="s">
        <v>121</v>
      </c>
      <c r="G112" t="s">
        <v>145</v>
      </c>
      <c r="H112" t="s">
        <v>159</v>
      </c>
      <c r="I112" t="e">
        <f t="shared" ca="1" si="5"/>
        <v>#REF!</v>
      </c>
      <c r="J112" t="str">
        <f>VLOOKUP($G112,DefinitionArrays!$I$6:$J$12,2,FALSE)</f>
        <v>Weekend</v>
      </c>
    </row>
    <row r="113" spans="1:10">
      <c r="A113" s="159" t="str">
        <f t="shared" si="6"/>
        <v>$N$1:$N$92</v>
      </c>
      <c r="B113" s="159" t="str">
        <f t="shared" si="7"/>
        <v>$O$1:$O$92</v>
      </c>
      <c r="C113" s="159" t="str">
        <f t="shared" si="8"/>
        <v>February!$N$1:$N$92</v>
      </c>
      <c r="D113" s="159" t="str">
        <f t="shared" si="9"/>
        <v>February!$O$1:$O$92</v>
      </c>
      <c r="E113" t="s">
        <v>3</v>
      </c>
      <c r="F113" t="s">
        <v>121</v>
      </c>
      <c r="G113" t="s">
        <v>145</v>
      </c>
      <c r="H113" t="s">
        <v>18</v>
      </c>
      <c r="I113" t="e">
        <f t="shared" ca="1" si="5"/>
        <v>#REF!</v>
      </c>
      <c r="J113" t="str">
        <f>VLOOKUP($G113,DefinitionArrays!$I$6:$J$12,2,FALSE)</f>
        <v>Weekend</v>
      </c>
    </row>
    <row r="114" spans="1:10">
      <c r="A114" s="159" t="str">
        <f t="shared" si="6"/>
        <v>$N$1:$N$92</v>
      </c>
      <c r="B114" s="159" t="str">
        <f t="shared" si="7"/>
        <v>$O$1:$O$92</v>
      </c>
      <c r="C114" s="159" t="str">
        <f t="shared" si="8"/>
        <v>February!$N$1:$N$92</v>
      </c>
      <c r="D114" s="159" t="str">
        <f t="shared" si="9"/>
        <v>February!$O$1:$O$92</v>
      </c>
      <c r="E114" t="s">
        <v>3</v>
      </c>
      <c r="F114" t="s">
        <v>121</v>
      </c>
      <c r="G114" t="s">
        <v>145</v>
      </c>
      <c r="H114" t="s">
        <v>153</v>
      </c>
      <c r="I114" t="e">
        <f t="shared" ca="1" si="5"/>
        <v>#REF!</v>
      </c>
      <c r="J114" t="str">
        <f>VLOOKUP($G114,DefinitionArrays!$I$6:$J$12,2,FALSE)</f>
        <v>Weekend</v>
      </c>
    </row>
    <row r="115" spans="1:10">
      <c r="A115" s="159" t="str">
        <f t="shared" si="6"/>
        <v>$N$1:$N$92</v>
      </c>
      <c r="B115" s="159" t="str">
        <f t="shared" si="7"/>
        <v>$O$1:$O$92</v>
      </c>
      <c r="C115" s="159" t="str">
        <f t="shared" si="8"/>
        <v>February!$N$1:$N$92</v>
      </c>
      <c r="D115" s="159" t="str">
        <f t="shared" si="9"/>
        <v>February!$O$1:$O$92</v>
      </c>
      <c r="E115" t="s">
        <v>3</v>
      </c>
      <c r="F115" t="s">
        <v>121</v>
      </c>
      <c r="G115" t="s">
        <v>145</v>
      </c>
      <c r="H115" t="s">
        <v>19</v>
      </c>
      <c r="I115" t="e">
        <f t="shared" ca="1" si="5"/>
        <v>#REF!</v>
      </c>
      <c r="J115" t="str">
        <f>VLOOKUP($G115,DefinitionArrays!$I$6:$J$12,2,FALSE)</f>
        <v>Weekend</v>
      </c>
    </row>
    <row r="116" spans="1:10">
      <c r="A116" s="159" t="str">
        <f t="shared" si="6"/>
        <v>$N$1:$N$92</v>
      </c>
      <c r="B116" s="159" t="str">
        <f t="shared" si="7"/>
        <v>$O$1:$O$92</v>
      </c>
      <c r="C116" s="159" t="str">
        <f t="shared" si="8"/>
        <v>February!$N$1:$N$92</v>
      </c>
      <c r="D116" s="159" t="str">
        <f t="shared" si="9"/>
        <v>February!$O$1:$O$92</v>
      </c>
      <c r="E116" t="s">
        <v>3</v>
      </c>
      <c r="F116" t="s">
        <v>121</v>
      </c>
      <c r="G116" t="s">
        <v>145</v>
      </c>
      <c r="H116" t="s">
        <v>20</v>
      </c>
      <c r="I116" t="e">
        <f t="shared" ca="1" si="5"/>
        <v>#REF!</v>
      </c>
      <c r="J116" t="str">
        <f>VLOOKUP($G116,DefinitionArrays!$I$6:$J$12,2,FALSE)</f>
        <v>Weekend</v>
      </c>
    </row>
    <row r="117" spans="1:10">
      <c r="A117" s="159" t="str">
        <f t="shared" si="6"/>
        <v>$N$1:$N$92</v>
      </c>
      <c r="B117" s="159" t="str">
        <f t="shared" si="7"/>
        <v>$O$1:$O$92</v>
      </c>
      <c r="C117" s="159" t="str">
        <f t="shared" si="8"/>
        <v>February!$N$1:$N$92</v>
      </c>
      <c r="D117" s="159" t="str">
        <f t="shared" si="9"/>
        <v>February!$O$1:$O$92</v>
      </c>
      <c r="E117" t="s">
        <v>3</v>
      </c>
      <c r="F117" t="s">
        <v>121</v>
      </c>
      <c r="G117" t="s">
        <v>145</v>
      </c>
      <c r="H117" t="s">
        <v>21</v>
      </c>
      <c r="I117" t="e">
        <f t="shared" ca="1" si="5"/>
        <v>#REF!</v>
      </c>
      <c r="J117" t="str">
        <f>VLOOKUP($G117,DefinitionArrays!$I$6:$J$12,2,FALSE)</f>
        <v>Weekend</v>
      </c>
    </row>
    <row r="118" spans="1:10">
      <c r="A118" s="159" t="str">
        <f t="shared" si="6"/>
        <v>$N$1:$N$92</v>
      </c>
      <c r="B118" s="159" t="str">
        <f t="shared" si="7"/>
        <v>$O$1:$O$92</v>
      </c>
      <c r="C118" s="159" t="str">
        <f t="shared" si="8"/>
        <v>February!$N$1:$N$92</v>
      </c>
      <c r="D118" s="159" t="str">
        <f t="shared" si="9"/>
        <v>February!$O$1:$O$92</v>
      </c>
      <c r="E118" t="s">
        <v>3</v>
      </c>
      <c r="F118" t="s">
        <v>121</v>
      </c>
      <c r="G118" t="s">
        <v>145</v>
      </c>
      <c r="H118" t="s">
        <v>22</v>
      </c>
      <c r="I118" t="e">
        <f t="shared" ca="1" si="5"/>
        <v>#REF!</v>
      </c>
      <c r="J118" t="str">
        <f>VLOOKUP($G118,DefinitionArrays!$I$6:$J$12,2,FALSE)</f>
        <v>Weekend</v>
      </c>
    </row>
    <row r="119" spans="1:10">
      <c r="A119" s="159" t="str">
        <f t="shared" si="6"/>
        <v>$N$1:$N$92</v>
      </c>
      <c r="B119" s="159" t="str">
        <f t="shared" si="7"/>
        <v>$O$1:$O$92</v>
      </c>
      <c r="C119" s="159" t="str">
        <f t="shared" si="8"/>
        <v>February!$N$1:$N$92</v>
      </c>
      <c r="D119" s="159" t="str">
        <f t="shared" si="9"/>
        <v>February!$O$1:$O$92</v>
      </c>
      <c r="E119" t="s">
        <v>3</v>
      </c>
      <c r="F119" t="s">
        <v>121</v>
      </c>
      <c r="G119" t="s">
        <v>145</v>
      </c>
      <c r="H119" t="s">
        <v>23</v>
      </c>
      <c r="I119" t="e">
        <f t="shared" ca="1" si="5"/>
        <v>#REF!</v>
      </c>
      <c r="J119" t="str">
        <f>VLOOKUP($G119,DefinitionArrays!$I$6:$J$12,2,FALSE)</f>
        <v>Weekend</v>
      </c>
    </row>
    <row r="120" spans="1:10">
      <c r="A120" s="159" t="str">
        <f t="shared" si="6"/>
        <v>$N$1:$N$92</v>
      </c>
      <c r="B120" s="159" t="str">
        <f t="shared" si="7"/>
        <v>$O$1:$O$92</v>
      </c>
      <c r="C120" s="159" t="str">
        <f t="shared" si="8"/>
        <v>February!$N$1:$N$92</v>
      </c>
      <c r="D120" s="159" t="str">
        <f t="shared" si="9"/>
        <v>February!$O$1:$O$92</v>
      </c>
      <c r="E120" t="s">
        <v>3</v>
      </c>
      <c r="F120" t="s">
        <v>121</v>
      </c>
      <c r="G120" t="s">
        <v>145</v>
      </c>
      <c r="H120" t="s">
        <v>24</v>
      </c>
      <c r="I120" t="e">
        <f t="shared" ca="1" si="5"/>
        <v>#REF!</v>
      </c>
      <c r="J120" t="str">
        <f>VLOOKUP($G120,DefinitionArrays!$I$6:$J$12,2,FALSE)</f>
        <v>Weekend</v>
      </c>
    </row>
    <row r="121" spans="1:10">
      <c r="A121" s="159" t="str">
        <f t="shared" si="6"/>
        <v>$N$1:$N$92</v>
      </c>
      <c r="B121" s="159" t="str">
        <f t="shared" si="7"/>
        <v>$O$1:$O$92</v>
      </c>
      <c r="C121" s="159" t="str">
        <f t="shared" si="8"/>
        <v>February!$N$1:$N$92</v>
      </c>
      <c r="D121" s="159" t="str">
        <f t="shared" si="9"/>
        <v>February!$O$1:$O$92</v>
      </c>
      <c r="E121" t="s">
        <v>3</v>
      </c>
      <c r="F121" t="s">
        <v>121</v>
      </c>
      <c r="G121" t="s">
        <v>145</v>
      </c>
      <c r="H121" t="s">
        <v>179</v>
      </c>
      <c r="I121" t="e">
        <f t="shared" ca="1" si="5"/>
        <v>#REF!</v>
      </c>
      <c r="J121" t="str">
        <f>VLOOKUP($G121,DefinitionArrays!$I$6:$J$12,2,FALSE)</f>
        <v>Weekend</v>
      </c>
    </row>
    <row r="122" spans="1:10">
      <c r="A122" s="159" t="str">
        <f t="shared" si="6"/>
        <v>$N$1:$N$92</v>
      </c>
      <c r="B122" s="159" t="str">
        <f t="shared" si="7"/>
        <v>$O$1:$O$92</v>
      </c>
      <c r="C122" s="159" t="str">
        <f t="shared" si="8"/>
        <v>February!$N$1:$N$92</v>
      </c>
      <c r="D122" s="159" t="str">
        <f t="shared" si="9"/>
        <v>February!$O$1:$O$92</v>
      </c>
      <c r="E122" t="s">
        <v>3</v>
      </c>
      <c r="F122" t="s">
        <v>121</v>
      </c>
      <c r="G122" t="s">
        <v>145</v>
      </c>
      <c r="H122" t="s">
        <v>180</v>
      </c>
      <c r="I122" t="e">
        <f t="shared" ca="1" si="5"/>
        <v>#REF!</v>
      </c>
      <c r="J122" t="str">
        <f>VLOOKUP($G122,DefinitionArrays!$I$6:$J$12,2,FALSE)</f>
        <v>Weekend</v>
      </c>
    </row>
    <row r="123" spans="1:10">
      <c r="A123" s="159" t="str">
        <f t="shared" si="6"/>
        <v>$N$1:$N$92</v>
      </c>
      <c r="B123" s="159" t="str">
        <f t="shared" si="7"/>
        <v>$O$1:$O$92</v>
      </c>
      <c r="C123" s="159" t="str">
        <f t="shared" si="8"/>
        <v>February!$N$1:$N$92</v>
      </c>
      <c r="D123" s="159" t="str">
        <f t="shared" si="9"/>
        <v>February!$O$1:$O$92</v>
      </c>
      <c r="E123" t="s">
        <v>3</v>
      </c>
      <c r="F123" t="s">
        <v>121</v>
      </c>
      <c r="G123" t="s">
        <v>145</v>
      </c>
      <c r="H123" t="s">
        <v>44</v>
      </c>
      <c r="I123" t="e">
        <f t="shared" ca="1" si="5"/>
        <v>#REF!</v>
      </c>
      <c r="J123" t="str">
        <f>VLOOKUP($G123,DefinitionArrays!$I$6:$J$12,2,FALSE)</f>
        <v>Weekend</v>
      </c>
    </row>
    <row r="124" spans="1:10">
      <c r="A124" s="159" t="str">
        <f t="shared" si="6"/>
        <v>$Q$1:$Q$92</v>
      </c>
      <c r="B124" s="159" t="str">
        <f t="shared" si="7"/>
        <v>$R$1:$R$92</v>
      </c>
      <c r="C124" s="159" t="str">
        <f t="shared" si="8"/>
        <v>February!$Q$1:$Q$92</v>
      </c>
      <c r="D124" s="159" t="str">
        <f t="shared" si="9"/>
        <v>February!$R$1:$R$92</v>
      </c>
      <c r="E124" t="s">
        <v>3</v>
      </c>
      <c r="F124" t="s">
        <v>121</v>
      </c>
      <c r="G124" t="s">
        <v>146</v>
      </c>
      <c r="H124" t="s">
        <v>159</v>
      </c>
      <c r="I124" t="e">
        <f t="shared" ca="1" si="5"/>
        <v>#REF!</v>
      </c>
      <c r="J124" t="str">
        <f>VLOOKUP($G124,DefinitionArrays!$I$6:$J$12,2,FALSE)</f>
        <v>Weekend</v>
      </c>
    </row>
    <row r="125" spans="1:10">
      <c r="A125" s="159" t="str">
        <f t="shared" si="6"/>
        <v>$T$1:$T$92</v>
      </c>
      <c r="B125" s="159" t="str">
        <f t="shared" si="7"/>
        <v>$U$1:$U$92</v>
      </c>
      <c r="C125" s="159" t="str">
        <f t="shared" si="8"/>
        <v>February!$T$1:$T$92</v>
      </c>
      <c r="D125" s="159" t="str">
        <f t="shared" si="9"/>
        <v>February!$U$1:$U$92</v>
      </c>
      <c r="E125" t="s">
        <v>3</v>
      </c>
      <c r="F125" t="s">
        <v>121</v>
      </c>
      <c r="G125" t="s">
        <v>141</v>
      </c>
      <c r="H125" t="s">
        <v>159</v>
      </c>
      <c r="I125" t="e">
        <f t="shared" ca="1" si="5"/>
        <v>#REF!</v>
      </c>
      <c r="J125" t="str">
        <f>VLOOKUP($G125,DefinitionArrays!$I$6:$J$12,2,FALSE)</f>
        <v>Weekend</v>
      </c>
    </row>
    <row r="126" spans="1:10">
      <c r="A126" s="159" t="str">
        <f t="shared" si="6"/>
        <v>$B$1:$B$92</v>
      </c>
      <c r="B126" s="159" t="str">
        <f t="shared" si="7"/>
        <v>$C$1:$C$92</v>
      </c>
      <c r="C126" s="159" t="str">
        <f t="shared" si="8"/>
        <v>March!$B$1:$B$92</v>
      </c>
      <c r="D126" s="159" t="str">
        <f t="shared" si="9"/>
        <v>March!$C$1:$C$92</v>
      </c>
      <c r="E126" t="s">
        <v>3</v>
      </c>
      <c r="F126" t="s">
        <v>122</v>
      </c>
      <c r="G126" t="s">
        <v>13</v>
      </c>
      <c r="H126" t="s">
        <v>159</v>
      </c>
      <c r="I126" t="e">
        <f ca="1">COUNTIFS(INDIRECT($C126),$E126,INDIRECT($D126),$H126)</f>
        <v>#REF!</v>
      </c>
      <c r="J126" t="str">
        <f>VLOOKUP($G126,DefinitionArrays!$I$6:$J$12,2,FALSE)</f>
        <v>Workweek</v>
      </c>
    </row>
    <row r="127" spans="1:10">
      <c r="A127" s="159" t="str">
        <f t="shared" si="6"/>
        <v>$B$1:$B$92</v>
      </c>
      <c r="B127" s="159" t="str">
        <f t="shared" si="7"/>
        <v>$C$1:$C$92</v>
      </c>
      <c r="C127" s="159" t="str">
        <f t="shared" si="8"/>
        <v>March!$B$1:$B$92</v>
      </c>
      <c r="D127" s="159" t="str">
        <f t="shared" si="9"/>
        <v>March!$C$1:$C$92</v>
      </c>
      <c r="E127" t="s">
        <v>3</v>
      </c>
      <c r="F127" t="s">
        <v>122</v>
      </c>
      <c r="G127" t="s">
        <v>13</v>
      </c>
      <c r="H127" t="s">
        <v>18</v>
      </c>
      <c r="I127" t="e">
        <f t="shared" ref="I127:I187" ca="1" si="10">COUNTIFS(INDIRECT($C127),$E127,INDIRECT($D127),$H127)</f>
        <v>#REF!</v>
      </c>
      <c r="J127" t="str">
        <f>VLOOKUP($G127,DefinitionArrays!$I$6:$J$12,2,FALSE)</f>
        <v>Workweek</v>
      </c>
    </row>
    <row r="128" spans="1:10">
      <c r="A128" s="159" t="str">
        <f t="shared" si="6"/>
        <v>$B$1:$B$92</v>
      </c>
      <c r="B128" s="159" t="str">
        <f t="shared" si="7"/>
        <v>$C$1:$C$92</v>
      </c>
      <c r="C128" s="159" t="str">
        <f t="shared" si="8"/>
        <v>March!$B$1:$B$92</v>
      </c>
      <c r="D128" s="159" t="str">
        <f t="shared" si="9"/>
        <v>March!$C$1:$C$92</v>
      </c>
      <c r="E128" t="s">
        <v>3</v>
      </c>
      <c r="F128" t="s">
        <v>122</v>
      </c>
      <c r="G128" t="s">
        <v>13</v>
      </c>
      <c r="H128" t="s">
        <v>153</v>
      </c>
      <c r="I128" t="e">
        <f t="shared" ca="1" si="10"/>
        <v>#REF!</v>
      </c>
      <c r="J128" t="str">
        <f>VLOOKUP($G128,DefinitionArrays!$I$6:$J$12,2,FALSE)</f>
        <v>Workweek</v>
      </c>
    </row>
    <row r="129" spans="1:10">
      <c r="A129" s="159" t="str">
        <f t="shared" si="6"/>
        <v>$B$1:$B$92</v>
      </c>
      <c r="B129" s="159" t="str">
        <f t="shared" si="7"/>
        <v>$C$1:$C$92</v>
      </c>
      <c r="C129" s="159" t="str">
        <f t="shared" si="8"/>
        <v>March!$B$1:$B$92</v>
      </c>
      <c r="D129" s="159" t="str">
        <f t="shared" si="9"/>
        <v>March!$C$1:$C$92</v>
      </c>
      <c r="E129" t="s">
        <v>3</v>
      </c>
      <c r="F129" t="s">
        <v>122</v>
      </c>
      <c r="G129" t="s">
        <v>13</v>
      </c>
      <c r="H129" t="s">
        <v>19</v>
      </c>
      <c r="I129" t="e">
        <f t="shared" ca="1" si="10"/>
        <v>#REF!</v>
      </c>
      <c r="J129" t="str">
        <f>VLOOKUP($G129,DefinitionArrays!$I$6:$J$12,2,FALSE)</f>
        <v>Workweek</v>
      </c>
    </row>
    <row r="130" spans="1:10">
      <c r="A130" s="159" t="str">
        <f t="shared" ref="A130:A193" si="11">VLOOKUP($G130,Fx_Code,2,FALSE)</f>
        <v>$B$1:$B$92</v>
      </c>
      <c r="B130" s="159" t="str">
        <f t="shared" ref="B130:B193" si="12">VLOOKUP($G130,Fx_Code,3,FALSE)</f>
        <v>$C$1:$C$92</v>
      </c>
      <c r="C130" s="159" t="str">
        <f t="shared" ref="C130:C193" si="13">CONCATENATE($F130,$K$1,A130)</f>
        <v>March!$B$1:$B$92</v>
      </c>
      <c r="D130" s="159" t="str">
        <f t="shared" ref="D130:D193" si="14">CONCATENATE($F130,$K$1,B130)</f>
        <v>March!$C$1:$C$92</v>
      </c>
      <c r="E130" t="s">
        <v>3</v>
      </c>
      <c r="F130" t="s">
        <v>122</v>
      </c>
      <c r="G130" t="s">
        <v>13</v>
      </c>
      <c r="H130" t="s">
        <v>20</v>
      </c>
      <c r="I130" t="e">
        <f t="shared" ca="1" si="10"/>
        <v>#REF!</v>
      </c>
      <c r="J130" t="str">
        <f>VLOOKUP($G130,DefinitionArrays!$I$6:$J$12,2,FALSE)</f>
        <v>Workweek</v>
      </c>
    </row>
    <row r="131" spans="1:10">
      <c r="A131" s="159" t="str">
        <f t="shared" si="11"/>
        <v>$B$1:$B$92</v>
      </c>
      <c r="B131" s="159" t="str">
        <f t="shared" si="12"/>
        <v>$C$1:$C$92</v>
      </c>
      <c r="C131" s="159" t="str">
        <f t="shared" si="13"/>
        <v>March!$B$1:$B$92</v>
      </c>
      <c r="D131" s="159" t="str">
        <f t="shared" si="14"/>
        <v>March!$C$1:$C$92</v>
      </c>
      <c r="E131" t="s">
        <v>3</v>
      </c>
      <c r="F131" t="s">
        <v>122</v>
      </c>
      <c r="G131" t="s">
        <v>13</v>
      </c>
      <c r="H131" t="s">
        <v>21</v>
      </c>
      <c r="I131" t="e">
        <f t="shared" ca="1" si="10"/>
        <v>#REF!</v>
      </c>
      <c r="J131" t="str">
        <f>VLOOKUP($G131,DefinitionArrays!$I$6:$J$12,2,FALSE)</f>
        <v>Workweek</v>
      </c>
    </row>
    <row r="132" spans="1:10">
      <c r="A132" s="159" t="str">
        <f t="shared" si="11"/>
        <v>$B$1:$B$92</v>
      </c>
      <c r="B132" s="159" t="str">
        <f t="shared" si="12"/>
        <v>$C$1:$C$92</v>
      </c>
      <c r="C132" s="159" t="str">
        <f t="shared" si="13"/>
        <v>March!$B$1:$B$92</v>
      </c>
      <c r="D132" s="159" t="str">
        <f t="shared" si="14"/>
        <v>March!$C$1:$C$92</v>
      </c>
      <c r="E132" t="s">
        <v>3</v>
      </c>
      <c r="F132" t="s">
        <v>122</v>
      </c>
      <c r="G132" t="s">
        <v>13</v>
      </c>
      <c r="H132" t="s">
        <v>22</v>
      </c>
      <c r="I132" t="e">
        <f t="shared" ca="1" si="10"/>
        <v>#REF!</v>
      </c>
      <c r="J132" t="str">
        <f>VLOOKUP($G132,DefinitionArrays!$I$6:$J$12,2,FALSE)</f>
        <v>Workweek</v>
      </c>
    </row>
    <row r="133" spans="1:10">
      <c r="A133" s="159" t="str">
        <f t="shared" si="11"/>
        <v>$B$1:$B$92</v>
      </c>
      <c r="B133" s="159" t="str">
        <f t="shared" si="12"/>
        <v>$C$1:$C$92</v>
      </c>
      <c r="C133" s="159" t="str">
        <f t="shared" si="13"/>
        <v>March!$B$1:$B$92</v>
      </c>
      <c r="D133" s="159" t="str">
        <f t="shared" si="14"/>
        <v>March!$C$1:$C$92</v>
      </c>
      <c r="E133" t="s">
        <v>3</v>
      </c>
      <c r="F133" t="s">
        <v>122</v>
      </c>
      <c r="G133" t="s">
        <v>13</v>
      </c>
      <c r="H133" t="s">
        <v>23</v>
      </c>
      <c r="I133" t="e">
        <f t="shared" ca="1" si="10"/>
        <v>#REF!</v>
      </c>
      <c r="J133" t="str">
        <f>VLOOKUP($G133,DefinitionArrays!$I$6:$J$12,2,FALSE)</f>
        <v>Workweek</v>
      </c>
    </row>
    <row r="134" spans="1:10">
      <c r="A134" s="159" t="str">
        <f t="shared" si="11"/>
        <v>$B$1:$B$92</v>
      </c>
      <c r="B134" s="159" t="str">
        <f t="shared" si="12"/>
        <v>$C$1:$C$92</v>
      </c>
      <c r="C134" s="159" t="str">
        <f t="shared" si="13"/>
        <v>March!$B$1:$B$92</v>
      </c>
      <c r="D134" s="159" t="str">
        <f t="shared" si="14"/>
        <v>March!$C$1:$C$92</v>
      </c>
      <c r="E134" t="s">
        <v>3</v>
      </c>
      <c r="F134" t="s">
        <v>122</v>
      </c>
      <c r="G134" t="s">
        <v>13</v>
      </c>
      <c r="H134" t="s">
        <v>24</v>
      </c>
      <c r="I134" t="e">
        <f t="shared" ca="1" si="10"/>
        <v>#REF!</v>
      </c>
      <c r="J134" t="str">
        <f>VLOOKUP($G134,DefinitionArrays!$I$6:$J$12,2,FALSE)</f>
        <v>Workweek</v>
      </c>
    </row>
    <row r="135" spans="1:10">
      <c r="A135" s="159" t="str">
        <f t="shared" si="11"/>
        <v>$B$1:$B$92</v>
      </c>
      <c r="B135" s="159" t="str">
        <f t="shared" si="12"/>
        <v>$C$1:$C$92</v>
      </c>
      <c r="C135" s="159" t="str">
        <f t="shared" si="13"/>
        <v>March!$B$1:$B$92</v>
      </c>
      <c r="D135" s="159" t="str">
        <f t="shared" si="14"/>
        <v>March!$C$1:$C$92</v>
      </c>
      <c r="E135" t="s">
        <v>3</v>
      </c>
      <c r="F135" t="s">
        <v>122</v>
      </c>
      <c r="G135" t="s">
        <v>13</v>
      </c>
      <c r="H135" t="s">
        <v>179</v>
      </c>
      <c r="I135" t="e">
        <f t="shared" ca="1" si="10"/>
        <v>#REF!</v>
      </c>
      <c r="J135" t="str">
        <f>VLOOKUP($G135,DefinitionArrays!$I$6:$J$12,2,FALSE)</f>
        <v>Workweek</v>
      </c>
    </row>
    <row r="136" spans="1:10">
      <c r="A136" s="159" t="str">
        <f t="shared" si="11"/>
        <v>$B$1:$B$92</v>
      </c>
      <c r="B136" s="159" t="str">
        <f t="shared" si="12"/>
        <v>$C$1:$C$92</v>
      </c>
      <c r="C136" s="159" t="str">
        <f t="shared" si="13"/>
        <v>March!$B$1:$B$92</v>
      </c>
      <c r="D136" s="159" t="str">
        <f t="shared" si="14"/>
        <v>March!$C$1:$C$92</v>
      </c>
      <c r="E136" t="s">
        <v>3</v>
      </c>
      <c r="F136" t="s">
        <v>122</v>
      </c>
      <c r="G136" t="s">
        <v>13</v>
      </c>
      <c r="H136" t="s">
        <v>180</v>
      </c>
      <c r="I136" t="e">
        <f t="shared" ca="1" si="10"/>
        <v>#REF!</v>
      </c>
      <c r="J136" t="str">
        <f>VLOOKUP($G136,DefinitionArrays!$I$6:$J$12,2,FALSE)</f>
        <v>Workweek</v>
      </c>
    </row>
    <row r="137" spans="1:10">
      <c r="A137" s="159" t="str">
        <f t="shared" si="11"/>
        <v>$B$1:$B$92</v>
      </c>
      <c r="B137" s="159" t="str">
        <f t="shared" si="12"/>
        <v>$C$1:$C$92</v>
      </c>
      <c r="C137" s="159" t="str">
        <f t="shared" si="13"/>
        <v>March!$B$1:$B$92</v>
      </c>
      <c r="D137" s="159" t="str">
        <f t="shared" si="14"/>
        <v>March!$C$1:$C$92</v>
      </c>
      <c r="E137" t="s">
        <v>3</v>
      </c>
      <c r="F137" t="s">
        <v>122</v>
      </c>
      <c r="G137" t="s">
        <v>13</v>
      </c>
      <c r="H137" t="s">
        <v>44</v>
      </c>
      <c r="I137" t="e">
        <f t="shared" ca="1" si="10"/>
        <v>#REF!</v>
      </c>
      <c r="J137" t="str">
        <f>VLOOKUP($G137,DefinitionArrays!$I$6:$J$12,2,FALSE)</f>
        <v>Workweek</v>
      </c>
    </row>
    <row r="138" spans="1:10">
      <c r="A138" s="159" t="str">
        <f t="shared" si="11"/>
        <v>$E$1:$E$92</v>
      </c>
      <c r="B138" s="159" t="str">
        <f t="shared" si="12"/>
        <v>$F$1:$F$92</v>
      </c>
      <c r="C138" s="159" t="str">
        <f t="shared" si="13"/>
        <v>March!$E$1:$E$92</v>
      </c>
      <c r="D138" s="159" t="str">
        <f t="shared" si="14"/>
        <v>March!$F$1:$F$92</v>
      </c>
      <c r="E138" t="s">
        <v>3</v>
      </c>
      <c r="F138" t="s">
        <v>122</v>
      </c>
      <c r="G138" t="s">
        <v>142</v>
      </c>
      <c r="H138" t="s">
        <v>159</v>
      </c>
      <c r="I138" t="e">
        <f t="shared" ca="1" si="10"/>
        <v>#REF!</v>
      </c>
      <c r="J138" t="str">
        <f>VLOOKUP($G138,DefinitionArrays!$I$6:$J$12,2,FALSE)</f>
        <v>Workweek</v>
      </c>
    </row>
    <row r="139" spans="1:10">
      <c r="A139" s="159" t="str">
        <f t="shared" si="11"/>
        <v>$E$1:$E$92</v>
      </c>
      <c r="B139" s="159" t="str">
        <f t="shared" si="12"/>
        <v>$F$1:$F$92</v>
      </c>
      <c r="C139" s="159" t="str">
        <f t="shared" si="13"/>
        <v>March!$E$1:$E$92</v>
      </c>
      <c r="D139" s="159" t="str">
        <f t="shared" si="14"/>
        <v>March!$F$1:$F$92</v>
      </c>
      <c r="E139" t="s">
        <v>3</v>
      </c>
      <c r="F139" t="s">
        <v>122</v>
      </c>
      <c r="G139" t="s">
        <v>142</v>
      </c>
      <c r="H139" t="s">
        <v>18</v>
      </c>
      <c r="I139" t="e">
        <f t="shared" ca="1" si="10"/>
        <v>#REF!</v>
      </c>
      <c r="J139" t="str">
        <f>VLOOKUP($G139,DefinitionArrays!$I$6:$J$12,2,FALSE)</f>
        <v>Workweek</v>
      </c>
    </row>
    <row r="140" spans="1:10">
      <c r="A140" s="159" t="str">
        <f t="shared" si="11"/>
        <v>$E$1:$E$92</v>
      </c>
      <c r="B140" s="159" t="str">
        <f t="shared" si="12"/>
        <v>$F$1:$F$92</v>
      </c>
      <c r="C140" s="159" t="str">
        <f t="shared" si="13"/>
        <v>March!$E$1:$E$92</v>
      </c>
      <c r="D140" s="159" t="str">
        <f t="shared" si="14"/>
        <v>March!$F$1:$F$92</v>
      </c>
      <c r="E140" t="s">
        <v>3</v>
      </c>
      <c r="F140" t="s">
        <v>122</v>
      </c>
      <c r="G140" t="s">
        <v>142</v>
      </c>
      <c r="H140" t="s">
        <v>153</v>
      </c>
      <c r="I140" t="e">
        <f t="shared" ca="1" si="10"/>
        <v>#REF!</v>
      </c>
      <c r="J140" t="str">
        <f>VLOOKUP($G140,DefinitionArrays!$I$6:$J$12,2,FALSE)</f>
        <v>Workweek</v>
      </c>
    </row>
    <row r="141" spans="1:10">
      <c r="A141" s="159" t="str">
        <f t="shared" si="11"/>
        <v>$E$1:$E$92</v>
      </c>
      <c r="B141" s="159" t="str">
        <f t="shared" si="12"/>
        <v>$F$1:$F$92</v>
      </c>
      <c r="C141" s="159" t="str">
        <f t="shared" si="13"/>
        <v>March!$E$1:$E$92</v>
      </c>
      <c r="D141" s="159" t="str">
        <f t="shared" si="14"/>
        <v>March!$F$1:$F$92</v>
      </c>
      <c r="E141" t="s">
        <v>3</v>
      </c>
      <c r="F141" t="s">
        <v>122</v>
      </c>
      <c r="G141" t="s">
        <v>142</v>
      </c>
      <c r="H141" t="s">
        <v>19</v>
      </c>
      <c r="I141" t="e">
        <f t="shared" ca="1" si="10"/>
        <v>#REF!</v>
      </c>
      <c r="J141" t="str">
        <f>VLOOKUP($G141,DefinitionArrays!$I$6:$J$12,2,FALSE)</f>
        <v>Workweek</v>
      </c>
    </row>
    <row r="142" spans="1:10">
      <c r="A142" s="159" t="str">
        <f t="shared" si="11"/>
        <v>$E$1:$E$92</v>
      </c>
      <c r="B142" s="159" t="str">
        <f t="shared" si="12"/>
        <v>$F$1:$F$92</v>
      </c>
      <c r="C142" s="159" t="str">
        <f t="shared" si="13"/>
        <v>March!$E$1:$E$92</v>
      </c>
      <c r="D142" s="159" t="str">
        <f t="shared" si="14"/>
        <v>March!$F$1:$F$92</v>
      </c>
      <c r="E142" t="s">
        <v>3</v>
      </c>
      <c r="F142" t="s">
        <v>122</v>
      </c>
      <c r="G142" t="s">
        <v>142</v>
      </c>
      <c r="H142" t="s">
        <v>20</v>
      </c>
      <c r="I142" t="e">
        <f t="shared" ca="1" si="10"/>
        <v>#REF!</v>
      </c>
      <c r="J142" t="str">
        <f>VLOOKUP($G142,DefinitionArrays!$I$6:$J$12,2,FALSE)</f>
        <v>Workweek</v>
      </c>
    </row>
    <row r="143" spans="1:10">
      <c r="A143" s="159" t="str">
        <f t="shared" si="11"/>
        <v>$E$1:$E$92</v>
      </c>
      <c r="B143" s="159" t="str">
        <f t="shared" si="12"/>
        <v>$F$1:$F$92</v>
      </c>
      <c r="C143" s="159" t="str">
        <f t="shared" si="13"/>
        <v>March!$E$1:$E$92</v>
      </c>
      <c r="D143" s="159" t="str">
        <f t="shared" si="14"/>
        <v>March!$F$1:$F$92</v>
      </c>
      <c r="E143" t="s">
        <v>3</v>
      </c>
      <c r="F143" t="s">
        <v>122</v>
      </c>
      <c r="G143" t="s">
        <v>142</v>
      </c>
      <c r="H143" t="s">
        <v>21</v>
      </c>
      <c r="I143" t="e">
        <f t="shared" ca="1" si="10"/>
        <v>#REF!</v>
      </c>
      <c r="J143" t="str">
        <f>VLOOKUP($G143,DefinitionArrays!$I$6:$J$12,2,FALSE)</f>
        <v>Workweek</v>
      </c>
    </row>
    <row r="144" spans="1:10">
      <c r="A144" s="159" t="str">
        <f t="shared" si="11"/>
        <v>$E$1:$E$92</v>
      </c>
      <c r="B144" s="159" t="str">
        <f t="shared" si="12"/>
        <v>$F$1:$F$92</v>
      </c>
      <c r="C144" s="159" t="str">
        <f t="shared" si="13"/>
        <v>March!$E$1:$E$92</v>
      </c>
      <c r="D144" s="159" t="str">
        <f t="shared" si="14"/>
        <v>March!$F$1:$F$92</v>
      </c>
      <c r="E144" t="s">
        <v>3</v>
      </c>
      <c r="F144" t="s">
        <v>122</v>
      </c>
      <c r="G144" t="s">
        <v>142</v>
      </c>
      <c r="H144" t="s">
        <v>22</v>
      </c>
      <c r="I144" t="e">
        <f t="shared" ca="1" si="10"/>
        <v>#REF!</v>
      </c>
      <c r="J144" t="str">
        <f>VLOOKUP($G144,DefinitionArrays!$I$6:$J$12,2,FALSE)</f>
        <v>Workweek</v>
      </c>
    </row>
    <row r="145" spans="1:10">
      <c r="A145" s="159" t="str">
        <f t="shared" si="11"/>
        <v>$E$1:$E$92</v>
      </c>
      <c r="B145" s="159" t="str">
        <f t="shared" si="12"/>
        <v>$F$1:$F$92</v>
      </c>
      <c r="C145" s="159" t="str">
        <f t="shared" si="13"/>
        <v>March!$E$1:$E$92</v>
      </c>
      <c r="D145" s="159" t="str">
        <f t="shared" si="14"/>
        <v>March!$F$1:$F$92</v>
      </c>
      <c r="E145" t="s">
        <v>3</v>
      </c>
      <c r="F145" t="s">
        <v>122</v>
      </c>
      <c r="G145" t="s">
        <v>142</v>
      </c>
      <c r="H145" t="s">
        <v>23</v>
      </c>
      <c r="I145" t="e">
        <f t="shared" ca="1" si="10"/>
        <v>#REF!</v>
      </c>
      <c r="J145" t="str">
        <f>VLOOKUP($G145,DefinitionArrays!$I$6:$J$12,2,FALSE)</f>
        <v>Workweek</v>
      </c>
    </row>
    <row r="146" spans="1:10">
      <c r="A146" s="159" t="str">
        <f t="shared" si="11"/>
        <v>$E$1:$E$92</v>
      </c>
      <c r="B146" s="159" t="str">
        <f t="shared" si="12"/>
        <v>$F$1:$F$92</v>
      </c>
      <c r="C146" s="159" t="str">
        <f t="shared" si="13"/>
        <v>March!$E$1:$E$92</v>
      </c>
      <c r="D146" s="159" t="str">
        <f t="shared" si="14"/>
        <v>March!$F$1:$F$92</v>
      </c>
      <c r="E146" t="s">
        <v>3</v>
      </c>
      <c r="F146" t="s">
        <v>122</v>
      </c>
      <c r="G146" t="s">
        <v>142</v>
      </c>
      <c r="H146" t="s">
        <v>24</v>
      </c>
      <c r="I146" t="e">
        <f t="shared" ca="1" si="10"/>
        <v>#REF!</v>
      </c>
      <c r="J146" t="str">
        <f>VLOOKUP($G146,DefinitionArrays!$I$6:$J$12,2,FALSE)</f>
        <v>Workweek</v>
      </c>
    </row>
    <row r="147" spans="1:10">
      <c r="A147" s="159" t="str">
        <f t="shared" si="11"/>
        <v>$E$1:$E$92</v>
      </c>
      <c r="B147" s="159" t="str">
        <f t="shared" si="12"/>
        <v>$F$1:$F$92</v>
      </c>
      <c r="C147" s="159" t="str">
        <f t="shared" si="13"/>
        <v>March!$E$1:$E$92</v>
      </c>
      <c r="D147" s="159" t="str">
        <f t="shared" si="14"/>
        <v>March!$F$1:$F$92</v>
      </c>
      <c r="E147" t="s">
        <v>3</v>
      </c>
      <c r="F147" t="s">
        <v>122</v>
      </c>
      <c r="G147" t="s">
        <v>142</v>
      </c>
      <c r="H147" t="s">
        <v>179</v>
      </c>
      <c r="I147" t="e">
        <f t="shared" ca="1" si="10"/>
        <v>#REF!</v>
      </c>
      <c r="J147" t="str">
        <f>VLOOKUP($G147,DefinitionArrays!$I$6:$J$12,2,FALSE)</f>
        <v>Workweek</v>
      </c>
    </row>
    <row r="148" spans="1:10">
      <c r="A148" s="159" t="str">
        <f t="shared" si="11"/>
        <v>$E$1:$E$92</v>
      </c>
      <c r="B148" s="159" t="str">
        <f t="shared" si="12"/>
        <v>$F$1:$F$92</v>
      </c>
      <c r="C148" s="159" t="str">
        <f t="shared" si="13"/>
        <v>March!$E$1:$E$92</v>
      </c>
      <c r="D148" s="159" t="str">
        <f t="shared" si="14"/>
        <v>March!$F$1:$F$92</v>
      </c>
      <c r="E148" t="s">
        <v>3</v>
      </c>
      <c r="F148" t="s">
        <v>122</v>
      </c>
      <c r="G148" t="s">
        <v>142</v>
      </c>
      <c r="H148" t="s">
        <v>180</v>
      </c>
      <c r="I148" t="e">
        <f t="shared" ca="1" si="10"/>
        <v>#REF!</v>
      </c>
      <c r="J148" t="str">
        <f>VLOOKUP($G148,DefinitionArrays!$I$6:$J$12,2,FALSE)</f>
        <v>Workweek</v>
      </c>
    </row>
    <row r="149" spans="1:10">
      <c r="A149" s="159" t="str">
        <f t="shared" si="11"/>
        <v>$E$1:$E$92</v>
      </c>
      <c r="B149" s="159" t="str">
        <f t="shared" si="12"/>
        <v>$F$1:$F$92</v>
      </c>
      <c r="C149" s="159" t="str">
        <f t="shared" si="13"/>
        <v>March!$E$1:$E$92</v>
      </c>
      <c r="D149" s="159" t="str">
        <f t="shared" si="14"/>
        <v>March!$F$1:$F$92</v>
      </c>
      <c r="E149" t="s">
        <v>3</v>
      </c>
      <c r="F149" t="s">
        <v>122</v>
      </c>
      <c r="G149" t="s">
        <v>142</v>
      </c>
      <c r="H149" t="s">
        <v>44</v>
      </c>
      <c r="I149" t="e">
        <f t="shared" ca="1" si="10"/>
        <v>#REF!</v>
      </c>
      <c r="J149" t="str">
        <f>VLOOKUP($G149,DefinitionArrays!$I$6:$J$12,2,FALSE)</f>
        <v>Workweek</v>
      </c>
    </row>
    <row r="150" spans="1:10">
      <c r="A150" s="159" t="str">
        <f t="shared" si="11"/>
        <v>$H$1:$H$92</v>
      </c>
      <c r="B150" s="159" t="str">
        <f t="shared" si="12"/>
        <v>$I$1:$I$92</v>
      </c>
      <c r="C150" s="159" t="str">
        <f t="shared" si="13"/>
        <v>March!$H$1:$H$92</v>
      </c>
      <c r="D150" s="159" t="str">
        <f t="shared" si="14"/>
        <v>March!$I$1:$I$92</v>
      </c>
      <c r="E150" t="s">
        <v>3</v>
      </c>
      <c r="F150" t="s">
        <v>122</v>
      </c>
      <c r="G150" t="s">
        <v>143</v>
      </c>
      <c r="H150" t="s">
        <v>159</v>
      </c>
      <c r="I150" t="e">
        <f t="shared" ca="1" si="10"/>
        <v>#REF!</v>
      </c>
      <c r="J150" t="str">
        <f>VLOOKUP($G150,DefinitionArrays!$I$6:$J$12,2,FALSE)</f>
        <v>Workweek</v>
      </c>
    </row>
    <row r="151" spans="1:10">
      <c r="A151" s="159" t="str">
        <f t="shared" si="11"/>
        <v>$H$1:$H$92</v>
      </c>
      <c r="B151" s="159" t="str">
        <f t="shared" si="12"/>
        <v>$I$1:$I$92</v>
      </c>
      <c r="C151" s="159" t="str">
        <f t="shared" si="13"/>
        <v>March!$H$1:$H$92</v>
      </c>
      <c r="D151" s="159" t="str">
        <f t="shared" si="14"/>
        <v>March!$I$1:$I$92</v>
      </c>
      <c r="E151" t="s">
        <v>3</v>
      </c>
      <c r="F151" t="s">
        <v>122</v>
      </c>
      <c r="G151" t="s">
        <v>143</v>
      </c>
      <c r="H151" t="s">
        <v>18</v>
      </c>
      <c r="I151" t="e">
        <f t="shared" ca="1" si="10"/>
        <v>#REF!</v>
      </c>
      <c r="J151" t="str">
        <f>VLOOKUP($G151,DefinitionArrays!$I$6:$J$12,2,FALSE)</f>
        <v>Workweek</v>
      </c>
    </row>
    <row r="152" spans="1:10">
      <c r="A152" s="159" t="str">
        <f t="shared" si="11"/>
        <v>$H$1:$H$92</v>
      </c>
      <c r="B152" s="159" t="str">
        <f t="shared" si="12"/>
        <v>$I$1:$I$92</v>
      </c>
      <c r="C152" s="159" t="str">
        <f t="shared" si="13"/>
        <v>March!$H$1:$H$92</v>
      </c>
      <c r="D152" s="159" t="str">
        <f t="shared" si="14"/>
        <v>March!$I$1:$I$92</v>
      </c>
      <c r="E152" t="s">
        <v>3</v>
      </c>
      <c r="F152" t="s">
        <v>122</v>
      </c>
      <c r="G152" t="s">
        <v>143</v>
      </c>
      <c r="H152" t="s">
        <v>153</v>
      </c>
      <c r="I152" t="e">
        <f t="shared" ca="1" si="10"/>
        <v>#REF!</v>
      </c>
      <c r="J152" t="str">
        <f>VLOOKUP($G152,DefinitionArrays!$I$6:$J$12,2,FALSE)</f>
        <v>Workweek</v>
      </c>
    </row>
    <row r="153" spans="1:10">
      <c r="A153" s="159" t="str">
        <f t="shared" si="11"/>
        <v>$H$1:$H$92</v>
      </c>
      <c r="B153" s="159" t="str">
        <f t="shared" si="12"/>
        <v>$I$1:$I$92</v>
      </c>
      <c r="C153" s="159" t="str">
        <f t="shared" si="13"/>
        <v>March!$H$1:$H$92</v>
      </c>
      <c r="D153" s="159" t="str">
        <f t="shared" si="14"/>
        <v>March!$I$1:$I$92</v>
      </c>
      <c r="E153" t="s">
        <v>3</v>
      </c>
      <c r="F153" t="s">
        <v>122</v>
      </c>
      <c r="G153" t="s">
        <v>143</v>
      </c>
      <c r="H153" t="s">
        <v>19</v>
      </c>
      <c r="I153" t="e">
        <f t="shared" ca="1" si="10"/>
        <v>#REF!</v>
      </c>
      <c r="J153" t="str">
        <f>VLOOKUP($G153,DefinitionArrays!$I$6:$J$12,2,FALSE)</f>
        <v>Workweek</v>
      </c>
    </row>
    <row r="154" spans="1:10">
      <c r="A154" s="159" t="str">
        <f t="shared" si="11"/>
        <v>$H$1:$H$92</v>
      </c>
      <c r="B154" s="159" t="str">
        <f t="shared" si="12"/>
        <v>$I$1:$I$92</v>
      </c>
      <c r="C154" s="159" t="str">
        <f t="shared" si="13"/>
        <v>March!$H$1:$H$92</v>
      </c>
      <c r="D154" s="159" t="str">
        <f t="shared" si="14"/>
        <v>March!$I$1:$I$92</v>
      </c>
      <c r="E154" t="s">
        <v>3</v>
      </c>
      <c r="F154" t="s">
        <v>122</v>
      </c>
      <c r="G154" t="s">
        <v>143</v>
      </c>
      <c r="H154" t="s">
        <v>20</v>
      </c>
      <c r="I154" t="e">
        <f t="shared" ca="1" si="10"/>
        <v>#REF!</v>
      </c>
      <c r="J154" t="str">
        <f>VLOOKUP($G154,DefinitionArrays!$I$6:$J$12,2,FALSE)</f>
        <v>Workweek</v>
      </c>
    </row>
    <row r="155" spans="1:10">
      <c r="A155" s="159" t="str">
        <f t="shared" si="11"/>
        <v>$H$1:$H$92</v>
      </c>
      <c r="B155" s="159" t="str">
        <f t="shared" si="12"/>
        <v>$I$1:$I$92</v>
      </c>
      <c r="C155" s="159" t="str">
        <f t="shared" si="13"/>
        <v>March!$H$1:$H$92</v>
      </c>
      <c r="D155" s="159" t="str">
        <f t="shared" si="14"/>
        <v>March!$I$1:$I$92</v>
      </c>
      <c r="E155" t="s">
        <v>3</v>
      </c>
      <c r="F155" t="s">
        <v>122</v>
      </c>
      <c r="G155" t="s">
        <v>143</v>
      </c>
      <c r="H155" t="s">
        <v>21</v>
      </c>
      <c r="I155" t="e">
        <f t="shared" ca="1" si="10"/>
        <v>#REF!</v>
      </c>
      <c r="J155" t="str">
        <f>VLOOKUP($G155,DefinitionArrays!$I$6:$J$12,2,FALSE)</f>
        <v>Workweek</v>
      </c>
    </row>
    <row r="156" spans="1:10">
      <c r="A156" s="159" t="str">
        <f t="shared" si="11"/>
        <v>$H$1:$H$92</v>
      </c>
      <c r="B156" s="159" t="str">
        <f t="shared" si="12"/>
        <v>$I$1:$I$92</v>
      </c>
      <c r="C156" s="159" t="str">
        <f t="shared" si="13"/>
        <v>March!$H$1:$H$92</v>
      </c>
      <c r="D156" s="159" t="str">
        <f t="shared" si="14"/>
        <v>March!$I$1:$I$92</v>
      </c>
      <c r="E156" t="s">
        <v>3</v>
      </c>
      <c r="F156" t="s">
        <v>122</v>
      </c>
      <c r="G156" t="s">
        <v>143</v>
      </c>
      <c r="H156" t="s">
        <v>22</v>
      </c>
      <c r="I156" t="e">
        <f t="shared" ca="1" si="10"/>
        <v>#REF!</v>
      </c>
      <c r="J156" t="str">
        <f>VLOOKUP($G156,DefinitionArrays!$I$6:$J$12,2,FALSE)</f>
        <v>Workweek</v>
      </c>
    </row>
    <row r="157" spans="1:10">
      <c r="A157" s="159" t="str">
        <f t="shared" si="11"/>
        <v>$H$1:$H$92</v>
      </c>
      <c r="B157" s="159" t="str">
        <f t="shared" si="12"/>
        <v>$I$1:$I$92</v>
      </c>
      <c r="C157" s="159" t="str">
        <f t="shared" si="13"/>
        <v>March!$H$1:$H$92</v>
      </c>
      <c r="D157" s="159" t="str">
        <f t="shared" si="14"/>
        <v>March!$I$1:$I$92</v>
      </c>
      <c r="E157" t="s">
        <v>3</v>
      </c>
      <c r="F157" t="s">
        <v>122</v>
      </c>
      <c r="G157" t="s">
        <v>143</v>
      </c>
      <c r="H157" t="s">
        <v>23</v>
      </c>
      <c r="I157" t="e">
        <f t="shared" ca="1" si="10"/>
        <v>#REF!</v>
      </c>
      <c r="J157" t="str">
        <f>VLOOKUP($G157,DefinitionArrays!$I$6:$J$12,2,FALSE)</f>
        <v>Workweek</v>
      </c>
    </row>
    <row r="158" spans="1:10">
      <c r="A158" s="159" t="str">
        <f t="shared" si="11"/>
        <v>$H$1:$H$92</v>
      </c>
      <c r="B158" s="159" t="str">
        <f t="shared" si="12"/>
        <v>$I$1:$I$92</v>
      </c>
      <c r="C158" s="159" t="str">
        <f t="shared" si="13"/>
        <v>March!$H$1:$H$92</v>
      </c>
      <c r="D158" s="159" t="str">
        <f t="shared" si="14"/>
        <v>March!$I$1:$I$92</v>
      </c>
      <c r="E158" t="s">
        <v>3</v>
      </c>
      <c r="F158" t="s">
        <v>122</v>
      </c>
      <c r="G158" t="s">
        <v>143</v>
      </c>
      <c r="H158" t="s">
        <v>24</v>
      </c>
      <c r="I158" t="e">
        <f t="shared" ca="1" si="10"/>
        <v>#REF!</v>
      </c>
      <c r="J158" t="str">
        <f>VLOOKUP($G158,DefinitionArrays!$I$6:$J$12,2,FALSE)</f>
        <v>Workweek</v>
      </c>
    </row>
    <row r="159" spans="1:10">
      <c r="A159" s="159" t="str">
        <f t="shared" si="11"/>
        <v>$H$1:$H$92</v>
      </c>
      <c r="B159" s="159" t="str">
        <f t="shared" si="12"/>
        <v>$I$1:$I$92</v>
      </c>
      <c r="C159" s="159" t="str">
        <f t="shared" si="13"/>
        <v>March!$H$1:$H$92</v>
      </c>
      <c r="D159" s="159" t="str">
        <f t="shared" si="14"/>
        <v>March!$I$1:$I$92</v>
      </c>
      <c r="E159" t="s">
        <v>3</v>
      </c>
      <c r="F159" t="s">
        <v>122</v>
      </c>
      <c r="G159" t="s">
        <v>143</v>
      </c>
      <c r="H159" t="s">
        <v>179</v>
      </c>
      <c r="I159" t="e">
        <f t="shared" ca="1" si="10"/>
        <v>#REF!</v>
      </c>
      <c r="J159" t="str">
        <f>VLOOKUP($G159,DefinitionArrays!$I$6:$J$12,2,FALSE)</f>
        <v>Workweek</v>
      </c>
    </row>
    <row r="160" spans="1:10">
      <c r="A160" s="159" t="str">
        <f t="shared" si="11"/>
        <v>$H$1:$H$92</v>
      </c>
      <c r="B160" s="159" t="str">
        <f t="shared" si="12"/>
        <v>$I$1:$I$92</v>
      </c>
      <c r="C160" s="159" t="str">
        <f t="shared" si="13"/>
        <v>March!$H$1:$H$92</v>
      </c>
      <c r="D160" s="159" t="str">
        <f t="shared" si="14"/>
        <v>March!$I$1:$I$92</v>
      </c>
      <c r="E160" t="s">
        <v>3</v>
      </c>
      <c r="F160" t="s">
        <v>122</v>
      </c>
      <c r="G160" t="s">
        <v>143</v>
      </c>
      <c r="H160" t="s">
        <v>180</v>
      </c>
      <c r="I160" t="e">
        <f t="shared" ca="1" si="10"/>
        <v>#REF!</v>
      </c>
      <c r="J160" t="str">
        <f>VLOOKUP($G160,DefinitionArrays!$I$6:$J$12,2,FALSE)</f>
        <v>Workweek</v>
      </c>
    </row>
    <row r="161" spans="1:10">
      <c r="A161" s="159" t="str">
        <f t="shared" si="11"/>
        <v>$H$1:$H$92</v>
      </c>
      <c r="B161" s="159" t="str">
        <f t="shared" si="12"/>
        <v>$I$1:$I$92</v>
      </c>
      <c r="C161" s="159" t="str">
        <f t="shared" si="13"/>
        <v>March!$H$1:$H$92</v>
      </c>
      <c r="D161" s="159" t="str">
        <f t="shared" si="14"/>
        <v>March!$I$1:$I$92</v>
      </c>
      <c r="E161" t="s">
        <v>3</v>
      </c>
      <c r="F161" t="s">
        <v>122</v>
      </c>
      <c r="G161" t="s">
        <v>143</v>
      </c>
      <c r="H161" t="s">
        <v>44</v>
      </c>
      <c r="I161" t="e">
        <f t="shared" ca="1" si="10"/>
        <v>#REF!</v>
      </c>
      <c r="J161" t="str">
        <f>VLOOKUP($G161,DefinitionArrays!$I$6:$J$12,2,FALSE)</f>
        <v>Workweek</v>
      </c>
    </row>
    <row r="162" spans="1:10">
      <c r="A162" s="159" t="str">
        <f t="shared" si="11"/>
        <v>$K$1:$K$92</v>
      </c>
      <c r="B162" s="159" t="str">
        <f t="shared" si="12"/>
        <v>$L$1:$L$92</v>
      </c>
      <c r="C162" s="159" t="str">
        <f t="shared" si="13"/>
        <v>March!$K$1:$K$92</v>
      </c>
      <c r="D162" s="159" t="str">
        <f t="shared" si="14"/>
        <v>March!$L$1:$L$92</v>
      </c>
      <c r="E162" t="s">
        <v>3</v>
      </c>
      <c r="F162" t="s">
        <v>122</v>
      </c>
      <c r="G162" t="s">
        <v>144</v>
      </c>
      <c r="H162" t="s">
        <v>159</v>
      </c>
      <c r="I162" t="e">
        <f t="shared" ca="1" si="10"/>
        <v>#REF!</v>
      </c>
      <c r="J162" t="str">
        <f>VLOOKUP($G162,DefinitionArrays!$I$6:$J$12,2,FALSE)</f>
        <v>Workweek</v>
      </c>
    </row>
    <row r="163" spans="1:10">
      <c r="A163" s="159" t="str">
        <f t="shared" si="11"/>
        <v>$K$1:$K$92</v>
      </c>
      <c r="B163" s="159" t="str">
        <f t="shared" si="12"/>
        <v>$L$1:$L$92</v>
      </c>
      <c r="C163" s="159" t="str">
        <f t="shared" si="13"/>
        <v>March!$K$1:$K$92</v>
      </c>
      <c r="D163" s="159" t="str">
        <f t="shared" si="14"/>
        <v>March!$L$1:$L$92</v>
      </c>
      <c r="E163" t="s">
        <v>3</v>
      </c>
      <c r="F163" t="s">
        <v>122</v>
      </c>
      <c r="G163" t="s">
        <v>144</v>
      </c>
      <c r="H163" t="s">
        <v>18</v>
      </c>
      <c r="I163" t="e">
        <f t="shared" ca="1" si="10"/>
        <v>#REF!</v>
      </c>
      <c r="J163" t="str">
        <f>VLOOKUP($G163,DefinitionArrays!$I$6:$J$12,2,FALSE)</f>
        <v>Workweek</v>
      </c>
    </row>
    <row r="164" spans="1:10">
      <c r="A164" s="159" t="str">
        <f t="shared" si="11"/>
        <v>$K$1:$K$92</v>
      </c>
      <c r="B164" s="159" t="str">
        <f t="shared" si="12"/>
        <v>$L$1:$L$92</v>
      </c>
      <c r="C164" s="159" t="str">
        <f t="shared" si="13"/>
        <v>March!$K$1:$K$92</v>
      </c>
      <c r="D164" s="159" t="str">
        <f t="shared" si="14"/>
        <v>March!$L$1:$L$92</v>
      </c>
      <c r="E164" t="s">
        <v>3</v>
      </c>
      <c r="F164" t="s">
        <v>122</v>
      </c>
      <c r="G164" t="s">
        <v>144</v>
      </c>
      <c r="H164" t="s">
        <v>153</v>
      </c>
      <c r="I164" t="e">
        <f t="shared" ca="1" si="10"/>
        <v>#REF!</v>
      </c>
      <c r="J164" t="str">
        <f>VLOOKUP($G164,DefinitionArrays!$I$6:$J$12,2,FALSE)</f>
        <v>Workweek</v>
      </c>
    </row>
    <row r="165" spans="1:10">
      <c r="A165" s="159" t="str">
        <f t="shared" si="11"/>
        <v>$K$1:$K$92</v>
      </c>
      <c r="B165" s="159" t="str">
        <f t="shared" si="12"/>
        <v>$L$1:$L$92</v>
      </c>
      <c r="C165" s="159" t="str">
        <f t="shared" si="13"/>
        <v>March!$K$1:$K$92</v>
      </c>
      <c r="D165" s="159" t="str">
        <f t="shared" si="14"/>
        <v>March!$L$1:$L$92</v>
      </c>
      <c r="E165" t="s">
        <v>3</v>
      </c>
      <c r="F165" t="s">
        <v>122</v>
      </c>
      <c r="G165" t="s">
        <v>144</v>
      </c>
      <c r="H165" t="s">
        <v>19</v>
      </c>
      <c r="I165" t="e">
        <f t="shared" ca="1" si="10"/>
        <v>#REF!</v>
      </c>
      <c r="J165" t="str">
        <f>VLOOKUP($G165,DefinitionArrays!$I$6:$J$12,2,FALSE)</f>
        <v>Workweek</v>
      </c>
    </row>
    <row r="166" spans="1:10">
      <c r="A166" s="159" t="str">
        <f t="shared" si="11"/>
        <v>$K$1:$K$92</v>
      </c>
      <c r="B166" s="159" t="str">
        <f t="shared" si="12"/>
        <v>$L$1:$L$92</v>
      </c>
      <c r="C166" s="159" t="str">
        <f t="shared" si="13"/>
        <v>March!$K$1:$K$92</v>
      </c>
      <c r="D166" s="159" t="str">
        <f t="shared" si="14"/>
        <v>March!$L$1:$L$92</v>
      </c>
      <c r="E166" t="s">
        <v>3</v>
      </c>
      <c r="F166" t="s">
        <v>122</v>
      </c>
      <c r="G166" t="s">
        <v>144</v>
      </c>
      <c r="H166" t="s">
        <v>20</v>
      </c>
      <c r="I166" t="e">
        <f t="shared" ca="1" si="10"/>
        <v>#REF!</v>
      </c>
      <c r="J166" t="str">
        <f>VLOOKUP($G166,DefinitionArrays!$I$6:$J$12,2,FALSE)</f>
        <v>Workweek</v>
      </c>
    </row>
    <row r="167" spans="1:10">
      <c r="A167" s="159" t="str">
        <f t="shared" si="11"/>
        <v>$K$1:$K$92</v>
      </c>
      <c r="B167" s="159" t="str">
        <f t="shared" si="12"/>
        <v>$L$1:$L$92</v>
      </c>
      <c r="C167" s="159" t="str">
        <f t="shared" si="13"/>
        <v>March!$K$1:$K$92</v>
      </c>
      <c r="D167" s="159" t="str">
        <f t="shared" si="14"/>
        <v>March!$L$1:$L$92</v>
      </c>
      <c r="E167" t="s">
        <v>3</v>
      </c>
      <c r="F167" t="s">
        <v>122</v>
      </c>
      <c r="G167" t="s">
        <v>144</v>
      </c>
      <c r="H167" t="s">
        <v>21</v>
      </c>
      <c r="I167" t="e">
        <f t="shared" ca="1" si="10"/>
        <v>#REF!</v>
      </c>
      <c r="J167" t="str">
        <f>VLOOKUP($G167,DefinitionArrays!$I$6:$J$12,2,FALSE)</f>
        <v>Workweek</v>
      </c>
    </row>
    <row r="168" spans="1:10">
      <c r="A168" s="159" t="str">
        <f t="shared" si="11"/>
        <v>$K$1:$K$92</v>
      </c>
      <c r="B168" s="159" t="str">
        <f t="shared" si="12"/>
        <v>$L$1:$L$92</v>
      </c>
      <c r="C168" s="159" t="str">
        <f t="shared" si="13"/>
        <v>March!$K$1:$K$92</v>
      </c>
      <c r="D168" s="159" t="str">
        <f t="shared" si="14"/>
        <v>March!$L$1:$L$92</v>
      </c>
      <c r="E168" t="s">
        <v>3</v>
      </c>
      <c r="F168" t="s">
        <v>122</v>
      </c>
      <c r="G168" t="s">
        <v>144</v>
      </c>
      <c r="H168" t="s">
        <v>22</v>
      </c>
      <c r="I168" t="e">
        <f t="shared" ca="1" si="10"/>
        <v>#REF!</v>
      </c>
      <c r="J168" t="str">
        <f>VLOOKUP($G168,DefinitionArrays!$I$6:$J$12,2,FALSE)</f>
        <v>Workweek</v>
      </c>
    </row>
    <row r="169" spans="1:10">
      <c r="A169" s="159" t="str">
        <f t="shared" si="11"/>
        <v>$K$1:$K$92</v>
      </c>
      <c r="B169" s="159" t="str">
        <f t="shared" si="12"/>
        <v>$L$1:$L$92</v>
      </c>
      <c r="C169" s="159" t="str">
        <f t="shared" si="13"/>
        <v>March!$K$1:$K$92</v>
      </c>
      <c r="D169" s="159" t="str">
        <f t="shared" si="14"/>
        <v>March!$L$1:$L$92</v>
      </c>
      <c r="E169" t="s">
        <v>3</v>
      </c>
      <c r="F169" t="s">
        <v>122</v>
      </c>
      <c r="G169" t="s">
        <v>144</v>
      </c>
      <c r="H169" t="s">
        <v>23</v>
      </c>
      <c r="I169" t="e">
        <f t="shared" ca="1" si="10"/>
        <v>#REF!</v>
      </c>
      <c r="J169" t="str">
        <f>VLOOKUP($G169,DefinitionArrays!$I$6:$J$12,2,FALSE)</f>
        <v>Workweek</v>
      </c>
    </row>
    <row r="170" spans="1:10">
      <c r="A170" s="159" t="str">
        <f t="shared" si="11"/>
        <v>$K$1:$K$92</v>
      </c>
      <c r="B170" s="159" t="str">
        <f t="shared" si="12"/>
        <v>$L$1:$L$92</v>
      </c>
      <c r="C170" s="159" t="str">
        <f t="shared" si="13"/>
        <v>March!$K$1:$K$92</v>
      </c>
      <c r="D170" s="159" t="str">
        <f t="shared" si="14"/>
        <v>March!$L$1:$L$92</v>
      </c>
      <c r="E170" t="s">
        <v>3</v>
      </c>
      <c r="F170" t="s">
        <v>122</v>
      </c>
      <c r="G170" t="s">
        <v>144</v>
      </c>
      <c r="H170" t="s">
        <v>24</v>
      </c>
      <c r="I170" t="e">
        <f t="shared" ca="1" si="10"/>
        <v>#REF!</v>
      </c>
      <c r="J170" t="str">
        <f>VLOOKUP($G170,DefinitionArrays!$I$6:$J$12,2,FALSE)</f>
        <v>Workweek</v>
      </c>
    </row>
    <row r="171" spans="1:10">
      <c r="A171" s="159" t="str">
        <f t="shared" si="11"/>
        <v>$K$1:$K$92</v>
      </c>
      <c r="B171" s="159" t="str">
        <f t="shared" si="12"/>
        <v>$L$1:$L$92</v>
      </c>
      <c r="C171" s="159" t="str">
        <f t="shared" si="13"/>
        <v>March!$K$1:$K$92</v>
      </c>
      <c r="D171" s="159" t="str">
        <f t="shared" si="14"/>
        <v>March!$L$1:$L$92</v>
      </c>
      <c r="E171" t="s">
        <v>3</v>
      </c>
      <c r="F171" t="s">
        <v>122</v>
      </c>
      <c r="G171" t="s">
        <v>144</v>
      </c>
      <c r="H171" t="s">
        <v>179</v>
      </c>
      <c r="I171" t="e">
        <f t="shared" ca="1" si="10"/>
        <v>#REF!</v>
      </c>
      <c r="J171" t="str">
        <f>VLOOKUP($G171,DefinitionArrays!$I$6:$J$12,2,FALSE)</f>
        <v>Workweek</v>
      </c>
    </row>
    <row r="172" spans="1:10">
      <c r="A172" s="159" t="str">
        <f t="shared" si="11"/>
        <v>$K$1:$K$92</v>
      </c>
      <c r="B172" s="159" t="str">
        <f t="shared" si="12"/>
        <v>$L$1:$L$92</v>
      </c>
      <c r="C172" s="159" t="str">
        <f t="shared" si="13"/>
        <v>March!$K$1:$K$92</v>
      </c>
      <c r="D172" s="159" t="str">
        <f t="shared" si="14"/>
        <v>March!$L$1:$L$92</v>
      </c>
      <c r="E172" t="s">
        <v>3</v>
      </c>
      <c r="F172" t="s">
        <v>122</v>
      </c>
      <c r="G172" t="s">
        <v>144</v>
      </c>
      <c r="H172" t="s">
        <v>180</v>
      </c>
      <c r="I172" t="e">
        <f t="shared" ca="1" si="10"/>
        <v>#REF!</v>
      </c>
      <c r="J172" t="str">
        <f>VLOOKUP($G172,DefinitionArrays!$I$6:$J$12,2,FALSE)</f>
        <v>Workweek</v>
      </c>
    </row>
    <row r="173" spans="1:10">
      <c r="A173" s="159" t="str">
        <f t="shared" si="11"/>
        <v>$K$1:$K$92</v>
      </c>
      <c r="B173" s="159" t="str">
        <f t="shared" si="12"/>
        <v>$L$1:$L$92</v>
      </c>
      <c r="C173" s="159" t="str">
        <f t="shared" si="13"/>
        <v>March!$K$1:$K$92</v>
      </c>
      <c r="D173" s="159" t="str">
        <f t="shared" si="14"/>
        <v>March!$L$1:$L$92</v>
      </c>
      <c r="E173" t="s">
        <v>3</v>
      </c>
      <c r="F173" t="s">
        <v>122</v>
      </c>
      <c r="G173" t="s">
        <v>144</v>
      </c>
      <c r="H173" t="s">
        <v>44</v>
      </c>
      <c r="I173" t="e">
        <f t="shared" ca="1" si="10"/>
        <v>#REF!</v>
      </c>
      <c r="J173" t="str">
        <f>VLOOKUP($G173,DefinitionArrays!$I$6:$J$12,2,FALSE)</f>
        <v>Workweek</v>
      </c>
    </row>
    <row r="174" spans="1:10">
      <c r="A174" s="159" t="str">
        <f t="shared" si="11"/>
        <v>$N$1:$N$92</v>
      </c>
      <c r="B174" s="159" t="str">
        <f t="shared" si="12"/>
        <v>$O$1:$O$92</v>
      </c>
      <c r="C174" s="159" t="str">
        <f t="shared" si="13"/>
        <v>March!$N$1:$N$92</v>
      </c>
      <c r="D174" s="159" t="str">
        <f t="shared" si="14"/>
        <v>March!$O$1:$O$92</v>
      </c>
      <c r="E174" t="s">
        <v>3</v>
      </c>
      <c r="F174" t="s">
        <v>122</v>
      </c>
      <c r="G174" t="s">
        <v>145</v>
      </c>
      <c r="H174" t="s">
        <v>159</v>
      </c>
      <c r="I174" t="e">
        <f t="shared" ca="1" si="10"/>
        <v>#REF!</v>
      </c>
      <c r="J174" t="str">
        <f>VLOOKUP($G174,DefinitionArrays!$I$6:$J$12,2,FALSE)</f>
        <v>Weekend</v>
      </c>
    </row>
    <row r="175" spans="1:10">
      <c r="A175" s="159" t="str">
        <f t="shared" si="11"/>
        <v>$N$1:$N$92</v>
      </c>
      <c r="B175" s="159" t="str">
        <f t="shared" si="12"/>
        <v>$O$1:$O$92</v>
      </c>
      <c r="C175" s="159" t="str">
        <f t="shared" si="13"/>
        <v>March!$N$1:$N$92</v>
      </c>
      <c r="D175" s="159" t="str">
        <f t="shared" si="14"/>
        <v>March!$O$1:$O$92</v>
      </c>
      <c r="E175" t="s">
        <v>3</v>
      </c>
      <c r="F175" t="s">
        <v>122</v>
      </c>
      <c r="G175" t="s">
        <v>145</v>
      </c>
      <c r="H175" t="s">
        <v>18</v>
      </c>
      <c r="I175" t="e">
        <f t="shared" ca="1" si="10"/>
        <v>#REF!</v>
      </c>
      <c r="J175" t="str">
        <f>VLOOKUP($G175,DefinitionArrays!$I$6:$J$12,2,FALSE)</f>
        <v>Weekend</v>
      </c>
    </row>
    <row r="176" spans="1:10">
      <c r="A176" s="159" t="str">
        <f t="shared" si="11"/>
        <v>$N$1:$N$92</v>
      </c>
      <c r="B176" s="159" t="str">
        <f t="shared" si="12"/>
        <v>$O$1:$O$92</v>
      </c>
      <c r="C176" s="159" t="str">
        <f t="shared" si="13"/>
        <v>March!$N$1:$N$92</v>
      </c>
      <c r="D176" s="159" t="str">
        <f t="shared" si="14"/>
        <v>March!$O$1:$O$92</v>
      </c>
      <c r="E176" t="s">
        <v>3</v>
      </c>
      <c r="F176" t="s">
        <v>122</v>
      </c>
      <c r="G176" t="s">
        <v>145</v>
      </c>
      <c r="H176" t="s">
        <v>153</v>
      </c>
      <c r="I176" t="e">
        <f t="shared" ca="1" si="10"/>
        <v>#REF!</v>
      </c>
      <c r="J176" t="str">
        <f>VLOOKUP($G176,DefinitionArrays!$I$6:$J$12,2,FALSE)</f>
        <v>Weekend</v>
      </c>
    </row>
    <row r="177" spans="1:10">
      <c r="A177" s="159" t="str">
        <f t="shared" si="11"/>
        <v>$N$1:$N$92</v>
      </c>
      <c r="B177" s="159" t="str">
        <f t="shared" si="12"/>
        <v>$O$1:$O$92</v>
      </c>
      <c r="C177" s="159" t="str">
        <f t="shared" si="13"/>
        <v>March!$N$1:$N$92</v>
      </c>
      <c r="D177" s="159" t="str">
        <f t="shared" si="14"/>
        <v>March!$O$1:$O$92</v>
      </c>
      <c r="E177" t="s">
        <v>3</v>
      </c>
      <c r="F177" t="s">
        <v>122</v>
      </c>
      <c r="G177" t="s">
        <v>145</v>
      </c>
      <c r="H177" t="s">
        <v>19</v>
      </c>
      <c r="I177" t="e">
        <f t="shared" ca="1" si="10"/>
        <v>#REF!</v>
      </c>
      <c r="J177" t="str">
        <f>VLOOKUP($G177,DefinitionArrays!$I$6:$J$12,2,FALSE)</f>
        <v>Weekend</v>
      </c>
    </row>
    <row r="178" spans="1:10">
      <c r="A178" s="159" t="str">
        <f t="shared" si="11"/>
        <v>$N$1:$N$92</v>
      </c>
      <c r="B178" s="159" t="str">
        <f t="shared" si="12"/>
        <v>$O$1:$O$92</v>
      </c>
      <c r="C178" s="159" t="str">
        <f t="shared" si="13"/>
        <v>March!$N$1:$N$92</v>
      </c>
      <c r="D178" s="159" t="str">
        <f t="shared" si="14"/>
        <v>March!$O$1:$O$92</v>
      </c>
      <c r="E178" t="s">
        <v>3</v>
      </c>
      <c r="F178" t="s">
        <v>122</v>
      </c>
      <c r="G178" t="s">
        <v>145</v>
      </c>
      <c r="H178" t="s">
        <v>20</v>
      </c>
      <c r="I178" t="e">
        <f t="shared" ca="1" si="10"/>
        <v>#REF!</v>
      </c>
      <c r="J178" t="str">
        <f>VLOOKUP($G178,DefinitionArrays!$I$6:$J$12,2,FALSE)</f>
        <v>Weekend</v>
      </c>
    </row>
    <row r="179" spans="1:10">
      <c r="A179" s="159" t="str">
        <f t="shared" si="11"/>
        <v>$N$1:$N$92</v>
      </c>
      <c r="B179" s="159" t="str">
        <f t="shared" si="12"/>
        <v>$O$1:$O$92</v>
      </c>
      <c r="C179" s="159" t="str">
        <f t="shared" si="13"/>
        <v>March!$N$1:$N$92</v>
      </c>
      <c r="D179" s="159" t="str">
        <f t="shared" si="14"/>
        <v>March!$O$1:$O$92</v>
      </c>
      <c r="E179" t="s">
        <v>3</v>
      </c>
      <c r="F179" t="s">
        <v>122</v>
      </c>
      <c r="G179" t="s">
        <v>145</v>
      </c>
      <c r="H179" t="s">
        <v>21</v>
      </c>
      <c r="I179" t="e">
        <f t="shared" ca="1" si="10"/>
        <v>#REF!</v>
      </c>
      <c r="J179" t="str">
        <f>VLOOKUP($G179,DefinitionArrays!$I$6:$J$12,2,FALSE)</f>
        <v>Weekend</v>
      </c>
    </row>
    <row r="180" spans="1:10">
      <c r="A180" s="159" t="str">
        <f t="shared" si="11"/>
        <v>$N$1:$N$92</v>
      </c>
      <c r="B180" s="159" t="str">
        <f t="shared" si="12"/>
        <v>$O$1:$O$92</v>
      </c>
      <c r="C180" s="159" t="str">
        <f t="shared" si="13"/>
        <v>March!$N$1:$N$92</v>
      </c>
      <c r="D180" s="159" t="str">
        <f t="shared" si="14"/>
        <v>March!$O$1:$O$92</v>
      </c>
      <c r="E180" t="s">
        <v>3</v>
      </c>
      <c r="F180" t="s">
        <v>122</v>
      </c>
      <c r="G180" t="s">
        <v>145</v>
      </c>
      <c r="H180" t="s">
        <v>22</v>
      </c>
      <c r="I180" t="e">
        <f t="shared" ca="1" si="10"/>
        <v>#REF!</v>
      </c>
      <c r="J180" t="str">
        <f>VLOOKUP($G180,DefinitionArrays!$I$6:$J$12,2,FALSE)</f>
        <v>Weekend</v>
      </c>
    </row>
    <row r="181" spans="1:10">
      <c r="A181" s="159" t="str">
        <f t="shared" si="11"/>
        <v>$N$1:$N$92</v>
      </c>
      <c r="B181" s="159" t="str">
        <f t="shared" si="12"/>
        <v>$O$1:$O$92</v>
      </c>
      <c r="C181" s="159" t="str">
        <f t="shared" si="13"/>
        <v>March!$N$1:$N$92</v>
      </c>
      <c r="D181" s="159" t="str">
        <f t="shared" si="14"/>
        <v>March!$O$1:$O$92</v>
      </c>
      <c r="E181" t="s">
        <v>3</v>
      </c>
      <c r="F181" t="s">
        <v>122</v>
      </c>
      <c r="G181" t="s">
        <v>145</v>
      </c>
      <c r="H181" t="s">
        <v>23</v>
      </c>
      <c r="I181" t="e">
        <f t="shared" ca="1" si="10"/>
        <v>#REF!</v>
      </c>
      <c r="J181" t="str">
        <f>VLOOKUP($G181,DefinitionArrays!$I$6:$J$12,2,FALSE)</f>
        <v>Weekend</v>
      </c>
    </row>
    <row r="182" spans="1:10">
      <c r="A182" s="159" t="str">
        <f t="shared" si="11"/>
        <v>$N$1:$N$92</v>
      </c>
      <c r="B182" s="159" t="str">
        <f t="shared" si="12"/>
        <v>$O$1:$O$92</v>
      </c>
      <c r="C182" s="159" t="str">
        <f t="shared" si="13"/>
        <v>March!$N$1:$N$92</v>
      </c>
      <c r="D182" s="159" t="str">
        <f t="shared" si="14"/>
        <v>March!$O$1:$O$92</v>
      </c>
      <c r="E182" t="s">
        <v>3</v>
      </c>
      <c r="F182" t="s">
        <v>122</v>
      </c>
      <c r="G182" t="s">
        <v>145</v>
      </c>
      <c r="H182" t="s">
        <v>24</v>
      </c>
      <c r="I182" t="e">
        <f t="shared" ca="1" si="10"/>
        <v>#REF!</v>
      </c>
      <c r="J182" t="str">
        <f>VLOOKUP($G182,DefinitionArrays!$I$6:$J$12,2,FALSE)</f>
        <v>Weekend</v>
      </c>
    </row>
    <row r="183" spans="1:10">
      <c r="A183" s="159" t="str">
        <f t="shared" si="11"/>
        <v>$N$1:$N$92</v>
      </c>
      <c r="B183" s="159" t="str">
        <f t="shared" si="12"/>
        <v>$O$1:$O$92</v>
      </c>
      <c r="C183" s="159" t="str">
        <f t="shared" si="13"/>
        <v>March!$N$1:$N$92</v>
      </c>
      <c r="D183" s="159" t="str">
        <f t="shared" si="14"/>
        <v>March!$O$1:$O$92</v>
      </c>
      <c r="E183" t="s">
        <v>3</v>
      </c>
      <c r="F183" t="s">
        <v>122</v>
      </c>
      <c r="G183" t="s">
        <v>145</v>
      </c>
      <c r="H183" t="s">
        <v>179</v>
      </c>
      <c r="I183" t="e">
        <f t="shared" ca="1" si="10"/>
        <v>#REF!</v>
      </c>
      <c r="J183" t="str">
        <f>VLOOKUP($G183,DefinitionArrays!$I$6:$J$12,2,FALSE)</f>
        <v>Weekend</v>
      </c>
    </row>
    <row r="184" spans="1:10">
      <c r="A184" s="159" t="str">
        <f t="shared" si="11"/>
        <v>$N$1:$N$92</v>
      </c>
      <c r="B184" s="159" t="str">
        <f t="shared" si="12"/>
        <v>$O$1:$O$92</v>
      </c>
      <c r="C184" s="159" t="str">
        <f t="shared" si="13"/>
        <v>March!$N$1:$N$92</v>
      </c>
      <c r="D184" s="159" t="str">
        <f t="shared" si="14"/>
        <v>March!$O$1:$O$92</v>
      </c>
      <c r="E184" t="s">
        <v>3</v>
      </c>
      <c r="F184" t="s">
        <v>122</v>
      </c>
      <c r="G184" t="s">
        <v>145</v>
      </c>
      <c r="H184" t="s">
        <v>180</v>
      </c>
      <c r="I184" t="e">
        <f t="shared" ca="1" si="10"/>
        <v>#REF!</v>
      </c>
      <c r="J184" t="str">
        <f>VLOOKUP($G184,DefinitionArrays!$I$6:$J$12,2,FALSE)</f>
        <v>Weekend</v>
      </c>
    </row>
    <row r="185" spans="1:10">
      <c r="A185" s="159" t="str">
        <f t="shared" si="11"/>
        <v>$N$1:$N$92</v>
      </c>
      <c r="B185" s="159" t="str">
        <f t="shared" si="12"/>
        <v>$O$1:$O$92</v>
      </c>
      <c r="C185" s="159" t="str">
        <f t="shared" si="13"/>
        <v>March!$N$1:$N$92</v>
      </c>
      <c r="D185" s="159" t="str">
        <f t="shared" si="14"/>
        <v>March!$O$1:$O$92</v>
      </c>
      <c r="E185" t="s">
        <v>3</v>
      </c>
      <c r="F185" t="s">
        <v>122</v>
      </c>
      <c r="G185" t="s">
        <v>145</v>
      </c>
      <c r="H185" t="s">
        <v>44</v>
      </c>
      <c r="I185" t="e">
        <f t="shared" ca="1" si="10"/>
        <v>#REF!</v>
      </c>
      <c r="J185" t="str">
        <f>VLOOKUP($G185,DefinitionArrays!$I$6:$J$12,2,FALSE)</f>
        <v>Weekend</v>
      </c>
    </row>
    <row r="186" spans="1:10">
      <c r="A186" s="159" t="str">
        <f t="shared" si="11"/>
        <v>$Q$1:$Q$92</v>
      </c>
      <c r="B186" s="159" t="str">
        <f t="shared" si="12"/>
        <v>$R$1:$R$92</v>
      </c>
      <c r="C186" s="159" t="str">
        <f t="shared" si="13"/>
        <v>March!$Q$1:$Q$92</v>
      </c>
      <c r="D186" s="159" t="str">
        <f t="shared" si="14"/>
        <v>March!$R$1:$R$92</v>
      </c>
      <c r="E186" t="s">
        <v>3</v>
      </c>
      <c r="F186" t="s">
        <v>122</v>
      </c>
      <c r="G186" t="s">
        <v>146</v>
      </c>
      <c r="H186" t="s">
        <v>159</v>
      </c>
      <c r="I186" t="e">
        <f t="shared" ca="1" si="10"/>
        <v>#REF!</v>
      </c>
      <c r="J186" t="str">
        <f>VLOOKUP($G186,DefinitionArrays!$I$6:$J$12,2,FALSE)</f>
        <v>Weekend</v>
      </c>
    </row>
    <row r="187" spans="1:10">
      <c r="A187" s="159" t="str">
        <f t="shared" si="11"/>
        <v>$T$1:$T$92</v>
      </c>
      <c r="B187" s="159" t="str">
        <f t="shared" si="12"/>
        <v>$U$1:$U$92</v>
      </c>
      <c r="C187" s="159" t="str">
        <f t="shared" si="13"/>
        <v>March!$T$1:$T$92</v>
      </c>
      <c r="D187" s="159" t="str">
        <f t="shared" si="14"/>
        <v>March!$U$1:$U$92</v>
      </c>
      <c r="E187" t="s">
        <v>3</v>
      </c>
      <c r="F187" t="s">
        <v>122</v>
      </c>
      <c r="G187" t="s">
        <v>141</v>
      </c>
      <c r="H187" t="s">
        <v>159</v>
      </c>
      <c r="I187" t="e">
        <f t="shared" ca="1" si="10"/>
        <v>#REF!</v>
      </c>
      <c r="J187" t="str">
        <f>VLOOKUP($G187,DefinitionArrays!$I$6:$J$12,2,FALSE)</f>
        <v>Weekend</v>
      </c>
    </row>
    <row r="188" spans="1:10">
      <c r="A188" s="159" t="str">
        <f t="shared" si="11"/>
        <v>$B$1:$B$92</v>
      </c>
      <c r="B188" s="159" t="str">
        <f t="shared" si="12"/>
        <v>$C$1:$C$92</v>
      </c>
      <c r="C188" s="159" t="str">
        <f t="shared" si="13"/>
        <v>April!$B$1:$B$92</v>
      </c>
      <c r="D188" s="159" t="str">
        <f t="shared" si="14"/>
        <v>April!$C$1:$C$92</v>
      </c>
      <c r="E188" t="s">
        <v>3</v>
      </c>
      <c r="F188" t="s">
        <v>123</v>
      </c>
      <c r="G188" t="s">
        <v>13</v>
      </c>
      <c r="H188" t="s">
        <v>159</v>
      </c>
      <c r="I188" t="e">
        <f ca="1">COUNTIFS(INDIRECT($C188),$E188,INDIRECT($D188),$H188)</f>
        <v>#REF!</v>
      </c>
      <c r="J188" t="str">
        <f>VLOOKUP($G188,DefinitionArrays!$I$6:$J$12,2,FALSE)</f>
        <v>Workweek</v>
      </c>
    </row>
    <row r="189" spans="1:10">
      <c r="A189" s="159" t="str">
        <f t="shared" si="11"/>
        <v>$B$1:$B$92</v>
      </c>
      <c r="B189" s="159" t="str">
        <f t="shared" si="12"/>
        <v>$C$1:$C$92</v>
      </c>
      <c r="C189" s="159" t="str">
        <f t="shared" si="13"/>
        <v>April!$B$1:$B$92</v>
      </c>
      <c r="D189" s="159" t="str">
        <f t="shared" si="14"/>
        <v>April!$C$1:$C$92</v>
      </c>
      <c r="E189" t="s">
        <v>3</v>
      </c>
      <c r="F189" t="s">
        <v>123</v>
      </c>
      <c r="G189" t="s">
        <v>13</v>
      </c>
      <c r="H189" t="s">
        <v>18</v>
      </c>
      <c r="I189" t="e">
        <f t="shared" ref="I189:I249" ca="1" si="15">COUNTIFS(INDIRECT($C189),$E189,INDIRECT($D189),$H189)</f>
        <v>#REF!</v>
      </c>
      <c r="J189" t="str">
        <f>VLOOKUP($G189,DefinitionArrays!$I$6:$J$12,2,FALSE)</f>
        <v>Workweek</v>
      </c>
    </row>
    <row r="190" spans="1:10">
      <c r="A190" s="159" t="str">
        <f t="shared" si="11"/>
        <v>$B$1:$B$92</v>
      </c>
      <c r="B190" s="159" t="str">
        <f t="shared" si="12"/>
        <v>$C$1:$C$92</v>
      </c>
      <c r="C190" s="159" t="str">
        <f t="shared" si="13"/>
        <v>April!$B$1:$B$92</v>
      </c>
      <c r="D190" s="159" t="str">
        <f t="shared" si="14"/>
        <v>April!$C$1:$C$92</v>
      </c>
      <c r="E190" t="s">
        <v>3</v>
      </c>
      <c r="F190" t="s">
        <v>123</v>
      </c>
      <c r="G190" t="s">
        <v>13</v>
      </c>
      <c r="H190" t="s">
        <v>153</v>
      </c>
      <c r="I190" t="e">
        <f t="shared" ca="1" si="15"/>
        <v>#REF!</v>
      </c>
      <c r="J190" t="str">
        <f>VLOOKUP($G190,DefinitionArrays!$I$6:$J$12,2,FALSE)</f>
        <v>Workweek</v>
      </c>
    </row>
    <row r="191" spans="1:10">
      <c r="A191" s="159" t="str">
        <f t="shared" si="11"/>
        <v>$B$1:$B$92</v>
      </c>
      <c r="B191" s="159" t="str">
        <f t="shared" si="12"/>
        <v>$C$1:$C$92</v>
      </c>
      <c r="C191" s="159" t="str">
        <f t="shared" si="13"/>
        <v>April!$B$1:$B$92</v>
      </c>
      <c r="D191" s="159" t="str">
        <f t="shared" si="14"/>
        <v>April!$C$1:$C$92</v>
      </c>
      <c r="E191" t="s">
        <v>3</v>
      </c>
      <c r="F191" t="s">
        <v>123</v>
      </c>
      <c r="G191" t="s">
        <v>13</v>
      </c>
      <c r="H191" t="s">
        <v>19</v>
      </c>
      <c r="I191" t="e">
        <f t="shared" ca="1" si="15"/>
        <v>#REF!</v>
      </c>
      <c r="J191" t="str">
        <f>VLOOKUP($G191,DefinitionArrays!$I$6:$J$12,2,FALSE)</f>
        <v>Workweek</v>
      </c>
    </row>
    <row r="192" spans="1:10">
      <c r="A192" s="159" t="str">
        <f t="shared" si="11"/>
        <v>$B$1:$B$92</v>
      </c>
      <c r="B192" s="159" t="str">
        <f t="shared" si="12"/>
        <v>$C$1:$C$92</v>
      </c>
      <c r="C192" s="159" t="str">
        <f t="shared" si="13"/>
        <v>April!$B$1:$B$92</v>
      </c>
      <c r="D192" s="159" t="str">
        <f t="shared" si="14"/>
        <v>April!$C$1:$C$92</v>
      </c>
      <c r="E192" t="s">
        <v>3</v>
      </c>
      <c r="F192" t="s">
        <v>123</v>
      </c>
      <c r="G192" t="s">
        <v>13</v>
      </c>
      <c r="H192" t="s">
        <v>20</v>
      </c>
      <c r="I192" t="e">
        <f t="shared" ca="1" si="15"/>
        <v>#REF!</v>
      </c>
      <c r="J192" t="str">
        <f>VLOOKUP($G192,DefinitionArrays!$I$6:$J$12,2,FALSE)</f>
        <v>Workweek</v>
      </c>
    </row>
    <row r="193" spans="1:10">
      <c r="A193" s="159" t="str">
        <f t="shared" si="11"/>
        <v>$B$1:$B$92</v>
      </c>
      <c r="B193" s="159" t="str">
        <f t="shared" si="12"/>
        <v>$C$1:$C$92</v>
      </c>
      <c r="C193" s="159" t="str">
        <f t="shared" si="13"/>
        <v>April!$B$1:$B$92</v>
      </c>
      <c r="D193" s="159" t="str">
        <f t="shared" si="14"/>
        <v>April!$C$1:$C$92</v>
      </c>
      <c r="E193" t="s">
        <v>3</v>
      </c>
      <c r="F193" t="s">
        <v>123</v>
      </c>
      <c r="G193" t="s">
        <v>13</v>
      </c>
      <c r="H193" t="s">
        <v>21</v>
      </c>
      <c r="I193" t="e">
        <f t="shared" ca="1" si="15"/>
        <v>#REF!</v>
      </c>
      <c r="J193" t="str">
        <f>VLOOKUP($G193,DefinitionArrays!$I$6:$J$12,2,FALSE)</f>
        <v>Workweek</v>
      </c>
    </row>
    <row r="194" spans="1:10">
      <c r="A194" s="159" t="str">
        <f t="shared" ref="A194:A257" si="16">VLOOKUP($G194,Fx_Code,2,FALSE)</f>
        <v>$B$1:$B$92</v>
      </c>
      <c r="B194" s="159" t="str">
        <f t="shared" ref="B194:B257" si="17">VLOOKUP($G194,Fx_Code,3,FALSE)</f>
        <v>$C$1:$C$92</v>
      </c>
      <c r="C194" s="159" t="str">
        <f t="shared" ref="C194:C257" si="18">CONCATENATE($F194,$K$1,A194)</f>
        <v>April!$B$1:$B$92</v>
      </c>
      <c r="D194" s="159" t="str">
        <f t="shared" ref="D194:D257" si="19">CONCATENATE($F194,$K$1,B194)</f>
        <v>April!$C$1:$C$92</v>
      </c>
      <c r="E194" t="s">
        <v>3</v>
      </c>
      <c r="F194" t="s">
        <v>123</v>
      </c>
      <c r="G194" t="s">
        <v>13</v>
      </c>
      <c r="H194" t="s">
        <v>22</v>
      </c>
      <c r="I194" t="e">
        <f t="shared" ca="1" si="15"/>
        <v>#REF!</v>
      </c>
      <c r="J194" t="str">
        <f>VLOOKUP($G194,DefinitionArrays!$I$6:$J$12,2,FALSE)</f>
        <v>Workweek</v>
      </c>
    </row>
    <row r="195" spans="1:10">
      <c r="A195" s="159" t="str">
        <f t="shared" si="16"/>
        <v>$B$1:$B$92</v>
      </c>
      <c r="B195" s="159" t="str">
        <f t="shared" si="17"/>
        <v>$C$1:$C$92</v>
      </c>
      <c r="C195" s="159" t="str">
        <f t="shared" si="18"/>
        <v>April!$B$1:$B$92</v>
      </c>
      <c r="D195" s="159" t="str">
        <f t="shared" si="19"/>
        <v>April!$C$1:$C$92</v>
      </c>
      <c r="E195" t="s">
        <v>3</v>
      </c>
      <c r="F195" t="s">
        <v>123</v>
      </c>
      <c r="G195" t="s">
        <v>13</v>
      </c>
      <c r="H195" t="s">
        <v>23</v>
      </c>
      <c r="I195" t="e">
        <f t="shared" ca="1" si="15"/>
        <v>#REF!</v>
      </c>
      <c r="J195" t="str">
        <f>VLOOKUP($G195,DefinitionArrays!$I$6:$J$12,2,FALSE)</f>
        <v>Workweek</v>
      </c>
    </row>
    <row r="196" spans="1:10">
      <c r="A196" s="159" t="str">
        <f t="shared" si="16"/>
        <v>$B$1:$B$92</v>
      </c>
      <c r="B196" s="159" t="str">
        <f t="shared" si="17"/>
        <v>$C$1:$C$92</v>
      </c>
      <c r="C196" s="159" t="str">
        <f t="shared" si="18"/>
        <v>April!$B$1:$B$92</v>
      </c>
      <c r="D196" s="159" t="str">
        <f t="shared" si="19"/>
        <v>April!$C$1:$C$92</v>
      </c>
      <c r="E196" t="s">
        <v>3</v>
      </c>
      <c r="F196" t="s">
        <v>123</v>
      </c>
      <c r="G196" t="s">
        <v>13</v>
      </c>
      <c r="H196" t="s">
        <v>24</v>
      </c>
      <c r="I196" t="e">
        <f t="shared" ca="1" si="15"/>
        <v>#REF!</v>
      </c>
      <c r="J196" t="str">
        <f>VLOOKUP($G196,DefinitionArrays!$I$6:$J$12,2,FALSE)</f>
        <v>Workweek</v>
      </c>
    </row>
    <row r="197" spans="1:10">
      <c r="A197" s="159" t="str">
        <f t="shared" si="16"/>
        <v>$B$1:$B$92</v>
      </c>
      <c r="B197" s="159" t="str">
        <f t="shared" si="17"/>
        <v>$C$1:$C$92</v>
      </c>
      <c r="C197" s="159" t="str">
        <f t="shared" si="18"/>
        <v>April!$B$1:$B$92</v>
      </c>
      <c r="D197" s="159" t="str">
        <f t="shared" si="19"/>
        <v>April!$C$1:$C$92</v>
      </c>
      <c r="E197" t="s">
        <v>3</v>
      </c>
      <c r="F197" t="s">
        <v>123</v>
      </c>
      <c r="G197" t="s">
        <v>13</v>
      </c>
      <c r="H197" t="s">
        <v>179</v>
      </c>
      <c r="I197" t="e">
        <f t="shared" ca="1" si="15"/>
        <v>#REF!</v>
      </c>
      <c r="J197" t="str">
        <f>VLOOKUP($G197,DefinitionArrays!$I$6:$J$12,2,FALSE)</f>
        <v>Workweek</v>
      </c>
    </row>
    <row r="198" spans="1:10">
      <c r="A198" s="159" t="str">
        <f t="shared" si="16"/>
        <v>$B$1:$B$92</v>
      </c>
      <c r="B198" s="159" t="str">
        <f t="shared" si="17"/>
        <v>$C$1:$C$92</v>
      </c>
      <c r="C198" s="159" t="str">
        <f t="shared" si="18"/>
        <v>April!$B$1:$B$92</v>
      </c>
      <c r="D198" s="159" t="str">
        <f t="shared" si="19"/>
        <v>April!$C$1:$C$92</v>
      </c>
      <c r="E198" t="s">
        <v>3</v>
      </c>
      <c r="F198" t="s">
        <v>123</v>
      </c>
      <c r="G198" t="s">
        <v>13</v>
      </c>
      <c r="H198" t="s">
        <v>180</v>
      </c>
      <c r="I198" t="e">
        <f t="shared" ca="1" si="15"/>
        <v>#REF!</v>
      </c>
      <c r="J198" t="str">
        <f>VLOOKUP($G198,DefinitionArrays!$I$6:$J$12,2,FALSE)</f>
        <v>Workweek</v>
      </c>
    </row>
    <row r="199" spans="1:10">
      <c r="A199" s="159" t="str">
        <f t="shared" si="16"/>
        <v>$B$1:$B$92</v>
      </c>
      <c r="B199" s="159" t="str">
        <f t="shared" si="17"/>
        <v>$C$1:$C$92</v>
      </c>
      <c r="C199" s="159" t="str">
        <f t="shared" si="18"/>
        <v>April!$B$1:$B$92</v>
      </c>
      <c r="D199" s="159" t="str">
        <f t="shared" si="19"/>
        <v>April!$C$1:$C$92</v>
      </c>
      <c r="E199" t="s">
        <v>3</v>
      </c>
      <c r="F199" t="s">
        <v>123</v>
      </c>
      <c r="G199" t="s">
        <v>13</v>
      </c>
      <c r="H199" t="s">
        <v>44</v>
      </c>
      <c r="I199" t="e">
        <f t="shared" ca="1" si="15"/>
        <v>#REF!</v>
      </c>
      <c r="J199" t="str">
        <f>VLOOKUP($G199,DefinitionArrays!$I$6:$J$12,2,FALSE)</f>
        <v>Workweek</v>
      </c>
    </row>
    <row r="200" spans="1:10">
      <c r="A200" s="159" t="str">
        <f t="shared" si="16"/>
        <v>$E$1:$E$92</v>
      </c>
      <c r="B200" s="159" t="str">
        <f t="shared" si="17"/>
        <v>$F$1:$F$92</v>
      </c>
      <c r="C200" s="159" t="str">
        <f t="shared" si="18"/>
        <v>April!$E$1:$E$92</v>
      </c>
      <c r="D200" s="159" t="str">
        <f t="shared" si="19"/>
        <v>April!$F$1:$F$92</v>
      </c>
      <c r="E200" t="s">
        <v>3</v>
      </c>
      <c r="F200" t="s">
        <v>123</v>
      </c>
      <c r="G200" t="s">
        <v>142</v>
      </c>
      <c r="H200" t="s">
        <v>159</v>
      </c>
      <c r="I200" t="e">
        <f t="shared" ca="1" si="15"/>
        <v>#REF!</v>
      </c>
      <c r="J200" t="str">
        <f>VLOOKUP($G200,DefinitionArrays!$I$6:$J$12,2,FALSE)</f>
        <v>Workweek</v>
      </c>
    </row>
    <row r="201" spans="1:10">
      <c r="A201" s="159" t="str">
        <f t="shared" si="16"/>
        <v>$E$1:$E$92</v>
      </c>
      <c r="B201" s="159" t="str">
        <f t="shared" si="17"/>
        <v>$F$1:$F$92</v>
      </c>
      <c r="C201" s="159" t="str">
        <f t="shared" si="18"/>
        <v>April!$E$1:$E$92</v>
      </c>
      <c r="D201" s="159" t="str">
        <f t="shared" si="19"/>
        <v>April!$F$1:$F$92</v>
      </c>
      <c r="E201" t="s">
        <v>3</v>
      </c>
      <c r="F201" t="s">
        <v>123</v>
      </c>
      <c r="G201" t="s">
        <v>142</v>
      </c>
      <c r="H201" t="s">
        <v>18</v>
      </c>
      <c r="I201" t="e">
        <f t="shared" ca="1" si="15"/>
        <v>#REF!</v>
      </c>
      <c r="J201" t="str">
        <f>VLOOKUP($G201,DefinitionArrays!$I$6:$J$12,2,FALSE)</f>
        <v>Workweek</v>
      </c>
    </row>
    <row r="202" spans="1:10">
      <c r="A202" s="159" t="str">
        <f t="shared" si="16"/>
        <v>$E$1:$E$92</v>
      </c>
      <c r="B202" s="159" t="str">
        <f t="shared" si="17"/>
        <v>$F$1:$F$92</v>
      </c>
      <c r="C202" s="159" t="str">
        <f t="shared" si="18"/>
        <v>April!$E$1:$E$92</v>
      </c>
      <c r="D202" s="159" t="str">
        <f t="shared" si="19"/>
        <v>April!$F$1:$F$92</v>
      </c>
      <c r="E202" t="s">
        <v>3</v>
      </c>
      <c r="F202" t="s">
        <v>123</v>
      </c>
      <c r="G202" t="s">
        <v>142</v>
      </c>
      <c r="H202" t="s">
        <v>153</v>
      </c>
      <c r="I202" t="e">
        <f t="shared" ca="1" si="15"/>
        <v>#REF!</v>
      </c>
      <c r="J202" t="str">
        <f>VLOOKUP($G202,DefinitionArrays!$I$6:$J$12,2,FALSE)</f>
        <v>Workweek</v>
      </c>
    </row>
    <row r="203" spans="1:10">
      <c r="A203" s="159" t="str">
        <f t="shared" si="16"/>
        <v>$E$1:$E$92</v>
      </c>
      <c r="B203" s="159" t="str">
        <f t="shared" si="17"/>
        <v>$F$1:$F$92</v>
      </c>
      <c r="C203" s="159" t="str">
        <f t="shared" si="18"/>
        <v>April!$E$1:$E$92</v>
      </c>
      <c r="D203" s="159" t="str">
        <f t="shared" si="19"/>
        <v>April!$F$1:$F$92</v>
      </c>
      <c r="E203" t="s">
        <v>3</v>
      </c>
      <c r="F203" t="s">
        <v>123</v>
      </c>
      <c r="G203" t="s">
        <v>142</v>
      </c>
      <c r="H203" t="s">
        <v>19</v>
      </c>
      <c r="I203" t="e">
        <f t="shared" ca="1" si="15"/>
        <v>#REF!</v>
      </c>
      <c r="J203" t="str">
        <f>VLOOKUP($G203,DefinitionArrays!$I$6:$J$12,2,FALSE)</f>
        <v>Workweek</v>
      </c>
    </row>
    <row r="204" spans="1:10">
      <c r="A204" s="159" t="str">
        <f t="shared" si="16"/>
        <v>$E$1:$E$92</v>
      </c>
      <c r="B204" s="159" t="str">
        <f t="shared" si="17"/>
        <v>$F$1:$F$92</v>
      </c>
      <c r="C204" s="159" t="str">
        <f t="shared" si="18"/>
        <v>April!$E$1:$E$92</v>
      </c>
      <c r="D204" s="159" t="str">
        <f t="shared" si="19"/>
        <v>April!$F$1:$F$92</v>
      </c>
      <c r="E204" t="s">
        <v>3</v>
      </c>
      <c r="F204" t="s">
        <v>123</v>
      </c>
      <c r="G204" t="s">
        <v>142</v>
      </c>
      <c r="H204" t="s">
        <v>20</v>
      </c>
      <c r="I204" t="e">
        <f t="shared" ca="1" si="15"/>
        <v>#REF!</v>
      </c>
      <c r="J204" t="str">
        <f>VLOOKUP($G204,DefinitionArrays!$I$6:$J$12,2,FALSE)</f>
        <v>Workweek</v>
      </c>
    </row>
    <row r="205" spans="1:10">
      <c r="A205" s="159" t="str">
        <f t="shared" si="16"/>
        <v>$E$1:$E$92</v>
      </c>
      <c r="B205" s="159" t="str">
        <f t="shared" si="17"/>
        <v>$F$1:$F$92</v>
      </c>
      <c r="C205" s="159" t="str">
        <f t="shared" si="18"/>
        <v>April!$E$1:$E$92</v>
      </c>
      <c r="D205" s="159" t="str">
        <f t="shared" si="19"/>
        <v>April!$F$1:$F$92</v>
      </c>
      <c r="E205" t="s">
        <v>3</v>
      </c>
      <c r="F205" t="s">
        <v>123</v>
      </c>
      <c r="G205" t="s">
        <v>142</v>
      </c>
      <c r="H205" t="s">
        <v>21</v>
      </c>
      <c r="I205" t="e">
        <f t="shared" ca="1" si="15"/>
        <v>#REF!</v>
      </c>
      <c r="J205" t="str">
        <f>VLOOKUP($G205,DefinitionArrays!$I$6:$J$12,2,FALSE)</f>
        <v>Workweek</v>
      </c>
    </row>
    <row r="206" spans="1:10">
      <c r="A206" s="159" t="str">
        <f t="shared" si="16"/>
        <v>$E$1:$E$92</v>
      </c>
      <c r="B206" s="159" t="str">
        <f t="shared" si="17"/>
        <v>$F$1:$F$92</v>
      </c>
      <c r="C206" s="159" t="str">
        <f t="shared" si="18"/>
        <v>April!$E$1:$E$92</v>
      </c>
      <c r="D206" s="159" t="str">
        <f t="shared" si="19"/>
        <v>April!$F$1:$F$92</v>
      </c>
      <c r="E206" t="s">
        <v>3</v>
      </c>
      <c r="F206" t="s">
        <v>123</v>
      </c>
      <c r="G206" t="s">
        <v>142</v>
      </c>
      <c r="H206" t="s">
        <v>22</v>
      </c>
      <c r="I206" t="e">
        <f t="shared" ca="1" si="15"/>
        <v>#REF!</v>
      </c>
      <c r="J206" t="str">
        <f>VLOOKUP($G206,DefinitionArrays!$I$6:$J$12,2,FALSE)</f>
        <v>Workweek</v>
      </c>
    </row>
    <row r="207" spans="1:10">
      <c r="A207" s="159" t="str">
        <f t="shared" si="16"/>
        <v>$E$1:$E$92</v>
      </c>
      <c r="B207" s="159" t="str">
        <f t="shared" si="17"/>
        <v>$F$1:$F$92</v>
      </c>
      <c r="C207" s="159" t="str">
        <f t="shared" si="18"/>
        <v>April!$E$1:$E$92</v>
      </c>
      <c r="D207" s="159" t="str">
        <f t="shared" si="19"/>
        <v>April!$F$1:$F$92</v>
      </c>
      <c r="E207" t="s">
        <v>3</v>
      </c>
      <c r="F207" t="s">
        <v>123</v>
      </c>
      <c r="G207" t="s">
        <v>142</v>
      </c>
      <c r="H207" t="s">
        <v>23</v>
      </c>
      <c r="I207" t="e">
        <f t="shared" ca="1" si="15"/>
        <v>#REF!</v>
      </c>
      <c r="J207" t="str">
        <f>VLOOKUP($G207,DefinitionArrays!$I$6:$J$12,2,FALSE)</f>
        <v>Workweek</v>
      </c>
    </row>
    <row r="208" spans="1:10">
      <c r="A208" s="159" t="str">
        <f t="shared" si="16"/>
        <v>$E$1:$E$92</v>
      </c>
      <c r="B208" s="159" t="str">
        <f t="shared" si="17"/>
        <v>$F$1:$F$92</v>
      </c>
      <c r="C208" s="159" t="str">
        <f t="shared" si="18"/>
        <v>April!$E$1:$E$92</v>
      </c>
      <c r="D208" s="159" t="str">
        <f t="shared" si="19"/>
        <v>April!$F$1:$F$92</v>
      </c>
      <c r="E208" t="s">
        <v>3</v>
      </c>
      <c r="F208" t="s">
        <v>123</v>
      </c>
      <c r="G208" t="s">
        <v>142</v>
      </c>
      <c r="H208" t="s">
        <v>24</v>
      </c>
      <c r="I208" t="e">
        <f t="shared" ca="1" si="15"/>
        <v>#REF!</v>
      </c>
      <c r="J208" t="str">
        <f>VLOOKUP($G208,DefinitionArrays!$I$6:$J$12,2,FALSE)</f>
        <v>Workweek</v>
      </c>
    </row>
    <row r="209" spans="1:10">
      <c r="A209" s="159" t="str">
        <f t="shared" si="16"/>
        <v>$E$1:$E$92</v>
      </c>
      <c r="B209" s="159" t="str">
        <f t="shared" si="17"/>
        <v>$F$1:$F$92</v>
      </c>
      <c r="C209" s="159" t="str">
        <f t="shared" si="18"/>
        <v>April!$E$1:$E$92</v>
      </c>
      <c r="D209" s="159" t="str">
        <f t="shared" si="19"/>
        <v>April!$F$1:$F$92</v>
      </c>
      <c r="E209" t="s">
        <v>3</v>
      </c>
      <c r="F209" t="s">
        <v>123</v>
      </c>
      <c r="G209" t="s">
        <v>142</v>
      </c>
      <c r="H209" t="s">
        <v>179</v>
      </c>
      <c r="I209" t="e">
        <f t="shared" ca="1" si="15"/>
        <v>#REF!</v>
      </c>
      <c r="J209" t="str">
        <f>VLOOKUP($G209,DefinitionArrays!$I$6:$J$12,2,FALSE)</f>
        <v>Workweek</v>
      </c>
    </row>
    <row r="210" spans="1:10">
      <c r="A210" s="159" t="str">
        <f t="shared" si="16"/>
        <v>$E$1:$E$92</v>
      </c>
      <c r="B210" s="159" t="str">
        <f t="shared" si="17"/>
        <v>$F$1:$F$92</v>
      </c>
      <c r="C210" s="159" t="str">
        <f t="shared" si="18"/>
        <v>April!$E$1:$E$92</v>
      </c>
      <c r="D210" s="159" t="str">
        <f t="shared" si="19"/>
        <v>April!$F$1:$F$92</v>
      </c>
      <c r="E210" t="s">
        <v>3</v>
      </c>
      <c r="F210" t="s">
        <v>123</v>
      </c>
      <c r="G210" t="s">
        <v>142</v>
      </c>
      <c r="H210" t="s">
        <v>180</v>
      </c>
      <c r="I210" t="e">
        <f t="shared" ca="1" si="15"/>
        <v>#REF!</v>
      </c>
      <c r="J210" t="str">
        <f>VLOOKUP($G210,DefinitionArrays!$I$6:$J$12,2,FALSE)</f>
        <v>Workweek</v>
      </c>
    </row>
    <row r="211" spans="1:10">
      <c r="A211" s="159" t="str">
        <f t="shared" si="16"/>
        <v>$E$1:$E$92</v>
      </c>
      <c r="B211" s="159" t="str">
        <f t="shared" si="17"/>
        <v>$F$1:$F$92</v>
      </c>
      <c r="C211" s="159" t="str">
        <f t="shared" si="18"/>
        <v>April!$E$1:$E$92</v>
      </c>
      <c r="D211" s="159" t="str">
        <f t="shared" si="19"/>
        <v>April!$F$1:$F$92</v>
      </c>
      <c r="E211" t="s">
        <v>3</v>
      </c>
      <c r="F211" t="s">
        <v>123</v>
      </c>
      <c r="G211" t="s">
        <v>142</v>
      </c>
      <c r="H211" t="s">
        <v>44</v>
      </c>
      <c r="I211" t="e">
        <f t="shared" ca="1" si="15"/>
        <v>#REF!</v>
      </c>
      <c r="J211" t="str">
        <f>VLOOKUP($G211,DefinitionArrays!$I$6:$J$12,2,FALSE)</f>
        <v>Workweek</v>
      </c>
    </row>
    <row r="212" spans="1:10">
      <c r="A212" s="159" t="str">
        <f t="shared" si="16"/>
        <v>$H$1:$H$92</v>
      </c>
      <c r="B212" s="159" t="str">
        <f t="shared" si="17"/>
        <v>$I$1:$I$92</v>
      </c>
      <c r="C212" s="159" t="str">
        <f t="shared" si="18"/>
        <v>April!$H$1:$H$92</v>
      </c>
      <c r="D212" s="159" t="str">
        <f t="shared" si="19"/>
        <v>April!$I$1:$I$92</v>
      </c>
      <c r="E212" t="s">
        <v>3</v>
      </c>
      <c r="F212" t="s">
        <v>123</v>
      </c>
      <c r="G212" t="s">
        <v>143</v>
      </c>
      <c r="H212" t="s">
        <v>159</v>
      </c>
      <c r="I212" t="e">
        <f t="shared" ca="1" si="15"/>
        <v>#REF!</v>
      </c>
      <c r="J212" t="str">
        <f>VLOOKUP($G212,DefinitionArrays!$I$6:$J$12,2,FALSE)</f>
        <v>Workweek</v>
      </c>
    </row>
    <row r="213" spans="1:10">
      <c r="A213" s="159" t="str">
        <f t="shared" si="16"/>
        <v>$H$1:$H$92</v>
      </c>
      <c r="B213" s="159" t="str">
        <f t="shared" si="17"/>
        <v>$I$1:$I$92</v>
      </c>
      <c r="C213" s="159" t="str">
        <f t="shared" si="18"/>
        <v>April!$H$1:$H$92</v>
      </c>
      <c r="D213" s="159" t="str">
        <f t="shared" si="19"/>
        <v>April!$I$1:$I$92</v>
      </c>
      <c r="E213" t="s">
        <v>3</v>
      </c>
      <c r="F213" t="s">
        <v>123</v>
      </c>
      <c r="G213" t="s">
        <v>143</v>
      </c>
      <c r="H213" t="s">
        <v>18</v>
      </c>
      <c r="I213" t="e">
        <f t="shared" ca="1" si="15"/>
        <v>#REF!</v>
      </c>
      <c r="J213" t="str">
        <f>VLOOKUP($G213,DefinitionArrays!$I$6:$J$12,2,FALSE)</f>
        <v>Workweek</v>
      </c>
    </row>
    <row r="214" spans="1:10">
      <c r="A214" s="159" t="str">
        <f t="shared" si="16"/>
        <v>$H$1:$H$92</v>
      </c>
      <c r="B214" s="159" t="str">
        <f t="shared" si="17"/>
        <v>$I$1:$I$92</v>
      </c>
      <c r="C214" s="159" t="str">
        <f t="shared" si="18"/>
        <v>April!$H$1:$H$92</v>
      </c>
      <c r="D214" s="159" t="str">
        <f t="shared" si="19"/>
        <v>April!$I$1:$I$92</v>
      </c>
      <c r="E214" t="s">
        <v>3</v>
      </c>
      <c r="F214" t="s">
        <v>123</v>
      </c>
      <c r="G214" t="s">
        <v>143</v>
      </c>
      <c r="H214" t="s">
        <v>153</v>
      </c>
      <c r="I214" t="e">
        <f t="shared" ca="1" si="15"/>
        <v>#REF!</v>
      </c>
      <c r="J214" t="str">
        <f>VLOOKUP($G214,DefinitionArrays!$I$6:$J$12,2,FALSE)</f>
        <v>Workweek</v>
      </c>
    </row>
    <row r="215" spans="1:10">
      <c r="A215" s="159" t="str">
        <f t="shared" si="16"/>
        <v>$H$1:$H$92</v>
      </c>
      <c r="B215" s="159" t="str">
        <f t="shared" si="17"/>
        <v>$I$1:$I$92</v>
      </c>
      <c r="C215" s="159" t="str">
        <f t="shared" si="18"/>
        <v>April!$H$1:$H$92</v>
      </c>
      <c r="D215" s="159" t="str">
        <f t="shared" si="19"/>
        <v>April!$I$1:$I$92</v>
      </c>
      <c r="E215" t="s">
        <v>3</v>
      </c>
      <c r="F215" t="s">
        <v>123</v>
      </c>
      <c r="G215" t="s">
        <v>143</v>
      </c>
      <c r="H215" t="s">
        <v>19</v>
      </c>
      <c r="I215" t="e">
        <f t="shared" ca="1" si="15"/>
        <v>#REF!</v>
      </c>
      <c r="J215" t="str">
        <f>VLOOKUP($G215,DefinitionArrays!$I$6:$J$12,2,FALSE)</f>
        <v>Workweek</v>
      </c>
    </row>
    <row r="216" spans="1:10">
      <c r="A216" s="159" t="str">
        <f t="shared" si="16"/>
        <v>$H$1:$H$92</v>
      </c>
      <c r="B216" s="159" t="str">
        <f t="shared" si="17"/>
        <v>$I$1:$I$92</v>
      </c>
      <c r="C216" s="159" t="str">
        <f t="shared" si="18"/>
        <v>April!$H$1:$H$92</v>
      </c>
      <c r="D216" s="159" t="str">
        <f t="shared" si="19"/>
        <v>April!$I$1:$I$92</v>
      </c>
      <c r="E216" t="s">
        <v>3</v>
      </c>
      <c r="F216" t="s">
        <v>123</v>
      </c>
      <c r="G216" t="s">
        <v>143</v>
      </c>
      <c r="H216" t="s">
        <v>20</v>
      </c>
      <c r="I216" t="e">
        <f t="shared" ca="1" si="15"/>
        <v>#REF!</v>
      </c>
      <c r="J216" t="str">
        <f>VLOOKUP($G216,DefinitionArrays!$I$6:$J$12,2,FALSE)</f>
        <v>Workweek</v>
      </c>
    </row>
    <row r="217" spans="1:10">
      <c r="A217" s="159" t="str">
        <f t="shared" si="16"/>
        <v>$H$1:$H$92</v>
      </c>
      <c r="B217" s="159" t="str">
        <f t="shared" si="17"/>
        <v>$I$1:$I$92</v>
      </c>
      <c r="C217" s="159" t="str">
        <f t="shared" si="18"/>
        <v>April!$H$1:$H$92</v>
      </c>
      <c r="D217" s="159" t="str">
        <f t="shared" si="19"/>
        <v>April!$I$1:$I$92</v>
      </c>
      <c r="E217" t="s">
        <v>3</v>
      </c>
      <c r="F217" t="s">
        <v>123</v>
      </c>
      <c r="G217" t="s">
        <v>143</v>
      </c>
      <c r="H217" t="s">
        <v>21</v>
      </c>
      <c r="I217" t="e">
        <f t="shared" ca="1" si="15"/>
        <v>#REF!</v>
      </c>
      <c r="J217" t="str">
        <f>VLOOKUP($G217,DefinitionArrays!$I$6:$J$12,2,FALSE)</f>
        <v>Workweek</v>
      </c>
    </row>
    <row r="218" spans="1:10">
      <c r="A218" s="159" t="str">
        <f t="shared" si="16"/>
        <v>$H$1:$H$92</v>
      </c>
      <c r="B218" s="159" t="str">
        <f t="shared" si="17"/>
        <v>$I$1:$I$92</v>
      </c>
      <c r="C218" s="159" t="str">
        <f t="shared" si="18"/>
        <v>April!$H$1:$H$92</v>
      </c>
      <c r="D218" s="159" t="str">
        <f t="shared" si="19"/>
        <v>April!$I$1:$I$92</v>
      </c>
      <c r="E218" t="s">
        <v>3</v>
      </c>
      <c r="F218" t="s">
        <v>123</v>
      </c>
      <c r="G218" t="s">
        <v>143</v>
      </c>
      <c r="H218" t="s">
        <v>22</v>
      </c>
      <c r="I218" t="e">
        <f t="shared" ca="1" si="15"/>
        <v>#REF!</v>
      </c>
      <c r="J218" t="str">
        <f>VLOOKUP($G218,DefinitionArrays!$I$6:$J$12,2,FALSE)</f>
        <v>Workweek</v>
      </c>
    </row>
    <row r="219" spans="1:10">
      <c r="A219" s="159" t="str">
        <f t="shared" si="16"/>
        <v>$H$1:$H$92</v>
      </c>
      <c r="B219" s="159" t="str">
        <f t="shared" si="17"/>
        <v>$I$1:$I$92</v>
      </c>
      <c r="C219" s="159" t="str">
        <f t="shared" si="18"/>
        <v>April!$H$1:$H$92</v>
      </c>
      <c r="D219" s="159" t="str">
        <f t="shared" si="19"/>
        <v>April!$I$1:$I$92</v>
      </c>
      <c r="E219" t="s">
        <v>3</v>
      </c>
      <c r="F219" t="s">
        <v>123</v>
      </c>
      <c r="G219" t="s">
        <v>143</v>
      </c>
      <c r="H219" t="s">
        <v>23</v>
      </c>
      <c r="I219" t="e">
        <f t="shared" ca="1" si="15"/>
        <v>#REF!</v>
      </c>
      <c r="J219" t="str">
        <f>VLOOKUP($G219,DefinitionArrays!$I$6:$J$12,2,FALSE)</f>
        <v>Workweek</v>
      </c>
    </row>
    <row r="220" spans="1:10">
      <c r="A220" s="159" t="str">
        <f t="shared" si="16"/>
        <v>$H$1:$H$92</v>
      </c>
      <c r="B220" s="159" t="str">
        <f t="shared" si="17"/>
        <v>$I$1:$I$92</v>
      </c>
      <c r="C220" s="159" t="str">
        <f t="shared" si="18"/>
        <v>April!$H$1:$H$92</v>
      </c>
      <c r="D220" s="159" t="str">
        <f t="shared" si="19"/>
        <v>April!$I$1:$I$92</v>
      </c>
      <c r="E220" t="s">
        <v>3</v>
      </c>
      <c r="F220" t="s">
        <v>123</v>
      </c>
      <c r="G220" t="s">
        <v>143</v>
      </c>
      <c r="H220" t="s">
        <v>24</v>
      </c>
      <c r="I220" t="e">
        <f t="shared" ca="1" si="15"/>
        <v>#REF!</v>
      </c>
      <c r="J220" t="str">
        <f>VLOOKUP($G220,DefinitionArrays!$I$6:$J$12,2,FALSE)</f>
        <v>Workweek</v>
      </c>
    </row>
    <row r="221" spans="1:10">
      <c r="A221" s="159" t="str">
        <f t="shared" si="16"/>
        <v>$H$1:$H$92</v>
      </c>
      <c r="B221" s="159" t="str">
        <f t="shared" si="17"/>
        <v>$I$1:$I$92</v>
      </c>
      <c r="C221" s="159" t="str">
        <f t="shared" si="18"/>
        <v>April!$H$1:$H$92</v>
      </c>
      <c r="D221" s="159" t="str">
        <f t="shared" si="19"/>
        <v>April!$I$1:$I$92</v>
      </c>
      <c r="E221" t="s">
        <v>3</v>
      </c>
      <c r="F221" t="s">
        <v>123</v>
      </c>
      <c r="G221" t="s">
        <v>143</v>
      </c>
      <c r="H221" t="s">
        <v>179</v>
      </c>
      <c r="I221" t="e">
        <f t="shared" ca="1" si="15"/>
        <v>#REF!</v>
      </c>
      <c r="J221" t="str">
        <f>VLOOKUP($G221,DefinitionArrays!$I$6:$J$12,2,FALSE)</f>
        <v>Workweek</v>
      </c>
    </row>
    <row r="222" spans="1:10">
      <c r="A222" s="159" t="str">
        <f t="shared" si="16"/>
        <v>$H$1:$H$92</v>
      </c>
      <c r="B222" s="159" t="str">
        <f t="shared" si="17"/>
        <v>$I$1:$I$92</v>
      </c>
      <c r="C222" s="159" t="str">
        <f t="shared" si="18"/>
        <v>April!$H$1:$H$92</v>
      </c>
      <c r="D222" s="159" t="str">
        <f t="shared" si="19"/>
        <v>April!$I$1:$I$92</v>
      </c>
      <c r="E222" t="s">
        <v>3</v>
      </c>
      <c r="F222" t="s">
        <v>123</v>
      </c>
      <c r="G222" t="s">
        <v>143</v>
      </c>
      <c r="H222" t="s">
        <v>180</v>
      </c>
      <c r="I222" t="e">
        <f t="shared" ca="1" si="15"/>
        <v>#REF!</v>
      </c>
      <c r="J222" t="str">
        <f>VLOOKUP($G222,DefinitionArrays!$I$6:$J$12,2,FALSE)</f>
        <v>Workweek</v>
      </c>
    </row>
    <row r="223" spans="1:10">
      <c r="A223" s="159" t="str">
        <f t="shared" si="16"/>
        <v>$H$1:$H$92</v>
      </c>
      <c r="B223" s="159" t="str">
        <f t="shared" si="17"/>
        <v>$I$1:$I$92</v>
      </c>
      <c r="C223" s="159" t="str">
        <f t="shared" si="18"/>
        <v>April!$H$1:$H$92</v>
      </c>
      <c r="D223" s="159" t="str">
        <f t="shared" si="19"/>
        <v>April!$I$1:$I$92</v>
      </c>
      <c r="E223" t="s">
        <v>3</v>
      </c>
      <c r="F223" t="s">
        <v>123</v>
      </c>
      <c r="G223" t="s">
        <v>143</v>
      </c>
      <c r="H223" t="s">
        <v>44</v>
      </c>
      <c r="I223" t="e">
        <f t="shared" ca="1" si="15"/>
        <v>#REF!</v>
      </c>
      <c r="J223" t="str">
        <f>VLOOKUP($G223,DefinitionArrays!$I$6:$J$12,2,FALSE)</f>
        <v>Workweek</v>
      </c>
    </row>
    <row r="224" spans="1:10">
      <c r="A224" s="159" t="str">
        <f t="shared" si="16"/>
        <v>$K$1:$K$92</v>
      </c>
      <c r="B224" s="159" t="str">
        <f t="shared" si="17"/>
        <v>$L$1:$L$92</v>
      </c>
      <c r="C224" s="159" t="str">
        <f t="shared" si="18"/>
        <v>April!$K$1:$K$92</v>
      </c>
      <c r="D224" s="159" t="str">
        <f t="shared" si="19"/>
        <v>April!$L$1:$L$92</v>
      </c>
      <c r="E224" t="s">
        <v>3</v>
      </c>
      <c r="F224" t="s">
        <v>123</v>
      </c>
      <c r="G224" t="s">
        <v>144</v>
      </c>
      <c r="H224" t="s">
        <v>159</v>
      </c>
      <c r="I224" t="e">
        <f t="shared" ca="1" si="15"/>
        <v>#REF!</v>
      </c>
      <c r="J224" t="str">
        <f>VLOOKUP($G224,DefinitionArrays!$I$6:$J$12,2,FALSE)</f>
        <v>Workweek</v>
      </c>
    </row>
    <row r="225" spans="1:10">
      <c r="A225" s="159" t="str">
        <f t="shared" si="16"/>
        <v>$K$1:$K$92</v>
      </c>
      <c r="B225" s="159" t="str">
        <f t="shared" si="17"/>
        <v>$L$1:$L$92</v>
      </c>
      <c r="C225" s="159" t="str">
        <f t="shared" si="18"/>
        <v>April!$K$1:$K$92</v>
      </c>
      <c r="D225" s="159" t="str">
        <f t="shared" si="19"/>
        <v>April!$L$1:$L$92</v>
      </c>
      <c r="E225" t="s">
        <v>3</v>
      </c>
      <c r="F225" t="s">
        <v>123</v>
      </c>
      <c r="G225" t="s">
        <v>144</v>
      </c>
      <c r="H225" t="s">
        <v>18</v>
      </c>
      <c r="I225" t="e">
        <f t="shared" ca="1" si="15"/>
        <v>#REF!</v>
      </c>
      <c r="J225" t="str">
        <f>VLOOKUP($G225,DefinitionArrays!$I$6:$J$12,2,FALSE)</f>
        <v>Workweek</v>
      </c>
    </row>
    <row r="226" spans="1:10">
      <c r="A226" s="159" t="str">
        <f t="shared" si="16"/>
        <v>$K$1:$K$92</v>
      </c>
      <c r="B226" s="159" t="str">
        <f t="shared" si="17"/>
        <v>$L$1:$L$92</v>
      </c>
      <c r="C226" s="159" t="str">
        <f t="shared" si="18"/>
        <v>April!$K$1:$K$92</v>
      </c>
      <c r="D226" s="159" t="str">
        <f t="shared" si="19"/>
        <v>April!$L$1:$L$92</v>
      </c>
      <c r="E226" t="s">
        <v>3</v>
      </c>
      <c r="F226" t="s">
        <v>123</v>
      </c>
      <c r="G226" t="s">
        <v>144</v>
      </c>
      <c r="H226" t="s">
        <v>153</v>
      </c>
      <c r="I226" t="e">
        <f t="shared" ca="1" si="15"/>
        <v>#REF!</v>
      </c>
      <c r="J226" t="str">
        <f>VLOOKUP($G226,DefinitionArrays!$I$6:$J$12,2,FALSE)</f>
        <v>Workweek</v>
      </c>
    </row>
    <row r="227" spans="1:10">
      <c r="A227" s="159" t="str">
        <f t="shared" si="16"/>
        <v>$K$1:$K$92</v>
      </c>
      <c r="B227" s="159" t="str">
        <f t="shared" si="17"/>
        <v>$L$1:$L$92</v>
      </c>
      <c r="C227" s="159" t="str">
        <f t="shared" si="18"/>
        <v>April!$K$1:$K$92</v>
      </c>
      <c r="D227" s="159" t="str">
        <f t="shared" si="19"/>
        <v>April!$L$1:$L$92</v>
      </c>
      <c r="E227" t="s">
        <v>3</v>
      </c>
      <c r="F227" t="s">
        <v>123</v>
      </c>
      <c r="G227" t="s">
        <v>144</v>
      </c>
      <c r="H227" t="s">
        <v>19</v>
      </c>
      <c r="I227" t="e">
        <f t="shared" ca="1" si="15"/>
        <v>#REF!</v>
      </c>
      <c r="J227" t="str">
        <f>VLOOKUP($G227,DefinitionArrays!$I$6:$J$12,2,FALSE)</f>
        <v>Workweek</v>
      </c>
    </row>
    <row r="228" spans="1:10">
      <c r="A228" s="159" t="str">
        <f t="shared" si="16"/>
        <v>$K$1:$K$92</v>
      </c>
      <c r="B228" s="159" t="str">
        <f t="shared" si="17"/>
        <v>$L$1:$L$92</v>
      </c>
      <c r="C228" s="159" t="str">
        <f t="shared" si="18"/>
        <v>April!$K$1:$K$92</v>
      </c>
      <c r="D228" s="159" t="str">
        <f t="shared" si="19"/>
        <v>April!$L$1:$L$92</v>
      </c>
      <c r="E228" t="s">
        <v>3</v>
      </c>
      <c r="F228" t="s">
        <v>123</v>
      </c>
      <c r="G228" t="s">
        <v>144</v>
      </c>
      <c r="H228" t="s">
        <v>20</v>
      </c>
      <c r="I228" t="e">
        <f t="shared" ca="1" si="15"/>
        <v>#REF!</v>
      </c>
      <c r="J228" t="str">
        <f>VLOOKUP($G228,DefinitionArrays!$I$6:$J$12,2,FALSE)</f>
        <v>Workweek</v>
      </c>
    </row>
    <row r="229" spans="1:10">
      <c r="A229" s="159" t="str">
        <f t="shared" si="16"/>
        <v>$K$1:$K$92</v>
      </c>
      <c r="B229" s="159" t="str">
        <f t="shared" si="17"/>
        <v>$L$1:$L$92</v>
      </c>
      <c r="C229" s="159" t="str">
        <f t="shared" si="18"/>
        <v>April!$K$1:$K$92</v>
      </c>
      <c r="D229" s="159" t="str">
        <f t="shared" si="19"/>
        <v>April!$L$1:$L$92</v>
      </c>
      <c r="E229" t="s">
        <v>3</v>
      </c>
      <c r="F229" t="s">
        <v>123</v>
      </c>
      <c r="G229" t="s">
        <v>144</v>
      </c>
      <c r="H229" t="s">
        <v>21</v>
      </c>
      <c r="I229" t="e">
        <f t="shared" ca="1" si="15"/>
        <v>#REF!</v>
      </c>
      <c r="J229" t="str">
        <f>VLOOKUP($G229,DefinitionArrays!$I$6:$J$12,2,FALSE)</f>
        <v>Workweek</v>
      </c>
    </row>
    <row r="230" spans="1:10">
      <c r="A230" s="159" t="str">
        <f t="shared" si="16"/>
        <v>$K$1:$K$92</v>
      </c>
      <c r="B230" s="159" t="str">
        <f t="shared" si="17"/>
        <v>$L$1:$L$92</v>
      </c>
      <c r="C230" s="159" t="str">
        <f t="shared" si="18"/>
        <v>April!$K$1:$K$92</v>
      </c>
      <c r="D230" s="159" t="str">
        <f t="shared" si="19"/>
        <v>April!$L$1:$L$92</v>
      </c>
      <c r="E230" t="s">
        <v>3</v>
      </c>
      <c r="F230" t="s">
        <v>123</v>
      </c>
      <c r="G230" t="s">
        <v>144</v>
      </c>
      <c r="H230" t="s">
        <v>22</v>
      </c>
      <c r="I230" t="e">
        <f t="shared" ca="1" si="15"/>
        <v>#REF!</v>
      </c>
      <c r="J230" t="str">
        <f>VLOOKUP($G230,DefinitionArrays!$I$6:$J$12,2,FALSE)</f>
        <v>Workweek</v>
      </c>
    </row>
    <row r="231" spans="1:10">
      <c r="A231" s="159" t="str">
        <f t="shared" si="16"/>
        <v>$K$1:$K$92</v>
      </c>
      <c r="B231" s="159" t="str">
        <f t="shared" si="17"/>
        <v>$L$1:$L$92</v>
      </c>
      <c r="C231" s="159" t="str">
        <f t="shared" si="18"/>
        <v>April!$K$1:$K$92</v>
      </c>
      <c r="D231" s="159" t="str">
        <f t="shared" si="19"/>
        <v>April!$L$1:$L$92</v>
      </c>
      <c r="E231" t="s">
        <v>3</v>
      </c>
      <c r="F231" t="s">
        <v>123</v>
      </c>
      <c r="G231" t="s">
        <v>144</v>
      </c>
      <c r="H231" t="s">
        <v>23</v>
      </c>
      <c r="I231" t="e">
        <f t="shared" ca="1" si="15"/>
        <v>#REF!</v>
      </c>
      <c r="J231" t="str">
        <f>VLOOKUP($G231,DefinitionArrays!$I$6:$J$12,2,FALSE)</f>
        <v>Workweek</v>
      </c>
    </row>
    <row r="232" spans="1:10">
      <c r="A232" s="159" t="str">
        <f t="shared" si="16"/>
        <v>$K$1:$K$92</v>
      </c>
      <c r="B232" s="159" t="str">
        <f t="shared" si="17"/>
        <v>$L$1:$L$92</v>
      </c>
      <c r="C232" s="159" t="str">
        <f t="shared" si="18"/>
        <v>April!$K$1:$K$92</v>
      </c>
      <c r="D232" s="159" t="str">
        <f t="shared" si="19"/>
        <v>April!$L$1:$L$92</v>
      </c>
      <c r="E232" t="s">
        <v>3</v>
      </c>
      <c r="F232" t="s">
        <v>123</v>
      </c>
      <c r="G232" t="s">
        <v>144</v>
      </c>
      <c r="H232" t="s">
        <v>24</v>
      </c>
      <c r="I232" t="e">
        <f t="shared" ca="1" si="15"/>
        <v>#REF!</v>
      </c>
      <c r="J232" t="str">
        <f>VLOOKUP($G232,DefinitionArrays!$I$6:$J$12,2,FALSE)</f>
        <v>Workweek</v>
      </c>
    </row>
    <row r="233" spans="1:10">
      <c r="A233" s="159" t="str">
        <f t="shared" si="16"/>
        <v>$K$1:$K$92</v>
      </c>
      <c r="B233" s="159" t="str">
        <f t="shared" si="17"/>
        <v>$L$1:$L$92</v>
      </c>
      <c r="C233" s="159" t="str">
        <f t="shared" si="18"/>
        <v>April!$K$1:$K$92</v>
      </c>
      <c r="D233" s="159" t="str">
        <f t="shared" si="19"/>
        <v>April!$L$1:$L$92</v>
      </c>
      <c r="E233" t="s">
        <v>3</v>
      </c>
      <c r="F233" t="s">
        <v>123</v>
      </c>
      <c r="G233" t="s">
        <v>144</v>
      </c>
      <c r="H233" t="s">
        <v>179</v>
      </c>
      <c r="I233" t="e">
        <f t="shared" ca="1" si="15"/>
        <v>#REF!</v>
      </c>
      <c r="J233" t="str">
        <f>VLOOKUP($G233,DefinitionArrays!$I$6:$J$12,2,FALSE)</f>
        <v>Workweek</v>
      </c>
    </row>
    <row r="234" spans="1:10">
      <c r="A234" s="159" t="str">
        <f t="shared" si="16"/>
        <v>$K$1:$K$92</v>
      </c>
      <c r="B234" s="159" t="str">
        <f t="shared" si="17"/>
        <v>$L$1:$L$92</v>
      </c>
      <c r="C234" s="159" t="str">
        <f t="shared" si="18"/>
        <v>April!$K$1:$K$92</v>
      </c>
      <c r="D234" s="159" t="str">
        <f t="shared" si="19"/>
        <v>April!$L$1:$L$92</v>
      </c>
      <c r="E234" t="s">
        <v>3</v>
      </c>
      <c r="F234" t="s">
        <v>123</v>
      </c>
      <c r="G234" t="s">
        <v>144</v>
      </c>
      <c r="H234" t="s">
        <v>180</v>
      </c>
      <c r="I234" t="e">
        <f t="shared" ca="1" si="15"/>
        <v>#REF!</v>
      </c>
      <c r="J234" t="str">
        <f>VLOOKUP($G234,DefinitionArrays!$I$6:$J$12,2,FALSE)</f>
        <v>Workweek</v>
      </c>
    </row>
    <row r="235" spans="1:10">
      <c r="A235" s="159" t="str">
        <f t="shared" si="16"/>
        <v>$K$1:$K$92</v>
      </c>
      <c r="B235" s="159" t="str">
        <f t="shared" si="17"/>
        <v>$L$1:$L$92</v>
      </c>
      <c r="C235" s="159" t="str">
        <f t="shared" si="18"/>
        <v>April!$K$1:$K$92</v>
      </c>
      <c r="D235" s="159" t="str">
        <f t="shared" si="19"/>
        <v>April!$L$1:$L$92</v>
      </c>
      <c r="E235" t="s">
        <v>3</v>
      </c>
      <c r="F235" t="s">
        <v>123</v>
      </c>
      <c r="G235" t="s">
        <v>144</v>
      </c>
      <c r="H235" t="s">
        <v>44</v>
      </c>
      <c r="I235" t="e">
        <f t="shared" ca="1" si="15"/>
        <v>#REF!</v>
      </c>
      <c r="J235" t="str">
        <f>VLOOKUP($G235,DefinitionArrays!$I$6:$J$12,2,FALSE)</f>
        <v>Workweek</v>
      </c>
    </row>
    <row r="236" spans="1:10">
      <c r="A236" s="159" t="str">
        <f t="shared" si="16"/>
        <v>$N$1:$N$92</v>
      </c>
      <c r="B236" s="159" t="str">
        <f t="shared" si="17"/>
        <v>$O$1:$O$92</v>
      </c>
      <c r="C236" s="159" t="str">
        <f t="shared" si="18"/>
        <v>April!$N$1:$N$92</v>
      </c>
      <c r="D236" s="159" t="str">
        <f t="shared" si="19"/>
        <v>April!$O$1:$O$92</v>
      </c>
      <c r="E236" t="s">
        <v>3</v>
      </c>
      <c r="F236" t="s">
        <v>123</v>
      </c>
      <c r="G236" t="s">
        <v>145</v>
      </c>
      <c r="H236" t="s">
        <v>159</v>
      </c>
      <c r="I236" t="e">
        <f t="shared" ca="1" si="15"/>
        <v>#REF!</v>
      </c>
      <c r="J236" t="str">
        <f>VLOOKUP($G236,DefinitionArrays!$I$6:$J$12,2,FALSE)</f>
        <v>Weekend</v>
      </c>
    </row>
    <row r="237" spans="1:10">
      <c r="A237" s="159" t="str">
        <f t="shared" si="16"/>
        <v>$N$1:$N$92</v>
      </c>
      <c r="B237" s="159" t="str">
        <f t="shared" si="17"/>
        <v>$O$1:$O$92</v>
      </c>
      <c r="C237" s="159" t="str">
        <f t="shared" si="18"/>
        <v>April!$N$1:$N$92</v>
      </c>
      <c r="D237" s="159" t="str">
        <f t="shared" si="19"/>
        <v>April!$O$1:$O$92</v>
      </c>
      <c r="E237" t="s">
        <v>3</v>
      </c>
      <c r="F237" t="s">
        <v>123</v>
      </c>
      <c r="G237" t="s">
        <v>145</v>
      </c>
      <c r="H237" t="s">
        <v>18</v>
      </c>
      <c r="I237" t="e">
        <f t="shared" ca="1" si="15"/>
        <v>#REF!</v>
      </c>
      <c r="J237" t="str">
        <f>VLOOKUP($G237,DefinitionArrays!$I$6:$J$12,2,FALSE)</f>
        <v>Weekend</v>
      </c>
    </row>
    <row r="238" spans="1:10">
      <c r="A238" s="159" t="str">
        <f t="shared" si="16"/>
        <v>$N$1:$N$92</v>
      </c>
      <c r="B238" s="159" t="str">
        <f t="shared" si="17"/>
        <v>$O$1:$O$92</v>
      </c>
      <c r="C238" s="159" t="str">
        <f t="shared" si="18"/>
        <v>April!$N$1:$N$92</v>
      </c>
      <c r="D238" s="159" t="str">
        <f t="shared" si="19"/>
        <v>April!$O$1:$O$92</v>
      </c>
      <c r="E238" t="s">
        <v>3</v>
      </c>
      <c r="F238" t="s">
        <v>123</v>
      </c>
      <c r="G238" t="s">
        <v>145</v>
      </c>
      <c r="H238" t="s">
        <v>153</v>
      </c>
      <c r="I238" t="e">
        <f t="shared" ca="1" si="15"/>
        <v>#REF!</v>
      </c>
      <c r="J238" t="str">
        <f>VLOOKUP($G238,DefinitionArrays!$I$6:$J$12,2,FALSE)</f>
        <v>Weekend</v>
      </c>
    </row>
    <row r="239" spans="1:10">
      <c r="A239" s="159" t="str">
        <f t="shared" si="16"/>
        <v>$N$1:$N$92</v>
      </c>
      <c r="B239" s="159" t="str">
        <f t="shared" si="17"/>
        <v>$O$1:$O$92</v>
      </c>
      <c r="C239" s="159" t="str">
        <f t="shared" si="18"/>
        <v>April!$N$1:$N$92</v>
      </c>
      <c r="D239" s="159" t="str">
        <f t="shared" si="19"/>
        <v>April!$O$1:$O$92</v>
      </c>
      <c r="E239" t="s">
        <v>3</v>
      </c>
      <c r="F239" t="s">
        <v>123</v>
      </c>
      <c r="G239" t="s">
        <v>145</v>
      </c>
      <c r="H239" t="s">
        <v>19</v>
      </c>
      <c r="I239" t="e">
        <f t="shared" ca="1" si="15"/>
        <v>#REF!</v>
      </c>
      <c r="J239" t="str">
        <f>VLOOKUP($G239,DefinitionArrays!$I$6:$J$12,2,FALSE)</f>
        <v>Weekend</v>
      </c>
    </row>
    <row r="240" spans="1:10">
      <c r="A240" s="159" t="str">
        <f t="shared" si="16"/>
        <v>$N$1:$N$92</v>
      </c>
      <c r="B240" s="159" t="str">
        <f t="shared" si="17"/>
        <v>$O$1:$O$92</v>
      </c>
      <c r="C240" s="159" t="str">
        <f t="shared" si="18"/>
        <v>April!$N$1:$N$92</v>
      </c>
      <c r="D240" s="159" t="str">
        <f t="shared" si="19"/>
        <v>April!$O$1:$O$92</v>
      </c>
      <c r="E240" t="s">
        <v>3</v>
      </c>
      <c r="F240" t="s">
        <v>123</v>
      </c>
      <c r="G240" t="s">
        <v>145</v>
      </c>
      <c r="H240" t="s">
        <v>20</v>
      </c>
      <c r="I240" t="e">
        <f t="shared" ca="1" si="15"/>
        <v>#REF!</v>
      </c>
      <c r="J240" t="str">
        <f>VLOOKUP($G240,DefinitionArrays!$I$6:$J$12,2,FALSE)</f>
        <v>Weekend</v>
      </c>
    </row>
    <row r="241" spans="1:10">
      <c r="A241" s="159" t="str">
        <f t="shared" si="16"/>
        <v>$N$1:$N$92</v>
      </c>
      <c r="B241" s="159" t="str">
        <f t="shared" si="17"/>
        <v>$O$1:$O$92</v>
      </c>
      <c r="C241" s="159" t="str">
        <f t="shared" si="18"/>
        <v>April!$N$1:$N$92</v>
      </c>
      <c r="D241" s="159" t="str">
        <f t="shared" si="19"/>
        <v>April!$O$1:$O$92</v>
      </c>
      <c r="E241" t="s">
        <v>3</v>
      </c>
      <c r="F241" t="s">
        <v>123</v>
      </c>
      <c r="G241" t="s">
        <v>145</v>
      </c>
      <c r="H241" t="s">
        <v>21</v>
      </c>
      <c r="I241" t="e">
        <f t="shared" ca="1" si="15"/>
        <v>#REF!</v>
      </c>
      <c r="J241" t="str">
        <f>VLOOKUP($G241,DefinitionArrays!$I$6:$J$12,2,FALSE)</f>
        <v>Weekend</v>
      </c>
    </row>
    <row r="242" spans="1:10">
      <c r="A242" s="159" t="str">
        <f t="shared" si="16"/>
        <v>$N$1:$N$92</v>
      </c>
      <c r="B242" s="159" t="str">
        <f t="shared" si="17"/>
        <v>$O$1:$O$92</v>
      </c>
      <c r="C242" s="159" t="str">
        <f t="shared" si="18"/>
        <v>April!$N$1:$N$92</v>
      </c>
      <c r="D242" s="159" t="str">
        <f t="shared" si="19"/>
        <v>April!$O$1:$O$92</v>
      </c>
      <c r="E242" t="s">
        <v>3</v>
      </c>
      <c r="F242" t="s">
        <v>123</v>
      </c>
      <c r="G242" t="s">
        <v>145</v>
      </c>
      <c r="H242" t="s">
        <v>22</v>
      </c>
      <c r="I242" t="e">
        <f t="shared" ca="1" si="15"/>
        <v>#REF!</v>
      </c>
      <c r="J242" t="str">
        <f>VLOOKUP($G242,DefinitionArrays!$I$6:$J$12,2,FALSE)</f>
        <v>Weekend</v>
      </c>
    </row>
    <row r="243" spans="1:10">
      <c r="A243" s="159" t="str">
        <f t="shared" si="16"/>
        <v>$N$1:$N$92</v>
      </c>
      <c r="B243" s="159" t="str">
        <f t="shared" si="17"/>
        <v>$O$1:$O$92</v>
      </c>
      <c r="C243" s="159" t="str">
        <f t="shared" si="18"/>
        <v>April!$N$1:$N$92</v>
      </c>
      <c r="D243" s="159" t="str">
        <f t="shared" si="19"/>
        <v>April!$O$1:$O$92</v>
      </c>
      <c r="E243" t="s">
        <v>3</v>
      </c>
      <c r="F243" t="s">
        <v>123</v>
      </c>
      <c r="G243" t="s">
        <v>145</v>
      </c>
      <c r="H243" t="s">
        <v>23</v>
      </c>
      <c r="I243" t="e">
        <f t="shared" ca="1" si="15"/>
        <v>#REF!</v>
      </c>
      <c r="J243" t="str">
        <f>VLOOKUP($G243,DefinitionArrays!$I$6:$J$12,2,FALSE)</f>
        <v>Weekend</v>
      </c>
    </row>
    <row r="244" spans="1:10">
      <c r="A244" s="159" t="str">
        <f t="shared" si="16"/>
        <v>$N$1:$N$92</v>
      </c>
      <c r="B244" s="159" t="str">
        <f t="shared" si="17"/>
        <v>$O$1:$O$92</v>
      </c>
      <c r="C244" s="159" t="str">
        <f t="shared" si="18"/>
        <v>April!$N$1:$N$92</v>
      </c>
      <c r="D244" s="159" t="str">
        <f t="shared" si="19"/>
        <v>April!$O$1:$O$92</v>
      </c>
      <c r="E244" t="s">
        <v>3</v>
      </c>
      <c r="F244" t="s">
        <v>123</v>
      </c>
      <c r="G244" t="s">
        <v>145</v>
      </c>
      <c r="H244" t="s">
        <v>24</v>
      </c>
      <c r="I244" t="e">
        <f t="shared" ca="1" si="15"/>
        <v>#REF!</v>
      </c>
      <c r="J244" t="str">
        <f>VLOOKUP($G244,DefinitionArrays!$I$6:$J$12,2,FALSE)</f>
        <v>Weekend</v>
      </c>
    </row>
    <row r="245" spans="1:10">
      <c r="A245" s="159" t="str">
        <f t="shared" si="16"/>
        <v>$N$1:$N$92</v>
      </c>
      <c r="B245" s="159" t="str">
        <f t="shared" si="17"/>
        <v>$O$1:$O$92</v>
      </c>
      <c r="C245" s="159" t="str">
        <f t="shared" si="18"/>
        <v>April!$N$1:$N$92</v>
      </c>
      <c r="D245" s="159" t="str">
        <f t="shared" si="19"/>
        <v>April!$O$1:$O$92</v>
      </c>
      <c r="E245" t="s">
        <v>3</v>
      </c>
      <c r="F245" t="s">
        <v>123</v>
      </c>
      <c r="G245" t="s">
        <v>145</v>
      </c>
      <c r="H245" t="s">
        <v>179</v>
      </c>
      <c r="I245" t="e">
        <f t="shared" ca="1" si="15"/>
        <v>#REF!</v>
      </c>
      <c r="J245" t="str">
        <f>VLOOKUP($G245,DefinitionArrays!$I$6:$J$12,2,FALSE)</f>
        <v>Weekend</v>
      </c>
    </row>
    <row r="246" spans="1:10">
      <c r="A246" s="159" t="str">
        <f t="shared" si="16"/>
        <v>$N$1:$N$92</v>
      </c>
      <c r="B246" s="159" t="str">
        <f t="shared" si="17"/>
        <v>$O$1:$O$92</v>
      </c>
      <c r="C246" s="159" t="str">
        <f t="shared" si="18"/>
        <v>April!$N$1:$N$92</v>
      </c>
      <c r="D246" s="159" t="str">
        <f t="shared" si="19"/>
        <v>April!$O$1:$O$92</v>
      </c>
      <c r="E246" t="s">
        <v>3</v>
      </c>
      <c r="F246" t="s">
        <v>123</v>
      </c>
      <c r="G246" t="s">
        <v>145</v>
      </c>
      <c r="H246" t="s">
        <v>180</v>
      </c>
      <c r="I246" t="e">
        <f t="shared" ca="1" si="15"/>
        <v>#REF!</v>
      </c>
      <c r="J246" t="str">
        <f>VLOOKUP($G246,DefinitionArrays!$I$6:$J$12,2,FALSE)</f>
        <v>Weekend</v>
      </c>
    </row>
    <row r="247" spans="1:10">
      <c r="A247" s="159" t="str">
        <f t="shared" si="16"/>
        <v>$N$1:$N$92</v>
      </c>
      <c r="B247" s="159" t="str">
        <f t="shared" si="17"/>
        <v>$O$1:$O$92</v>
      </c>
      <c r="C247" s="159" t="str">
        <f t="shared" si="18"/>
        <v>April!$N$1:$N$92</v>
      </c>
      <c r="D247" s="159" t="str">
        <f t="shared" si="19"/>
        <v>April!$O$1:$O$92</v>
      </c>
      <c r="E247" t="s">
        <v>3</v>
      </c>
      <c r="F247" t="s">
        <v>123</v>
      </c>
      <c r="G247" t="s">
        <v>145</v>
      </c>
      <c r="H247" t="s">
        <v>44</v>
      </c>
      <c r="I247" t="e">
        <f t="shared" ca="1" si="15"/>
        <v>#REF!</v>
      </c>
      <c r="J247" t="str">
        <f>VLOOKUP($G247,DefinitionArrays!$I$6:$J$12,2,FALSE)</f>
        <v>Weekend</v>
      </c>
    </row>
    <row r="248" spans="1:10">
      <c r="A248" s="159" t="str">
        <f t="shared" si="16"/>
        <v>$Q$1:$Q$92</v>
      </c>
      <c r="B248" s="159" t="str">
        <f t="shared" si="17"/>
        <v>$R$1:$R$92</v>
      </c>
      <c r="C248" s="159" t="str">
        <f t="shared" si="18"/>
        <v>April!$Q$1:$Q$92</v>
      </c>
      <c r="D248" s="159" t="str">
        <f t="shared" si="19"/>
        <v>April!$R$1:$R$92</v>
      </c>
      <c r="E248" t="s">
        <v>3</v>
      </c>
      <c r="F248" t="s">
        <v>123</v>
      </c>
      <c r="G248" t="s">
        <v>146</v>
      </c>
      <c r="H248" t="s">
        <v>159</v>
      </c>
      <c r="I248" t="e">
        <f t="shared" ca="1" si="15"/>
        <v>#REF!</v>
      </c>
      <c r="J248" t="str">
        <f>VLOOKUP($G248,DefinitionArrays!$I$6:$J$12,2,FALSE)</f>
        <v>Weekend</v>
      </c>
    </row>
    <row r="249" spans="1:10">
      <c r="A249" s="159" t="str">
        <f t="shared" si="16"/>
        <v>$T$1:$T$92</v>
      </c>
      <c r="B249" s="159" t="str">
        <f t="shared" si="17"/>
        <v>$U$1:$U$92</v>
      </c>
      <c r="C249" s="159" t="str">
        <f t="shared" si="18"/>
        <v>April!$T$1:$T$92</v>
      </c>
      <c r="D249" s="159" t="str">
        <f t="shared" si="19"/>
        <v>April!$U$1:$U$92</v>
      </c>
      <c r="E249" t="s">
        <v>3</v>
      </c>
      <c r="F249" t="s">
        <v>123</v>
      </c>
      <c r="G249" t="s">
        <v>141</v>
      </c>
      <c r="H249" t="s">
        <v>159</v>
      </c>
      <c r="I249" t="e">
        <f t="shared" ca="1" si="15"/>
        <v>#REF!</v>
      </c>
      <c r="J249" t="str">
        <f>VLOOKUP($G249,DefinitionArrays!$I$6:$J$12,2,FALSE)</f>
        <v>Weekend</v>
      </c>
    </row>
    <row r="250" spans="1:10">
      <c r="A250" s="159" t="str">
        <f t="shared" si="16"/>
        <v>$B$1:$B$92</v>
      </c>
      <c r="B250" s="159" t="str">
        <f t="shared" si="17"/>
        <v>$C$1:$C$92</v>
      </c>
      <c r="C250" s="159" t="str">
        <f t="shared" si="18"/>
        <v>May!$B$1:$B$92</v>
      </c>
      <c r="D250" s="159" t="str">
        <f t="shared" si="19"/>
        <v>May!$C$1:$C$92</v>
      </c>
      <c r="E250" t="s">
        <v>3</v>
      </c>
      <c r="F250" t="s">
        <v>124</v>
      </c>
      <c r="G250" t="s">
        <v>13</v>
      </c>
      <c r="H250" t="s">
        <v>159</v>
      </c>
      <c r="I250" t="e">
        <f ca="1">COUNTIFS(INDIRECT($C250),$E250,INDIRECT($D250),$H250)</f>
        <v>#REF!</v>
      </c>
      <c r="J250" t="str">
        <f>VLOOKUP($G250,DefinitionArrays!$I$6:$J$12,2,FALSE)</f>
        <v>Workweek</v>
      </c>
    </row>
    <row r="251" spans="1:10">
      <c r="A251" s="159" t="str">
        <f t="shared" si="16"/>
        <v>$B$1:$B$92</v>
      </c>
      <c r="B251" s="159" t="str">
        <f t="shared" si="17"/>
        <v>$C$1:$C$92</v>
      </c>
      <c r="C251" s="159" t="str">
        <f t="shared" si="18"/>
        <v>May!$B$1:$B$92</v>
      </c>
      <c r="D251" s="159" t="str">
        <f t="shared" si="19"/>
        <v>May!$C$1:$C$92</v>
      </c>
      <c r="E251" t="s">
        <v>3</v>
      </c>
      <c r="F251" t="s">
        <v>124</v>
      </c>
      <c r="G251" t="s">
        <v>13</v>
      </c>
      <c r="H251" t="s">
        <v>18</v>
      </c>
      <c r="I251" t="e">
        <f t="shared" ref="I251:I311" ca="1" si="20">COUNTIFS(INDIRECT($C251),$E251,INDIRECT($D251),$H251)</f>
        <v>#REF!</v>
      </c>
      <c r="J251" t="str">
        <f>VLOOKUP($G251,DefinitionArrays!$I$6:$J$12,2,FALSE)</f>
        <v>Workweek</v>
      </c>
    </row>
    <row r="252" spans="1:10">
      <c r="A252" s="159" t="str">
        <f t="shared" si="16"/>
        <v>$B$1:$B$92</v>
      </c>
      <c r="B252" s="159" t="str">
        <f t="shared" si="17"/>
        <v>$C$1:$C$92</v>
      </c>
      <c r="C252" s="159" t="str">
        <f t="shared" si="18"/>
        <v>May!$B$1:$B$92</v>
      </c>
      <c r="D252" s="159" t="str">
        <f t="shared" si="19"/>
        <v>May!$C$1:$C$92</v>
      </c>
      <c r="E252" t="s">
        <v>3</v>
      </c>
      <c r="F252" t="s">
        <v>124</v>
      </c>
      <c r="G252" t="s">
        <v>13</v>
      </c>
      <c r="H252" t="s">
        <v>153</v>
      </c>
      <c r="I252" t="e">
        <f t="shared" ca="1" si="20"/>
        <v>#REF!</v>
      </c>
      <c r="J252" t="str">
        <f>VLOOKUP($G252,DefinitionArrays!$I$6:$J$12,2,FALSE)</f>
        <v>Workweek</v>
      </c>
    </row>
    <row r="253" spans="1:10">
      <c r="A253" s="159" t="str">
        <f t="shared" si="16"/>
        <v>$B$1:$B$92</v>
      </c>
      <c r="B253" s="159" t="str">
        <f t="shared" si="17"/>
        <v>$C$1:$C$92</v>
      </c>
      <c r="C253" s="159" t="str">
        <f t="shared" si="18"/>
        <v>May!$B$1:$B$92</v>
      </c>
      <c r="D253" s="159" t="str">
        <f t="shared" si="19"/>
        <v>May!$C$1:$C$92</v>
      </c>
      <c r="E253" t="s">
        <v>3</v>
      </c>
      <c r="F253" t="s">
        <v>124</v>
      </c>
      <c r="G253" t="s">
        <v>13</v>
      </c>
      <c r="H253" t="s">
        <v>19</v>
      </c>
      <c r="I253" t="e">
        <f t="shared" ca="1" si="20"/>
        <v>#REF!</v>
      </c>
      <c r="J253" t="str">
        <f>VLOOKUP($G253,DefinitionArrays!$I$6:$J$12,2,FALSE)</f>
        <v>Workweek</v>
      </c>
    </row>
    <row r="254" spans="1:10">
      <c r="A254" s="159" t="str">
        <f t="shared" si="16"/>
        <v>$B$1:$B$92</v>
      </c>
      <c r="B254" s="159" t="str">
        <f t="shared" si="17"/>
        <v>$C$1:$C$92</v>
      </c>
      <c r="C254" s="159" t="str">
        <f t="shared" si="18"/>
        <v>May!$B$1:$B$92</v>
      </c>
      <c r="D254" s="159" t="str">
        <f t="shared" si="19"/>
        <v>May!$C$1:$C$92</v>
      </c>
      <c r="E254" t="s">
        <v>3</v>
      </c>
      <c r="F254" t="s">
        <v>124</v>
      </c>
      <c r="G254" t="s">
        <v>13</v>
      </c>
      <c r="H254" t="s">
        <v>20</v>
      </c>
      <c r="I254" t="e">
        <f t="shared" ca="1" si="20"/>
        <v>#REF!</v>
      </c>
      <c r="J254" t="str">
        <f>VLOOKUP($G254,DefinitionArrays!$I$6:$J$12,2,FALSE)</f>
        <v>Workweek</v>
      </c>
    </row>
    <row r="255" spans="1:10">
      <c r="A255" s="159" t="str">
        <f t="shared" si="16"/>
        <v>$B$1:$B$92</v>
      </c>
      <c r="B255" s="159" t="str">
        <f t="shared" si="17"/>
        <v>$C$1:$C$92</v>
      </c>
      <c r="C255" s="159" t="str">
        <f t="shared" si="18"/>
        <v>May!$B$1:$B$92</v>
      </c>
      <c r="D255" s="159" t="str">
        <f t="shared" si="19"/>
        <v>May!$C$1:$C$92</v>
      </c>
      <c r="E255" t="s">
        <v>3</v>
      </c>
      <c r="F255" t="s">
        <v>124</v>
      </c>
      <c r="G255" t="s">
        <v>13</v>
      </c>
      <c r="H255" t="s">
        <v>21</v>
      </c>
      <c r="I255" t="e">
        <f t="shared" ca="1" si="20"/>
        <v>#REF!</v>
      </c>
      <c r="J255" t="str">
        <f>VLOOKUP($G255,DefinitionArrays!$I$6:$J$12,2,FALSE)</f>
        <v>Workweek</v>
      </c>
    </row>
    <row r="256" spans="1:10">
      <c r="A256" s="159" t="str">
        <f t="shared" si="16"/>
        <v>$B$1:$B$92</v>
      </c>
      <c r="B256" s="159" t="str">
        <f t="shared" si="17"/>
        <v>$C$1:$C$92</v>
      </c>
      <c r="C256" s="159" t="str">
        <f t="shared" si="18"/>
        <v>May!$B$1:$B$92</v>
      </c>
      <c r="D256" s="159" t="str">
        <f t="shared" si="19"/>
        <v>May!$C$1:$C$92</v>
      </c>
      <c r="E256" t="s">
        <v>3</v>
      </c>
      <c r="F256" t="s">
        <v>124</v>
      </c>
      <c r="G256" t="s">
        <v>13</v>
      </c>
      <c r="H256" t="s">
        <v>22</v>
      </c>
      <c r="I256" t="e">
        <f t="shared" ca="1" si="20"/>
        <v>#REF!</v>
      </c>
      <c r="J256" t="str">
        <f>VLOOKUP($G256,DefinitionArrays!$I$6:$J$12,2,FALSE)</f>
        <v>Workweek</v>
      </c>
    </row>
    <row r="257" spans="1:10">
      <c r="A257" s="159" t="str">
        <f t="shared" si="16"/>
        <v>$B$1:$B$92</v>
      </c>
      <c r="B257" s="159" t="str">
        <f t="shared" si="17"/>
        <v>$C$1:$C$92</v>
      </c>
      <c r="C257" s="159" t="str">
        <f t="shared" si="18"/>
        <v>May!$B$1:$B$92</v>
      </c>
      <c r="D257" s="159" t="str">
        <f t="shared" si="19"/>
        <v>May!$C$1:$C$92</v>
      </c>
      <c r="E257" t="s">
        <v>3</v>
      </c>
      <c r="F257" t="s">
        <v>124</v>
      </c>
      <c r="G257" t="s">
        <v>13</v>
      </c>
      <c r="H257" t="s">
        <v>23</v>
      </c>
      <c r="I257" t="e">
        <f t="shared" ca="1" si="20"/>
        <v>#REF!</v>
      </c>
      <c r="J257" t="str">
        <f>VLOOKUP($G257,DefinitionArrays!$I$6:$J$12,2,FALSE)</f>
        <v>Workweek</v>
      </c>
    </row>
    <row r="258" spans="1:10">
      <c r="A258" s="159" t="str">
        <f t="shared" ref="A258:A321" si="21">VLOOKUP($G258,Fx_Code,2,FALSE)</f>
        <v>$B$1:$B$92</v>
      </c>
      <c r="B258" s="159" t="str">
        <f t="shared" ref="B258:B321" si="22">VLOOKUP($G258,Fx_Code,3,FALSE)</f>
        <v>$C$1:$C$92</v>
      </c>
      <c r="C258" s="159" t="str">
        <f t="shared" ref="C258:C321" si="23">CONCATENATE($F258,$K$1,A258)</f>
        <v>May!$B$1:$B$92</v>
      </c>
      <c r="D258" s="159" t="str">
        <f t="shared" ref="D258:D321" si="24">CONCATENATE($F258,$K$1,B258)</f>
        <v>May!$C$1:$C$92</v>
      </c>
      <c r="E258" t="s">
        <v>3</v>
      </c>
      <c r="F258" t="s">
        <v>124</v>
      </c>
      <c r="G258" t="s">
        <v>13</v>
      </c>
      <c r="H258" t="s">
        <v>24</v>
      </c>
      <c r="I258" t="e">
        <f t="shared" ca="1" si="20"/>
        <v>#REF!</v>
      </c>
      <c r="J258" t="str">
        <f>VLOOKUP($G258,DefinitionArrays!$I$6:$J$12,2,FALSE)</f>
        <v>Workweek</v>
      </c>
    </row>
    <row r="259" spans="1:10">
      <c r="A259" s="159" t="str">
        <f t="shared" si="21"/>
        <v>$B$1:$B$92</v>
      </c>
      <c r="B259" s="159" t="str">
        <f t="shared" si="22"/>
        <v>$C$1:$C$92</v>
      </c>
      <c r="C259" s="159" t="str">
        <f t="shared" si="23"/>
        <v>May!$B$1:$B$92</v>
      </c>
      <c r="D259" s="159" t="str">
        <f t="shared" si="24"/>
        <v>May!$C$1:$C$92</v>
      </c>
      <c r="E259" t="s">
        <v>3</v>
      </c>
      <c r="F259" t="s">
        <v>124</v>
      </c>
      <c r="G259" t="s">
        <v>13</v>
      </c>
      <c r="H259" t="s">
        <v>179</v>
      </c>
      <c r="I259" t="e">
        <f t="shared" ca="1" si="20"/>
        <v>#REF!</v>
      </c>
      <c r="J259" t="str">
        <f>VLOOKUP($G259,DefinitionArrays!$I$6:$J$12,2,FALSE)</f>
        <v>Workweek</v>
      </c>
    </row>
    <row r="260" spans="1:10">
      <c r="A260" s="159" t="str">
        <f t="shared" si="21"/>
        <v>$B$1:$B$92</v>
      </c>
      <c r="B260" s="159" t="str">
        <f t="shared" si="22"/>
        <v>$C$1:$C$92</v>
      </c>
      <c r="C260" s="159" t="str">
        <f t="shared" si="23"/>
        <v>May!$B$1:$B$92</v>
      </c>
      <c r="D260" s="159" t="str">
        <f t="shared" si="24"/>
        <v>May!$C$1:$C$92</v>
      </c>
      <c r="E260" t="s">
        <v>3</v>
      </c>
      <c r="F260" t="s">
        <v>124</v>
      </c>
      <c r="G260" t="s">
        <v>13</v>
      </c>
      <c r="H260" t="s">
        <v>180</v>
      </c>
      <c r="I260" t="e">
        <f t="shared" ca="1" si="20"/>
        <v>#REF!</v>
      </c>
      <c r="J260" t="str">
        <f>VLOOKUP($G260,DefinitionArrays!$I$6:$J$12,2,FALSE)</f>
        <v>Workweek</v>
      </c>
    </row>
    <row r="261" spans="1:10">
      <c r="A261" s="159" t="str">
        <f t="shared" si="21"/>
        <v>$B$1:$B$92</v>
      </c>
      <c r="B261" s="159" t="str">
        <f t="shared" si="22"/>
        <v>$C$1:$C$92</v>
      </c>
      <c r="C261" s="159" t="str">
        <f t="shared" si="23"/>
        <v>May!$B$1:$B$92</v>
      </c>
      <c r="D261" s="159" t="str">
        <f t="shared" si="24"/>
        <v>May!$C$1:$C$92</v>
      </c>
      <c r="E261" t="s">
        <v>3</v>
      </c>
      <c r="F261" t="s">
        <v>124</v>
      </c>
      <c r="G261" t="s">
        <v>13</v>
      </c>
      <c r="H261" t="s">
        <v>44</v>
      </c>
      <c r="I261" t="e">
        <f t="shared" ca="1" si="20"/>
        <v>#REF!</v>
      </c>
      <c r="J261" t="str">
        <f>VLOOKUP($G261,DefinitionArrays!$I$6:$J$12,2,FALSE)</f>
        <v>Workweek</v>
      </c>
    </row>
    <row r="262" spans="1:10">
      <c r="A262" s="159" t="str">
        <f t="shared" si="21"/>
        <v>$E$1:$E$92</v>
      </c>
      <c r="B262" s="159" t="str">
        <f t="shared" si="22"/>
        <v>$F$1:$F$92</v>
      </c>
      <c r="C262" s="159" t="str">
        <f t="shared" si="23"/>
        <v>May!$E$1:$E$92</v>
      </c>
      <c r="D262" s="159" t="str">
        <f t="shared" si="24"/>
        <v>May!$F$1:$F$92</v>
      </c>
      <c r="E262" t="s">
        <v>3</v>
      </c>
      <c r="F262" t="s">
        <v>124</v>
      </c>
      <c r="G262" t="s">
        <v>142</v>
      </c>
      <c r="H262" t="s">
        <v>159</v>
      </c>
      <c r="I262" t="e">
        <f t="shared" ca="1" si="20"/>
        <v>#REF!</v>
      </c>
      <c r="J262" t="str">
        <f>VLOOKUP($G262,DefinitionArrays!$I$6:$J$12,2,FALSE)</f>
        <v>Workweek</v>
      </c>
    </row>
    <row r="263" spans="1:10">
      <c r="A263" s="159" t="str">
        <f t="shared" si="21"/>
        <v>$E$1:$E$92</v>
      </c>
      <c r="B263" s="159" t="str">
        <f t="shared" si="22"/>
        <v>$F$1:$F$92</v>
      </c>
      <c r="C263" s="159" t="str">
        <f t="shared" si="23"/>
        <v>May!$E$1:$E$92</v>
      </c>
      <c r="D263" s="159" t="str">
        <f t="shared" si="24"/>
        <v>May!$F$1:$F$92</v>
      </c>
      <c r="E263" t="s">
        <v>3</v>
      </c>
      <c r="F263" t="s">
        <v>124</v>
      </c>
      <c r="G263" t="s">
        <v>142</v>
      </c>
      <c r="H263" t="s">
        <v>18</v>
      </c>
      <c r="I263" t="e">
        <f t="shared" ca="1" si="20"/>
        <v>#REF!</v>
      </c>
      <c r="J263" t="str">
        <f>VLOOKUP($G263,DefinitionArrays!$I$6:$J$12,2,FALSE)</f>
        <v>Workweek</v>
      </c>
    </row>
    <row r="264" spans="1:10">
      <c r="A264" s="159" t="str">
        <f t="shared" si="21"/>
        <v>$E$1:$E$92</v>
      </c>
      <c r="B264" s="159" t="str">
        <f t="shared" si="22"/>
        <v>$F$1:$F$92</v>
      </c>
      <c r="C264" s="159" t="str">
        <f t="shared" si="23"/>
        <v>May!$E$1:$E$92</v>
      </c>
      <c r="D264" s="159" t="str">
        <f t="shared" si="24"/>
        <v>May!$F$1:$F$92</v>
      </c>
      <c r="E264" t="s">
        <v>3</v>
      </c>
      <c r="F264" t="s">
        <v>124</v>
      </c>
      <c r="G264" t="s">
        <v>142</v>
      </c>
      <c r="H264" t="s">
        <v>153</v>
      </c>
      <c r="I264" t="e">
        <f t="shared" ca="1" si="20"/>
        <v>#REF!</v>
      </c>
      <c r="J264" t="str">
        <f>VLOOKUP($G264,DefinitionArrays!$I$6:$J$12,2,FALSE)</f>
        <v>Workweek</v>
      </c>
    </row>
    <row r="265" spans="1:10">
      <c r="A265" s="159" t="str">
        <f t="shared" si="21"/>
        <v>$E$1:$E$92</v>
      </c>
      <c r="B265" s="159" t="str">
        <f t="shared" si="22"/>
        <v>$F$1:$F$92</v>
      </c>
      <c r="C265" s="159" t="str">
        <f t="shared" si="23"/>
        <v>May!$E$1:$E$92</v>
      </c>
      <c r="D265" s="159" t="str">
        <f t="shared" si="24"/>
        <v>May!$F$1:$F$92</v>
      </c>
      <c r="E265" t="s">
        <v>3</v>
      </c>
      <c r="F265" t="s">
        <v>124</v>
      </c>
      <c r="G265" t="s">
        <v>142</v>
      </c>
      <c r="H265" t="s">
        <v>19</v>
      </c>
      <c r="I265" t="e">
        <f t="shared" ca="1" si="20"/>
        <v>#REF!</v>
      </c>
      <c r="J265" t="str">
        <f>VLOOKUP($G265,DefinitionArrays!$I$6:$J$12,2,FALSE)</f>
        <v>Workweek</v>
      </c>
    </row>
    <row r="266" spans="1:10">
      <c r="A266" s="159" t="str">
        <f t="shared" si="21"/>
        <v>$E$1:$E$92</v>
      </c>
      <c r="B266" s="159" t="str">
        <f t="shared" si="22"/>
        <v>$F$1:$F$92</v>
      </c>
      <c r="C266" s="159" t="str">
        <f t="shared" si="23"/>
        <v>May!$E$1:$E$92</v>
      </c>
      <c r="D266" s="159" t="str">
        <f t="shared" si="24"/>
        <v>May!$F$1:$F$92</v>
      </c>
      <c r="E266" t="s">
        <v>3</v>
      </c>
      <c r="F266" t="s">
        <v>124</v>
      </c>
      <c r="G266" t="s">
        <v>142</v>
      </c>
      <c r="H266" t="s">
        <v>20</v>
      </c>
      <c r="I266" t="e">
        <f t="shared" ca="1" si="20"/>
        <v>#REF!</v>
      </c>
      <c r="J266" t="str">
        <f>VLOOKUP($G266,DefinitionArrays!$I$6:$J$12,2,FALSE)</f>
        <v>Workweek</v>
      </c>
    </row>
    <row r="267" spans="1:10">
      <c r="A267" s="159" t="str">
        <f t="shared" si="21"/>
        <v>$E$1:$E$92</v>
      </c>
      <c r="B267" s="159" t="str">
        <f t="shared" si="22"/>
        <v>$F$1:$F$92</v>
      </c>
      <c r="C267" s="159" t="str">
        <f t="shared" si="23"/>
        <v>May!$E$1:$E$92</v>
      </c>
      <c r="D267" s="159" t="str">
        <f t="shared" si="24"/>
        <v>May!$F$1:$F$92</v>
      </c>
      <c r="E267" t="s">
        <v>3</v>
      </c>
      <c r="F267" t="s">
        <v>124</v>
      </c>
      <c r="G267" t="s">
        <v>142</v>
      </c>
      <c r="H267" t="s">
        <v>21</v>
      </c>
      <c r="I267" t="e">
        <f t="shared" ca="1" si="20"/>
        <v>#REF!</v>
      </c>
      <c r="J267" t="str">
        <f>VLOOKUP($G267,DefinitionArrays!$I$6:$J$12,2,FALSE)</f>
        <v>Workweek</v>
      </c>
    </row>
    <row r="268" spans="1:10">
      <c r="A268" s="159" t="str">
        <f t="shared" si="21"/>
        <v>$E$1:$E$92</v>
      </c>
      <c r="B268" s="159" t="str">
        <f t="shared" si="22"/>
        <v>$F$1:$F$92</v>
      </c>
      <c r="C268" s="159" t="str">
        <f t="shared" si="23"/>
        <v>May!$E$1:$E$92</v>
      </c>
      <c r="D268" s="159" t="str">
        <f t="shared" si="24"/>
        <v>May!$F$1:$F$92</v>
      </c>
      <c r="E268" t="s">
        <v>3</v>
      </c>
      <c r="F268" t="s">
        <v>124</v>
      </c>
      <c r="G268" t="s">
        <v>142</v>
      </c>
      <c r="H268" t="s">
        <v>22</v>
      </c>
      <c r="I268" t="e">
        <f t="shared" ca="1" si="20"/>
        <v>#REF!</v>
      </c>
      <c r="J268" t="str">
        <f>VLOOKUP($G268,DefinitionArrays!$I$6:$J$12,2,FALSE)</f>
        <v>Workweek</v>
      </c>
    </row>
    <row r="269" spans="1:10">
      <c r="A269" s="159" t="str">
        <f t="shared" si="21"/>
        <v>$E$1:$E$92</v>
      </c>
      <c r="B269" s="159" t="str">
        <f t="shared" si="22"/>
        <v>$F$1:$F$92</v>
      </c>
      <c r="C269" s="159" t="str">
        <f t="shared" si="23"/>
        <v>May!$E$1:$E$92</v>
      </c>
      <c r="D269" s="159" t="str">
        <f t="shared" si="24"/>
        <v>May!$F$1:$F$92</v>
      </c>
      <c r="E269" t="s">
        <v>3</v>
      </c>
      <c r="F269" t="s">
        <v>124</v>
      </c>
      <c r="G269" t="s">
        <v>142</v>
      </c>
      <c r="H269" t="s">
        <v>23</v>
      </c>
      <c r="I269" t="e">
        <f t="shared" ca="1" si="20"/>
        <v>#REF!</v>
      </c>
      <c r="J269" t="str">
        <f>VLOOKUP($G269,DefinitionArrays!$I$6:$J$12,2,FALSE)</f>
        <v>Workweek</v>
      </c>
    </row>
    <row r="270" spans="1:10">
      <c r="A270" s="159" t="str">
        <f t="shared" si="21"/>
        <v>$E$1:$E$92</v>
      </c>
      <c r="B270" s="159" t="str">
        <f t="shared" si="22"/>
        <v>$F$1:$F$92</v>
      </c>
      <c r="C270" s="159" t="str">
        <f t="shared" si="23"/>
        <v>May!$E$1:$E$92</v>
      </c>
      <c r="D270" s="159" t="str">
        <f t="shared" si="24"/>
        <v>May!$F$1:$F$92</v>
      </c>
      <c r="E270" t="s">
        <v>3</v>
      </c>
      <c r="F270" t="s">
        <v>124</v>
      </c>
      <c r="G270" t="s">
        <v>142</v>
      </c>
      <c r="H270" t="s">
        <v>24</v>
      </c>
      <c r="I270" t="e">
        <f t="shared" ca="1" si="20"/>
        <v>#REF!</v>
      </c>
      <c r="J270" t="str">
        <f>VLOOKUP($G270,DefinitionArrays!$I$6:$J$12,2,FALSE)</f>
        <v>Workweek</v>
      </c>
    </row>
    <row r="271" spans="1:10">
      <c r="A271" s="159" t="str">
        <f t="shared" si="21"/>
        <v>$E$1:$E$92</v>
      </c>
      <c r="B271" s="159" t="str">
        <f t="shared" si="22"/>
        <v>$F$1:$F$92</v>
      </c>
      <c r="C271" s="159" t="str">
        <f t="shared" si="23"/>
        <v>May!$E$1:$E$92</v>
      </c>
      <c r="D271" s="159" t="str">
        <f t="shared" si="24"/>
        <v>May!$F$1:$F$92</v>
      </c>
      <c r="E271" t="s">
        <v>3</v>
      </c>
      <c r="F271" t="s">
        <v>124</v>
      </c>
      <c r="G271" t="s">
        <v>142</v>
      </c>
      <c r="H271" t="s">
        <v>179</v>
      </c>
      <c r="I271" t="e">
        <f t="shared" ca="1" si="20"/>
        <v>#REF!</v>
      </c>
      <c r="J271" t="str">
        <f>VLOOKUP($G271,DefinitionArrays!$I$6:$J$12,2,FALSE)</f>
        <v>Workweek</v>
      </c>
    </row>
    <row r="272" spans="1:10">
      <c r="A272" s="159" t="str">
        <f t="shared" si="21"/>
        <v>$E$1:$E$92</v>
      </c>
      <c r="B272" s="159" t="str">
        <f t="shared" si="22"/>
        <v>$F$1:$F$92</v>
      </c>
      <c r="C272" s="159" t="str">
        <f t="shared" si="23"/>
        <v>May!$E$1:$E$92</v>
      </c>
      <c r="D272" s="159" t="str">
        <f t="shared" si="24"/>
        <v>May!$F$1:$F$92</v>
      </c>
      <c r="E272" t="s">
        <v>3</v>
      </c>
      <c r="F272" t="s">
        <v>124</v>
      </c>
      <c r="G272" t="s">
        <v>142</v>
      </c>
      <c r="H272" t="s">
        <v>180</v>
      </c>
      <c r="I272" t="e">
        <f t="shared" ca="1" si="20"/>
        <v>#REF!</v>
      </c>
      <c r="J272" t="str">
        <f>VLOOKUP($G272,DefinitionArrays!$I$6:$J$12,2,FALSE)</f>
        <v>Workweek</v>
      </c>
    </row>
    <row r="273" spans="1:10">
      <c r="A273" s="159" t="str">
        <f t="shared" si="21"/>
        <v>$E$1:$E$92</v>
      </c>
      <c r="B273" s="159" t="str">
        <f t="shared" si="22"/>
        <v>$F$1:$F$92</v>
      </c>
      <c r="C273" s="159" t="str">
        <f t="shared" si="23"/>
        <v>May!$E$1:$E$92</v>
      </c>
      <c r="D273" s="159" t="str">
        <f t="shared" si="24"/>
        <v>May!$F$1:$F$92</v>
      </c>
      <c r="E273" t="s">
        <v>3</v>
      </c>
      <c r="F273" t="s">
        <v>124</v>
      </c>
      <c r="G273" t="s">
        <v>142</v>
      </c>
      <c r="H273" t="s">
        <v>44</v>
      </c>
      <c r="I273" t="e">
        <f t="shared" ca="1" si="20"/>
        <v>#REF!</v>
      </c>
      <c r="J273" t="str">
        <f>VLOOKUP($G273,DefinitionArrays!$I$6:$J$12,2,FALSE)</f>
        <v>Workweek</v>
      </c>
    </row>
    <row r="274" spans="1:10">
      <c r="A274" s="159" t="str">
        <f t="shared" si="21"/>
        <v>$H$1:$H$92</v>
      </c>
      <c r="B274" s="159" t="str">
        <f t="shared" si="22"/>
        <v>$I$1:$I$92</v>
      </c>
      <c r="C274" s="159" t="str">
        <f t="shared" si="23"/>
        <v>May!$H$1:$H$92</v>
      </c>
      <c r="D274" s="159" t="str">
        <f t="shared" si="24"/>
        <v>May!$I$1:$I$92</v>
      </c>
      <c r="E274" t="s">
        <v>3</v>
      </c>
      <c r="F274" t="s">
        <v>124</v>
      </c>
      <c r="G274" t="s">
        <v>143</v>
      </c>
      <c r="H274" t="s">
        <v>159</v>
      </c>
      <c r="I274" t="e">
        <f t="shared" ca="1" si="20"/>
        <v>#REF!</v>
      </c>
      <c r="J274" t="str">
        <f>VLOOKUP($G274,DefinitionArrays!$I$6:$J$12,2,FALSE)</f>
        <v>Workweek</v>
      </c>
    </row>
    <row r="275" spans="1:10">
      <c r="A275" s="159" t="str">
        <f t="shared" si="21"/>
        <v>$H$1:$H$92</v>
      </c>
      <c r="B275" s="159" t="str">
        <f t="shared" si="22"/>
        <v>$I$1:$I$92</v>
      </c>
      <c r="C275" s="159" t="str">
        <f t="shared" si="23"/>
        <v>May!$H$1:$H$92</v>
      </c>
      <c r="D275" s="159" t="str">
        <f t="shared" si="24"/>
        <v>May!$I$1:$I$92</v>
      </c>
      <c r="E275" t="s">
        <v>3</v>
      </c>
      <c r="F275" t="s">
        <v>124</v>
      </c>
      <c r="G275" t="s">
        <v>143</v>
      </c>
      <c r="H275" t="s">
        <v>18</v>
      </c>
      <c r="I275" t="e">
        <f t="shared" ca="1" si="20"/>
        <v>#REF!</v>
      </c>
      <c r="J275" t="str">
        <f>VLOOKUP($G275,DefinitionArrays!$I$6:$J$12,2,FALSE)</f>
        <v>Workweek</v>
      </c>
    </row>
    <row r="276" spans="1:10">
      <c r="A276" s="159" t="str">
        <f t="shared" si="21"/>
        <v>$H$1:$H$92</v>
      </c>
      <c r="B276" s="159" t="str">
        <f t="shared" si="22"/>
        <v>$I$1:$I$92</v>
      </c>
      <c r="C276" s="159" t="str">
        <f t="shared" si="23"/>
        <v>May!$H$1:$H$92</v>
      </c>
      <c r="D276" s="159" t="str">
        <f t="shared" si="24"/>
        <v>May!$I$1:$I$92</v>
      </c>
      <c r="E276" t="s">
        <v>3</v>
      </c>
      <c r="F276" t="s">
        <v>124</v>
      </c>
      <c r="G276" t="s">
        <v>143</v>
      </c>
      <c r="H276" t="s">
        <v>153</v>
      </c>
      <c r="I276" t="e">
        <f t="shared" ca="1" si="20"/>
        <v>#REF!</v>
      </c>
      <c r="J276" t="str">
        <f>VLOOKUP($G276,DefinitionArrays!$I$6:$J$12,2,FALSE)</f>
        <v>Workweek</v>
      </c>
    </row>
    <row r="277" spans="1:10">
      <c r="A277" s="159" t="str">
        <f t="shared" si="21"/>
        <v>$H$1:$H$92</v>
      </c>
      <c r="B277" s="159" t="str">
        <f t="shared" si="22"/>
        <v>$I$1:$I$92</v>
      </c>
      <c r="C277" s="159" t="str">
        <f t="shared" si="23"/>
        <v>May!$H$1:$H$92</v>
      </c>
      <c r="D277" s="159" t="str">
        <f t="shared" si="24"/>
        <v>May!$I$1:$I$92</v>
      </c>
      <c r="E277" t="s">
        <v>3</v>
      </c>
      <c r="F277" t="s">
        <v>124</v>
      </c>
      <c r="G277" t="s">
        <v>143</v>
      </c>
      <c r="H277" t="s">
        <v>19</v>
      </c>
      <c r="I277" t="e">
        <f t="shared" ca="1" si="20"/>
        <v>#REF!</v>
      </c>
      <c r="J277" t="str">
        <f>VLOOKUP($G277,DefinitionArrays!$I$6:$J$12,2,FALSE)</f>
        <v>Workweek</v>
      </c>
    </row>
    <row r="278" spans="1:10">
      <c r="A278" s="159" t="str">
        <f t="shared" si="21"/>
        <v>$H$1:$H$92</v>
      </c>
      <c r="B278" s="159" t="str">
        <f t="shared" si="22"/>
        <v>$I$1:$I$92</v>
      </c>
      <c r="C278" s="159" t="str">
        <f t="shared" si="23"/>
        <v>May!$H$1:$H$92</v>
      </c>
      <c r="D278" s="159" t="str">
        <f t="shared" si="24"/>
        <v>May!$I$1:$I$92</v>
      </c>
      <c r="E278" t="s">
        <v>3</v>
      </c>
      <c r="F278" t="s">
        <v>124</v>
      </c>
      <c r="G278" t="s">
        <v>143</v>
      </c>
      <c r="H278" t="s">
        <v>20</v>
      </c>
      <c r="I278" t="e">
        <f t="shared" ca="1" si="20"/>
        <v>#REF!</v>
      </c>
      <c r="J278" t="str">
        <f>VLOOKUP($G278,DefinitionArrays!$I$6:$J$12,2,FALSE)</f>
        <v>Workweek</v>
      </c>
    </row>
    <row r="279" spans="1:10">
      <c r="A279" s="159" t="str">
        <f t="shared" si="21"/>
        <v>$H$1:$H$92</v>
      </c>
      <c r="B279" s="159" t="str">
        <f t="shared" si="22"/>
        <v>$I$1:$I$92</v>
      </c>
      <c r="C279" s="159" t="str">
        <f t="shared" si="23"/>
        <v>May!$H$1:$H$92</v>
      </c>
      <c r="D279" s="159" t="str">
        <f t="shared" si="24"/>
        <v>May!$I$1:$I$92</v>
      </c>
      <c r="E279" t="s">
        <v>3</v>
      </c>
      <c r="F279" t="s">
        <v>124</v>
      </c>
      <c r="G279" t="s">
        <v>143</v>
      </c>
      <c r="H279" t="s">
        <v>21</v>
      </c>
      <c r="I279" t="e">
        <f t="shared" ca="1" si="20"/>
        <v>#REF!</v>
      </c>
      <c r="J279" t="str">
        <f>VLOOKUP($G279,DefinitionArrays!$I$6:$J$12,2,FALSE)</f>
        <v>Workweek</v>
      </c>
    </row>
    <row r="280" spans="1:10">
      <c r="A280" s="159" t="str">
        <f t="shared" si="21"/>
        <v>$H$1:$H$92</v>
      </c>
      <c r="B280" s="159" t="str">
        <f t="shared" si="22"/>
        <v>$I$1:$I$92</v>
      </c>
      <c r="C280" s="159" t="str">
        <f t="shared" si="23"/>
        <v>May!$H$1:$H$92</v>
      </c>
      <c r="D280" s="159" t="str">
        <f t="shared" si="24"/>
        <v>May!$I$1:$I$92</v>
      </c>
      <c r="E280" t="s">
        <v>3</v>
      </c>
      <c r="F280" t="s">
        <v>124</v>
      </c>
      <c r="G280" t="s">
        <v>143</v>
      </c>
      <c r="H280" t="s">
        <v>22</v>
      </c>
      <c r="I280" t="e">
        <f t="shared" ca="1" si="20"/>
        <v>#REF!</v>
      </c>
      <c r="J280" t="str">
        <f>VLOOKUP($G280,DefinitionArrays!$I$6:$J$12,2,FALSE)</f>
        <v>Workweek</v>
      </c>
    </row>
    <row r="281" spans="1:10">
      <c r="A281" s="159" t="str">
        <f t="shared" si="21"/>
        <v>$H$1:$H$92</v>
      </c>
      <c r="B281" s="159" t="str">
        <f t="shared" si="22"/>
        <v>$I$1:$I$92</v>
      </c>
      <c r="C281" s="159" t="str">
        <f t="shared" si="23"/>
        <v>May!$H$1:$H$92</v>
      </c>
      <c r="D281" s="159" t="str">
        <f t="shared" si="24"/>
        <v>May!$I$1:$I$92</v>
      </c>
      <c r="E281" t="s">
        <v>3</v>
      </c>
      <c r="F281" t="s">
        <v>124</v>
      </c>
      <c r="G281" t="s">
        <v>143</v>
      </c>
      <c r="H281" t="s">
        <v>23</v>
      </c>
      <c r="I281" t="e">
        <f t="shared" ca="1" si="20"/>
        <v>#REF!</v>
      </c>
      <c r="J281" t="str">
        <f>VLOOKUP($G281,DefinitionArrays!$I$6:$J$12,2,FALSE)</f>
        <v>Workweek</v>
      </c>
    </row>
    <row r="282" spans="1:10">
      <c r="A282" s="159" t="str">
        <f t="shared" si="21"/>
        <v>$H$1:$H$92</v>
      </c>
      <c r="B282" s="159" t="str">
        <f t="shared" si="22"/>
        <v>$I$1:$I$92</v>
      </c>
      <c r="C282" s="159" t="str">
        <f t="shared" si="23"/>
        <v>May!$H$1:$H$92</v>
      </c>
      <c r="D282" s="159" t="str">
        <f t="shared" si="24"/>
        <v>May!$I$1:$I$92</v>
      </c>
      <c r="E282" t="s">
        <v>3</v>
      </c>
      <c r="F282" t="s">
        <v>124</v>
      </c>
      <c r="G282" t="s">
        <v>143</v>
      </c>
      <c r="H282" t="s">
        <v>24</v>
      </c>
      <c r="I282" t="e">
        <f t="shared" ca="1" si="20"/>
        <v>#REF!</v>
      </c>
      <c r="J282" t="str">
        <f>VLOOKUP($G282,DefinitionArrays!$I$6:$J$12,2,FALSE)</f>
        <v>Workweek</v>
      </c>
    </row>
    <row r="283" spans="1:10">
      <c r="A283" s="159" t="str">
        <f t="shared" si="21"/>
        <v>$H$1:$H$92</v>
      </c>
      <c r="B283" s="159" t="str">
        <f t="shared" si="22"/>
        <v>$I$1:$I$92</v>
      </c>
      <c r="C283" s="159" t="str">
        <f t="shared" si="23"/>
        <v>May!$H$1:$H$92</v>
      </c>
      <c r="D283" s="159" t="str">
        <f t="shared" si="24"/>
        <v>May!$I$1:$I$92</v>
      </c>
      <c r="E283" t="s">
        <v>3</v>
      </c>
      <c r="F283" t="s">
        <v>124</v>
      </c>
      <c r="G283" t="s">
        <v>143</v>
      </c>
      <c r="H283" t="s">
        <v>179</v>
      </c>
      <c r="I283" t="e">
        <f t="shared" ca="1" si="20"/>
        <v>#REF!</v>
      </c>
      <c r="J283" t="str">
        <f>VLOOKUP($G283,DefinitionArrays!$I$6:$J$12,2,FALSE)</f>
        <v>Workweek</v>
      </c>
    </row>
    <row r="284" spans="1:10">
      <c r="A284" s="159" t="str">
        <f t="shared" si="21"/>
        <v>$H$1:$H$92</v>
      </c>
      <c r="B284" s="159" t="str">
        <f t="shared" si="22"/>
        <v>$I$1:$I$92</v>
      </c>
      <c r="C284" s="159" t="str">
        <f t="shared" si="23"/>
        <v>May!$H$1:$H$92</v>
      </c>
      <c r="D284" s="159" t="str">
        <f t="shared" si="24"/>
        <v>May!$I$1:$I$92</v>
      </c>
      <c r="E284" t="s">
        <v>3</v>
      </c>
      <c r="F284" t="s">
        <v>124</v>
      </c>
      <c r="G284" t="s">
        <v>143</v>
      </c>
      <c r="H284" t="s">
        <v>180</v>
      </c>
      <c r="I284" t="e">
        <f t="shared" ca="1" si="20"/>
        <v>#REF!</v>
      </c>
      <c r="J284" t="str">
        <f>VLOOKUP($G284,DefinitionArrays!$I$6:$J$12,2,FALSE)</f>
        <v>Workweek</v>
      </c>
    </row>
    <row r="285" spans="1:10">
      <c r="A285" s="159" t="str">
        <f t="shared" si="21"/>
        <v>$H$1:$H$92</v>
      </c>
      <c r="B285" s="159" t="str">
        <f t="shared" si="22"/>
        <v>$I$1:$I$92</v>
      </c>
      <c r="C285" s="159" t="str">
        <f t="shared" si="23"/>
        <v>May!$H$1:$H$92</v>
      </c>
      <c r="D285" s="159" t="str">
        <f t="shared" si="24"/>
        <v>May!$I$1:$I$92</v>
      </c>
      <c r="E285" t="s">
        <v>3</v>
      </c>
      <c r="F285" t="s">
        <v>124</v>
      </c>
      <c r="G285" t="s">
        <v>143</v>
      </c>
      <c r="H285" t="s">
        <v>44</v>
      </c>
      <c r="I285" t="e">
        <f t="shared" ca="1" si="20"/>
        <v>#REF!</v>
      </c>
      <c r="J285" t="str">
        <f>VLOOKUP($G285,DefinitionArrays!$I$6:$J$12,2,FALSE)</f>
        <v>Workweek</v>
      </c>
    </row>
    <row r="286" spans="1:10">
      <c r="A286" s="159" t="str">
        <f t="shared" si="21"/>
        <v>$K$1:$K$92</v>
      </c>
      <c r="B286" s="159" t="str">
        <f t="shared" si="22"/>
        <v>$L$1:$L$92</v>
      </c>
      <c r="C286" s="159" t="str">
        <f t="shared" si="23"/>
        <v>May!$K$1:$K$92</v>
      </c>
      <c r="D286" s="159" t="str">
        <f t="shared" si="24"/>
        <v>May!$L$1:$L$92</v>
      </c>
      <c r="E286" t="s">
        <v>3</v>
      </c>
      <c r="F286" t="s">
        <v>124</v>
      </c>
      <c r="G286" t="s">
        <v>144</v>
      </c>
      <c r="H286" t="s">
        <v>159</v>
      </c>
      <c r="I286" t="e">
        <f t="shared" ca="1" si="20"/>
        <v>#REF!</v>
      </c>
      <c r="J286" t="str">
        <f>VLOOKUP($G286,DefinitionArrays!$I$6:$J$12,2,FALSE)</f>
        <v>Workweek</v>
      </c>
    </row>
    <row r="287" spans="1:10">
      <c r="A287" s="159" t="str">
        <f t="shared" si="21"/>
        <v>$K$1:$K$92</v>
      </c>
      <c r="B287" s="159" t="str">
        <f t="shared" si="22"/>
        <v>$L$1:$L$92</v>
      </c>
      <c r="C287" s="159" t="str">
        <f t="shared" si="23"/>
        <v>May!$K$1:$K$92</v>
      </c>
      <c r="D287" s="159" t="str">
        <f t="shared" si="24"/>
        <v>May!$L$1:$L$92</v>
      </c>
      <c r="E287" t="s">
        <v>3</v>
      </c>
      <c r="F287" t="s">
        <v>124</v>
      </c>
      <c r="G287" t="s">
        <v>144</v>
      </c>
      <c r="H287" t="s">
        <v>18</v>
      </c>
      <c r="I287" t="e">
        <f t="shared" ca="1" si="20"/>
        <v>#REF!</v>
      </c>
      <c r="J287" t="str">
        <f>VLOOKUP($G287,DefinitionArrays!$I$6:$J$12,2,FALSE)</f>
        <v>Workweek</v>
      </c>
    </row>
    <row r="288" spans="1:10">
      <c r="A288" s="159" t="str">
        <f t="shared" si="21"/>
        <v>$K$1:$K$92</v>
      </c>
      <c r="B288" s="159" t="str">
        <f t="shared" si="22"/>
        <v>$L$1:$L$92</v>
      </c>
      <c r="C288" s="159" t="str">
        <f t="shared" si="23"/>
        <v>May!$K$1:$K$92</v>
      </c>
      <c r="D288" s="159" t="str">
        <f t="shared" si="24"/>
        <v>May!$L$1:$L$92</v>
      </c>
      <c r="E288" t="s">
        <v>3</v>
      </c>
      <c r="F288" t="s">
        <v>124</v>
      </c>
      <c r="G288" t="s">
        <v>144</v>
      </c>
      <c r="H288" t="s">
        <v>153</v>
      </c>
      <c r="I288" t="e">
        <f t="shared" ca="1" si="20"/>
        <v>#REF!</v>
      </c>
      <c r="J288" t="str">
        <f>VLOOKUP($G288,DefinitionArrays!$I$6:$J$12,2,FALSE)</f>
        <v>Workweek</v>
      </c>
    </row>
    <row r="289" spans="1:10">
      <c r="A289" s="159" t="str">
        <f t="shared" si="21"/>
        <v>$K$1:$K$92</v>
      </c>
      <c r="B289" s="159" t="str">
        <f t="shared" si="22"/>
        <v>$L$1:$L$92</v>
      </c>
      <c r="C289" s="159" t="str">
        <f t="shared" si="23"/>
        <v>May!$K$1:$K$92</v>
      </c>
      <c r="D289" s="159" t="str">
        <f t="shared" si="24"/>
        <v>May!$L$1:$L$92</v>
      </c>
      <c r="E289" t="s">
        <v>3</v>
      </c>
      <c r="F289" t="s">
        <v>124</v>
      </c>
      <c r="G289" t="s">
        <v>144</v>
      </c>
      <c r="H289" t="s">
        <v>19</v>
      </c>
      <c r="I289" t="e">
        <f t="shared" ca="1" si="20"/>
        <v>#REF!</v>
      </c>
      <c r="J289" t="str">
        <f>VLOOKUP($G289,DefinitionArrays!$I$6:$J$12,2,FALSE)</f>
        <v>Workweek</v>
      </c>
    </row>
    <row r="290" spans="1:10">
      <c r="A290" s="159" t="str">
        <f t="shared" si="21"/>
        <v>$K$1:$K$92</v>
      </c>
      <c r="B290" s="159" t="str">
        <f t="shared" si="22"/>
        <v>$L$1:$L$92</v>
      </c>
      <c r="C290" s="159" t="str">
        <f t="shared" si="23"/>
        <v>May!$K$1:$K$92</v>
      </c>
      <c r="D290" s="159" t="str">
        <f t="shared" si="24"/>
        <v>May!$L$1:$L$92</v>
      </c>
      <c r="E290" t="s">
        <v>3</v>
      </c>
      <c r="F290" t="s">
        <v>124</v>
      </c>
      <c r="G290" t="s">
        <v>144</v>
      </c>
      <c r="H290" t="s">
        <v>20</v>
      </c>
      <c r="I290" t="e">
        <f t="shared" ca="1" si="20"/>
        <v>#REF!</v>
      </c>
      <c r="J290" t="str">
        <f>VLOOKUP($G290,DefinitionArrays!$I$6:$J$12,2,FALSE)</f>
        <v>Workweek</v>
      </c>
    </row>
    <row r="291" spans="1:10">
      <c r="A291" s="159" t="str">
        <f t="shared" si="21"/>
        <v>$K$1:$K$92</v>
      </c>
      <c r="B291" s="159" t="str">
        <f t="shared" si="22"/>
        <v>$L$1:$L$92</v>
      </c>
      <c r="C291" s="159" t="str">
        <f t="shared" si="23"/>
        <v>May!$K$1:$K$92</v>
      </c>
      <c r="D291" s="159" t="str">
        <f t="shared" si="24"/>
        <v>May!$L$1:$L$92</v>
      </c>
      <c r="E291" t="s">
        <v>3</v>
      </c>
      <c r="F291" t="s">
        <v>124</v>
      </c>
      <c r="G291" t="s">
        <v>144</v>
      </c>
      <c r="H291" t="s">
        <v>21</v>
      </c>
      <c r="I291" t="e">
        <f t="shared" ca="1" si="20"/>
        <v>#REF!</v>
      </c>
      <c r="J291" t="str">
        <f>VLOOKUP($G291,DefinitionArrays!$I$6:$J$12,2,FALSE)</f>
        <v>Workweek</v>
      </c>
    </row>
    <row r="292" spans="1:10">
      <c r="A292" s="159" t="str">
        <f t="shared" si="21"/>
        <v>$K$1:$K$92</v>
      </c>
      <c r="B292" s="159" t="str">
        <f t="shared" si="22"/>
        <v>$L$1:$L$92</v>
      </c>
      <c r="C292" s="159" t="str">
        <f t="shared" si="23"/>
        <v>May!$K$1:$K$92</v>
      </c>
      <c r="D292" s="159" t="str">
        <f t="shared" si="24"/>
        <v>May!$L$1:$L$92</v>
      </c>
      <c r="E292" t="s">
        <v>3</v>
      </c>
      <c r="F292" t="s">
        <v>124</v>
      </c>
      <c r="G292" t="s">
        <v>144</v>
      </c>
      <c r="H292" t="s">
        <v>22</v>
      </c>
      <c r="I292" t="e">
        <f t="shared" ca="1" si="20"/>
        <v>#REF!</v>
      </c>
      <c r="J292" t="str">
        <f>VLOOKUP($G292,DefinitionArrays!$I$6:$J$12,2,FALSE)</f>
        <v>Workweek</v>
      </c>
    </row>
    <row r="293" spans="1:10">
      <c r="A293" s="159" t="str">
        <f t="shared" si="21"/>
        <v>$K$1:$K$92</v>
      </c>
      <c r="B293" s="159" t="str">
        <f t="shared" si="22"/>
        <v>$L$1:$L$92</v>
      </c>
      <c r="C293" s="159" t="str">
        <f t="shared" si="23"/>
        <v>May!$K$1:$K$92</v>
      </c>
      <c r="D293" s="159" t="str">
        <f t="shared" si="24"/>
        <v>May!$L$1:$L$92</v>
      </c>
      <c r="E293" t="s">
        <v>3</v>
      </c>
      <c r="F293" t="s">
        <v>124</v>
      </c>
      <c r="G293" t="s">
        <v>144</v>
      </c>
      <c r="H293" t="s">
        <v>23</v>
      </c>
      <c r="I293" t="e">
        <f t="shared" ca="1" si="20"/>
        <v>#REF!</v>
      </c>
      <c r="J293" t="str">
        <f>VLOOKUP($G293,DefinitionArrays!$I$6:$J$12,2,FALSE)</f>
        <v>Workweek</v>
      </c>
    </row>
    <row r="294" spans="1:10">
      <c r="A294" s="159" t="str">
        <f t="shared" si="21"/>
        <v>$K$1:$K$92</v>
      </c>
      <c r="B294" s="159" t="str">
        <f t="shared" si="22"/>
        <v>$L$1:$L$92</v>
      </c>
      <c r="C294" s="159" t="str">
        <f t="shared" si="23"/>
        <v>May!$K$1:$K$92</v>
      </c>
      <c r="D294" s="159" t="str">
        <f t="shared" si="24"/>
        <v>May!$L$1:$L$92</v>
      </c>
      <c r="E294" t="s">
        <v>3</v>
      </c>
      <c r="F294" t="s">
        <v>124</v>
      </c>
      <c r="G294" t="s">
        <v>144</v>
      </c>
      <c r="H294" t="s">
        <v>24</v>
      </c>
      <c r="I294" t="e">
        <f t="shared" ca="1" si="20"/>
        <v>#REF!</v>
      </c>
      <c r="J294" t="str">
        <f>VLOOKUP($G294,DefinitionArrays!$I$6:$J$12,2,FALSE)</f>
        <v>Workweek</v>
      </c>
    </row>
    <row r="295" spans="1:10">
      <c r="A295" s="159" t="str">
        <f t="shared" si="21"/>
        <v>$K$1:$K$92</v>
      </c>
      <c r="B295" s="159" t="str">
        <f t="shared" si="22"/>
        <v>$L$1:$L$92</v>
      </c>
      <c r="C295" s="159" t="str">
        <f t="shared" si="23"/>
        <v>May!$K$1:$K$92</v>
      </c>
      <c r="D295" s="159" t="str">
        <f t="shared" si="24"/>
        <v>May!$L$1:$L$92</v>
      </c>
      <c r="E295" t="s">
        <v>3</v>
      </c>
      <c r="F295" t="s">
        <v>124</v>
      </c>
      <c r="G295" t="s">
        <v>144</v>
      </c>
      <c r="H295" t="s">
        <v>179</v>
      </c>
      <c r="I295" t="e">
        <f t="shared" ca="1" si="20"/>
        <v>#REF!</v>
      </c>
      <c r="J295" t="str">
        <f>VLOOKUP($G295,DefinitionArrays!$I$6:$J$12,2,FALSE)</f>
        <v>Workweek</v>
      </c>
    </row>
    <row r="296" spans="1:10">
      <c r="A296" s="159" t="str">
        <f t="shared" si="21"/>
        <v>$K$1:$K$92</v>
      </c>
      <c r="B296" s="159" t="str">
        <f t="shared" si="22"/>
        <v>$L$1:$L$92</v>
      </c>
      <c r="C296" s="159" t="str">
        <f t="shared" si="23"/>
        <v>May!$K$1:$K$92</v>
      </c>
      <c r="D296" s="159" t="str">
        <f t="shared" si="24"/>
        <v>May!$L$1:$L$92</v>
      </c>
      <c r="E296" t="s">
        <v>3</v>
      </c>
      <c r="F296" t="s">
        <v>124</v>
      </c>
      <c r="G296" t="s">
        <v>144</v>
      </c>
      <c r="H296" t="s">
        <v>180</v>
      </c>
      <c r="I296" t="e">
        <f t="shared" ca="1" si="20"/>
        <v>#REF!</v>
      </c>
      <c r="J296" t="str">
        <f>VLOOKUP($G296,DefinitionArrays!$I$6:$J$12,2,FALSE)</f>
        <v>Workweek</v>
      </c>
    </row>
    <row r="297" spans="1:10">
      <c r="A297" s="159" t="str">
        <f t="shared" si="21"/>
        <v>$K$1:$K$92</v>
      </c>
      <c r="B297" s="159" t="str">
        <f t="shared" si="22"/>
        <v>$L$1:$L$92</v>
      </c>
      <c r="C297" s="159" t="str">
        <f t="shared" si="23"/>
        <v>May!$K$1:$K$92</v>
      </c>
      <c r="D297" s="159" t="str">
        <f t="shared" si="24"/>
        <v>May!$L$1:$L$92</v>
      </c>
      <c r="E297" t="s">
        <v>3</v>
      </c>
      <c r="F297" t="s">
        <v>124</v>
      </c>
      <c r="G297" t="s">
        <v>144</v>
      </c>
      <c r="H297" t="s">
        <v>44</v>
      </c>
      <c r="I297" t="e">
        <f t="shared" ca="1" si="20"/>
        <v>#REF!</v>
      </c>
      <c r="J297" t="str">
        <f>VLOOKUP($G297,DefinitionArrays!$I$6:$J$12,2,FALSE)</f>
        <v>Workweek</v>
      </c>
    </row>
    <row r="298" spans="1:10">
      <c r="A298" s="159" t="str">
        <f t="shared" si="21"/>
        <v>$N$1:$N$92</v>
      </c>
      <c r="B298" s="159" t="str">
        <f t="shared" si="22"/>
        <v>$O$1:$O$92</v>
      </c>
      <c r="C298" s="159" t="str">
        <f t="shared" si="23"/>
        <v>May!$N$1:$N$92</v>
      </c>
      <c r="D298" s="159" t="str">
        <f t="shared" si="24"/>
        <v>May!$O$1:$O$92</v>
      </c>
      <c r="E298" t="s">
        <v>3</v>
      </c>
      <c r="F298" t="s">
        <v>124</v>
      </c>
      <c r="G298" t="s">
        <v>145</v>
      </c>
      <c r="H298" t="s">
        <v>159</v>
      </c>
      <c r="I298" t="e">
        <f t="shared" ca="1" si="20"/>
        <v>#REF!</v>
      </c>
      <c r="J298" t="str">
        <f>VLOOKUP($G298,DefinitionArrays!$I$6:$J$12,2,FALSE)</f>
        <v>Weekend</v>
      </c>
    </row>
    <row r="299" spans="1:10">
      <c r="A299" s="159" t="str">
        <f t="shared" si="21"/>
        <v>$N$1:$N$92</v>
      </c>
      <c r="B299" s="159" t="str">
        <f t="shared" si="22"/>
        <v>$O$1:$O$92</v>
      </c>
      <c r="C299" s="159" t="str">
        <f t="shared" si="23"/>
        <v>May!$N$1:$N$92</v>
      </c>
      <c r="D299" s="159" t="str">
        <f t="shared" si="24"/>
        <v>May!$O$1:$O$92</v>
      </c>
      <c r="E299" t="s">
        <v>3</v>
      </c>
      <c r="F299" t="s">
        <v>124</v>
      </c>
      <c r="G299" t="s">
        <v>145</v>
      </c>
      <c r="H299" t="s">
        <v>18</v>
      </c>
      <c r="I299" t="e">
        <f t="shared" ca="1" si="20"/>
        <v>#REF!</v>
      </c>
      <c r="J299" t="str">
        <f>VLOOKUP($G299,DefinitionArrays!$I$6:$J$12,2,FALSE)</f>
        <v>Weekend</v>
      </c>
    </row>
    <row r="300" spans="1:10">
      <c r="A300" s="159" t="str">
        <f t="shared" si="21"/>
        <v>$N$1:$N$92</v>
      </c>
      <c r="B300" s="159" t="str">
        <f t="shared" si="22"/>
        <v>$O$1:$O$92</v>
      </c>
      <c r="C300" s="159" t="str">
        <f t="shared" si="23"/>
        <v>May!$N$1:$N$92</v>
      </c>
      <c r="D300" s="159" t="str">
        <f t="shared" si="24"/>
        <v>May!$O$1:$O$92</v>
      </c>
      <c r="E300" t="s">
        <v>3</v>
      </c>
      <c r="F300" t="s">
        <v>124</v>
      </c>
      <c r="G300" t="s">
        <v>145</v>
      </c>
      <c r="H300" t="s">
        <v>153</v>
      </c>
      <c r="I300" t="e">
        <f t="shared" ca="1" si="20"/>
        <v>#REF!</v>
      </c>
      <c r="J300" t="str">
        <f>VLOOKUP($G300,DefinitionArrays!$I$6:$J$12,2,FALSE)</f>
        <v>Weekend</v>
      </c>
    </row>
    <row r="301" spans="1:10">
      <c r="A301" s="159" t="str">
        <f t="shared" si="21"/>
        <v>$N$1:$N$92</v>
      </c>
      <c r="B301" s="159" t="str">
        <f t="shared" si="22"/>
        <v>$O$1:$O$92</v>
      </c>
      <c r="C301" s="159" t="str">
        <f t="shared" si="23"/>
        <v>May!$N$1:$N$92</v>
      </c>
      <c r="D301" s="159" t="str">
        <f t="shared" si="24"/>
        <v>May!$O$1:$O$92</v>
      </c>
      <c r="E301" t="s">
        <v>3</v>
      </c>
      <c r="F301" t="s">
        <v>124</v>
      </c>
      <c r="G301" t="s">
        <v>145</v>
      </c>
      <c r="H301" t="s">
        <v>19</v>
      </c>
      <c r="I301" t="e">
        <f t="shared" ca="1" si="20"/>
        <v>#REF!</v>
      </c>
      <c r="J301" t="str">
        <f>VLOOKUP($G301,DefinitionArrays!$I$6:$J$12,2,FALSE)</f>
        <v>Weekend</v>
      </c>
    </row>
    <row r="302" spans="1:10">
      <c r="A302" s="159" t="str">
        <f t="shared" si="21"/>
        <v>$N$1:$N$92</v>
      </c>
      <c r="B302" s="159" t="str">
        <f t="shared" si="22"/>
        <v>$O$1:$O$92</v>
      </c>
      <c r="C302" s="159" t="str">
        <f t="shared" si="23"/>
        <v>May!$N$1:$N$92</v>
      </c>
      <c r="D302" s="159" t="str">
        <f t="shared" si="24"/>
        <v>May!$O$1:$O$92</v>
      </c>
      <c r="E302" t="s">
        <v>3</v>
      </c>
      <c r="F302" t="s">
        <v>124</v>
      </c>
      <c r="G302" t="s">
        <v>145</v>
      </c>
      <c r="H302" t="s">
        <v>20</v>
      </c>
      <c r="I302" t="e">
        <f t="shared" ca="1" si="20"/>
        <v>#REF!</v>
      </c>
      <c r="J302" t="str">
        <f>VLOOKUP($G302,DefinitionArrays!$I$6:$J$12,2,FALSE)</f>
        <v>Weekend</v>
      </c>
    </row>
    <row r="303" spans="1:10">
      <c r="A303" s="159" t="str">
        <f t="shared" si="21"/>
        <v>$N$1:$N$92</v>
      </c>
      <c r="B303" s="159" t="str">
        <f t="shared" si="22"/>
        <v>$O$1:$O$92</v>
      </c>
      <c r="C303" s="159" t="str">
        <f t="shared" si="23"/>
        <v>May!$N$1:$N$92</v>
      </c>
      <c r="D303" s="159" t="str">
        <f t="shared" si="24"/>
        <v>May!$O$1:$O$92</v>
      </c>
      <c r="E303" t="s">
        <v>3</v>
      </c>
      <c r="F303" t="s">
        <v>124</v>
      </c>
      <c r="G303" t="s">
        <v>145</v>
      </c>
      <c r="H303" t="s">
        <v>21</v>
      </c>
      <c r="I303" t="e">
        <f t="shared" ca="1" si="20"/>
        <v>#REF!</v>
      </c>
      <c r="J303" t="str">
        <f>VLOOKUP($G303,DefinitionArrays!$I$6:$J$12,2,FALSE)</f>
        <v>Weekend</v>
      </c>
    </row>
    <row r="304" spans="1:10">
      <c r="A304" s="159" t="str">
        <f t="shared" si="21"/>
        <v>$N$1:$N$92</v>
      </c>
      <c r="B304" s="159" t="str">
        <f t="shared" si="22"/>
        <v>$O$1:$O$92</v>
      </c>
      <c r="C304" s="159" t="str">
        <f t="shared" si="23"/>
        <v>May!$N$1:$N$92</v>
      </c>
      <c r="D304" s="159" t="str">
        <f t="shared" si="24"/>
        <v>May!$O$1:$O$92</v>
      </c>
      <c r="E304" t="s">
        <v>3</v>
      </c>
      <c r="F304" t="s">
        <v>124</v>
      </c>
      <c r="G304" t="s">
        <v>145</v>
      </c>
      <c r="H304" t="s">
        <v>22</v>
      </c>
      <c r="I304" t="e">
        <f t="shared" ca="1" si="20"/>
        <v>#REF!</v>
      </c>
      <c r="J304" t="str">
        <f>VLOOKUP($G304,DefinitionArrays!$I$6:$J$12,2,FALSE)</f>
        <v>Weekend</v>
      </c>
    </row>
    <row r="305" spans="1:10">
      <c r="A305" s="159" t="str">
        <f t="shared" si="21"/>
        <v>$N$1:$N$92</v>
      </c>
      <c r="B305" s="159" t="str">
        <f t="shared" si="22"/>
        <v>$O$1:$O$92</v>
      </c>
      <c r="C305" s="159" t="str">
        <f t="shared" si="23"/>
        <v>May!$N$1:$N$92</v>
      </c>
      <c r="D305" s="159" t="str">
        <f t="shared" si="24"/>
        <v>May!$O$1:$O$92</v>
      </c>
      <c r="E305" t="s">
        <v>3</v>
      </c>
      <c r="F305" t="s">
        <v>124</v>
      </c>
      <c r="G305" t="s">
        <v>145</v>
      </c>
      <c r="H305" t="s">
        <v>23</v>
      </c>
      <c r="I305" t="e">
        <f t="shared" ca="1" si="20"/>
        <v>#REF!</v>
      </c>
      <c r="J305" t="str">
        <f>VLOOKUP($G305,DefinitionArrays!$I$6:$J$12,2,FALSE)</f>
        <v>Weekend</v>
      </c>
    </row>
    <row r="306" spans="1:10">
      <c r="A306" s="159" t="str">
        <f t="shared" si="21"/>
        <v>$N$1:$N$92</v>
      </c>
      <c r="B306" s="159" t="str">
        <f t="shared" si="22"/>
        <v>$O$1:$O$92</v>
      </c>
      <c r="C306" s="159" t="str">
        <f t="shared" si="23"/>
        <v>May!$N$1:$N$92</v>
      </c>
      <c r="D306" s="159" t="str">
        <f t="shared" si="24"/>
        <v>May!$O$1:$O$92</v>
      </c>
      <c r="E306" t="s">
        <v>3</v>
      </c>
      <c r="F306" t="s">
        <v>124</v>
      </c>
      <c r="G306" t="s">
        <v>145</v>
      </c>
      <c r="H306" t="s">
        <v>24</v>
      </c>
      <c r="I306" t="e">
        <f t="shared" ca="1" si="20"/>
        <v>#REF!</v>
      </c>
      <c r="J306" t="str">
        <f>VLOOKUP($G306,DefinitionArrays!$I$6:$J$12,2,FALSE)</f>
        <v>Weekend</v>
      </c>
    </row>
    <row r="307" spans="1:10">
      <c r="A307" s="159" t="str">
        <f t="shared" si="21"/>
        <v>$N$1:$N$92</v>
      </c>
      <c r="B307" s="159" t="str">
        <f t="shared" si="22"/>
        <v>$O$1:$O$92</v>
      </c>
      <c r="C307" s="159" t="str">
        <f t="shared" si="23"/>
        <v>May!$N$1:$N$92</v>
      </c>
      <c r="D307" s="159" t="str">
        <f t="shared" si="24"/>
        <v>May!$O$1:$O$92</v>
      </c>
      <c r="E307" t="s">
        <v>3</v>
      </c>
      <c r="F307" t="s">
        <v>124</v>
      </c>
      <c r="G307" t="s">
        <v>145</v>
      </c>
      <c r="H307" t="s">
        <v>179</v>
      </c>
      <c r="I307" t="e">
        <f t="shared" ca="1" si="20"/>
        <v>#REF!</v>
      </c>
      <c r="J307" t="str">
        <f>VLOOKUP($G307,DefinitionArrays!$I$6:$J$12,2,FALSE)</f>
        <v>Weekend</v>
      </c>
    </row>
    <row r="308" spans="1:10">
      <c r="A308" s="159" t="str">
        <f t="shared" si="21"/>
        <v>$N$1:$N$92</v>
      </c>
      <c r="B308" s="159" t="str">
        <f t="shared" si="22"/>
        <v>$O$1:$O$92</v>
      </c>
      <c r="C308" s="159" t="str">
        <f t="shared" si="23"/>
        <v>May!$N$1:$N$92</v>
      </c>
      <c r="D308" s="159" t="str">
        <f t="shared" si="24"/>
        <v>May!$O$1:$O$92</v>
      </c>
      <c r="E308" t="s">
        <v>3</v>
      </c>
      <c r="F308" t="s">
        <v>124</v>
      </c>
      <c r="G308" t="s">
        <v>145</v>
      </c>
      <c r="H308" t="s">
        <v>180</v>
      </c>
      <c r="I308" t="e">
        <f t="shared" ca="1" si="20"/>
        <v>#REF!</v>
      </c>
      <c r="J308" t="str">
        <f>VLOOKUP($G308,DefinitionArrays!$I$6:$J$12,2,FALSE)</f>
        <v>Weekend</v>
      </c>
    </row>
    <row r="309" spans="1:10">
      <c r="A309" s="159" t="str">
        <f t="shared" si="21"/>
        <v>$N$1:$N$92</v>
      </c>
      <c r="B309" s="159" t="str">
        <f t="shared" si="22"/>
        <v>$O$1:$O$92</v>
      </c>
      <c r="C309" s="159" t="str">
        <f t="shared" si="23"/>
        <v>May!$N$1:$N$92</v>
      </c>
      <c r="D309" s="159" t="str">
        <f t="shared" si="24"/>
        <v>May!$O$1:$O$92</v>
      </c>
      <c r="E309" t="s">
        <v>3</v>
      </c>
      <c r="F309" t="s">
        <v>124</v>
      </c>
      <c r="G309" t="s">
        <v>145</v>
      </c>
      <c r="H309" t="s">
        <v>44</v>
      </c>
      <c r="I309" t="e">
        <f t="shared" ca="1" si="20"/>
        <v>#REF!</v>
      </c>
      <c r="J309" t="str">
        <f>VLOOKUP($G309,DefinitionArrays!$I$6:$J$12,2,FALSE)</f>
        <v>Weekend</v>
      </c>
    </row>
    <row r="310" spans="1:10">
      <c r="A310" s="159" t="str">
        <f t="shared" si="21"/>
        <v>$Q$1:$Q$92</v>
      </c>
      <c r="B310" s="159" t="str">
        <f t="shared" si="22"/>
        <v>$R$1:$R$92</v>
      </c>
      <c r="C310" s="159" t="str">
        <f t="shared" si="23"/>
        <v>May!$Q$1:$Q$92</v>
      </c>
      <c r="D310" s="159" t="str">
        <f t="shared" si="24"/>
        <v>May!$R$1:$R$92</v>
      </c>
      <c r="E310" t="s">
        <v>3</v>
      </c>
      <c r="F310" t="s">
        <v>124</v>
      </c>
      <c r="G310" t="s">
        <v>146</v>
      </c>
      <c r="H310" t="s">
        <v>159</v>
      </c>
      <c r="I310" t="e">
        <f t="shared" ca="1" si="20"/>
        <v>#REF!</v>
      </c>
      <c r="J310" t="str">
        <f>VLOOKUP($G310,DefinitionArrays!$I$6:$J$12,2,FALSE)</f>
        <v>Weekend</v>
      </c>
    </row>
    <row r="311" spans="1:10">
      <c r="A311" s="159" t="str">
        <f t="shared" si="21"/>
        <v>$T$1:$T$92</v>
      </c>
      <c r="B311" s="159" t="str">
        <f t="shared" si="22"/>
        <v>$U$1:$U$92</v>
      </c>
      <c r="C311" s="159" t="str">
        <f t="shared" si="23"/>
        <v>May!$T$1:$T$92</v>
      </c>
      <c r="D311" s="159" t="str">
        <f t="shared" si="24"/>
        <v>May!$U$1:$U$92</v>
      </c>
      <c r="E311" t="s">
        <v>3</v>
      </c>
      <c r="F311" t="s">
        <v>124</v>
      </c>
      <c r="G311" t="s">
        <v>141</v>
      </c>
      <c r="H311" t="s">
        <v>159</v>
      </c>
      <c r="I311" t="e">
        <f t="shared" ca="1" si="20"/>
        <v>#REF!</v>
      </c>
      <c r="J311" t="str">
        <f>VLOOKUP($G311,DefinitionArrays!$I$6:$J$12,2,FALSE)</f>
        <v>Weekend</v>
      </c>
    </row>
    <row r="312" spans="1:10">
      <c r="A312" s="159" t="str">
        <f t="shared" si="21"/>
        <v>$B$1:$B$92</v>
      </c>
      <c r="B312" s="159" t="str">
        <f t="shared" si="22"/>
        <v>$C$1:$C$92</v>
      </c>
      <c r="C312" s="159" t="str">
        <f t="shared" si="23"/>
        <v>June!$B$1:$B$92</v>
      </c>
      <c r="D312" s="159" t="str">
        <f t="shared" si="24"/>
        <v>June!$C$1:$C$92</v>
      </c>
      <c r="E312" t="s">
        <v>3</v>
      </c>
      <c r="F312" t="s">
        <v>125</v>
      </c>
      <c r="G312" t="s">
        <v>13</v>
      </c>
      <c r="H312" t="s">
        <v>159</v>
      </c>
      <c r="I312" t="e">
        <f ca="1">COUNTIFS(INDIRECT($C312),$E312,INDIRECT($D312),$H312)</f>
        <v>#REF!</v>
      </c>
      <c r="J312" t="str">
        <f>VLOOKUP($G312,DefinitionArrays!$I$6:$J$12,2,FALSE)</f>
        <v>Workweek</v>
      </c>
    </row>
    <row r="313" spans="1:10">
      <c r="A313" s="159" t="str">
        <f t="shared" si="21"/>
        <v>$B$1:$B$92</v>
      </c>
      <c r="B313" s="159" t="str">
        <f t="shared" si="22"/>
        <v>$C$1:$C$92</v>
      </c>
      <c r="C313" s="159" t="str">
        <f t="shared" si="23"/>
        <v>June!$B$1:$B$92</v>
      </c>
      <c r="D313" s="159" t="str">
        <f t="shared" si="24"/>
        <v>June!$C$1:$C$92</v>
      </c>
      <c r="E313" t="s">
        <v>3</v>
      </c>
      <c r="F313" t="s">
        <v>125</v>
      </c>
      <c r="G313" t="s">
        <v>13</v>
      </c>
      <c r="H313" t="s">
        <v>18</v>
      </c>
      <c r="I313" t="e">
        <f t="shared" ref="I313:I373" ca="1" si="25">COUNTIFS(INDIRECT($C313),$E313,INDIRECT($D313),$H313)</f>
        <v>#REF!</v>
      </c>
      <c r="J313" t="str">
        <f>VLOOKUP($G313,DefinitionArrays!$I$6:$J$12,2,FALSE)</f>
        <v>Workweek</v>
      </c>
    </row>
    <row r="314" spans="1:10">
      <c r="A314" s="159" t="str">
        <f t="shared" si="21"/>
        <v>$B$1:$B$92</v>
      </c>
      <c r="B314" s="159" t="str">
        <f t="shared" si="22"/>
        <v>$C$1:$C$92</v>
      </c>
      <c r="C314" s="159" t="str">
        <f t="shared" si="23"/>
        <v>June!$B$1:$B$92</v>
      </c>
      <c r="D314" s="159" t="str">
        <f t="shared" si="24"/>
        <v>June!$C$1:$C$92</v>
      </c>
      <c r="E314" t="s">
        <v>3</v>
      </c>
      <c r="F314" t="s">
        <v>125</v>
      </c>
      <c r="G314" t="s">
        <v>13</v>
      </c>
      <c r="H314" t="s">
        <v>153</v>
      </c>
      <c r="I314" t="e">
        <f t="shared" ca="1" si="25"/>
        <v>#REF!</v>
      </c>
      <c r="J314" t="str">
        <f>VLOOKUP($G314,DefinitionArrays!$I$6:$J$12,2,FALSE)</f>
        <v>Workweek</v>
      </c>
    </row>
    <row r="315" spans="1:10">
      <c r="A315" s="159" t="str">
        <f t="shared" si="21"/>
        <v>$B$1:$B$92</v>
      </c>
      <c r="B315" s="159" t="str">
        <f t="shared" si="22"/>
        <v>$C$1:$C$92</v>
      </c>
      <c r="C315" s="159" t="str">
        <f t="shared" si="23"/>
        <v>June!$B$1:$B$92</v>
      </c>
      <c r="D315" s="159" t="str">
        <f t="shared" si="24"/>
        <v>June!$C$1:$C$92</v>
      </c>
      <c r="E315" t="s">
        <v>3</v>
      </c>
      <c r="F315" t="s">
        <v>125</v>
      </c>
      <c r="G315" t="s">
        <v>13</v>
      </c>
      <c r="H315" t="s">
        <v>19</v>
      </c>
      <c r="I315" t="e">
        <f t="shared" ca="1" si="25"/>
        <v>#REF!</v>
      </c>
      <c r="J315" t="str">
        <f>VLOOKUP($G315,DefinitionArrays!$I$6:$J$12,2,FALSE)</f>
        <v>Workweek</v>
      </c>
    </row>
    <row r="316" spans="1:10">
      <c r="A316" s="159" t="str">
        <f t="shared" si="21"/>
        <v>$B$1:$B$92</v>
      </c>
      <c r="B316" s="159" t="str">
        <f t="shared" si="22"/>
        <v>$C$1:$C$92</v>
      </c>
      <c r="C316" s="159" t="str">
        <f t="shared" si="23"/>
        <v>June!$B$1:$B$92</v>
      </c>
      <c r="D316" s="159" t="str">
        <f t="shared" si="24"/>
        <v>June!$C$1:$C$92</v>
      </c>
      <c r="E316" t="s">
        <v>3</v>
      </c>
      <c r="F316" t="s">
        <v>125</v>
      </c>
      <c r="G316" t="s">
        <v>13</v>
      </c>
      <c r="H316" t="s">
        <v>20</v>
      </c>
      <c r="I316" t="e">
        <f t="shared" ca="1" si="25"/>
        <v>#REF!</v>
      </c>
      <c r="J316" t="str">
        <f>VLOOKUP($G316,DefinitionArrays!$I$6:$J$12,2,FALSE)</f>
        <v>Workweek</v>
      </c>
    </row>
    <row r="317" spans="1:10">
      <c r="A317" s="159" t="str">
        <f t="shared" si="21"/>
        <v>$B$1:$B$92</v>
      </c>
      <c r="B317" s="159" t="str">
        <f t="shared" si="22"/>
        <v>$C$1:$C$92</v>
      </c>
      <c r="C317" s="159" t="str">
        <f t="shared" si="23"/>
        <v>June!$B$1:$B$92</v>
      </c>
      <c r="D317" s="159" t="str">
        <f t="shared" si="24"/>
        <v>June!$C$1:$C$92</v>
      </c>
      <c r="E317" t="s">
        <v>3</v>
      </c>
      <c r="F317" t="s">
        <v>125</v>
      </c>
      <c r="G317" t="s">
        <v>13</v>
      </c>
      <c r="H317" t="s">
        <v>21</v>
      </c>
      <c r="I317" t="e">
        <f t="shared" ca="1" si="25"/>
        <v>#REF!</v>
      </c>
      <c r="J317" t="str">
        <f>VLOOKUP($G317,DefinitionArrays!$I$6:$J$12,2,FALSE)</f>
        <v>Workweek</v>
      </c>
    </row>
    <row r="318" spans="1:10">
      <c r="A318" s="159" t="str">
        <f t="shared" si="21"/>
        <v>$B$1:$B$92</v>
      </c>
      <c r="B318" s="159" t="str">
        <f t="shared" si="22"/>
        <v>$C$1:$C$92</v>
      </c>
      <c r="C318" s="159" t="str">
        <f t="shared" si="23"/>
        <v>June!$B$1:$B$92</v>
      </c>
      <c r="D318" s="159" t="str">
        <f t="shared" si="24"/>
        <v>June!$C$1:$C$92</v>
      </c>
      <c r="E318" t="s">
        <v>3</v>
      </c>
      <c r="F318" t="s">
        <v>125</v>
      </c>
      <c r="G318" t="s">
        <v>13</v>
      </c>
      <c r="H318" t="s">
        <v>22</v>
      </c>
      <c r="I318" t="e">
        <f t="shared" ca="1" si="25"/>
        <v>#REF!</v>
      </c>
      <c r="J318" t="str">
        <f>VLOOKUP($G318,DefinitionArrays!$I$6:$J$12,2,FALSE)</f>
        <v>Workweek</v>
      </c>
    </row>
    <row r="319" spans="1:10">
      <c r="A319" s="159" t="str">
        <f t="shared" si="21"/>
        <v>$B$1:$B$92</v>
      </c>
      <c r="B319" s="159" t="str">
        <f t="shared" si="22"/>
        <v>$C$1:$C$92</v>
      </c>
      <c r="C319" s="159" t="str">
        <f t="shared" si="23"/>
        <v>June!$B$1:$B$92</v>
      </c>
      <c r="D319" s="159" t="str">
        <f t="shared" si="24"/>
        <v>June!$C$1:$C$92</v>
      </c>
      <c r="E319" t="s">
        <v>3</v>
      </c>
      <c r="F319" t="s">
        <v>125</v>
      </c>
      <c r="G319" t="s">
        <v>13</v>
      </c>
      <c r="H319" t="s">
        <v>23</v>
      </c>
      <c r="I319" t="e">
        <f t="shared" ca="1" si="25"/>
        <v>#REF!</v>
      </c>
      <c r="J319" t="str">
        <f>VLOOKUP($G319,DefinitionArrays!$I$6:$J$12,2,FALSE)</f>
        <v>Workweek</v>
      </c>
    </row>
    <row r="320" spans="1:10">
      <c r="A320" s="159" t="str">
        <f t="shared" si="21"/>
        <v>$B$1:$B$92</v>
      </c>
      <c r="B320" s="159" t="str">
        <f t="shared" si="22"/>
        <v>$C$1:$C$92</v>
      </c>
      <c r="C320" s="159" t="str">
        <f t="shared" si="23"/>
        <v>June!$B$1:$B$92</v>
      </c>
      <c r="D320" s="159" t="str">
        <f t="shared" si="24"/>
        <v>June!$C$1:$C$92</v>
      </c>
      <c r="E320" t="s">
        <v>3</v>
      </c>
      <c r="F320" t="s">
        <v>125</v>
      </c>
      <c r="G320" t="s">
        <v>13</v>
      </c>
      <c r="H320" t="s">
        <v>24</v>
      </c>
      <c r="I320" t="e">
        <f t="shared" ca="1" si="25"/>
        <v>#REF!</v>
      </c>
      <c r="J320" t="str">
        <f>VLOOKUP($G320,DefinitionArrays!$I$6:$J$12,2,FALSE)</f>
        <v>Workweek</v>
      </c>
    </row>
    <row r="321" spans="1:10">
      <c r="A321" s="159" t="str">
        <f t="shared" si="21"/>
        <v>$B$1:$B$92</v>
      </c>
      <c r="B321" s="159" t="str">
        <f t="shared" si="22"/>
        <v>$C$1:$C$92</v>
      </c>
      <c r="C321" s="159" t="str">
        <f t="shared" si="23"/>
        <v>June!$B$1:$B$92</v>
      </c>
      <c r="D321" s="159" t="str">
        <f t="shared" si="24"/>
        <v>June!$C$1:$C$92</v>
      </c>
      <c r="E321" t="s">
        <v>3</v>
      </c>
      <c r="F321" t="s">
        <v>125</v>
      </c>
      <c r="G321" t="s">
        <v>13</v>
      </c>
      <c r="H321" t="s">
        <v>179</v>
      </c>
      <c r="I321" t="e">
        <f t="shared" ca="1" si="25"/>
        <v>#REF!</v>
      </c>
      <c r="J321" t="str">
        <f>VLOOKUP($G321,DefinitionArrays!$I$6:$J$12,2,FALSE)</f>
        <v>Workweek</v>
      </c>
    </row>
    <row r="322" spans="1:10">
      <c r="A322" s="159" t="str">
        <f t="shared" ref="A322:A385" si="26">VLOOKUP($G322,Fx_Code,2,FALSE)</f>
        <v>$B$1:$B$92</v>
      </c>
      <c r="B322" s="159" t="str">
        <f t="shared" ref="B322:B385" si="27">VLOOKUP($G322,Fx_Code,3,FALSE)</f>
        <v>$C$1:$C$92</v>
      </c>
      <c r="C322" s="159" t="str">
        <f t="shared" ref="C322:C385" si="28">CONCATENATE($F322,$K$1,A322)</f>
        <v>June!$B$1:$B$92</v>
      </c>
      <c r="D322" s="159" t="str">
        <f t="shared" ref="D322:D385" si="29">CONCATENATE($F322,$K$1,B322)</f>
        <v>June!$C$1:$C$92</v>
      </c>
      <c r="E322" t="s">
        <v>3</v>
      </c>
      <c r="F322" t="s">
        <v>125</v>
      </c>
      <c r="G322" t="s">
        <v>13</v>
      </c>
      <c r="H322" t="s">
        <v>180</v>
      </c>
      <c r="I322" t="e">
        <f t="shared" ca="1" si="25"/>
        <v>#REF!</v>
      </c>
      <c r="J322" t="str">
        <f>VLOOKUP($G322,DefinitionArrays!$I$6:$J$12,2,FALSE)</f>
        <v>Workweek</v>
      </c>
    </row>
    <row r="323" spans="1:10">
      <c r="A323" s="159" t="str">
        <f t="shared" si="26"/>
        <v>$B$1:$B$92</v>
      </c>
      <c r="B323" s="159" t="str">
        <f t="shared" si="27"/>
        <v>$C$1:$C$92</v>
      </c>
      <c r="C323" s="159" t="str">
        <f t="shared" si="28"/>
        <v>June!$B$1:$B$92</v>
      </c>
      <c r="D323" s="159" t="str">
        <f t="shared" si="29"/>
        <v>June!$C$1:$C$92</v>
      </c>
      <c r="E323" t="s">
        <v>3</v>
      </c>
      <c r="F323" t="s">
        <v>125</v>
      </c>
      <c r="G323" t="s">
        <v>13</v>
      </c>
      <c r="H323" t="s">
        <v>44</v>
      </c>
      <c r="I323" t="e">
        <f t="shared" ca="1" si="25"/>
        <v>#REF!</v>
      </c>
      <c r="J323" t="str">
        <f>VLOOKUP($G323,DefinitionArrays!$I$6:$J$12,2,FALSE)</f>
        <v>Workweek</v>
      </c>
    </row>
    <row r="324" spans="1:10">
      <c r="A324" s="159" t="str">
        <f t="shared" si="26"/>
        <v>$E$1:$E$92</v>
      </c>
      <c r="B324" s="159" t="str">
        <f t="shared" si="27"/>
        <v>$F$1:$F$92</v>
      </c>
      <c r="C324" s="159" t="str">
        <f t="shared" si="28"/>
        <v>June!$E$1:$E$92</v>
      </c>
      <c r="D324" s="159" t="str">
        <f t="shared" si="29"/>
        <v>June!$F$1:$F$92</v>
      </c>
      <c r="E324" t="s">
        <v>3</v>
      </c>
      <c r="F324" t="s">
        <v>125</v>
      </c>
      <c r="G324" t="s">
        <v>142</v>
      </c>
      <c r="H324" t="s">
        <v>159</v>
      </c>
      <c r="I324" t="e">
        <f t="shared" ca="1" si="25"/>
        <v>#REF!</v>
      </c>
      <c r="J324" t="str">
        <f>VLOOKUP($G324,DefinitionArrays!$I$6:$J$12,2,FALSE)</f>
        <v>Workweek</v>
      </c>
    </row>
    <row r="325" spans="1:10">
      <c r="A325" s="159" t="str">
        <f t="shared" si="26"/>
        <v>$E$1:$E$92</v>
      </c>
      <c r="B325" s="159" t="str">
        <f t="shared" si="27"/>
        <v>$F$1:$F$92</v>
      </c>
      <c r="C325" s="159" t="str">
        <f t="shared" si="28"/>
        <v>June!$E$1:$E$92</v>
      </c>
      <c r="D325" s="159" t="str">
        <f t="shared" si="29"/>
        <v>June!$F$1:$F$92</v>
      </c>
      <c r="E325" t="s">
        <v>3</v>
      </c>
      <c r="F325" t="s">
        <v>125</v>
      </c>
      <c r="G325" t="s">
        <v>142</v>
      </c>
      <c r="H325" t="s">
        <v>18</v>
      </c>
      <c r="I325" t="e">
        <f t="shared" ca="1" si="25"/>
        <v>#REF!</v>
      </c>
      <c r="J325" t="str">
        <f>VLOOKUP($G325,DefinitionArrays!$I$6:$J$12,2,FALSE)</f>
        <v>Workweek</v>
      </c>
    </row>
    <row r="326" spans="1:10">
      <c r="A326" s="159" t="str">
        <f t="shared" si="26"/>
        <v>$E$1:$E$92</v>
      </c>
      <c r="B326" s="159" t="str">
        <f t="shared" si="27"/>
        <v>$F$1:$F$92</v>
      </c>
      <c r="C326" s="159" t="str">
        <f t="shared" si="28"/>
        <v>June!$E$1:$E$92</v>
      </c>
      <c r="D326" s="159" t="str">
        <f t="shared" si="29"/>
        <v>June!$F$1:$F$92</v>
      </c>
      <c r="E326" t="s">
        <v>3</v>
      </c>
      <c r="F326" t="s">
        <v>125</v>
      </c>
      <c r="G326" t="s">
        <v>142</v>
      </c>
      <c r="H326" t="s">
        <v>153</v>
      </c>
      <c r="I326" t="e">
        <f t="shared" ca="1" si="25"/>
        <v>#REF!</v>
      </c>
      <c r="J326" t="str">
        <f>VLOOKUP($G326,DefinitionArrays!$I$6:$J$12,2,FALSE)</f>
        <v>Workweek</v>
      </c>
    </row>
    <row r="327" spans="1:10">
      <c r="A327" s="159" t="str">
        <f t="shared" si="26"/>
        <v>$E$1:$E$92</v>
      </c>
      <c r="B327" s="159" t="str">
        <f t="shared" si="27"/>
        <v>$F$1:$F$92</v>
      </c>
      <c r="C327" s="159" t="str">
        <f t="shared" si="28"/>
        <v>June!$E$1:$E$92</v>
      </c>
      <c r="D327" s="159" t="str">
        <f t="shared" si="29"/>
        <v>June!$F$1:$F$92</v>
      </c>
      <c r="E327" t="s">
        <v>3</v>
      </c>
      <c r="F327" t="s">
        <v>125</v>
      </c>
      <c r="G327" t="s">
        <v>142</v>
      </c>
      <c r="H327" t="s">
        <v>19</v>
      </c>
      <c r="I327" t="e">
        <f t="shared" ca="1" si="25"/>
        <v>#REF!</v>
      </c>
      <c r="J327" t="str">
        <f>VLOOKUP($G327,DefinitionArrays!$I$6:$J$12,2,FALSE)</f>
        <v>Workweek</v>
      </c>
    </row>
    <row r="328" spans="1:10">
      <c r="A328" s="159" t="str">
        <f t="shared" si="26"/>
        <v>$E$1:$E$92</v>
      </c>
      <c r="B328" s="159" t="str">
        <f t="shared" si="27"/>
        <v>$F$1:$F$92</v>
      </c>
      <c r="C328" s="159" t="str">
        <f t="shared" si="28"/>
        <v>June!$E$1:$E$92</v>
      </c>
      <c r="D328" s="159" t="str">
        <f t="shared" si="29"/>
        <v>June!$F$1:$F$92</v>
      </c>
      <c r="E328" t="s">
        <v>3</v>
      </c>
      <c r="F328" t="s">
        <v>125</v>
      </c>
      <c r="G328" t="s">
        <v>142</v>
      </c>
      <c r="H328" t="s">
        <v>20</v>
      </c>
      <c r="I328" t="e">
        <f t="shared" ca="1" si="25"/>
        <v>#REF!</v>
      </c>
      <c r="J328" t="str">
        <f>VLOOKUP($G328,DefinitionArrays!$I$6:$J$12,2,FALSE)</f>
        <v>Workweek</v>
      </c>
    </row>
    <row r="329" spans="1:10">
      <c r="A329" s="159" t="str">
        <f t="shared" si="26"/>
        <v>$E$1:$E$92</v>
      </c>
      <c r="B329" s="159" t="str">
        <f t="shared" si="27"/>
        <v>$F$1:$F$92</v>
      </c>
      <c r="C329" s="159" t="str">
        <f t="shared" si="28"/>
        <v>June!$E$1:$E$92</v>
      </c>
      <c r="D329" s="159" t="str">
        <f t="shared" si="29"/>
        <v>June!$F$1:$F$92</v>
      </c>
      <c r="E329" t="s">
        <v>3</v>
      </c>
      <c r="F329" t="s">
        <v>125</v>
      </c>
      <c r="G329" t="s">
        <v>142</v>
      </c>
      <c r="H329" t="s">
        <v>21</v>
      </c>
      <c r="I329" t="e">
        <f t="shared" ca="1" si="25"/>
        <v>#REF!</v>
      </c>
      <c r="J329" t="str">
        <f>VLOOKUP($G329,DefinitionArrays!$I$6:$J$12,2,FALSE)</f>
        <v>Workweek</v>
      </c>
    </row>
    <row r="330" spans="1:10">
      <c r="A330" s="159" t="str">
        <f t="shared" si="26"/>
        <v>$E$1:$E$92</v>
      </c>
      <c r="B330" s="159" t="str">
        <f t="shared" si="27"/>
        <v>$F$1:$F$92</v>
      </c>
      <c r="C330" s="159" t="str">
        <f t="shared" si="28"/>
        <v>June!$E$1:$E$92</v>
      </c>
      <c r="D330" s="159" t="str">
        <f t="shared" si="29"/>
        <v>June!$F$1:$F$92</v>
      </c>
      <c r="E330" t="s">
        <v>3</v>
      </c>
      <c r="F330" t="s">
        <v>125</v>
      </c>
      <c r="G330" t="s">
        <v>142</v>
      </c>
      <c r="H330" t="s">
        <v>22</v>
      </c>
      <c r="I330" t="e">
        <f t="shared" ca="1" si="25"/>
        <v>#REF!</v>
      </c>
      <c r="J330" t="str">
        <f>VLOOKUP($G330,DefinitionArrays!$I$6:$J$12,2,FALSE)</f>
        <v>Workweek</v>
      </c>
    </row>
    <row r="331" spans="1:10">
      <c r="A331" s="159" t="str">
        <f t="shared" si="26"/>
        <v>$E$1:$E$92</v>
      </c>
      <c r="B331" s="159" t="str">
        <f t="shared" si="27"/>
        <v>$F$1:$F$92</v>
      </c>
      <c r="C331" s="159" t="str">
        <f t="shared" si="28"/>
        <v>June!$E$1:$E$92</v>
      </c>
      <c r="D331" s="159" t="str">
        <f t="shared" si="29"/>
        <v>June!$F$1:$F$92</v>
      </c>
      <c r="E331" t="s">
        <v>3</v>
      </c>
      <c r="F331" t="s">
        <v>125</v>
      </c>
      <c r="G331" t="s">
        <v>142</v>
      </c>
      <c r="H331" t="s">
        <v>23</v>
      </c>
      <c r="I331" t="e">
        <f t="shared" ca="1" si="25"/>
        <v>#REF!</v>
      </c>
      <c r="J331" t="str">
        <f>VLOOKUP($G331,DefinitionArrays!$I$6:$J$12,2,FALSE)</f>
        <v>Workweek</v>
      </c>
    </row>
    <row r="332" spans="1:10">
      <c r="A332" s="159" t="str">
        <f t="shared" si="26"/>
        <v>$E$1:$E$92</v>
      </c>
      <c r="B332" s="159" t="str">
        <f t="shared" si="27"/>
        <v>$F$1:$F$92</v>
      </c>
      <c r="C332" s="159" t="str">
        <f t="shared" si="28"/>
        <v>June!$E$1:$E$92</v>
      </c>
      <c r="D332" s="159" t="str">
        <f t="shared" si="29"/>
        <v>June!$F$1:$F$92</v>
      </c>
      <c r="E332" t="s">
        <v>3</v>
      </c>
      <c r="F332" t="s">
        <v>125</v>
      </c>
      <c r="G332" t="s">
        <v>142</v>
      </c>
      <c r="H332" t="s">
        <v>24</v>
      </c>
      <c r="I332" t="e">
        <f t="shared" ca="1" si="25"/>
        <v>#REF!</v>
      </c>
      <c r="J332" t="str">
        <f>VLOOKUP($G332,DefinitionArrays!$I$6:$J$12,2,FALSE)</f>
        <v>Workweek</v>
      </c>
    </row>
    <row r="333" spans="1:10">
      <c r="A333" s="159" t="str">
        <f t="shared" si="26"/>
        <v>$E$1:$E$92</v>
      </c>
      <c r="B333" s="159" t="str">
        <f t="shared" si="27"/>
        <v>$F$1:$F$92</v>
      </c>
      <c r="C333" s="159" t="str">
        <f t="shared" si="28"/>
        <v>June!$E$1:$E$92</v>
      </c>
      <c r="D333" s="159" t="str">
        <f t="shared" si="29"/>
        <v>June!$F$1:$F$92</v>
      </c>
      <c r="E333" t="s">
        <v>3</v>
      </c>
      <c r="F333" t="s">
        <v>125</v>
      </c>
      <c r="G333" t="s">
        <v>142</v>
      </c>
      <c r="H333" t="s">
        <v>179</v>
      </c>
      <c r="I333" t="e">
        <f t="shared" ca="1" si="25"/>
        <v>#REF!</v>
      </c>
      <c r="J333" t="str">
        <f>VLOOKUP($G333,DefinitionArrays!$I$6:$J$12,2,FALSE)</f>
        <v>Workweek</v>
      </c>
    </row>
    <row r="334" spans="1:10">
      <c r="A334" s="159" t="str">
        <f t="shared" si="26"/>
        <v>$E$1:$E$92</v>
      </c>
      <c r="B334" s="159" t="str">
        <f t="shared" si="27"/>
        <v>$F$1:$F$92</v>
      </c>
      <c r="C334" s="159" t="str">
        <f t="shared" si="28"/>
        <v>June!$E$1:$E$92</v>
      </c>
      <c r="D334" s="159" t="str">
        <f t="shared" si="29"/>
        <v>June!$F$1:$F$92</v>
      </c>
      <c r="E334" t="s">
        <v>3</v>
      </c>
      <c r="F334" t="s">
        <v>125</v>
      </c>
      <c r="G334" t="s">
        <v>142</v>
      </c>
      <c r="H334" t="s">
        <v>180</v>
      </c>
      <c r="I334" t="e">
        <f t="shared" ca="1" si="25"/>
        <v>#REF!</v>
      </c>
      <c r="J334" t="str">
        <f>VLOOKUP($G334,DefinitionArrays!$I$6:$J$12,2,FALSE)</f>
        <v>Workweek</v>
      </c>
    </row>
    <row r="335" spans="1:10">
      <c r="A335" s="159" t="str">
        <f t="shared" si="26"/>
        <v>$E$1:$E$92</v>
      </c>
      <c r="B335" s="159" t="str">
        <f t="shared" si="27"/>
        <v>$F$1:$F$92</v>
      </c>
      <c r="C335" s="159" t="str">
        <f t="shared" si="28"/>
        <v>June!$E$1:$E$92</v>
      </c>
      <c r="D335" s="159" t="str">
        <f t="shared" si="29"/>
        <v>June!$F$1:$F$92</v>
      </c>
      <c r="E335" t="s">
        <v>3</v>
      </c>
      <c r="F335" t="s">
        <v>125</v>
      </c>
      <c r="G335" t="s">
        <v>142</v>
      </c>
      <c r="H335" t="s">
        <v>44</v>
      </c>
      <c r="I335" t="e">
        <f t="shared" ca="1" si="25"/>
        <v>#REF!</v>
      </c>
      <c r="J335" t="str">
        <f>VLOOKUP($G335,DefinitionArrays!$I$6:$J$12,2,FALSE)</f>
        <v>Workweek</v>
      </c>
    </row>
    <row r="336" spans="1:10">
      <c r="A336" s="159" t="str">
        <f t="shared" si="26"/>
        <v>$H$1:$H$92</v>
      </c>
      <c r="B336" s="159" t="str">
        <f t="shared" si="27"/>
        <v>$I$1:$I$92</v>
      </c>
      <c r="C336" s="159" t="str">
        <f t="shared" si="28"/>
        <v>June!$H$1:$H$92</v>
      </c>
      <c r="D336" s="159" t="str">
        <f t="shared" si="29"/>
        <v>June!$I$1:$I$92</v>
      </c>
      <c r="E336" t="s">
        <v>3</v>
      </c>
      <c r="F336" t="s">
        <v>125</v>
      </c>
      <c r="G336" t="s">
        <v>143</v>
      </c>
      <c r="H336" t="s">
        <v>159</v>
      </c>
      <c r="I336" t="e">
        <f t="shared" ca="1" si="25"/>
        <v>#REF!</v>
      </c>
      <c r="J336" t="str">
        <f>VLOOKUP($G336,DefinitionArrays!$I$6:$J$12,2,FALSE)</f>
        <v>Workweek</v>
      </c>
    </row>
    <row r="337" spans="1:10">
      <c r="A337" s="159" t="str">
        <f t="shared" si="26"/>
        <v>$H$1:$H$92</v>
      </c>
      <c r="B337" s="159" t="str">
        <f t="shared" si="27"/>
        <v>$I$1:$I$92</v>
      </c>
      <c r="C337" s="159" t="str">
        <f t="shared" si="28"/>
        <v>June!$H$1:$H$92</v>
      </c>
      <c r="D337" s="159" t="str">
        <f t="shared" si="29"/>
        <v>June!$I$1:$I$92</v>
      </c>
      <c r="E337" t="s">
        <v>3</v>
      </c>
      <c r="F337" t="s">
        <v>125</v>
      </c>
      <c r="G337" t="s">
        <v>143</v>
      </c>
      <c r="H337" t="s">
        <v>18</v>
      </c>
      <c r="I337" t="e">
        <f t="shared" ca="1" si="25"/>
        <v>#REF!</v>
      </c>
      <c r="J337" t="str">
        <f>VLOOKUP($G337,DefinitionArrays!$I$6:$J$12,2,FALSE)</f>
        <v>Workweek</v>
      </c>
    </row>
    <row r="338" spans="1:10">
      <c r="A338" s="159" t="str">
        <f t="shared" si="26"/>
        <v>$H$1:$H$92</v>
      </c>
      <c r="B338" s="159" t="str">
        <f t="shared" si="27"/>
        <v>$I$1:$I$92</v>
      </c>
      <c r="C338" s="159" t="str">
        <f t="shared" si="28"/>
        <v>June!$H$1:$H$92</v>
      </c>
      <c r="D338" s="159" t="str">
        <f t="shared" si="29"/>
        <v>June!$I$1:$I$92</v>
      </c>
      <c r="E338" t="s">
        <v>3</v>
      </c>
      <c r="F338" t="s">
        <v>125</v>
      </c>
      <c r="G338" t="s">
        <v>143</v>
      </c>
      <c r="H338" t="s">
        <v>153</v>
      </c>
      <c r="I338" t="e">
        <f t="shared" ca="1" si="25"/>
        <v>#REF!</v>
      </c>
      <c r="J338" t="str">
        <f>VLOOKUP($G338,DefinitionArrays!$I$6:$J$12,2,FALSE)</f>
        <v>Workweek</v>
      </c>
    </row>
    <row r="339" spans="1:10">
      <c r="A339" s="159" t="str">
        <f t="shared" si="26"/>
        <v>$H$1:$H$92</v>
      </c>
      <c r="B339" s="159" t="str">
        <f t="shared" si="27"/>
        <v>$I$1:$I$92</v>
      </c>
      <c r="C339" s="159" t="str">
        <f t="shared" si="28"/>
        <v>June!$H$1:$H$92</v>
      </c>
      <c r="D339" s="159" t="str">
        <f t="shared" si="29"/>
        <v>June!$I$1:$I$92</v>
      </c>
      <c r="E339" t="s">
        <v>3</v>
      </c>
      <c r="F339" t="s">
        <v>125</v>
      </c>
      <c r="G339" t="s">
        <v>143</v>
      </c>
      <c r="H339" t="s">
        <v>19</v>
      </c>
      <c r="I339" t="e">
        <f t="shared" ca="1" si="25"/>
        <v>#REF!</v>
      </c>
      <c r="J339" t="str">
        <f>VLOOKUP($G339,DefinitionArrays!$I$6:$J$12,2,FALSE)</f>
        <v>Workweek</v>
      </c>
    </row>
    <row r="340" spans="1:10">
      <c r="A340" s="159" t="str">
        <f t="shared" si="26"/>
        <v>$H$1:$H$92</v>
      </c>
      <c r="B340" s="159" t="str">
        <f t="shared" si="27"/>
        <v>$I$1:$I$92</v>
      </c>
      <c r="C340" s="159" t="str">
        <f t="shared" si="28"/>
        <v>June!$H$1:$H$92</v>
      </c>
      <c r="D340" s="159" t="str">
        <f t="shared" si="29"/>
        <v>June!$I$1:$I$92</v>
      </c>
      <c r="E340" t="s">
        <v>3</v>
      </c>
      <c r="F340" t="s">
        <v>125</v>
      </c>
      <c r="G340" t="s">
        <v>143</v>
      </c>
      <c r="H340" t="s">
        <v>20</v>
      </c>
      <c r="I340" t="e">
        <f t="shared" ca="1" si="25"/>
        <v>#REF!</v>
      </c>
      <c r="J340" t="str">
        <f>VLOOKUP($G340,DefinitionArrays!$I$6:$J$12,2,FALSE)</f>
        <v>Workweek</v>
      </c>
    </row>
    <row r="341" spans="1:10">
      <c r="A341" s="159" t="str">
        <f t="shared" si="26"/>
        <v>$H$1:$H$92</v>
      </c>
      <c r="B341" s="159" t="str">
        <f t="shared" si="27"/>
        <v>$I$1:$I$92</v>
      </c>
      <c r="C341" s="159" t="str">
        <f t="shared" si="28"/>
        <v>June!$H$1:$H$92</v>
      </c>
      <c r="D341" s="159" t="str">
        <f t="shared" si="29"/>
        <v>June!$I$1:$I$92</v>
      </c>
      <c r="E341" t="s">
        <v>3</v>
      </c>
      <c r="F341" t="s">
        <v>125</v>
      </c>
      <c r="G341" t="s">
        <v>143</v>
      </c>
      <c r="H341" t="s">
        <v>21</v>
      </c>
      <c r="I341" t="e">
        <f t="shared" ca="1" si="25"/>
        <v>#REF!</v>
      </c>
      <c r="J341" t="str">
        <f>VLOOKUP($G341,DefinitionArrays!$I$6:$J$12,2,FALSE)</f>
        <v>Workweek</v>
      </c>
    </row>
    <row r="342" spans="1:10">
      <c r="A342" s="159" t="str">
        <f t="shared" si="26"/>
        <v>$H$1:$H$92</v>
      </c>
      <c r="B342" s="159" t="str">
        <f t="shared" si="27"/>
        <v>$I$1:$I$92</v>
      </c>
      <c r="C342" s="159" t="str">
        <f t="shared" si="28"/>
        <v>June!$H$1:$H$92</v>
      </c>
      <c r="D342" s="159" t="str">
        <f t="shared" si="29"/>
        <v>June!$I$1:$I$92</v>
      </c>
      <c r="E342" t="s">
        <v>3</v>
      </c>
      <c r="F342" t="s">
        <v>125</v>
      </c>
      <c r="G342" t="s">
        <v>143</v>
      </c>
      <c r="H342" t="s">
        <v>22</v>
      </c>
      <c r="I342" t="e">
        <f t="shared" ca="1" si="25"/>
        <v>#REF!</v>
      </c>
      <c r="J342" t="str">
        <f>VLOOKUP($G342,DefinitionArrays!$I$6:$J$12,2,FALSE)</f>
        <v>Workweek</v>
      </c>
    </row>
    <row r="343" spans="1:10">
      <c r="A343" s="159" t="str">
        <f t="shared" si="26"/>
        <v>$H$1:$H$92</v>
      </c>
      <c r="B343" s="159" t="str">
        <f t="shared" si="27"/>
        <v>$I$1:$I$92</v>
      </c>
      <c r="C343" s="159" t="str">
        <f t="shared" si="28"/>
        <v>June!$H$1:$H$92</v>
      </c>
      <c r="D343" s="159" t="str">
        <f t="shared" si="29"/>
        <v>June!$I$1:$I$92</v>
      </c>
      <c r="E343" t="s">
        <v>3</v>
      </c>
      <c r="F343" t="s">
        <v>125</v>
      </c>
      <c r="G343" t="s">
        <v>143</v>
      </c>
      <c r="H343" t="s">
        <v>23</v>
      </c>
      <c r="I343" t="e">
        <f t="shared" ca="1" si="25"/>
        <v>#REF!</v>
      </c>
      <c r="J343" t="str">
        <f>VLOOKUP($G343,DefinitionArrays!$I$6:$J$12,2,FALSE)</f>
        <v>Workweek</v>
      </c>
    </row>
    <row r="344" spans="1:10">
      <c r="A344" s="159" t="str">
        <f t="shared" si="26"/>
        <v>$H$1:$H$92</v>
      </c>
      <c r="B344" s="159" t="str">
        <f t="shared" si="27"/>
        <v>$I$1:$I$92</v>
      </c>
      <c r="C344" s="159" t="str">
        <f t="shared" si="28"/>
        <v>June!$H$1:$H$92</v>
      </c>
      <c r="D344" s="159" t="str">
        <f t="shared" si="29"/>
        <v>June!$I$1:$I$92</v>
      </c>
      <c r="E344" t="s">
        <v>3</v>
      </c>
      <c r="F344" t="s">
        <v>125</v>
      </c>
      <c r="G344" t="s">
        <v>143</v>
      </c>
      <c r="H344" t="s">
        <v>24</v>
      </c>
      <c r="I344" t="e">
        <f t="shared" ca="1" si="25"/>
        <v>#REF!</v>
      </c>
      <c r="J344" t="str">
        <f>VLOOKUP($G344,DefinitionArrays!$I$6:$J$12,2,FALSE)</f>
        <v>Workweek</v>
      </c>
    </row>
    <row r="345" spans="1:10">
      <c r="A345" s="159" t="str">
        <f t="shared" si="26"/>
        <v>$H$1:$H$92</v>
      </c>
      <c r="B345" s="159" t="str">
        <f t="shared" si="27"/>
        <v>$I$1:$I$92</v>
      </c>
      <c r="C345" s="159" t="str">
        <f t="shared" si="28"/>
        <v>June!$H$1:$H$92</v>
      </c>
      <c r="D345" s="159" t="str">
        <f t="shared" si="29"/>
        <v>June!$I$1:$I$92</v>
      </c>
      <c r="E345" t="s">
        <v>3</v>
      </c>
      <c r="F345" t="s">
        <v>125</v>
      </c>
      <c r="G345" t="s">
        <v>143</v>
      </c>
      <c r="H345" t="s">
        <v>179</v>
      </c>
      <c r="I345" t="e">
        <f t="shared" ca="1" si="25"/>
        <v>#REF!</v>
      </c>
      <c r="J345" t="str">
        <f>VLOOKUP($G345,DefinitionArrays!$I$6:$J$12,2,FALSE)</f>
        <v>Workweek</v>
      </c>
    </row>
    <row r="346" spans="1:10">
      <c r="A346" s="159" t="str">
        <f t="shared" si="26"/>
        <v>$H$1:$H$92</v>
      </c>
      <c r="B346" s="159" t="str">
        <f t="shared" si="27"/>
        <v>$I$1:$I$92</v>
      </c>
      <c r="C346" s="159" t="str">
        <f t="shared" si="28"/>
        <v>June!$H$1:$H$92</v>
      </c>
      <c r="D346" s="159" t="str">
        <f t="shared" si="29"/>
        <v>June!$I$1:$I$92</v>
      </c>
      <c r="E346" t="s">
        <v>3</v>
      </c>
      <c r="F346" t="s">
        <v>125</v>
      </c>
      <c r="G346" t="s">
        <v>143</v>
      </c>
      <c r="H346" t="s">
        <v>180</v>
      </c>
      <c r="I346" t="e">
        <f t="shared" ca="1" si="25"/>
        <v>#REF!</v>
      </c>
      <c r="J346" t="str">
        <f>VLOOKUP($G346,DefinitionArrays!$I$6:$J$12,2,FALSE)</f>
        <v>Workweek</v>
      </c>
    </row>
    <row r="347" spans="1:10">
      <c r="A347" s="159" t="str">
        <f t="shared" si="26"/>
        <v>$H$1:$H$92</v>
      </c>
      <c r="B347" s="159" t="str">
        <f t="shared" si="27"/>
        <v>$I$1:$I$92</v>
      </c>
      <c r="C347" s="159" t="str">
        <f t="shared" si="28"/>
        <v>June!$H$1:$H$92</v>
      </c>
      <c r="D347" s="159" t="str">
        <f t="shared" si="29"/>
        <v>June!$I$1:$I$92</v>
      </c>
      <c r="E347" t="s">
        <v>3</v>
      </c>
      <c r="F347" t="s">
        <v>125</v>
      </c>
      <c r="G347" t="s">
        <v>143</v>
      </c>
      <c r="H347" t="s">
        <v>44</v>
      </c>
      <c r="I347" t="e">
        <f t="shared" ca="1" si="25"/>
        <v>#REF!</v>
      </c>
      <c r="J347" t="str">
        <f>VLOOKUP($G347,DefinitionArrays!$I$6:$J$12,2,FALSE)</f>
        <v>Workweek</v>
      </c>
    </row>
    <row r="348" spans="1:10">
      <c r="A348" s="159" t="str">
        <f t="shared" si="26"/>
        <v>$K$1:$K$92</v>
      </c>
      <c r="B348" s="159" t="str">
        <f t="shared" si="27"/>
        <v>$L$1:$L$92</v>
      </c>
      <c r="C348" s="159" t="str">
        <f t="shared" si="28"/>
        <v>June!$K$1:$K$92</v>
      </c>
      <c r="D348" s="159" t="str">
        <f t="shared" si="29"/>
        <v>June!$L$1:$L$92</v>
      </c>
      <c r="E348" t="s">
        <v>3</v>
      </c>
      <c r="F348" t="s">
        <v>125</v>
      </c>
      <c r="G348" t="s">
        <v>144</v>
      </c>
      <c r="H348" t="s">
        <v>159</v>
      </c>
      <c r="I348" t="e">
        <f t="shared" ca="1" si="25"/>
        <v>#REF!</v>
      </c>
      <c r="J348" t="str">
        <f>VLOOKUP($G348,DefinitionArrays!$I$6:$J$12,2,FALSE)</f>
        <v>Workweek</v>
      </c>
    </row>
    <row r="349" spans="1:10">
      <c r="A349" s="159" t="str">
        <f t="shared" si="26"/>
        <v>$K$1:$K$92</v>
      </c>
      <c r="B349" s="159" t="str">
        <f t="shared" si="27"/>
        <v>$L$1:$L$92</v>
      </c>
      <c r="C349" s="159" t="str">
        <f t="shared" si="28"/>
        <v>June!$K$1:$K$92</v>
      </c>
      <c r="D349" s="159" t="str">
        <f t="shared" si="29"/>
        <v>June!$L$1:$L$92</v>
      </c>
      <c r="E349" t="s">
        <v>3</v>
      </c>
      <c r="F349" t="s">
        <v>125</v>
      </c>
      <c r="G349" t="s">
        <v>144</v>
      </c>
      <c r="H349" t="s">
        <v>18</v>
      </c>
      <c r="I349" t="e">
        <f t="shared" ca="1" si="25"/>
        <v>#REF!</v>
      </c>
      <c r="J349" t="str">
        <f>VLOOKUP($G349,DefinitionArrays!$I$6:$J$12,2,FALSE)</f>
        <v>Workweek</v>
      </c>
    </row>
    <row r="350" spans="1:10">
      <c r="A350" s="159" t="str">
        <f t="shared" si="26"/>
        <v>$K$1:$K$92</v>
      </c>
      <c r="B350" s="159" t="str">
        <f t="shared" si="27"/>
        <v>$L$1:$L$92</v>
      </c>
      <c r="C350" s="159" t="str">
        <f t="shared" si="28"/>
        <v>June!$K$1:$K$92</v>
      </c>
      <c r="D350" s="159" t="str">
        <f t="shared" si="29"/>
        <v>June!$L$1:$L$92</v>
      </c>
      <c r="E350" t="s">
        <v>3</v>
      </c>
      <c r="F350" t="s">
        <v>125</v>
      </c>
      <c r="G350" t="s">
        <v>144</v>
      </c>
      <c r="H350" t="s">
        <v>153</v>
      </c>
      <c r="I350" t="e">
        <f t="shared" ca="1" si="25"/>
        <v>#REF!</v>
      </c>
      <c r="J350" t="str">
        <f>VLOOKUP($G350,DefinitionArrays!$I$6:$J$12,2,FALSE)</f>
        <v>Workweek</v>
      </c>
    </row>
    <row r="351" spans="1:10">
      <c r="A351" s="159" t="str">
        <f t="shared" si="26"/>
        <v>$K$1:$K$92</v>
      </c>
      <c r="B351" s="159" t="str">
        <f t="shared" si="27"/>
        <v>$L$1:$L$92</v>
      </c>
      <c r="C351" s="159" t="str">
        <f t="shared" si="28"/>
        <v>June!$K$1:$K$92</v>
      </c>
      <c r="D351" s="159" t="str">
        <f t="shared" si="29"/>
        <v>June!$L$1:$L$92</v>
      </c>
      <c r="E351" t="s">
        <v>3</v>
      </c>
      <c r="F351" t="s">
        <v>125</v>
      </c>
      <c r="G351" t="s">
        <v>144</v>
      </c>
      <c r="H351" t="s">
        <v>19</v>
      </c>
      <c r="I351" t="e">
        <f t="shared" ca="1" si="25"/>
        <v>#REF!</v>
      </c>
      <c r="J351" t="str">
        <f>VLOOKUP($G351,DefinitionArrays!$I$6:$J$12,2,FALSE)</f>
        <v>Workweek</v>
      </c>
    </row>
    <row r="352" spans="1:10">
      <c r="A352" s="159" t="str">
        <f t="shared" si="26"/>
        <v>$K$1:$K$92</v>
      </c>
      <c r="B352" s="159" t="str">
        <f t="shared" si="27"/>
        <v>$L$1:$L$92</v>
      </c>
      <c r="C352" s="159" t="str">
        <f t="shared" si="28"/>
        <v>June!$K$1:$K$92</v>
      </c>
      <c r="D352" s="159" t="str">
        <f t="shared" si="29"/>
        <v>June!$L$1:$L$92</v>
      </c>
      <c r="E352" t="s">
        <v>3</v>
      </c>
      <c r="F352" t="s">
        <v>125</v>
      </c>
      <c r="G352" t="s">
        <v>144</v>
      </c>
      <c r="H352" t="s">
        <v>20</v>
      </c>
      <c r="I352" t="e">
        <f t="shared" ca="1" si="25"/>
        <v>#REF!</v>
      </c>
      <c r="J352" t="str">
        <f>VLOOKUP($G352,DefinitionArrays!$I$6:$J$12,2,FALSE)</f>
        <v>Workweek</v>
      </c>
    </row>
    <row r="353" spans="1:10">
      <c r="A353" s="159" t="str">
        <f t="shared" si="26"/>
        <v>$K$1:$K$92</v>
      </c>
      <c r="B353" s="159" t="str">
        <f t="shared" si="27"/>
        <v>$L$1:$L$92</v>
      </c>
      <c r="C353" s="159" t="str">
        <f t="shared" si="28"/>
        <v>June!$K$1:$K$92</v>
      </c>
      <c r="D353" s="159" t="str">
        <f t="shared" si="29"/>
        <v>June!$L$1:$L$92</v>
      </c>
      <c r="E353" t="s">
        <v>3</v>
      </c>
      <c r="F353" t="s">
        <v>125</v>
      </c>
      <c r="G353" t="s">
        <v>144</v>
      </c>
      <c r="H353" t="s">
        <v>21</v>
      </c>
      <c r="I353" t="e">
        <f t="shared" ca="1" si="25"/>
        <v>#REF!</v>
      </c>
      <c r="J353" t="str">
        <f>VLOOKUP($G353,DefinitionArrays!$I$6:$J$12,2,FALSE)</f>
        <v>Workweek</v>
      </c>
    </row>
    <row r="354" spans="1:10">
      <c r="A354" s="159" t="str">
        <f t="shared" si="26"/>
        <v>$K$1:$K$92</v>
      </c>
      <c r="B354" s="159" t="str">
        <f t="shared" si="27"/>
        <v>$L$1:$L$92</v>
      </c>
      <c r="C354" s="159" t="str">
        <f t="shared" si="28"/>
        <v>June!$K$1:$K$92</v>
      </c>
      <c r="D354" s="159" t="str">
        <f t="shared" si="29"/>
        <v>June!$L$1:$L$92</v>
      </c>
      <c r="E354" t="s">
        <v>3</v>
      </c>
      <c r="F354" t="s">
        <v>125</v>
      </c>
      <c r="G354" t="s">
        <v>144</v>
      </c>
      <c r="H354" t="s">
        <v>22</v>
      </c>
      <c r="I354" t="e">
        <f t="shared" ca="1" si="25"/>
        <v>#REF!</v>
      </c>
      <c r="J354" t="str">
        <f>VLOOKUP($G354,DefinitionArrays!$I$6:$J$12,2,FALSE)</f>
        <v>Workweek</v>
      </c>
    </row>
    <row r="355" spans="1:10">
      <c r="A355" s="159" t="str">
        <f t="shared" si="26"/>
        <v>$K$1:$K$92</v>
      </c>
      <c r="B355" s="159" t="str">
        <f t="shared" si="27"/>
        <v>$L$1:$L$92</v>
      </c>
      <c r="C355" s="159" t="str">
        <f t="shared" si="28"/>
        <v>June!$K$1:$K$92</v>
      </c>
      <c r="D355" s="159" t="str">
        <f t="shared" si="29"/>
        <v>June!$L$1:$L$92</v>
      </c>
      <c r="E355" t="s">
        <v>3</v>
      </c>
      <c r="F355" t="s">
        <v>125</v>
      </c>
      <c r="G355" t="s">
        <v>144</v>
      </c>
      <c r="H355" t="s">
        <v>23</v>
      </c>
      <c r="I355" t="e">
        <f t="shared" ca="1" si="25"/>
        <v>#REF!</v>
      </c>
      <c r="J355" t="str">
        <f>VLOOKUP($G355,DefinitionArrays!$I$6:$J$12,2,FALSE)</f>
        <v>Workweek</v>
      </c>
    </row>
    <row r="356" spans="1:10">
      <c r="A356" s="159" t="str">
        <f t="shared" si="26"/>
        <v>$K$1:$K$92</v>
      </c>
      <c r="B356" s="159" t="str">
        <f t="shared" si="27"/>
        <v>$L$1:$L$92</v>
      </c>
      <c r="C356" s="159" t="str">
        <f t="shared" si="28"/>
        <v>June!$K$1:$K$92</v>
      </c>
      <c r="D356" s="159" t="str">
        <f t="shared" si="29"/>
        <v>June!$L$1:$L$92</v>
      </c>
      <c r="E356" t="s">
        <v>3</v>
      </c>
      <c r="F356" t="s">
        <v>125</v>
      </c>
      <c r="G356" t="s">
        <v>144</v>
      </c>
      <c r="H356" t="s">
        <v>24</v>
      </c>
      <c r="I356" t="e">
        <f t="shared" ca="1" si="25"/>
        <v>#REF!</v>
      </c>
      <c r="J356" t="str">
        <f>VLOOKUP($G356,DefinitionArrays!$I$6:$J$12,2,FALSE)</f>
        <v>Workweek</v>
      </c>
    </row>
    <row r="357" spans="1:10">
      <c r="A357" s="159" t="str">
        <f t="shared" si="26"/>
        <v>$K$1:$K$92</v>
      </c>
      <c r="B357" s="159" t="str">
        <f t="shared" si="27"/>
        <v>$L$1:$L$92</v>
      </c>
      <c r="C357" s="159" t="str">
        <f t="shared" si="28"/>
        <v>June!$K$1:$K$92</v>
      </c>
      <c r="D357" s="159" t="str">
        <f t="shared" si="29"/>
        <v>June!$L$1:$L$92</v>
      </c>
      <c r="E357" t="s">
        <v>3</v>
      </c>
      <c r="F357" t="s">
        <v>125</v>
      </c>
      <c r="G357" t="s">
        <v>144</v>
      </c>
      <c r="H357" t="s">
        <v>179</v>
      </c>
      <c r="I357" t="e">
        <f t="shared" ca="1" si="25"/>
        <v>#REF!</v>
      </c>
      <c r="J357" t="str">
        <f>VLOOKUP($G357,DefinitionArrays!$I$6:$J$12,2,FALSE)</f>
        <v>Workweek</v>
      </c>
    </row>
    <row r="358" spans="1:10">
      <c r="A358" s="159" t="str">
        <f t="shared" si="26"/>
        <v>$K$1:$K$92</v>
      </c>
      <c r="B358" s="159" t="str">
        <f t="shared" si="27"/>
        <v>$L$1:$L$92</v>
      </c>
      <c r="C358" s="159" t="str">
        <f t="shared" si="28"/>
        <v>June!$K$1:$K$92</v>
      </c>
      <c r="D358" s="159" t="str">
        <f t="shared" si="29"/>
        <v>June!$L$1:$L$92</v>
      </c>
      <c r="E358" t="s">
        <v>3</v>
      </c>
      <c r="F358" t="s">
        <v>125</v>
      </c>
      <c r="G358" t="s">
        <v>144</v>
      </c>
      <c r="H358" t="s">
        <v>180</v>
      </c>
      <c r="I358" t="e">
        <f t="shared" ca="1" si="25"/>
        <v>#REF!</v>
      </c>
      <c r="J358" t="str">
        <f>VLOOKUP($G358,DefinitionArrays!$I$6:$J$12,2,FALSE)</f>
        <v>Workweek</v>
      </c>
    </row>
    <row r="359" spans="1:10">
      <c r="A359" s="159" t="str">
        <f t="shared" si="26"/>
        <v>$K$1:$K$92</v>
      </c>
      <c r="B359" s="159" t="str">
        <f t="shared" si="27"/>
        <v>$L$1:$L$92</v>
      </c>
      <c r="C359" s="159" t="str">
        <f t="shared" si="28"/>
        <v>June!$K$1:$K$92</v>
      </c>
      <c r="D359" s="159" t="str">
        <f t="shared" si="29"/>
        <v>June!$L$1:$L$92</v>
      </c>
      <c r="E359" t="s">
        <v>3</v>
      </c>
      <c r="F359" t="s">
        <v>125</v>
      </c>
      <c r="G359" t="s">
        <v>144</v>
      </c>
      <c r="H359" t="s">
        <v>44</v>
      </c>
      <c r="I359" t="e">
        <f t="shared" ca="1" si="25"/>
        <v>#REF!</v>
      </c>
      <c r="J359" t="str">
        <f>VLOOKUP($G359,DefinitionArrays!$I$6:$J$12,2,FALSE)</f>
        <v>Workweek</v>
      </c>
    </row>
    <row r="360" spans="1:10">
      <c r="A360" s="159" t="str">
        <f t="shared" si="26"/>
        <v>$N$1:$N$92</v>
      </c>
      <c r="B360" s="159" t="str">
        <f t="shared" si="27"/>
        <v>$O$1:$O$92</v>
      </c>
      <c r="C360" s="159" t="str">
        <f t="shared" si="28"/>
        <v>June!$N$1:$N$92</v>
      </c>
      <c r="D360" s="159" t="str">
        <f t="shared" si="29"/>
        <v>June!$O$1:$O$92</v>
      </c>
      <c r="E360" t="s">
        <v>3</v>
      </c>
      <c r="F360" t="s">
        <v>125</v>
      </c>
      <c r="G360" t="s">
        <v>145</v>
      </c>
      <c r="H360" t="s">
        <v>159</v>
      </c>
      <c r="I360" t="e">
        <f t="shared" ca="1" si="25"/>
        <v>#REF!</v>
      </c>
      <c r="J360" t="str">
        <f>VLOOKUP($G360,DefinitionArrays!$I$6:$J$12,2,FALSE)</f>
        <v>Weekend</v>
      </c>
    </row>
    <row r="361" spans="1:10">
      <c r="A361" s="159" t="str">
        <f t="shared" si="26"/>
        <v>$N$1:$N$92</v>
      </c>
      <c r="B361" s="159" t="str">
        <f t="shared" si="27"/>
        <v>$O$1:$O$92</v>
      </c>
      <c r="C361" s="159" t="str">
        <f t="shared" si="28"/>
        <v>June!$N$1:$N$92</v>
      </c>
      <c r="D361" s="159" t="str">
        <f t="shared" si="29"/>
        <v>June!$O$1:$O$92</v>
      </c>
      <c r="E361" t="s">
        <v>3</v>
      </c>
      <c r="F361" t="s">
        <v>125</v>
      </c>
      <c r="G361" t="s">
        <v>145</v>
      </c>
      <c r="H361" t="s">
        <v>18</v>
      </c>
      <c r="I361" t="e">
        <f t="shared" ca="1" si="25"/>
        <v>#REF!</v>
      </c>
      <c r="J361" t="str">
        <f>VLOOKUP($G361,DefinitionArrays!$I$6:$J$12,2,FALSE)</f>
        <v>Weekend</v>
      </c>
    </row>
    <row r="362" spans="1:10">
      <c r="A362" s="159" t="str">
        <f t="shared" si="26"/>
        <v>$N$1:$N$92</v>
      </c>
      <c r="B362" s="159" t="str">
        <f t="shared" si="27"/>
        <v>$O$1:$O$92</v>
      </c>
      <c r="C362" s="159" t="str">
        <f t="shared" si="28"/>
        <v>June!$N$1:$N$92</v>
      </c>
      <c r="D362" s="159" t="str">
        <f t="shared" si="29"/>
        <v>June!$O$1:$O$92</v>
      </c>
      <c r="E362" t="s">
        <v>3</v>
      </c>
      <c r="F362" t="s">
        <v>125</v>
      </c>
      <c r="G362" t="s">
        <v>145</v>
      </c>
      <c r="H362" t="s">
        <v>153</v>
      </c>
      <c r="I362" t="e">
        <f t="shared" ca="1" si="25"/>
        <v>#REF!</v>
      </c>
      <c r="J362" t="str">
        <f>VLOOKUP($G362,DefinitionArrays!$I$6:$J$12,2,FALSE)</f>
        <v>Weekend</v>
      </c>
    </row>
    <row r="363" spans="1:10">
      <c r="A363" s="159" t="str">
        <f t="shared" si="26"/>
        <v>$N$1:$N$92</v>
      </c>
      <c r="B363" s="159" t="str">
        <f t="shared" si="27"/>
        <v>$O$1:$O$92</v>
      </c>
      <c r="C363" s="159" t="str">
        <f t="shared" si="28"/>
        <v>June!$N$1:$N$92</v>
      </c>
      <c r="D363" s="159" t="str">
        <f t="shared" si="29"/>
        <v>June!$O$1:$O$92</v>
      </c>
      <c r="E363" t="s">
        <v>3</v>
      </c>
      <c r="F363" t="s">
        <v>125</v>
      </c>
      <c r="G363" t="s">
        <v>145</v>
      </c>
      <c r="H363" t="s">
        <v>19</v>
      </c>
      <c r="I363" t="e">
        <f t="shared" ca="1" si="25"/>
        <v>#REF!</v>
      </c>
      <c r="J363" t="str">
        <f>VLOOKUP($G363,DefinitionArrays!$I$6:$J$12,2,FALSE)</f>
        <v>Weekend</v>
      </c>
    </row>
    <row r="364" spans="1:10">
      <c r="A364" s="159" t="str">
        <f t="shared" si="26"/>
        <v>$N$1:$N$92</v>
      </c>
      <c r="B364" s="159" t="str">
        <f t="shared" si="27"/>
        <v>$O$1:$O$92</v>
      </c>
      <c r="C364" s="159" t="str">
        <f t="shared" si="28"/>
        <v>June!$N$1:$N$92</v>
      </c>
      <c r="D364" s="159" t="str">
        <f t="shared" si="29"/>
        <v>June!$O$1:$O$92</v>
      </c>
      <c r="E364" t="s">
        <v>3</v>
      </c>
      <c r="F364" t="s">
        <v>125</v>
      </c>
      <c r="G364" t="s">
        <v>145</v>
      </c>
      <c r="H364" t="s">
        <v>20</v>
      </c>
      <c r="I364" t="e">
        <f t="shared" ca="1" si="25"/>
        <v>#REF!</v>
      </c>
      <c r="J364" t="str">
        <f>VLOOKUP($G364,DefinitionArrays!$I$6:$J$12,2,FALSE)</f>
        <v>Weekend</v>
      </c>
    </row>
    <row r="365" spans="1:10">
      <c r="A365" s="159" t="str">
        <f t="shared" si="26"/>
        <v>$N$1:$N$92</v>
      </c>
      <c r="B365" s="159" t="str">
        <f t="shared" si="27"/>
        <v>$O$1:$O$92</v>
      </c>
      <c r="C365" s="159" t="str">
        <f t="shared" si="28"/>
        <v>June!$N$1:$N$92</v>
      </c>
      <c r="D365" s="159" t="str">
        <f t="shared" si="29"/>
        <v>June!$O$1:$O$92</v>
      </c>
      <c r="E365" t="s">
        <v>3</v>
      </c>
      <c r="F365" t="s">
        <v>125</v>
      </c>
      <c r="G365" t="s">
        <v>145</v>
      </c>
      <c r="H365" t="s">
        <v>21</v>
      </c>
      <c r="I365" t="e">
        <f t="shared" ca="1" si="25"/>
        <v>#REF!</v>
      </c>
      <c r="J365" t="str">
        <f>VLOOKUP($G365,DefinitionArrays!$I$6:$J$12,2,FALSE)</f>
        <v>Weekend</v>
      </c>
    </row>
    <row r="366" spans="1:10">
      <c r="A366" s="159" t="str">
        <f t="shared" si="26"/>
        <v>$N$1:$N$92</v>
      </c>
      <c r="B366" s="159" t="str">
        <f t="shared" si="27"/>
        <v>$O$1:$O$92</v>
      </c>
      <c r="C366" s="159" t="str">
        <f t="shared" si="28"/>
        <v>June!$N$1:$N$92</v>
      </c>
      <c r="D366" s="159" t="str">
        <f t="shared" si="29"/>
        <v>June!$O$1:$O$92</v>
      </c>
      <c r="E366" t="s">
        <v>3</v>
      </c>
      <c r="F366" t="s">
        <v>125</v>
      </c>
      <c r="G366" t="s">
        <v>145</v>
      </c>
      <c r="H366" t="s">
        <v>22</v>
      </c>
      <c r="I366" t="e">
        <f t="shared" ca="1" si="25"/>
        <v>#REF!</v>
      </c>
      <c r="J366" t="str">
        <f>VLOOKUP($G366,DefinitionArrays!$I$6:$J$12,2,FALSE)</f>
        <v>Weekend</v>
      </c>
    </row>
    <row r="367" spans="1:10">
      <c r="A367" s="159" t="str">
        <f t="shared" si="26"/>
        <v>$N$1:$N$92</v>
      </c>
      <c r="B367" s="159" t="str">
        <f t="shared" si="27"/>
        <v>$O$1:$O$92</v>
      </c>
      <c r="C367" s="159" t="str">
        <f t="shared" si="28"/>
        <v>June!$N$1:$N$92</v>
      </c>
      <c r="D367" s="159" t="str">
        <f t="shared" si="29"/>
        <v>June!$O$1:$O$92</v>
      </c>
      <c r="E367" t="s">
        <v>3</v>
      </c>
      <c r="F367" t="s">
        <v>125</v>
      </c>
      <c r="G367" t="s">
        <v>145</v>
      </c>
      <c r="H367" t="s">
        <v>23</v>
      </c>
      <c r="I367" t="e">
        <f t="shared" ca="1" si="25"/>
        <v>#REF!</v>
      </c>
      <c r="J367" t="str">
        <f>VLOOKUP($G367,DefinitionArrays!$I$6:$J$12,2,FALSE)</f>
        <v>Weekend</v>
      </c>
    </row>
    <row r="368" spans="1:10">
      <c r="A368" s="159" t="str">
        <f t="shared" si="26"/>
        <v>$N$1:$N$92</v>
      </c>
      <c r="B368" s="159" t="str">
        <f t="shared" si="27"/>
        <v>$O$1:$O$92</v>
      </c>
      <c r="C368" s="159" t="str">
        <f t="shared" si="28"/>
        <v>June!$N$1:$N$92</v>
      </c>
      <c r="D368" s="159" t="str">
        <f t="shared" si="29"/>
        <v>June!$O$1:$O$92</v>
      </c>
      <c r="E368" t="s">
        <v>3</v>
      </c>
      <c r="F368" t="s">
        <v>125</v>
      </c>
      <c r="G368" t="s">
        <v>145</v>
      </c>
      <c r="H368" t="s">
        <v>24</v>
      </c>
      <c r="I368" t="e">
        <f t="shared" ca="1" si="25"/>
        <v>#REF!</v>
      </c>
      <c r="J368" t="str">
        <f>VLOOKUP($G368,DefinitionArrays!$I$6:$J$12,2,FALSE)</f>
        <v>Weekend</v>
      </c>
    </row>
    <row r="369" spans="1:10">
      <c r="A369" s="159" t="str">
        <f t="shared" si="26"/>
        <v>$N$1:$N$92</v>
      </c>
      <c r="B369" s="159" t="str">
        <f t="shared" si="27"/>
        <v>$O$1:$O$92</v>
      </c>
      <c r="C369" s="159" t="str">
        <f t="shared" si="28"/>
        <v>June!$N$1:$N$92</v>
      </c>
      <c r="D369" s="159" t="str">
        <f t="shared" si="29"/>
        <v>June!$O$1:$O$92</v>
      </c>
      <c r="E369" t="s">
        <v>3</v>
      </c>
      <c r="F369" t="s">
        <v>125</v>
      </c>
      <c r="G369" t="s">
        <v>145</v>
      </c>
      <c r="H369" t="s">
        <v>179</v>
      </c>
      <c r="I369" t="e">
        <f t="shared" ca="1" si="25"/>
        <v>#REF!</v>
      </c>
      <c r="J369" t="str">
        <f>VLOOKUP($G369,DefinitionArrays!$I$6:$J$12,2,FALSE)</f>
        <v>Weekend</v>
      </c>
    </row>
    <row r="370" spans="1:10">
      <c r="A370" s="159" t="str">
        <f t="shared" si="26"/>
        <v>$N$1:$N$92</v>
      </c>
      <c r="B370" s="159" t="str">
        <f t="shared" si="27"/>
        <v>$O$1:$O$92</v>
      </c>
      <c r="C370" s="159" t="str">
        <f t="shared" si="28"/>
        <v>June!$N$1:$N$92</v>
      </c>
      <c r="D370" s="159" t="str">
        <f t="shared" si="29"/>
        <v>June!$O$1:$O$92</v>
      </c>
      <c r="E370" t="s">
        <v>3</v>
      </c>
      <c r="F370" t="s">
        <v>125</v>
      </c>
      <c r="G370" t="s">
        <v>145</v>
      </c>
      <c r="H370" t="s">
        <v>180</v>
      </c>
      <c r="I370" t="e">
        <f t="shared" ca="1" si="25"/>
        <v>#REF!</v>
      </c>
      <c r="J370" t="str">
        <f>VLOOKUP($G370,DefinitionArrays!$I$6:$J$12,2,FALSE)</f>
        <v>Weekend</v>
      </c>
    </row>
    <row r="371" spans="1:10">
      <c r="A371" s="159" t="str">
        <f t="shared" si="26"/>
        <v>$N$1:$N$92</v>
      </c>
      <c r="B371" s="159" t="str">
        <f t="shared" si="27"/>
        <v>$O$1:$O$92</v>
      </c>
      <c r="C371" s="159" t="str">
        <f t="shared" si="28"/>
        <v>June!$N$1:$N$92</v>
      </c>
      <c r="D371" s="159" t="str">
        <f t="shared" si="29"/>
        <v>June!$O$1:$O$92</v>
      </c>
      <c r="E371" t="s">
        <v>3</v>
      </c>
      <c r="F371" t="s">
        <v>125</v>
      </c>
      <c r="G371" t="s">
        <v>145</v>
      </c>
      <c r="H371" t="s">
        <v>44</v>
      </c>
      <c r="I371" t="e">
        <f t="shared" ca="1" si="25"/>
        <v>#REF!</v>
      </c>
      <c r="J371" t="str">
        <f>VLOOKUP($G371,DefinitionArrays!$I$6:$J$12,2,FALSE)</f>
        <v>Weekend</v>
      </c>
    </row>
    <row r="372" spans="1:10">
      <c r="A372" s="159" t="str">
        <f t="shared" si="26"/>
        <v>$Q$1:$Q$92</v>
      </c>
      <c r="B372" s="159" t="str">
        <f t="shared" si="27"/>
        <v>$R$1:$R$92</v>
      </c>
      <c r="C372" s="159" t="str">
        <f t="shared" si="28"/>
        <v>June!$Q$1:$Q$92</v>
      </c>
      <c r="D372" s="159" t="str">
        <f t="shared" si="29"/>
        <v>June!$R$1:$R$92</v>
      </c>
      <c r="E372" t="s">
        <v>3</v>
      </c>
      <c r="F372" t="s">
        <v>125</v>
      </c>
      <c r="G372" t="s">
        <v>146</v>
      </c>
      <c r="H372" t="s">
        <v>159</v>
      </c>
      <c r="I372" t="e">
        <f t="shared" ca="1" si="25"/>
        <v>#REF!</v>
      </c>
      <c r="J372" t="str">
        <f>VLOOKUP($G372,DefinitionArrays!$I$6:$J$12,2,FALSE)</f>
        <v>Weekend</v>
      </c>
    </row>
    <row r="373" spans="1:10">
      <c r="A373" s="159" t="str">
        <f t="shared" si="26"/>
        <v>$T$1:$T$92</v>
      </c>
      <c r="B373" s="159" t="str">
        <f t="shared" si="27"/>
        <v>$U$1:$U$92</v>
      </c>
      <c r="C373" s="159" t="str">
        <f t="shared" si="28"/>
        <v>June!$T$1:$T$92</v>
      </c>
      <c r="D373" s="159" t="str">
        <f t="shared" si="29"/>
        <v>June!$U$1:$U$92</v>
      </c>
      <c r="E373" t="s">
        <v>3</v>
      </c>
      <c r="F373" t="s">
        <v>125</v>
      </c>
      <c r="G373" t="s">
        <v>141</v>
      </c>
      <c r="H373" t="s">
        <v>159</v>
      </c>
      <c r="I373" t="e">
        <f t="shared" ca="1" si="25"/>
        <v>#REF!</v>
      </c>
      <c r="J373" t="str">
        <f>VLOOKUP($G373,DefinitionArrays!$I$6:$J$12,2,FALSE)</f>
        <v>Weekend</v>
      </c>
    </row>
    <row r="374" spans="1:10">
      <c r="A374" s="159" t="str">
        <f t="shared" si="26"/>
        <v>$B$1:$B$92</v>
      </c>
      <c r="B374" s="159" t="str">
        <f t="shared" si="27"/>
        <v>$C$1:$C$92</v>
      </c>
      <c r="C374" s="159" t="str">
        <f t="shared" si="28"/>
        <v>July!$B$1:$B$92</v>
      </c>
      <c r="D374" s="159" t="str">
        <f t="shared" si="29"/>
        <v>July!$C$1:$C$92</v>
      </c>
      <c r="E374" t="s">
        <v>3</v>
      </c>
      <c r="F374" t="s">
        <v>126</v>
      </c>
      <c r="G374" t="s">
        <v>13</v>
      </c>
      <c r="H374" t="s">
        <v>159</v>
      </c>
      <c r="I374" t="e">
        <f ca="1">COUNTIFS(INDIRECT($C374),$E374,INDIRECT($D374),$H374)</f>
        <v>#REF!</v>
      </c>
      <c r="J374" t="str">
        <f>VLOOKUP($G374,DefinitionArrays!$I$6:$J$12,2,FALSE)</f>
        <v>Workweek</v>
      </c>
    </row>
    <row r="375" spans="1:10">
      <c r="A375" s="159" t="str">
        <f t="shared" si="26"/>
        <v>$B$1:$B$92</v>
      </c>
      <c r="B375" s="159" t="str">
        <f t="shared" si="27"/>
        <v>$C$1:$C$92</v>
      </c>
      <c r="C375" s="159" t="str">
        <f t="shared" si="28"/>
        <v>July!$B$1:$B$92</v>
      </c>
      <c r="D375" s="159" t="str">
        <f t="shared" si="29"/>
        <v>July!$C$1:$C$92</v>
      </c>
      <c r="E375" t="s">
        <v>3</v>
      </c>
      <c r="F375" t="s">
        <v>126</v>
      </c>
      <c r="G375" t="s">
        <v>13</v>
      </c>
      <c r="H375" t="s">
        <v>18</v>
      </c>
      <c r="I375" t="e">
        <f t="shared" ref="I375:I435" ca="1" si="30">COUNTIFS(INDIRECT($C375),$E375,INDIRECT($D375),$H375)</f>
        <v>#REF!</v>
      </c>
      <c r="J375" t="str">
        <f>VLOOKUP($G375,DefinitionArrays!$I$6:$J$12,2,FALSE)</f>
        <v>Workweek</v>
      </c>
    </row>
    <row r="376" spans="1:10">
      <c r="A376" s="159" t="str">
        <f t="shared" si="26"/>
        <v>$B$1:$B$92</v>
      </c>
      <c r="B376" s="159" t="str">
        <f t="shared" si="27"/>
        <v>$C$1:$C$92</v>
      </c>
      <c r="C376" s="159" t="str">
        <f t="shared" si="28"/>
        <v>July!$B$1:$B$92</v>
      </c>
      <c r="D376" s="159" t="str">
        <f t="shared" si="29"/>
        <v>July!$C$1:$C$92</v>
      </c>
      <c r="E376" t="s">
        <v>3</v>
      </c>
      <c r="F376" t="s">
        <v>126</v>
      </c>
      <c r="G376" t="s">
        <v>13</v>
      </c>
      <c r="H376" t="s">
        <v>153</v>
      </c>
      <c r="I376" t="e">
        <f t="shared" ca="1" si="30"/>
        <v>#REF!</v>
      </c>
      <c r="J376" t="str">
        <f>VLOOKUP($G376,DefinitionArrays!$I$6:$J$12,2,FALSE)</f>
        <v>Workweek</v>
      </c>
    </row>
    <row r="377" spans="1:10">
      <c r="A377" s="159" t="str">
        <f t="shared" si="26"/>
        <v>$B$1:$B$92</v>
      </c>
      <c r="B377" s="159" t="str">
        <f t="shared" si="27"/>
        <v>$C$1:$C$92</v>
      </c>
      <c r="C377" s="159" t="str">
        <f t="shared" si="28"/>
        <v>July!$B$1:$B$92</v>
      </c>
      <c r="D377" s="159" t="str">
        <f t="shared" si="29"/>
        <v>July!$C$1:$C$92</v>
      </c>
      <c r="E377" t="s">
        <v>3</v>
      </c>
      <c r="F377" t="s">
        <v>126</v>
      </c>
      <c r="G377" t="s">
        <v>13</v>
      </c>
      <c r="H377" t="s">
        <v>19</v>
      </c>
      <c r="I377" t="e">
        <f t="shared" ca="1" si="30"/>
        <v>#REF!</v>
      </c>
      <c r="J377" t="str">
        <f>VLOOKUP($G377,DefinitionArrays!$I$6:$J$12,2,FALSE)</f>
        <v>Workweek</v>
      </c>
    </row>
    <row r="378" spans="1:10">
      <c r="A378" s="159" t="str">
        <f t="shared" si="26"/>
        <v>$B$1:$B$92</v>
      </c>
      <c r="B378" s="159" t="str">
        <f t="shared" si="27"/>
        <v>$C$1:$C$92</v>
      </c>
      <c r="C378" s="159" t="str">
        <f t="shared" si="28"/>
        <v>July!$B$1:$B$92</v>
      </c>
      <c r="D378" s="159" t="str">
        <f t="shared" si="29"/>
        <v>July!$C$1:$C$92</v>
      </c>
      <c r="E378" t="s">
        <v>3</v>
      </c>
      <c r="F378" t="s">
        <v>126</v>
      </c>
      <c r="G378" t="s">
        <v>13</v>
      </c>
      <c r="H378" t="s">
        <v>20</v>
      </c>
      <c r="I378" t="e">
        <f t="shared" ca="1" si="30"/>
        <v>#REF!</v>
      </c>
      <c r="J378" t="str">
        <f>VLOOKUP($G378,DefinitionArrays!$I$6:$J$12,2,FALSE)</f>
        <v>Workweek</v>
      </c>
    </row>
    <row r="379" spans="1:10">
      <c r="A379" s="159" t="str">
        <f t="shared" si="26"/>
        <v>$B$1:$B$92</v>
      </c>
      <c r="B379" s="159" t="str">
        <f t="shared" si="27"/>
        <v>$C$1:$C$92</v>
      </c>
      <c r="C379" s="159" t="str">
        <f t="shared" si="28"/>
        <v>July!$B$1:$B$92</v>
      </c>
      <c r="D379" s="159" t="str">
        <f t="shared" si="29"/>
        <v>July!$C$1:$C$92</v>
      </c>
      <c r="E379" t="s">
        <v>3</v>
      </c>
      <c r="F379" t="s">
        <v>126</v>
      </c>
      <c r="G379" t="s">
        <v>13</v>
      </c>
      <c r="H379" t="s">
        <v>21</v>
      </c>
      <c r="I379" t="e">
        <f t="shared" ca="1" si="30"/>
        <v>#REF!</v>
      </c>
      <c r="J379" t="str">
        <f>VLOOKUP($G379,DefinitionArrays!$I$6:$J$12,2,FALSE)</f>
        <v>Workweek</v>
      </c>
    </row>
    <row r="380" spans="1:10">
      <c r="A380" s="159" t="str">
        <f t="shared" si="26"/>
        <v>$B$1:$B$92</v>
      </c>
      <c r="B380" s="159" t="str">
        <f t="shared" si="27"/>
        <v>$C$1:$C$92</v>
      </c>
      <c r="C380" s="159" t="str">
        <f t="shared" si="28"/>
        <v>July!$B$1:$B$92</v>
      </c>
      <c r="D380" s="159" t="str">
        <f t="shared" si="29"/>
        <v>July!$C$1:$C$92</v>
      </c>
      <c r="E380" t="s">
        <v>3</v>
      </c>
      <c r="F380" t="s">
        <v>126</v>
      </c>
      <c r="G380" t="s">
        <v>13</v>
      </c>
      <c r="H380" t="s">
        <v>22</v>
      </c>
      <c r="I380" t="e">
        <f t="shared" ca="1" si="30"/>
        <v>#REF!</v>
      </c>
      <c r="J380" t="str">
        <f>VLOOKUP($G380,DefinitionArrays!$I$6:$J$12,2,FALSE)</f>
        <v>Workweek</v>
      </c>
    </row>
    <row r="381" spans="1:10">
      <c r="A381" s="159" t="str">
        <f t="shared" si="26"/>
        <v>$B$1:$B$92</v>
      </c>
      <c r="B381" s="159" t="str">
        <f t="shared" si="27"/>
        <v>$C$1:$C$92</v>
      </c>
      <c r="C381" s="159" t="str">
        <f t="shared" si="28"/>
        <v>July!$B$1:$B$92</v>
      </c>
      <c r="D381" s="159" t="str">
        <f t="shared" si="29"/>
        <v>July!$C$1:$C$92</v>
      </c>
      <c r="E381" t="s">
        <v>3</v>
      </c>
      <c r="F381" t="s">
        <v>126</v>
      </c>
      <c r="G381" t="s">
        <v>13</v>
      </c>
      <c r="H381" t="s">
        <v>23</v>
      </c>
      <c r="I381" t="e">
        <f t="shared" ca="1" si="30"/>
        <v>#REF!</v>
      </c>
      <c r="J381" t="str">
        <f>VLOOKUP($G381,DefinitionArrays!$I$6:$J$12,2,FALSE)</f>
        <v>Workweek</v>
      </c>
    </row>
    <row r="382" spans="1:10">
      <c r="A382" s="159" t="str">
        <f t="shared" si="26"/>
        <v>$B$1:$B$92</v>
      </c>
      <c r="B382" s="159" t="str">
        <f t="shared" si="27"/>
        <v>$C$1:$C$92</v>
      </c>
      <c r="C382" s="159" t="str">
        <f t="shared" si="28"/>
        <v>July!$B$1:$B$92</v>
      </c>
      <c r="D382" s="159" t="str">
        <f t="shared" si="29"/>
        <v>July!$C$1:$C$92</v>
      </c>
      <c r="E382" t="s">
        <v>3</v>
      </c>
      <c r="F382" t="s">
        <v>126</v>
      </c>
      <c r="G382" t="s">
        <v>13</v>
      </c>
      <c r="H382" t="s">
        <v>24</v>
      </c>
      <c r="I382" t="e">
        <f t="shared" ca="1" si="30"/>
        <v>#REF!</v>
      </c>
      <c r="J382" t="str">
        <f>VLOOKUP($G382,DefinitionArrays!$I$6:$J$12,2,FALSE)</f>
        <v>Workweek</v>
      </c>
    </row>
    <row r="383" spans="1:10">
      <c r="A383" s="159" t="str">
        <f t="shared" si="26"/>
        <v>$B$1:$B$92</v>
      </c>
      <c r="B383" s="159" t="str">
        <f t="shared" si="27"/>
        <v>$C$1:$C$92</v>
      </c>
      <c r="C383" s="159" t="str">
        <f t="shared" si="28"/>
        <v>July!$B$1:$B$92</v>
      </c>
      <c r="D383" s="159" t="str">
        <f t="shared" si="29"/>
        <v>July!$C$1:$C$92</v>
      </c>
      <c r="E383" t="s">
        <v>3</v>
      </c>
      <c r="F383" t="s">
        <v>126</v>
      </c>
      <c r="G383" t="s">
        <v>13</v>
      </c>
      <c r="H383" t="s">
        <v>179</v>
      </c>
      <c r="I383" t="e">
        <f t="shared" ca="1" si="30"/>
        <v>#REF!</v>
      </c>
      <c r="J383" t="str">
        <f>VLOOKUP($G383,DefinitionArrays!$I$6:$J$12,2,FALSE)</f>
        <v>Workweek</v>
      </c>
    </row>
    <row r="384" spans="1:10">
      <c r="A384" s="159" t="str">
        <f t="shared" si="26"/>
        <v>$B$1:$B$92</v>
      </c>
      <c r="B384" s="159" t="str">
        <f t="shared" si="27"/>
        <v>$C$1:$C$92</v>
      </c>
      <c r="C384" s="159" t="str">
        <f t="shared" si="28"/>
        <v>July!$B$1:$B$92</v>
      </c>
      <c r="D384" s="159" t="str">
        <f t="shared" si="29"/>
        <v>July!$C$1:$C$92</v>
      </c>
      <c r="E384" t="s">
        <v>3</v>
      </c>
      <c r="F384" t="s">
        <v>126</v>
      </c>
      <c r="G384" t="s">
        <v>13</v>
      </c>
      <c r="H384" t="s">
        <v>180</v>
      </c>
      <c r="I384" t="e">
        <f t="shared" ca="1" si="30"/>
        <v>#REF!</v>
      </c>
      <c r="J384" t="str">
        <f>VLOOKUP($G384,DefinitionArrays!$I$6:$J$12,2,FALSE)</f>
        <v>Workweek</v>
      </c>
    </row>
    <row r="385" spans="1:10">
      <c r="A385" s="159" t="str">
        <f t="shared" si="26"/>
        <v>$B$1:$B$92</v>
      </c>
      <c r="B385" s="159" t="str">
        <f t="shared" si="27"/>
        <v>$C$1:$C$92</v>
      </c>
      <c r="C385" s="159" t="str">
        <f t="shared" si="28"/>
        <v>July!$B$1:$B$92</v>
      </c>
      <c r="D385" s="159" t="str">
        <f t="shared" si="29"/>
        <v>July!$C$1:$C$92</v>
      </c>
      <c r="E385" t="s">
        <v>3</v>
      </c>
      <c r="F385" t="s">
        <v>126</v>
      </c>
      <c r="G385" t="s">
        <v>13</v>
      </c>
      <c r="H385" t="s">
        <v>44</v>
      </c>
      <c r="I385" t="e">
        <f t="shared" ca="1" si="30"/>
        <v>#REF!</v>
      </c>
      <c r="J385" t="str">
        <f>VLOOKUP($G385,DefinitionArrays!$I$6:$J$12,2,FALSE)</f>
        <v>Workweek</v>
      </c>
    </row>
    <row r="386" spans="1:10">
      <c r="A386" s="159" t="str">
        <f t="shared" ref="A386:A449" si="31">VLOOKUP($G386,Fx_Code,2,FALSE)</f>
        <v>$E$1:$E$92</v>
      </c>
      <c r="B386" s="159" t="str">
        <f t="shared" ref="B386:B449" si="32">VLOOKUP($G386,Fx_Code,3,FALSE)</f>
        <v>$F$1:$F$92</v>
      </c>
      <c r="C386" s="159" t="str">
        <f t="shared" ref="C386:C449" si="33">CONCATENATE($F386,$K$1,A386)</f>
        <v>July!$E$1:$E$92</v>
      </c>
      <c r="D386" s="159" t="str">
        <f t="shared" ref="D386:D449" si="34">CONCATENATE($F386,$K$1,B386)</f>
        <v>July!$F$1:$F$92</v>
      </c>
      <c r="E386" t="s">
        <v>3</v>
      </c>
      <c r="F386" t="s">
        <v>126</v>
      </c>
      <c r="G386" t="s">
        <v>142</v>
      </c>
      <c r="H386" t="s">
        <v>159</v>
      </c>
      <c r="I386" t="e">
        <f t="shared" ca="1" si="30"/>
        <v>#REF!</v>
      </c>
      <c r="J386" t="str">
        <f>VLOOKUP($G386,DefinitionArrays!$I$6:$J$12,2,FALSE)</f>
        <v>Workweek</v>
      </c>
    </row>
    <row r="387" spans="1:10">
      <c r="A387" s="159" t="str">
        <f t="shared" si="31"/>
        <v>$E$1:$E$92</v>
      </c>
      <c r="B387" s="159" t="str">
        <f t="shared" si="32"/>
        <v>$F$1:$F$92</v>
      </c>
      <c r="C387" s="159" t="str">
        <f t="shared" si="33"/>
        <v>July!$E$1:$E$92</v>
      </c>
      <c r="D387" s="159" t="str">
        <f t="shared" si="34"/>
        <v>July!$F$1:$F$92</v>
      </c>
      <c r="E387" t="s">
        <v>3</v>
      </c>
      <c r="F387" t="s">
        <v>126</v>
      </c>
      <c r="G387" t="s">
        <v>142</v>
      </c>
      <c r="H387" t="s">
        <v>18</v>
      </c>
      <c r="I387" t="e">
        <f t="shared" ca="1" si="30"/>
        <v>#REF!</v>
      </c>
      <c r="J387" t="str">
        <f>VLOOKUP($G387,DefinitionArrays!$I$6:$J$12,2,FALSE)</f>
        <v>Workweek</v>
      </c>
    </row>
    <row r="388" spans="1:10">
      <c r="A388" s="159" t="str">
        <f t="shared" si="31"/>
        <v>$E$1:$E$92</v>
      </c>
      <c r="B388" s="159" t="str">
        <f t="shared" si="32"/>
        <v>$F$1:$F$92</v>
      </c>
      <c r="C388" s="159" t="str">
        <f t="shared" si="33"/>
        <v>July!$E$1:$E$92</v>
      </c>
      <c r="D388" s="159" t="str">
        <f t="shared" si="34"/>
        <v>July!$F$1:$F$92</v>
      </c>
      <c r="E388" t="s">
        <v>3</v>
      </c>
      <c r="F388" t="s">
        <v>126</v>
      </c>
      <c r="G388" t="s">
        <v>142</v>
      </c>
      <c r="H388" t="s">
        <v>153</v>
      </c>
      <c r="I388" t="e">
        <f t="shared" ca="1" si="30"/>
        <v>#REF!</v>
      </c>
      <c r="J388" t="str">
        <f>VLOOKUP($G388,DefinitionArrays!$I$6:$J$12,2,FALSE)</f>
        <v>Workweek</v>
      </c>
    </row>
    <row r="389" spans="1:10">
      <c r="A389" s="159" t="str">
        <f t="shared" si="31"/>
        <v>$E$1:$E$92</v>
      </c>
      <c r="B389" s="159" t="str">
        <f t="shared" si="32"/>
        <v>$F$1:$F$92</v>
      </c>
      <c r="C389" s="159" t="str">
        <f t="shared" si="33"/>
        <v>July!$E$1:$E$92</v>
      </c>
      <c r="D389" s="159" t="str">
        <f t="shared" si="34"/>
        <v>July!$F$1:$F$92</v>
      </c>
      <c r="E389" t="s">
        <v>3</v>
      </c>
      <c r="F389" t="s">
        <v>126</v>
      </c>
      <c r="G389" t="s">
        <v>142</v>
      </c>
      <c r="H389" t="s">
        <v>19</v>
      </c>
      <c r="I389" t="e">
        <f t="shared" ca="1" si="30"/>
        <v>#REF!</v>
      </c>
      <c r="J389" t="str">
        <f>VLOOKUP($G389,DefinitionArrays!$I$6:$J$12,2,FALSE)</f>
        <v>Workweek</v>
      </c>
    </row>
    <row r="390" spans="1:10">
      <c r="A390" s="159" t="str">
        <f t="shared" si="31"/>
        <v>$E$1:$E$92</v>
      </c>
      <c r="B390" s="159" t="str">
        <f t="shared" si="32"/>
        <v>$F$1:$F$92</v>
      </c>
      <c r="C390" s="159" t="str">
        <f t="shared" si="33"/>
        <v>July!$E$1:$E$92</v>
      </c>
      <c r="D390" s="159" t="str">
        <f t="shared" si="34"/>
        <v>July!$F$1:$F$92</v>
      </c>
      <c r="E390" t="s">
        <v>3</v>
      </c>
      <c r="F390" t="s">
        <v>126</v>
      </c>
      <c r="G390" t="s">
        <v>142</v>
      </c>
      <c r="H390" t="s">
        <v>20</v>
      </c>
      <c r="I390" t="e">
        <f t="shared" ca="1" si="30"/>
        <v>#REF!</v>
      </c>
      <c r="J390" t="str">
        <f>VLOOKUP($G390,DefinitionArrays!$I$6:$J$12,2,FALSE)</f>
        <v>Workweek</v>
      </c>
    </row>
    <row r="391" spans="1:10">
      <c r="A391" s="159" t="str">
        <f t="shared" si="31"/>
        <v>$E$1:$E$92</v>
      </c>
      <c r="B391" s="159" t="str">
        <f t="shared" si="32"/>
        <v>$F$1:$F$92</v>
      </c>
      <c r="C391" s="159" t="str">
        <f t="shared" si="33"/>
        <v>July!$E$1:$E$92</v>
      </c>
      <c r="D391" s="159" t="str">
        <f t="shared" si="34"/>
        <v>July!$F$1:$F$92</v>
      </c>
      <c r="E391" t="s">
        <v>3</v>
      </c>
      <c r="F391" t="s">
        <v>126</v>
      </c>
      <c r="G391" t="s">
        <v>142</v>
      </c>
      <c r="H391" t="s">
        <v>21</v>
      </c>
      <c r="I391" t="e">
        <f t="shared" ca="1" si="30"/>
        <v>#REF!</v>
      </c>
      <c r="J391" t="str">
        <f>VLOOKUP($G391,DefinitionArrays!$I$6:$J$12,2,FALSE)</f>
        <v>Workweek</v>
      </c>
    </row>
    <row r="392" spans="1:10">
      <c r="A392" s="159" t="str">
        <f t="shared" si="31"/>
        <v>$E$1:$E$92</v>
      </c>
      <c r="B392" s="159" t="str">
        <f t="shared" si="32"/>
        <v>$F$1:$F$92</v>
      </c>
      <c r="C392" s="159" t="str">
        <f t="shared" si="33"/>
        <v>July!$E$1:$E$92</v>
      </c>
      <c r="D392" s="159" t="str">
        <f t="shared" si="34"/>
        <v>July!$F$1:$F$92</v>
      </c>
      <c r="E392" t="s">
        <v>3</v>
      </c>
      <c r="F392" t="s">
        <v>126</v>
      </c>
      <c r="G392" t="s">
        <v>142</v>
      </c>
      <c r="H392" t="s">
        <v>22</v>
      </c>
      <c r="I392" t="e">
        <f t="shared" ca="1" si="30"/>
        <v>#REF!</v>
      </c>
      <c r="J392" t="str">
        <f>VLOOKUP($G392,DefinitionArrays!$I$6:$J$12,2,FALSE)</f>
        <v>Workweek</v>
      </c>
    </row>
    <row r="393" spans="1:10">
      <c r="A393" s="159" t="str">
        <f t="shared" si="31"/>
        <v>$E$1:$E$92</v>
      </c>
      <c r="B393" s="159" t="str">
        <f t="shared" si="32"/>
        <v>$F$1:$F$92</v>
      </c>
      <c r="C393" s="159" t="str">
        <f t="shared" si="33"/>
        <v>July!$E$1:$E$92</v>
      </c>
      <c r="D393" s="159" t="str">
        <f t="shared" si="34"/>
        <v>July!$F$1:$F$92</v>
      </c>
      <c r="E393" t="s">
        <v>3</v>
      </c>
      <c r="F393" t="s">
        <v>126</v>
      </c>
      <c r="G393" t="s">
        <v>142</v>
      </c>
      <c r="H393" t="s">
        <v>23</v>
      </c>
      <c r="I393" t="e">
        <f t="shared" ca="1" si="30"/>
        <v>#REF!</v>
      </c>
      <c r="J393" t="str">
        <f>VLOOKUP($G393,DefinitionArrays!$I$6:$J$12,2,FALSE)</f>
        <v>Workweek</v>
      </c>
    </row>
    <row r="394" spans="1:10">
      <c r="A394" s="159" t="str">
        <f t="shared" si="31"/>
        <v>$E$1:$E$92</v>
      </c>
      <c r="B394" s="159" t="str">
        <f t="shared" si="32"/>
        <v>$F$1:$F$92</v>
      </c>
      <c r="C394" s="159" t="str">
        <f t="shared" si="33"/>
        <v>July!$E$1:$E$92</v>
      </c>
      <c r="D394" s="159" t="str">
        <f t="shared" si="34"/>
        <v>July!$F$1:$F$92</v>
      </c>
      <c r="E394" t="s">
        <v>3</v>
      </c>
      <c r="F394" t="s">
        <v>126</v>
      </c>
      <c r="G394" t="s">
        <v>142</v>
      </c>
      <c r="H394" t="s">
        <v>24</v>
      </c>
      <c r="I394" t="e">
        <f t="shared" ca="1" si="30"/>
        <v>#REF!</v>
      </c>
      <c r="J394" t="str">
        <f>VLOOKUP($G394,DefinitionArrays!$I$6:$J$12,2,FALSE)</f>
        <v>Workweek</v>
      </c>
    </row>
    <row r="395" spans="1:10">
      <c r="A395" s="159" t="str">
        <f t="shared" si="31"/>
        <v>$E$1:$E$92</v>
      </c>
      <c r="B395" s="159" t="str">
        <f t="shared" si="32"/>
        <v>$F$1:$F$92</v>
      </c>
      <c r="C395" s="159" t="str">
        <f t="shared" si="33"/>
        <v>July!$E$1:$E$92</v>
      </c>
      <c r="D395" s="159" t="str">
        <f t="shared" si="34"/>
        <v>July!$F$1:$F$92</v>
      </c>
      <c r="E395" t="s">
        <v>3</v>
      </c>
      <c r="F395" t="s">
        <v>126</v>
      </c>
      <c r="G395" t="s">
        <v>142</v>
      </c>
      <c r="H395" t="s">
        <v>179</v>
      </c>
      <c r="I395" t="e">
        <f t="shared" ca="1" si="30"/>
        <v>#REF!</v>
      </c>
      <c r="J395" t="str">
        <f>VLOOKUP($G395,DefinitionArrays!$I$6:$J$12,2,FALSE)</f>
        <v>Workweek</v>
      </c>
    </row>
    <row r="396" spans="1:10">
      <c r="A396" s="159" t="str">
        <f t="shared" si="31"/>
        <v>$E$1:$E$92</v>
      </c>
      <c r="B396" s="159" t="str">
        <f t="shared" si="32"/>
        <v>$F$1:$F$92</v>
      </c>
      <c r="C396" s="159" t="str">
        <f t="shared" si="33"/>
        <v>July!$E$1:$E$92</v>
      </c>
      <c r="D396" s="159" t="str">
        <f t="shared" si="34"/>
        <v>July!$F$1:$F$92</v>
      </c>
      <c r="E396" t="s">
        <v>3</v>
      </c>
      <c r="F396" t="s">
        <v>126</v>
      </c>
      <c r="G396" t="s">
        <v>142</v>
      </c>
      <c r="H396" t="s">
        <v>180</v>
      </c>
      <c r="I396" t="e">
        <f t="shared" ca="1" si="30"/>
        <v>#REF!</v>
      </c>
      <c r="J396" t="str">
        <f>VLOOKUP($G396,DefinitionArrays!$I$6:$J$12,2,FALSE)</f>
        <v>Workweek</v>
      </c>
    </row>
    <row r="397" spans="1:10">
      <c r="A397" s="159" t="str">
        <f t="shared" si="31"/>
        <v>$E$1:$E$92</v>
      </c>
      <c r="B397" s="159" t="str">
        <f t="shared" si="32"/>
        <v>$F$1:$F$92</v>
      </c>
      <c r="C397" s="159" t="str">
        <f t="shared" si="33"/>
        <v>July!$E$1:$E$92</v>
      </c>
      <c r="D397" s="159" t="str">
        <f t="shared" si="34"/>
        <v>July!$F$1:$F$92</v>
      </c>
      <c r="E397" t="s">
        <v>3</v>
      </c>
      <c r="F397" t="s">
        <v>126</v>
      </c>
      <c r="G397" t="s">
        <v>142</v>
      </c>
      <c r="H397" t="s">
        <v>44</v>
      </c>
      <c r="I397" t="e">
        <f t="shared" ca="1" si="30"/>
        <v>#REF!</v>
      </c>
      <c r="J397" t="str">
        <f>VLOOKUP($G397,DefinitionArrays!$I$6:$J$12,2,FALSE)</f>
        <v>Workweek</v>
      </c>
    </row>
    <row r="398" spans="1:10">
      <c r="A398" s="159" t="str">
        <f t="shared" si="31"/>
        <v>$H$1:$H$92</v>
      </c>
      <c r="B398" s="159" t="str">
        <f t="shared" si="32"/>
        <v>$I$1:$I$92</v>
      </c>
      <c r="C398" s="159" t="str">
        <f t="shared" si="33"/>
        <v>July!$H$1:$H$92</v>
      </c>
      <c r="D398" s="159" t="str">
        <f t="shared" si="34"/>
        <v>July!$I$1:$I$92</v>
      </c>
      <c r="E398" t="s">
        <v>3</v>
      </c>
      <c r="F398" t="s">
        <v>126</v>
      </c>
      <c r="G398" t="s">
        <v>143</v>
      </c>
      <c r="H398" t="s">
        <v>159</v>
      </c>
      <c r="I398" t="e">
        <f t="shared" ca="1" si="30"/>
        <v>#REF!</v>
      </c>
      <c r="J398" t="str">
        <f>VLOOKUP($G398,DefinitionArrays!$I$6:$J$12,2,FALSE)</f>
        <v>Workweek</v>
      </c>
    </row>
    <row r="399" spans="1:10">
      <c r="A399" s="159" t="str">
        <f t="shared" si="31"/>
        <v>$H$1:$H$92</v>
      </c>
      <c r="B399" s="159" t="str">
        <f t="shared" si="32"/>
        <v>$I$1:$I$92</v>
      </c>
      <c r="C399" s="159" t="str">
        <f t="shared" si="33"/>
        <v>July!$H$1:$H$92</v>
      </c>
      <c r="D399" s="159" t="str">
        <f t="shared" si="34"/>
        <v>July!$I$1:$I$92</v>
      </c>
      <c r="E399" t="s">
        <v>3</v>
      </c>
      <c r="F399" t="s">
        <v>126</v>
      </c>
      <c r="G399" t="s">
        <v>143</v>
      </c>
      <c r="H399" t="s">
        <v>18</v>
      </c>
      <c r="I399" t="e">
        <f t="shared" ca="1" si="30"/>
        <v>#REF!</v>
      </c>
      <c r="J399" t="str">
        <f>VLOOKUP($G399,DefinitionArrays!$I$6:$J$12,2,FALSE)</f>
        <v>Workweek</v>
      </c>
    </row>
    <row r="400" spans="1:10">
      <c r="A400" s="159" t="str">
        <f t="shared" si="31"/>
        <v>$H$1:$H$92</v>
      </c>
      <c r="B400" s="159" t="str">
        <f t="shared" si="32"/>
        <v>$I$1:$I$92</v>
      </c>
      <c r="C400" s="159" t="str">
        <f t="shared" si="33"/>
        <v>July!$H$1:$H$92</v>
      </c>
      <c r="D400" s="159" t="str">
        <f t="shared" si="34"/>
        <v>July!$I$1:$I$92</v>
      </c>
      <c r="E400" t="s">
        <v>3</v>
      </c>
      <c r="F400" t="s">
        <v>126</v>
      </c>
      <c r="G400" t="s">
        <v>143</v>
      </c>
      <c r="H400" t="s">
        <v>153</v>
      </c>
      <c r="I400" t="e">
        <f t="shared" ca="1" si="30"/>
        <v>#REF!</v>
      </c>
      <c r="J400" t="str">
        <f>VLOOKUP($G400,DefinitionArrays!$I$6:$J$12,2,FALSE)</f>
        <v>Workweek</v>
      </c>
    </row>
    <row r="401" spans="1:10">
      <c r="A401" s="159" t="str">
        <f t="shared" si="31"/>
        <v>$H$1:$H$92</v>
      </c>
      <c r="B401" s="159" t="str">
        <f t="shared" si="32"/>
        <v>$I$1:$I$92</v>
      </c>
      <c r="C401" s="159" t="str">
        <f t="shared" si="33"/>
        <v>July!$H$1:$H$92</v>
      </c>
      <c r="D401" s="159" t="str">
        <f t="shared" si="34"/>
        <v>July!$I$1:$I$92</v>
      </c>
      <c r="E401" t="s">
        <v>3</v>
      </c>
      <c r="F401" t="s">
        <v>126</v>
      </c>
      <c r="G401" t="s">
        <v>143</v>
      </c>
      <c r="H401" t="s">
        <v>19</v>
      </c>
      <c r="I401" t="e">
        <f t="shared" ca="1" si="30"/>
        <v>#REF!</v>
      </c>
      <c r="J401" t="str">
        <f>VLOOKUP($G401,DefinitionArrays!$I$6:$J$12,2,FALSE)</f>
        <v>Workweek</v>
      </c>
    </row>
    <row r="402" spans="1:10">
      <c r="A402" s="159" t="str">
        <f t="shared" si="31"/>
        <v>$H$1:$H$92</v>
      </c>
      <c r="B402" s="159" t="str">
        <f t="shared" si="32"/>
        <v>$I$1:$I$92</v>
      </c>
      <c r="C402" s="159" t="str">
        <f t="shared" si="33"/>
        <v>July!$H$1:$H$92</v>
      </c>
      <c r="D402" s="159" t="str">
        <f t="shared" si="34"/>
        <v>July!$I$1:$I$92</v>
      </c>
      <c r="E402" t="s">
        <v>3</v>
      </c>
      <c r="F402" t="s">
        <v>126</v>
      </c>
      <c r="G402" t="s">
        <v>143</v>
      </c>
      <c r="H402" t="s">
        <v>20</v>
      </c>
      <c r="I402" t="e">
        <f t="shared" ca="1" si="30"/>
        <v>#REF!</v>
      </c>
      <c r="J402" t="str">
        <f>VLOOKUP($G402,DefinitionArrays!$I$6:$J$12,2,FALSE)</f>
        <v>Workweek</v>
      </c>
    </row>
    <row r="403" spans="1:10">
      <c r="A403" s="159" t="str">
        <f t="shared" si="31"/>
        <v>$H$1:$H$92</v>
      </c>
      <c r="B403" s="159" t="str">
        <f t="shared" si="32"/>
        <v>$I$1:$I$92</v>
      </c>
      <c r="C403" s="159" t="str">
        <f t="shared" si="33"/>
        <v>July!$H$1:$H$92</v>
      </c>
      <c r="D403" s="159" t="str">
        <f t="shared" si="34"/>
        <v>July!$I$1:$I$92</v>
      </c>
      <c r="E403" t="s">
        <v>3</v>
      </c>
      <c r="F403" t="s">
        <v>126</v>
      </c>
      <c r="G403" t="s">
        <v>143</v>
      </c>
      <c r="H403" t="s">
        <v>21</v>
      </c>
      <c r="I403" t="e">
        <f t="shared" ca="1" si="30"/>
        <v>#REF!</v>
      </c>
      <c r="J403" t="str">
        <f>VLOOKUP($G403,DefinitionArrays!$I$6:$J$12,2,FALSE)</f>
        <v>Workweek</v>
      </c>
    </row>
    <row r="404" spans="1:10">
      <c r="A404" s="159" t="str">
        <f t="shared" si="31"/>
        <v>$H$1:$H$92</v>
      </c>
      <c r="B404" s="159" t="str">
        <f t="shared" si="32"/>
        <v>$I$1:$I$92</v>
      </c>
      <c r="C404" s="159" t="str">
        <f t="shared" si="33"/>
        <v>July!$H$1:$H$92</v>
      </c>
      <c r="D404" s="159" t="str">
        <f t="shared" si="34"/>
        <v>July!$I$1:$I$92</v>
      </c>
      <c r="E404" t="s">
        <v>3</v>
      </c>
      <c r="F404" t="s">
        <v>126</v>
      </c>
      <c r="G404" t="s">
        <v>143</v>
      </c>
      <c r="H404" t="s">
        <v>22</v>
      </c>
      <c r="I404" t="e">
        <f t="shared" ca="1" si="30"/>
        <v>#REF!</v>
      </c>
      <c r="J404" t="str">
        <f>VLOOKUP($G404,DefinitionArrays!$I$6:$J$12,2,FALSE)</f>
        <v>Workweek</v>
      </c>
    </row>
    <row r="405" spans="1:10">
      <c r="A405" s="159" t="str">
        <f t="shared" si="31"/>
        <v>$H$1:$H$92</v>
      </c>
      <c r="B405" s="159" t="str">
        <f t="shared" si="32"/>
        <v>$I$1:$I$92</v>
      </c>
      <c r="C405" s="159" t="str">
        <f t="shared" si="33"/>
        <v>July!$H$1:$H$92</v>
      </c>
      <c r="D405" s="159" t="str">
        <f t="shared" si="34"/>
        <v>July!$I$1:$I$92</v>
      </c>
      <c r="E405" t="s">
        <v>3</v>
      </c>
      <c r="F405" t="s">
        <v>126</v>
      </c>
      <c r="G405" t="s">
        <v>143</v>
      </c>
      <c r="H405" t="s">
        <v>23</v>
      </c>
      <c r="I405" t="e">
        <f t="shared" ca="1" si="30"/>
        <v>#REF!</v>
      </c>
      <c r="J405" t="str">
        <f>VLOOKUP($G405,DefinitionArrays!$I$6:$J$12,2,FALSE)</f>
        <v>Workweek</v>
      </c>
    </row>
    <row r="406" spans="1:10">
      <c r="A406" s="159" t="str">
        <f t="shared" si="31"/>
        <v>$H$1:$H$92</v>
      </c>
      <c r="B406" s="159" t="str">
        <f t="shared" si="32"/>
        <v>$I$1:$I$92</v>
      </c>
      <c r="C406" s="159" t="str">
        <f t="shared" si="33"/>
        <v>July!$H$1:$H$92</v>
      </c>
      <c r="D406" s="159" t="str">
        <f t="shared" si="34"/>
        <v>July!$I$1:$I$92</v>
      </c>
      <c r="E406" t="s">
        <v>3</v>
      </c>
      <c r="F406" t="s">
        <v>126</v>
      </c>
      <c r="G406" t="s">
        <v>143</v>
      </c>
      <c r="H406" t="s">
        <v>24</v>
      </c>
      <c r="I406" t="e">
        <f t="shared" ca="1" si="30"/>
        <v>#REF!</v>
      </c>
      <c r="J406" t="str">
        <f>VLOOKUP($G406,DefinitionArrays!$I$6:$J$12,2,FALSE)</f>
        <v>Workweek</v>
      </c>
    </row>
    <row r="407" spans="1:10">
      <c r="A407" s="159" t="str">
        <f t="shared" si="31"/>
        <v>$H$1:$H$92</v>
      </c>
      <c r="B407" s="159" t="str">
        <f t="shared" si="32"/>
        <v>$I$1:$I$92</v>
      </c>
      <c r="C407" s="159" t="str">
        <f t="shared" si="33"/>
        <v>July!$H$1:$H$92</v>
      </c>
      <c r="D407" s="159" t="str">
        <f t="shared" si="34"/>
        <v>July!$I$1:$I$92</v>
      </c>
      <c r="E407" t="s">
        <v>3</v>
      </c>
      <c r="F407" t="s">
        <v>126</v>
      </c>
      <c r="G407" t="s">
        <v>143</v>
      </c>
      <c r="H407" t="s">
        <v>179</v>
      </c>
      <c r="I407" t="e">
        <f t="shared" ca="1" si="30"/>
        <v>#REF!</v>
      </c>
      <c r="J407" t="str">
        <f>VLOOKUP($G407,DefinitionArrays!$I$6:$J$12,2,FALSE)</f>
        <v>Workweek</v>
      </c>
    </row>
    <row r="408" spans="1:10">
      <c r="A408" s="159" t="str">
        <f t="shared" si="31"/>
        <v>$H$1:$H$92</v>
      </c>
      <c r="B408" s="159" t="str">
        <f t="shared" si="32"/>
        <v>$I$1:$I$92</v>
      </c>
      <c r="C408" s="159" t="str">
        <f t="shared" si="33"/>
        <v>July!$H$1:$H$92</v>
      </c>
      <c r="D408" s="159" t="str">
        <f t="shared" si="34"/>
        <v>July!$I$1:$I$92</v>
      </c>
      <c r="E408" t="s">
        <v>3</v>
      </c>
      <c r="F408" t="s">
        <v>126</v>
      </c>
      <c r="G408" t="s">
        <v>143</v>
      </c>
      <c r="H408" t="s">
        <v>180</v>
      </c>
      <c r="I408" t="e">
        <f t="shared" ca="1" si="30"/>
        <v>#REF!</v>
      </c>
      <c r="J408" t="str">
        <f>VLOOKUP($G408,DefinitionArrays!$I$6:$J$12,2,FALSE)</f>
        <v>Workweek</v>
      </c>
    </row>
    <row r="409" spans="1:10">
      <c r="A409" s="159" t="str">
        <f t="shared" si="31"/>
        <v>$H$1:$H$92</v>
      </c>
      <c r="B409" s="159" t="str">
        <f t="shared" si="32"/>
        <v>$I$1:$I$92</v>
      </c>
      <c r="C409" s="159" t="str">
        <f t="shared" si="33"/>
        <v>July!$H$1:$H$92</v>
      </c>
      <c r="D409" s="159" t="str">
        <f t="shared" si="34"/>
        <v>July!$I$1:$I$92</v>
      </c>
      <c r="E409" t="s">
        <v>3</v>
      </c>
      <c r="F409" t="s">
        <v>126</v>
      </c>
      <c r="G409" t="s">
        <v>143</v>
      </c>
      <c r="H409" t="s">
        <v>44</v>
      </c>
      <c r="I409" t="e">
        <f t="shared" ca="1" si="30"/>
        <v>#REF!</v>
      </c>
      <c r="J409" t="str">
        <f>VLOOKUP($G409,DefinitionArrays!$I$6:$J$12,2,FALSE)</f>
        <v>Workweek</v>
      </c>
    </row>
    <row r="410" spans="1:10">
      <c r="A410" s="159" t="str">
        <f t="shared" si="31"/>
        <v>$K$1:$K$92</v>
      </c>
      <c r="B410" s="159" t="str">
        <f t="shared" si="32"/>
        <v>$L$1:$L$92</v>
      </c>
      <c r="C410" s="159" t="str">
        <f t="shared" si="33"/>
        <v>July!$K$1:$K$92</v>
      </c>
      <c r="D410" s="159" t="str">
        <f t="shared" si="34"/>
        <v>July!$L$1:$L$92</v>
      </c>
      <c r="E410" t="s">
        <v>3</v>
      </c>
      <c r="F410" t="s">
        <v>126</v>
      </c>
      <c r="G410" t="s">
        <v>144</v>
      </c>
      <c r="H410" t="s">
        <v>159</v>
      </c>
      <c r="I410" t="e">
        <f t="shared" ca="1" si="30"/>
        <v>#REF!</v>
      </c>
      <c r="J410" t="str">
        <f>VLOOKUP($G410,DefinitionArrays!$I$6:$J$12,2,FALSE)</f>
        <v>Workweek</v>
      </c>
    </row>
    <row r="411" spans="1:10">
      <c r="A411" s="159" t="str">
        <f t="shared" si="31"/>
        <v>$K$1:$K$92</v>
      </c>
      <c r="B411" s="159" t="str">
        <f t="shared" si="32"/>
        <v>$L$1:$L$92</v>
      </c>
      <c r="C411" s="159" t="str">
        <f t="shared" si="33"/>
        <v>July!$K$1:$K$92</v>
      </c>
      <c r="D411" s="159" t="str">
        <f t="shared" si="34"/>
        <v>July!$L$1:$L$92</v>
      </c>
      <c r="E411" t="s">
        <v>3</v>
      </c>
      <c r="F411" t="s">
        <v>126</v>
      </c>
      <c r="G411" t="s">
        <v>144</v>
      </c>
      <c r="H411" t="s">
        <v>18</v>
      </c>
      <c r="I411" t="e">
        <f t="shared" ca="1" si="30"/>
        <v>#REF!</v>
      </c>
      <c r="J411" t="str">
        <f>VLOOKUP($G411,DefinitionArrays!$I$6:$J$12,2,FALSE)</f>
        <v>Workweek</v>
      </c>
    </row>
    <row r="412" spans="1:10">
      <c r="A412" s="159" t="str">
        <f t="shared" si="31"/>
        <v>$K$1:$K$92</v>
      </c>
      <c r="B412" s="159" t="str">
        <f t="shared" si="32"/>
        <v>$L$1:$L$92</v>
      </c>
      <c r="C412" s="159" t="str">
        <f t="shared" si="33"/>
        <v>July!$K$1:$K$92</v>
      </c>
      <c r="D412" s="159" t="str">
        <f t="shared" si="34"/>
        <v>July!$L$1:$L$92</v>
      </c>
      <c r="E412" t="s">
        <v>3</v>
      </c>
      <c r="F412" t="s">
        <v>126</v>
      </c>
      <c r="G412" t="s">
        <v>144</v>
      </c>
      <c r="H412" t="s">
        <v>153</v>
      </c>
      <c r="I412" t="e">
        <f t="shared" ca="1" si="30"/>
        <v>#REF!</v>
      </c>
      <c r="J412" t="str">
        <f>VLOOKUP($G412,DefinitionArrays!$I$6:$J$12,2,FALSE)</f>
        <v>Workweek</v>
      </c>
    </row>
    <row r="413" spans="1:10">
      <c r="A413" s="159" t="str">
        <f t="shared" si="31"/>
        <v>$K$1:$K$92</v>
      </c>
      <c r="B413" s="159" t="str">
        <f t="shared" si="32"/>
        <v>$L$1:$L$92</v>
      </c>
      <c r="C413" s="159" t="str">
        <f t="shared" si="33"/>
        <v>July!$K$1:$K$92</v>
      </c>
      <c r="D413" s="159" t="str">
        <f t="shared" si="34"/>
        <v>July!$L$1:$L$92</v>
      </c>
      <c r="E413" t="s">
        <v>3</v>
      </c>
      <c r="F413" t="s">
        <v>126</v>
      </c>
      <c r="G413" t="s">
        <v>144</v>
      </c>
      <c r="H413" t="s">
        <v>19</v>
      </c>
      <c r="I413" t="e">
        <f t="shared" ca="1" si="30"/>
        <v>#REF!</v>
      </c>
      <c r="J413" t="str">
        <f>VLOOKUP($G413,DefinitionArrays!$I$6:$J$12,2,FALSE)</f>
        <v>Workweek</v>
      </c>
    </row>
    <row r="414" spans="1:10">
      <c r="A414" s="159" t="str">
        <f t="shared" si="31"/>
        <v>$K$1:$K$92</v>
      </c>
      <c r="B414" s="159" t="str">
        <f t="shared" si="32"/>
        <v>$L$1:$L$92</v>
      </c>
      <c r="C414" s="159" t="str">
        <f t="shared" si="33"/>
        <v>July!$K$1:$K$92</v>
      </c>
      <c r="D414" s="159" t="str">
        <f t="shared" si="34"/>
        <v>July!$L$1:$L$92</v>
      </c>
      <c r="E414" t="s">
        <v>3</v>
      </c>
      <c r="F414" t="s">
        <v>126</v>
      </c>
      <c r="G414" t="s">
        <v>144</v>
      </c>
      <c r="H414" t="s">
        <v>20</v>
      </c>
      <c r="I414" t="e">
        <f t="shared" ca="1" si="30"/>
        <v>#REF!</v>
      </c>
      <c r="J414" t="str">
        <f>VLOOKUP($G414,DefinitionArrays!$I$6:$J$12,2,FALSE)</f>
        <v>Workweek</v>
      </c>
    </row>
    <row r="415" spans="1:10">
      <c r="A415" s="159" t="str">
        <f t="shared" si="31"/>
        <v>$K$1:$K$92</v>
      </c>
      <c r="B415" s="159" t="str">
        <f t="shared" si="32"/>
        <v>$L$1:$L$92</v>
      </c>
      <c r="C415" s="159" t="str">
        <f t="shared" si="33"/>
        <v>July!$K$1:$K$92</v>
      </c>
      <c r="D415" s="159" t="str">
        <f t="shared" si="34"/>
        <v>July!$L$1:$L$92</v>
      </c>
      <c r="E415" t="s">
        <v>3</v>
      </c>
      <c r="F415" t="s">
        <v>126</v>
      </c>
      <c r="G415" t="s">
        <v>144</v>
      </c>
      <c r="H415" t="s">
        <v>21</v>
      </c>
      <c r="I415" t="e">
        <f t="shared" ca="1" si="30"/>
        <v>#REF!</v>
      </c>
      <c r="J415" t="str">
        <f>VLOOKUP($G415,DefinitionArrays!$I$6:$J$12,2,FALSE)</f>
        <v>Workweek</v>
      </c>
    </row>
    <row r="416" spans="1:10">
      <c r="A416" s="159" t="str">
        <f t="shared" si="31"/>
        <v>$K$1:$K$92</v>
      </c>
      <c r="B416" s="159" t="str">
        <f t="shared" si="32"/>
        <v>$L$1:$L$92</v>
      </c>
      <c r="C416" s="159" t="str">
        <f t="shared" si="33"/>
        <v>July!$K$1:$K$92</v>
      </c>
      <c r="D416" s="159" t="str">
        <f t="shared" si="34"/>
        <v>July!$L$1:$L$92</v>
      </c>
      <c r="E416" t="s">
        <v>3</v>
      </c>
      <c r="F416" t="s">
        <v>126</v>
      </c>
      <c r="G416" t="s">
        <v>144</v>
      </c>
      <c r="H416" t="s">
        <v>22</v>
      </c>
      <c r="I416" t="e">
        <f t="shared" ca="1" si="30"/>
        <v>#REF!</v>
      </c>
      <c r="J416" t="str">
        <f>VLOOKUP($G416,DefinitionArrays!$I$6:$J$12,2,FALSE)</f>
        <v>Workweek</v>
      </c>
    </row>
    <row r="417" spans="1:10">
      <c r="A417" s="159" t="str">
        <f t="shared" si="31"/>
        <v>$K$1:$K$92</v>
      </c>
      <c r="B417" s="159" t="str">
        <f t="shared" si="32"/>
        <v>$L$1:$L$92</v>
      </c>
      <c r="C417" s="159" t="str">
        <f t="shared" si="33"/>
        <v>July!$K$1:$K$92</v>
      </c>
      <c r="D417" s="159" t="str">
        <f t="shared" si="34"/>
        <v>July!$L$1:$L$92</v>
      </c>
      <c r="E417" t="s">
        <v>3</v>
      </c>
      <c r="F417" t="s">
        <v>126</v>
      </c>
      <c r="G417" t="s">
        <v>144</v>
      </c>
      <c r="H417" t="s">
        <v>23</v>
      </c>
      <c r="I417" t="e">
        <f t="shared" ca="1" si="30"/>
        <v>#REF!</v>
      </c>
      <c r="J417" t="str">
        <f>VLOOKUP($G417,DefinitionArrays!$I$6:$J$12,2,FALSE)</f>
        <v>Workweek</v>
      </c>
    </row>
    <row r="418" spans="1:10">
      <c r="A418" s="159" t="str">
        <f t="shared" si="31"/>
        <v>$K$1:$K$92</v>
      </c>
      <c r="B418" s="159" t="str">
        <f t="shared" si="32"/>
        <v>$L$1:$L$92</v>
      </c>
      <c r="C418" s="159" t="str">
        <f t="shared" si="33"/>
        <v>July!$K$1:$K$92</v>
      </c>
      <c r="D418" s="159" t="str">
        <f t="shared" si="34"/>
        <v>July!$L$1:$L$92</v>
      </c>
      <c r="E418" t="s">
        <v>3</v>
      </c>
      <c r="F418" t="s">
        <v>126</v>
      </c>
      <c r="G418" t="s">
        <v>144</v>
      </c>
      <c r="H418" t="s">
        <v>24</v>
      </c>
      <c r="I418" t="e">
        <f t="shared" ca="1" si="30"/>
        <v>#REF!</v>
      </c>
      <c r="J418" t="str">
        <f>VLOOKUP($G418,DefinitionArrays!$I$6:$J$12,2,FALSE)</f>
        <v>Workweek</v>
      </c>
    </row>
    <row r="419" spans="1:10">
      <c r="A419" s="159" t="str">
        <f t="shared" si="31"/>
        <v>$K$1:$K$92</v>
      </c>
      <c r="B419" s="159" t="str">
        <f t="shared" si="32"/>
        <v>$L$1:$L$92</v>
      </c>
      <c r="C419" s="159" t="str">
        <f t="shared" si="33"/>
        <v>July!$K$1:$K$92</v>
      </c>
      <c r="D419" s="159" t="str">
        <f t="shared" si="34"/>
        <v>July!$L$1:$L$92</v>
      </c>
      <c r="E419" t="s">
        <v>3</v>
      </c>
      <c r="F419" t="s">
        <v>126</v>
      </c>
      <c r="G419" t="s">
        <v>144</v>
      </c>
      <c r="H419" t="s">
        <v>179</v>
      </c>
      <c r="I419" t="e">
        <f t="shared" ca="1" si="30"/>
        <v>#REF!</v>
      </c>
      <c r="J419" t="str">
        <f>VLOOKUP($G419,DefinitionArrays!$I$6:$J$12,2,FALSE)</f>
        <v>Workweek</v>
      </c>
    </row>
    <row r="420" spans="1:10">
      <c r="A420" s="159" t="str">
        <f t="shared" si="31"/>
        <v>$K$1:$K$92</v>
      </c>
      <c r="B420" s="159" t="str">
        <f t="shared" si="32"/>
        <v>$L$1:$L$92</v>
      </c>
      <c r="C420" s="159" t="str">
        <f t="shared" si="33"/>
        <v>July!$K$1:$K$92</v>
      </c>
      <c r="D420" s="159" t="str">
        <f t="shared" si="34"/>
        <v>July!$L$1:$L$92</v>
      </c>
      <c r="E420" t="s">
        <v>3</v>
      </c>
      <c r="F420" t="s">
        <v>126</v>
      </c>
      <c r="G420" t="s">
        <v>144</v>
      </c>
      <c r="H420" t="s">
        <v>180</v>
      </c>
      <c r="I420" t="e">
        <f t="shared" ca="1" si="30"/>
        <v>#REF!</v>
      </c>
      <c r="J420" t="str">
        <f>VLOOKUP($G420,DefinitionArrays!$I$6:$J$12,2,FALSE)</f>
        <v>Workweek</v>
      </c>
    </row>
    <row r="421" spans="1:10">
      <c r="A421" s="159" t="str">
        <f t="shared" si="31"/>
        <v>$K$1:$K$92</v>
      </c>
      <c r="B421" s="159" t="str">
        <f t="shared" si="32"/>
        <v>$L$1:$L$92</v>
      </c>
      <c r="C421" s="159" t="str">
        <f t="shared" si="33"/>
        <v>July!$K$1:$K$92</v>
      </c>
      <c r="D421" s="159" t="str">
        <f t="shared" si="34"/>
        <v>July!$L$1:$L$92</v>
      </c>
      <c r="E421" t="s">
        <v>3</v>
      </c>
      <c r="F421" t="s">
        <v>126</v>
      </c>
      <c r="G421" t="s">
        <v>144</v>
      </c>
      <c r="H421" t="s">
        <v>44</v>
      </c>
      <c r="I421" t="e">
        <f t="shared" ca="1" si="30"/>
        <v>#REF!</v>
      </c>
      <c r="J421" t="str">
        <f>VLOOKUP($G421,DefinitionArrays!$I$6:$J$12,2,FALSE)</f>
        <v>Workweek</v>
      </c>
    </row>
    <row r="422" spans="1:10">
      <c r="A422" s="159" t="str">
        <f t="shared" si="31"/>
        <v>$N$1:$N$92</v>
      </c>
      <c r="B422" s="159" t="str">
        <f t="shared" si="32"/>
        <v>$O$1:$O$92</v>
      </c>
      <c r="C422" s="159" t="str">
        <f t="shared" si="33"/>
        <v>July!$N$1:$N$92</v>
      </c>
      <c r="D422" s="159" t="str">
        <f t="shared" si="34"/>
        <v>July!$O$1:$O$92</v>
      </c>
      <c r="E422" t="s">
        <v>3</v>
      </c>
      <c r="F422" t="s">
        <v>126</v>
      </c>
      <c r="G422" t="s">
        <v>145</v>
      </c>
      <c r="H422" t="s">
        <v>159</v>
      </c>
      <c r="I422" t="e">
        <f t="shared" ca="1" si="30"/>
        <v>#REF!</v>
      </c>
      <c r="J422" t="str">
        <f>VLOOKUP($G422,DefinitionArrays!$I$6:$J$12,2,FALSE)</f>
        <v>Weekend</v>
      </c>
    </row>
    <row r="423" spans="1:10">
      <c r="A423" s="159" t="str">
        <f t="shared" si="31"/>
        <v>$N$1:$N$92</v>
      </c>
      <c r="B423" s="159" t="str">
        <f t="shared" si="32"/>
        <v>$O$1:$O$92</v>
      </c>
      <c r="C423" s="159" t="str">
        <f t="shared" si="33"/>
        <v>July!$N$1:$N$92</v>
      </c>
      <c r="D423" s="159" t="str">
        <f t="shared" si="34"/>
        <v>July!$O$1:$O$92</v>
      </c>
      <c r="E423" t="s">
        <v>3</v>
      </c>
      <c r="F423" t="s">
        <v>126</v>
      </c>
      <c r="G423" t="s">
        <v>145</v>
      </c>
      <c r="H423" t="s">
        <v>18</v>
      </c>
      <c r="I423" t="e">
        <f t="shared" ca="1" si="30"/>
        <v>#REF!</v>
      </c>
      <c r="J423" t="str">
        <f>VLOOKUP($G423,DefinitionArrays!$I$6:$J$12,2,FALSE)</f>
        <v>Weekend</v>
      </c>
    </row>
    <row r="424" spans="1:10">
      <c r="A424" s="159" t="str">
        <f t="shared" si="31"/>
        <v>$N$1:$N$92</v>
      </c>
      <c r="B424" s="159" t="str">
        <f t="shared" si="32"/>
        <v>$O$1:$O$92</v>
      </c>
      <c r="C424" s="159" t="str">
        <f t="shared" si="33"/>
        <v>July!$N$1:$N$92</v>
      </c>
      <c r="D424" s="159" t="str">
        <f t="shared" si="34"/>
        <v>July!$O$1:$O$92</v>
      </c>
      <c r="E424" t="s">
        <v>3</v>
      </c>
      <c r="F424" t="s">
        <v>126</v>
      </c>
      <c r="G424" t="s">
        <v>145</v>
      </c>
      <c r="H424" t="s">
        <v>153</v>
      </c>
      <c r="I424" t="e">
        <f t="shared" ca="1" si="30"/>
        <v>#REF!</v>
      </c>
      <c r="J424" t="str">
        <f>VLOOKUP($G424,DefinitionArrays!$I$6:$J$12,2,FALSE)</f>
        <v>Weekend</v>
      </c>
    </row>
    <row r="425" spans="1:10">
      <c r="A425" s="159" t="str">
        <f t="shared" si="31"/>
        <v>$N$1:$N$92</v>
      </c>
      <c r="B425" s="159" t="str">
        <f t="shared" si="32"/>
        <v>$O$1:$O$92</v>
      </c>
      <c r="C425" s="159" t="str">
        <f t="shared" si="33"/>
        <v>July!$N$1:$N$92</v>
      </c>
      <c r="D425" s="159" t="str">
        <f t="shared" si="34"/>
        <v>July!$O$1:$O$92</v>
      </c>
      <c r="E425" t="s">
        <v>3</v>
      </c>
      <c r="F425" t="s">
        <v>126</v>
      </c>
      <c r="G425" t="s">
        <v>145</v>
      </c>
      <c r="H425" t="s">
        <v>19</v>
      </c>
      <c r="I425" t="e">
        <f t="shared" ca="1" si="30"/>
        <v>#REF!</v>
      </c>
      <c r="J425" t="str">
        <f>VLOOKUP($G425,DefinitionArrays!$I$6:$J$12,2,FALSE)</f>
        <v>Weekend</v>
      </c>
    </row>
    <row r="426" spans="1:10">
      <c r="A426" s="159" t="str">
        <f t="shared" si="31"/>
        <v>$N$1:$N$92</v>
      </c>
      <c r="B426" s="159" t="str">
        <f t="shared" si="32"/>
        <v>$O$1:$O$92</v>
      </c>
      <c r="C426" s="159" t="str">
        <f t="shared" si="33"/>
        <v>July!$N$1:$N$92</v>
      </c>
      <c r="D426" s="159" t="str">
        <f t="shared" si="34"/>
        <v>July!$O$1:$O$92</v>
      </c>
      <c r="E426" t="s">
        <v>3</v>
      </c>
      <c r="F426" t="s">
        <v>126</v>
      </c>
      <c r="G426" t="s">
        <v>145</v>
      </c>
      <c r="H426" t="s">
        <v>20</v>
      </c>
      <c r="I426" t="e">
        <f t="shared" ca="1" si="30"/>
        <v>#REF!</v>
      </c>
      <c r="J426" t="str">
        <f>VLOOKUP($G426,DefinitionArrays!$I$6:$J$12,2,FALSE)</f>
        <v>Weekend</v>
      </c>
    </row>
    <row r="427" spans="1:10">
      <c r="A427" s="159" t="str">
        <f t="shared" si="31"/>
        <v>$N$1:$N$92</v>
      </c>
      <c r="B427" s="159" t="str">
        <f t="shared" si="32"/>
        <v>$O$1:$O$92</v>
      </c>
      <c r="C427" s="159" t="str">
        <f t="shared" si="33"/>
        <v>July!$N$1:$N$92</v>
      </c>
      <c r="D427" s="159" t="str">
        <f t="shared" si="34"/>
        <v>July!$O$1:$O$92</v>
      </c>
      <c r="E427" t="s">
        <v>3</v>
      </c>
      <c r="F427" t="s">
        <v>126</v>
      </c>
      <c r="G427" t="s">
        <v>145</v>
      </c>
      <c r="H427" t="s">
        <v>21</v>
      </c>
      <c r="I427" t="e">
        <f t="shared" ca="1" si="30"/>
        <v>#REF!</v>
      </c>
      <c r="J427" t="str">
        <f>VLOOKUP($G427,DefinitionArrays!$I$6:$J$12,2,FALSE)</f>
        <v>Weekend</v>
      </c>
    </row>
    <row r="428" spans="1:10">
      <c r="A428" s="159" t="str">
        <f t="shared" si="31"/>
        <v>$N$1:$N$92</v>
      </c>
      <c r="B428" s="159" t="str">
        <f t="shared" si="32"/>
        <v>$O$1:$O$92</v>
      </c>
      <c r="C428" s="159" t="str">
        <f t="shared" si="33"/>
        <v>July!$N$1:$N$92</v>
      </c>
      <c r="D428" s="159" t="str">
        <f t="shared" si="34"/>
        <v>July!$O$1:$O$92</v>
      </c>
      <c r="E428" t="s">
        <v>3</v>
      </c>
      <c r="F428" t="s">
        <v>126</v>
      </c>
      <c r="G428" t="s">
        <v>145</v>
      </c>
      <c r="H428" t="s">
        <v>22</v>
      </c>
      <c r="I428" t="e">
        <f t="shared" ca="1" si="30"/>
        <v>#REF!</v>
      </c>
      <c r="J428" t="str">
        <f>VLOOKUP($G428,DefinitionArrays!$I$6:$J$12,2,FALSE)</f>
        <v>Weekend</v>
      </c>
    </row>
    <row r="429" spans="1:10">
      <c r="A429" s="159" t="str">
        <f t="shared" si="31"/>
        <v>$N$1:$N$92</v>
      </c>
      <c r="B429" s="159" t="str">
        <f t="shared" si="32"/>
        <v>$O$1:$O$92</v>
      </c>
      <c r="C429" s="159" t="str">
        <f t="shared" si="33"/>
        <v>July!$N$1:$N$92</v>
      </c>
      <c r="D429" s="159" t="str">
        <f t="shared" si="34"/>
        <v>July!$O$1:$O$92</v>
      </c>
      <c r="E429" t="s">
        <v>3</v>
      </c>
      <c r="F429" t="s">
        <v>126</v>
      </c>
      <c r="G429" t="s">
        <v>145</v>
      </c>
      <c r="H429" t="s">
        <v>23</v>
      </c>
      <c r="I429" t="e">
        <f t="shared" ca="1" si="30"/>
        <v>#REF!</v>
      </c>
      <c r="J429" t="str">
        <f>VLOOKUP($G429,DefinitionArrays!$I$6:$J$12,2,FALSE)</f>
        <v>Weekend</v>
      </c>
    </row>
    <row r="430" spans="1:10">
      <c r="A430" s="159" t="str">
        <f t="shared" si="31"/>
        <v>$N$1:$N$92</v>
      </c>
      <c r="B430" s="159" t="str">
        <f t="shared" si="32"/>
        <v>$O$1:$O$92</v>
      </c>
      <c r="C430" s="159" t="str">
        <f t="shared" si="33"/>
        <v>July!$N$1:$N$92</v>
      </c>
      <c r="D430" s="159" t="str">
        <f t="shared" si="34"/>
        <v>July!$O$1:$O$92</v>
      </c>
      <c r="E430" t="s">
        <v>3</v>
      </c>
      <c r="F430" t="s">
        <v>126</v>
      </c>
      <c r="G430" t="s">
        <v>145</v>
      </c>
      <c r="H430" t="s">
        <v>24</v>
      </c>
      <c r="I430" t="e">
        <f t="shared" ca="1" si="30"/>
        <v>#REF!</v>
      </c>
      <c r="J430" t="str">
        <f>VLOOKUP($G430,DefinitionArrays!$I$6:$J$12,2,FALSE)</f>
        <v>Weekend</v>
      </c>
    </row>
    <row r="431" spans="1:10">
      <c r="A431" s="159" t="str">
        <f t="shared" si="31"/>
        <v>$N$1:$N$92</v>
      </c>
      <c r="B431" s="159" t="str">
        <f t="shared" si="32"/>
        <v>$O$1:$O$92</v>
      </c>
      <c r="C431" s="159" t="str">
        <f t="shared" si="33"/>
        <v>July!$N$1:$N$92</v>
      </c>
      <c r="D431" s="159" t="str">
        <f t="shared" si="34"/>
        <v>July!$O$1:$O$92</v>
      </c>
      <c r="E431" t="s">
        <v>3</v>
      </c>
      <c r="F431" t="s">
        <v>126</v>
      </c>
      <c r="G431" t="s">
        <v>145</v>
      </c>
      <c r="H431" t="s">
        <v>179</v>
      </c>
      <c r="I431" t="e">
        <f t="shared" ca="1" si="30"/>
        <v>#REF!</v>
      </c>
      <c r="J431" t="str">
        <f>VLOOKUP($G431,DefinitionArrays!$I$6:$J$12,2,FALSE)</f>
        <v>Weekend</v>
      </c>
    </row>
    <row r="432" spans="1:10">
      <c r="A432" s="159" t="str">
        <f t="shared" si="31"/>
        <v>$N$1:$N$92</v>
      </c>
      <c r="B432" s="159" t="str">
        <f t="shared" si="32"/>
        <v>$O$1:$O$92</v>
      </c>
      <c r="C432" s="159" t="str">
        <f t="shared" si="33"/>
        <v>July!$N$1:$N$92</v>
      </c>
      <c r="D432" s="159" t="str">
        <f t="shared" si="34"/>
        <v>July!$O$1:$O$92</v>
      </c>
      <c r="E432" t="s">
        <v>3</v>
      </c>
      <c r="F432" t="s">
        <v>126</v>
      </c>
      <c r="G432" t="s">
        <v>145</v>
      </c>
      <c r="H432" t="s">
        <v>180</v>
      </c>
      <c r="I432" t="e">
        <f t="shared" ca="1" si="30"/>
        <v>#REF!</v>
      </c>
      <c r="J432" t="str">
        <f>VLOOKUP($G432,DefinitionArrays!$I$6:$J$12,2,FALSE)</f>
        <v>Weekend</v>
      </c>
    </row>
    <row r="433" spans="1:10">
      <c r="A433" s="159" t="str">
        <f t="shared" si="31"/>
        <v>$N$1:$N$92</v>
      </c>
      <c r="B433" s="159" t="str">
        <f t="shared" si="32"/>
        <v>$O$1:$O$92</v>
      </c>
      <c r="C433" s="159" t="str">
        <f t="shared" si="33"/>
        <v>July!$N$1:$N$92</v>
      </c>
      <c r="D433" s="159" t="str">
        <f t="shared" si="34"/>
        <v>July!$O$1:$O$92</v>
      </c>
      <c r="E433" t="s">
        <v>3</v>
      </c>
      <c r="F433" t="s">
        <v>126</v>
      </c>
      <c r="G433" t="s">
        <v>145</v>
      </c>
      <c r="H433" t="s">
        <v>44</v>
      </c>
      <c r="I433" t="e">
        <f t="shared" ca="1" si="30"/>
        <v>#REF!</v>
      </c>
      <c r="J433" t="str">
        <f>VLOOKUP($G433,DefinitionArrays!$I$6:$J$12,2,FALSE)</f>
        <v>Weekend</v>
      </c>
    </row>
    <row r="434" spans="1:10">
      <c r="A434" s="159" t="str">
        <f t="shared" si="31"/>
        <v>$Q$1:$Q$92</v>
      </c>
      <c r="B434" s="159" t="str">
        <f t="shared" si="32"/>
        <v>$R$1:$R$92</v>
      </c>
      <c r="C434" s="159" t="str">
        <f t="shared" si="33"/>
        <v>July!$Q$1:$Q$92</v>
      </c>
      <c r="D434" s="159" t="str">
        <f t="shared" si="34"/>
        <v>July!$R$1:$R$92</v>
      </c>
      <c r="E434" t="s">
        <v>3</v>
      </c>
      <c r="F434" t="s">
        <v>126</v>
      </c>
      <c r="G434" t="s">
        <v>146</v>
      </c>
      <c r="H434" t="s">
        <v>159</v>
      </c>
      <c r="I434" t="e">
        <f t="shared" ca="1" si="30"/>
        <v>#REF!</v>
      </c>
      <c r="J434" t="str">
        <f>VLOOKUP($G434,DefinitionArrays!$I$6:$J$12,2,FALSE)</f>
        <v>Weekend</v>
      </c>
    </row>
    <row r="435" spans="1:10">
      <c r="A435" s="159" t="str">
        <f t="shared" si="31"/>
        <v>$T$1:$T$92</v>
      </c>
      <c r="B435" s="159" t="str">
        <f t="shared" si="32"/>
        <v>$U$1:$U$92</v>
      </c>
      <c r="C435" s="159" t="str">
        <f t="shared" si="33"/>
        <v>July!$T$1:$T$92</v>
      </c>
      <c r="D435" s="159" t="str">
        <f t="shared" si="34"/>
        <v>July!$U$1:$U$92</v>
      </c>
      <c r="E435" t="s">
        <v>3</v>
      </c>
      <c r="F435" t="s">
        <v>126</v>
      </c>
      <c r="G435" t="s">
        <v>141</v>
      </c>
      <c r="H435" t="s">
        <v>159</v>
      </c>
      <c r="I435" t="e">
        <f t="shared" ca="1" si="30"/>
        <v>#REF!</v>
      </c>
      <c r="J435" t="str">
        <f>VLOOKUP($G435,DefinitionArrays!$I$6:$J$12,2,FALSE)</f>
        <v>Weekend</v>
      </c>
    </row>
    <row r="436" spans="1:10">
      <c r="A436" s="159" t="str">
        <f t="shared" si="31"/>
        <v>$B$1:$B$92</v>
      </c>
      <c r="B436" s="159" t="str">
        <f t="shared" si="32"/>
        <v>$C$1:$C$92</v>
      </c>
      <c r="C436" s="159" t="str">
        <f t="shared" si="33"/>
        <v>August!$B$1:$B$92</v>
      </c>
      <c r="D436" s="159" t="str">
        <f t="shared" si="34"/>
        <v>August!$C$1:$C$92</v>
      </c>
      <c r="E436" t="s">
        <v>3</v>
      </c>
      <c r="F436" t="s">
        <v>127</v>
      </c>
      <c r="G436" t="s">
        <v>13</v>
      </c>
      <c r="H436" t="s">
        <v>159</v>
      </c>
      <c r="I436" t="e">
        <f ca="1">COUNTIFS(INDIRECT($C436),$E436,INDIRECT($D436),$H436)</f>
        <v>#REF!</v>
      </c>
      <c r="J436" t="str">
        <f>VLOOKUP($G436,DefinitionArrays!$I$6:$J$12,2,FALSE)</f>
        <v>Workweek</v>
      </c>
    </row>
    <row r="437" spans="1:10">
      <c r="A437" s="159" t="str">
        <f t="shared" si="31"/>
        <v>$B$1:$B$92</v>
      </c>
      <c r="B437" s="159" t="str">
        <f t="shared" si="32"/>
        <v>$C$1:$C$92</v>
      </c>
      <c r="C437" s="159" t="str">
        <f t="shared" si="33"/>
        <v>August!$B$1:$B$92</v>
      </c>
      <c r="D437" s="159" t="str">
        <f t="shared" si="34"/>
        <v>August!$C$1:$C$92</v>
      </c>
      <c r="E437" t="s">
        <v>3</v>
      </c>
      <c r="F437" t="s">
        <v>127</v>
      </c>
      <c r="G437" t="s">
        <v>13</v>
      </c>
      <c r="H437" t="s">
        <v>18</v>
      </c>
      <c r="I437" t="e">
        <f t="shared" ref="I437:I497" ca="1" si="35">COUNTIFS(INDIRECT($C437),$E437,INDIRECT($D437),$H437)</f>
        <v>#REF!</v>
      </c>
      <c r="J437" t="str">
        <f>VLOOKUP($G437,DefinitionArrays!$I$6:$J$12,2,FALSE)</f>
        <v>Workweek</v>
      </c>
    </row>
    <row r="438" spans="1:10">
      <c r="A438" s="159" t="str">
        <f t="shared" si="31"/>
        <v>$B$1:$B$92</v>
      </c>
      <c r="B438" s="159" t="str">
        <f t="shared" si="32"/>
        <v>$C$1:$C$92</v>
      </c>
      <c r="C438" s="159" t="str">
        <f t="shared" si="33"/>
        <v>August!$B$1:$B$92</v>
      </c>
      <c r="D438" s="159" t="str">
        <f t="shared" si="34"/>
        <v>August!$C$1:$C$92</v>
      </c>
      <c r="E438" t="s">
        <v>3</v>
      </c>
      <c r="F438" t="s">
        <v>127</v>
      </c>
      <c r="G438" t="s">
        <v>13</v>
      </c>
      <c r="H438" t="s">
        <v>153</v>
      </c>
      <c r="I438" t="e">
        <f t="shared" ca="1" si="35"/>
        <v>#REF!</v>
      </c>
      <c r="J438" t="str">
        <f>VLOOKUP($G438,DefinitionArrays!$I$6:$J$12,2,FALSE)</f>
        <v>Workweek</v>
      </c>
    </row>
    <row r="439" spans="1:10">
      <c r="A439" s="159" t="str">
        <f t="shared" si="31"/>
        <v>$B$1:$B$92</v>
      </c>
      <c r="B439" s="159" t="str">
        <f t="shared" si="32"/>
        <v>$C$1:$C$92</v>
      </c>
      <c r="C439" s="159" t="str">
        <f t="shared" si="33"/>
        <v>August!$B$1:$B$92</v>
      </c>
      <c r="D439" s="159" t="str">
        <f t="shared" si="34"/>
        <v>August!$C$1:$C$92</v>
      </c>
      <c r="E439" t="s">
        <v>3</v>
      </c>
      <c r="F439" t="s">
        <v>127</v>
      </c>
      <c r="G439" t="s">
        <v>13</v>
      </c>
      <c r="H439" t="s">
        <v>19</v>
      </c>
      <c r="I439" t="e">
        <f t="shared" ca="1" si="35"/>
        <v>#REF!</v>
      </c>
      <c r="J439" t="str">
        <f>VLOOKUP($G439,DefinitionArrays!$I$6:$J$12,2,FALSE)</f>
        <v>Workweek</v>
      </c>
    </row>
    <row r="440" spans="1:10">
      <c r="A440" s="159" t="str">
        <f t="shared" si="31"/>
        <v>$B$1:$B$92</v>
      </c>
      <c r="B440" s="159" t="str">
        <f t="shared" si="32"/>
        <v>$C$1:$C$92</v>
      </c>
      <c r="C440" s="159" t="str">
        <f t="shared" si="33"/>
        <v>August!$B$1:$B$92</v>
      </c>
      <c r="D440" s="159" t="str">
        <f t="shared" si="34"/>
        <v>August!$C$1:$C$92</v>
      </c>
      <c r="E440" t="s">
        <v>3</v>
      </c>
      <c r="F440" t="s">
        <v>127</v>
      </c>
      <c r="G440" t="s">
        <v>13</v>
      </c>
      <c r="H440" t="s">
        <v>20</v>
      </c>
      <c r="I440" t="e">
        <f t="shared" ca="1" si="35"/>
        <v>#REF!</v>
      </c>
      <c r="J440" t="str">
        <f>VLOOKUP($G440,DefinitionArrays!$I$6:$J$12,2,FALSE)</f>
        <v>Workweek</v>
      </c>
    </row>
    <row r="441" spans="1:10">
      <c r="A441" s="159" t="str">
        <f t="shared" si="31"/>
        <v>$B$1:$B$92</v>
      </c>
      <c r="B441" s="159" t="str">
        <f t="shared" si="32"/>
        <v>$C$1:$C$92</v>
      </c>
      <c r="C441" s="159" t="str">
        <f t="shared" si="33"/>
        <v>August!$B$1:$B$92</v>
      </c>
      <c r="D441" s="159" t="str">
        <f t="shared" si="34"/>
        <v>August!$C$1:$C$92</v>
      </c>
      <c r="E441" t="s">
        <v>3</v>
      </c>
      <c r="F441" t="s">
        <v>127</v>
      </c>
      <c r="G441" t="s">
        <v>13</v>
      </c>
      <c r="H441" t="s">
        <v>21</v>
      </c>
      <c r="I441" t="e">
        <f t="shared" ca="1" si="35"/>
        <v>#REF!</v>
      </c>
      <c r="J441" t="str">
        <f>VLOOKUP($G441,DefinitionArrays!$I$6:$J$12,2,FALSE)</f>
        <v>Workweek</v>
      </c>
    </row>
    <row r="442" spans="1:10">
      <c r="A442" s="159" t="str">
        <f t="shared" si="31"/>
        <v>$B$1:$B$92</v>
      </c>
      <c r="B442" s="159" t="str">
        <f t="shared" si="32"/>
        <v>$C$1:$C$92</v>
      </c>
      <c r="C442" s="159" t="str">
        <f t="shared" si="33"/>
        <v>August!$B$1:$B$92</v>
      </c>
      <c r="D442" s="159" t="str">
        <f t="shared" si="34"/>
        <v>August!$C$1:$C$92</v>
      </c>
      <c r="E442" t="s">
        <v>3</v>
      </c>
      <c r="F442" t="s">
        <v>127</v>
      </c>
      <c r="G442" t="s">
        <v>13</v>
      </c>
      <c r="H442" t="s">
        <v>22</v>
      </c>
      <c r="I442" t="e">
        <f t="shared" ca="1" si="35"/>
        <v>#REF!</v>
      </c>
      <c r="J442" t="str">
        <f>VLOOKUP($G442,DefinitionArrays!$I$6:$J$12,2,FALSE)</f>
        <v>Workweek</v>
      </c>
    </row>
    <row r="443" spans="1:10">
      <c r="A443" s="159" t="str">
        <f t="shared" si="31"/>
        <v>$B$1:$B$92</v>
      </c>
      <c r="B443" s="159" t="str">
        <f t="shared" si="32"/>
        <v>$C$1:$C$92</v>
      </c>
      <c r="C443" s="159" t="str">
        <f t="shared" si="33"/>
        <v>August!$B$1:$B$92</v>
      </c>
      <c r="D443" s="159" t="str">
        <f t="shared" si="34"/>
        <v>August!$C$1:$C$92</v>
      </c>
      <c r="E443" t="s">
        <v>3</v>
      </c>
      <c r="F443" t="s">
        <v>127</v>
      </c>
      <c r="G443" t="s">
        <v>13</v>
      </c>
      <c r="H443" t="s">
        <v>23</v>
      </c>
      <c r="I443" t="e">
        <f t="shared" ca="1" si="35"/>
        <v>#REF!</v>
      </c>
      <c r="J443" t="str">
        <f>VLOOKUP($G443,DefinitionArrays!$I$6:$J$12,2,FALSE)</f>
        <v>Workweek</v>
      </c>
    </row>
    <row r="444" spans="1:10">
      <c r="A444" s="159" t="str">
        <f t="shared" si="31"/>
        <v>$B$1:$B$92</v>
      </c>
      <c r="B444" s="159" t="str">
        <f t="shared" si="32"/>
        <v>$C$1:$C$92</v>
      </c>
      <c r="C444" s="159" t="str">
        <f t="shared" si="33"/>
        <v>August!$B$1:$B$92</v>
      </c>
      <c r="D444" s="159" t="str">
        <f t="shared" si="34"/>
        <v>August!$C$1:$C$92</v>
      </c>
      <c r="E444" t="s">
        <v>3</v>
      </c>
      <c r="F444" t="s">
        <v>127</v>
      </c>
      <c r="G444" t="s">
        <v>13</v>
      </c>
      <c r="H444" t="s">
        <v>24</v>
      </c>
      <c r="I444" t="e">
        <f t="shared" ca="1" si="35"/>
        <v>#REF!</v>
      </c>
      <c r="J444" t="str">
        <f>VLOOKUP($G444,DefinitionArrays!$I$6:$J$12,2,FALSE)</f>
        <v>Workweek</v>
      </c>
    </row>
    <row r="445" spans="1:10">
      <c r="A445" s="159" t="str">
        <f t="shared" si="31"/>
        <v>$B$1:$B$92</v>
      </c>
      <c r="B445" s="159" t="str">
        <f t="shared" si="32"/>
        <v>$C$1:$C$92</v>
      </c>
      <c r="C445" s="159" t="str">
        <f t="shared" si="33"/>
        <v>August!$B$1:$B$92</v>
      </c>
      <c r="D445" s="159" t="str">
        <f t="shared" si="34"/>
        <v>August!$C$1:$C$92</v>
      </c>
      <c r="E445" t="s">
        <v>3</v>
      </c>
      <c r="F445" t="s">
        <v>127</v>
      </c>
      <c r="G445" t="s">
        <v>13</v>
      </c>
      <c r="H445" t="s">
        <v>179</v>
      </c>
      <c r="I445" t="e">
        <f t="shared" ca="1" si="35"/>
        <v>#REF!</v>
      </c>
      <c r="J445" t="str">
        <f>VLOOKUP($G445,DefinitionArrays!$I$6:$J$12,2,FALSE)</f>
        <v>Workweek</v>
      </c>
    </row>
    <row r="446" spans="1:10">
      <c r="A446" s="159" t="str">
        <f t="shared" si="31"/>
        <v>$B$1:$B$92</v>
      </c>
      <c r="B446" s="159" t="str">
        <f t="shared" si="32"/>
        <v>$C$1:$C$92</v>
      </c>
      <c r="C446" s="159" t="str">
        <f t="shared" si="33"/>
        <v>August!$B$1:$B$92</v>
      </c>
      <c r="D446" s="159" t="str">
        <f t="shared" si="34"/>
        <v>August!$C$1:$C$92</v>
      </c>
      <c r="E446" t="s">
        <v>3</v>
      </c>
      <c r="F446" t="s">
        <v>127</v>
      </c>
      <c r="G446" t="s">
        <v>13</v>
      </c>
      <c r="H446" t="s">
        <v>180</v>
      </c>
      <c r="I446" t="e">
        <f t="shared" ca="1" si="35"/>
        <v>#REF!</v>
      </c>
      <c r="J446" t="str">
        <f>VLOOKUP($G446,DefinitionArrays!$I$6:$J$12,2,FALSE)</f>
        <v>Workweek</v>
      </c>
    </row>
    <row r="447" spans="1:10">
      <c r="A447" s="159" t="str">
        <f t="shared" si="31"/>
        <v>$B$1:$B$92</v>
      </c>
      <c r="B447" s="159" t="str">
        <f t="shared" si="32"/>
        <v>$C$1:$C$92</v>
      </c>
      <c r="C447" s="159" t="str">
        <f t="shared" si="33"/>
        <v>August!$B$1:$B$92</v>
      </c>
      <c r="D447" s="159" t="str">
        <f t="shared" si="34"/>
        <v>August!$C$1:$C$92</v>
      </c>
      <c r="E447" t="s">
        <v>3</v>
      </c>
      <c r="F447" t="s">
        <v>127</v>
      </c>
      <c r="G447" t="s">
        <v>13</v>
      </c>
      <c r="H447" t="s">
        <v>44</v>
      </c>
      <c r="I447" t="e">
        <f t="shared" ca="1" si="35"/>
        <v>#REF!</v>
      </c>
      <c r="J447" t="str">
        <f>VLOOKUP($G447,DefinitionArrays!$I$6:$J$12,2,FALSE)</f>
        <v>Workweek</v>
      </c>
    </row>
    <row r="448" spans="1:10">
      <c r="A448" s="159" t="str">
        <f t="shared" si="31"/>
        <v>$E$1:$E$92</v>
      </c>
      <c r="B448" s="159" t="str">
        <f t="shared" si="32"/>
        <v>$F$1:$F$92</v>
      </c>
      <c r="C448" s="159" t="str">
        <f t="shared" si="33"/>
        <v>August!$E$1:$E$92</v>
      </c>
      <c r="D448" s="159" t="str">
        <f t="shared" si="34"/>
        <v>August!$F$1:$F$92</v>
      </c>
      <c r="E448" t="s">
        <v>3</v>
      </c>
      <c r="F448" t="s">
        <v>127</v>
      </c>
      <c r="G448" t="s">
        <v>142</v>
      </c>
      <c r="H448" t="s">
        <v>159</v>
      </c>
      <c r="I448" t="e">
        <f t="shared" ca="1" si="35"/>
        <v>#REF!</v>
      </c>
      <c r="J448" t="str">
        <f>VLOOKUP($G448,DefinitionArrays!$I$6:$J$12,2,FALSE)</f>
        <v>Workweek</v>
      </c>
    </row>
    <row r="449" spans="1:10">
      <c r="A449" s="159" t="str">
        <f t="shared" si="31"/>
        <v>$E$1:$E$92</v>
      </c>
      <c r="B449" s="159" t="str">
        <f t="shared" si="32"/>
        <v>$F$1:$F$92</v>
      </c>
      <c r="C449" s="159" t="str">
        <f t="shared" si="33"/>
        <v>August!$E$1:$E$92</v>
      </c>
      <c r="D449" s="159" t="str">
        <f t="shared" si="34"/>
        <v>August!$F$1:$F$92</v>
      </c>
      <c r="E449" t="s">
        <v>3</v>
      </c>
      <c r="F449" t="s">
        <v>127</v>
      </c>
      <c r="G449" t="s">
        <v>142</v>
      </c>
      <c r="H449" t="s">
        <v>18</v>
      </c>
      <c r="I449" t="e">
        <f t="shared" ca="1" si="35"/>
        <v>#REF!</v>
      </c>
      <c r="J449" t="str">
        <f>VLOOKUP($G449,DefinitionArrays!$I$6:$J$12,2,FALSE)</f>
        <v>Workweek</v>
      </c>
    </row>
    <row r="450" spans="1:10">
      <c r="A450" s="159" t="str">
        <f t="shared" ref="A450:A513" si="36">VLOOKUP($G450,Fx_Code,2,FALSE)</f>
        <v>$E$1:$E$92</v>
      </c>
      <c r="B450" s="159" t="str">
        <f t="shared" ref="B450:B513" si="37">VLOOKUP($G450,Fx_Code,3,FALSE)</f>
        <v>$F$1:$F$92</v>
      </c>
      <c r="C450" s="159" t="str">
        <f t="shared" ref="C450:C513" si="38">CONCATENATE($F450,$K$1,A450)</f>
        <v>August!$E$1:$E$92</v>
      </c>
      <c r="D450" s="159" t="str">
        <f t="shared" ref="D450:D513" si="39">CONCATENATE($F450,$K$1,B450)</f>
        <v>August!$F$1:$F$92</v>
      </c>
      <c r="E450" t="s">
        <v>3</v>
      </c>
      <c r="F450" t="s">
        <v>127</v>
      </c>
      <c r="G450" t="s">
        <v>142</v>
      </c>
      <c r="H450" t="s">
        <v>153</v>
      </c>
      <c r="I450" t="e">
        <f t="shared" ca="1" si="35"/>
        <v>#REF!</v>
      </c>
      <c r="J450" t="str">
        <f>VLOOKUP($G450,DefinitionArrays!$I$6:$J$12,2,FALSE)</f>
        <v>Workweek</v>
      </c>
    </row>
    <row r="451" spans="1:10">
      <c r="A451" s="159" t="str">
        <f t="shared" si="36"/>
        <v>$E$1:$E$92</v>
      </c>
      <c r="B451" s="159" t="str">
        <f t="shared" si="37"/>
        <v>$F$1:$F$92</v>
      </c>
      <c r="C451" s="159" t="str">
        <f t="shared" si="38"/>
        <v>August!$E$1:$E$92</v>
      </c>
      <c r="D451" s="159" t="str">
        <f t="shared" si="39"/>
        <v>August!$F$1:$F$92</v>
      </c>
      <c r="E451" t="s">
        <v>3</v>
      </c>
      <c r="F451" t="s">
        <v>127</v>
      </c>
      <c r="G451" t="s">
        <v>142</v>
      </c>
      <c r="H451" t="s">
        <v>19</v>
      </c>
      <c r="I451" t="e">
        <f t="shared" ca="1" si="35"/>
        <v>#REF!</v>
      </c>
      <c r="J451" t="str">
        <f>VLOOKUP($G451,DefinitionArrays!$I$6:$J$12,2,FALSE)</f>
        <v>Workweek</v>
      </c>
    </row>
    <row r="452" spans="1:10">
      <c r="A452" s="159" t="str">
        <f t="shared" si="36"/>
        <v>$E$1:$E$92</v>
      </c>
      <c r="B452" s="159" t="str">
        <f t="shared" si="37"/>
        <v>$F$1:$F$92</v>
      </c>
      <c r="C452" s="159" t="str">
        <f t="shared" si="38"/>
        <v>August!$E$1:$E$92</v>
      </c>
      <c r="D452" s="159" t="str">
        <f t="shared" si="39"/>
        <v>August!$F$1:$F$92</v>
      </c>
      <c r="E452" t="s">
        <v>3</v>
      </c>
      <c r="F452" t="s">
        <v>127</v>
      </c>
      <c r="G452" t="s">
        <v>142</v>
      </c>
      <c r="H452" t="s">
        <v>20</v>
      </c>
      <c r="I452" t="e">
        <f t="shared" ca="1" si="35"/>
        <v>#REF!</v>
      </c>
      <c r="J452" t="str">
        <f>VLOOKUP($G452,DefinitionArrays!$I$6:$J$12,2,FALSE)</f>
        <v>Workweek</v>
      </c>
    </row>
    <row r="453" spans="1:10">
      <c r="A453" s="159" t="str">
        <f t="shared" si="36"/>
        <v>$E$1:$E$92</v>
      </c>
      <c r="B453" s="159" t="str">
        <f t="shared" si="37"/>
        <v>$F$1:$F$92</v>
      </c>
      <c r="C453" s="159" t="str">
        <f t="shared" si="38"/>
        <v>August!$E$1:$E$92</v>
      </c>
      <c r="D453" s="159" t="str">
        <f t="shared" si="39"/>
        <v>August!$F$1:$F$92</v>
      </c>
      <c r="E453" t="s">
        <v>3</v>
      </c>
      <c r="F453" t="s">
        <v>127</v>
      </c>
      <c r="G453" t="s">
        <v>142</v>
      </c>
      <c r="H453" t="s">
        <v>21</v>
      </c>
      <c r="I453" t="e">
        <f t="shared" ca="1" si="35"/>
        <v>#REF!</v>
      </c>
      <c r="J453" t="str">
        <f>VLOOKUP($G453,DefinitionArrays!$I$6:$J$12,2,FALSE)</f>
        <v>Workweek</v>
      </c>
    </row>
    <row r="454" spans="1:10">
      <c r="A454" s="159" t="str">
        <f t="shared" si="36"/>
        <v>$E$1:$E$92</v>
      </c>
      <c r="B454" s="159" t="str">
        <f t="shared" si="37"/>
        <v>$F$1:$F$92</v>
      </c>
      <c r="C454" s="159" t="str">
        <f t="shared" si="38"/>
        <v>August!$E$1:$E$92</v>
      </c>
      <c r="D454" s="159" t="str">
        <f t="shared" si="39"/>
        <v>August!$F$1:$F$92</v>
      </c>
      <c r="E454" t="s">
        <v>3</v>
      </c>
      <c r="F454" t="s">
        <v>127</v>
      </c>
      <c r="G454" t="s">
        <v>142</v>
      </c>
      <c r="H454" t="s">
        <v>22</v>
      </c>
      <c r="I454" t="e">
        <f t="shared" ca="1" si="35"/>
        <v>#REF!</v>
      </c>
      <c r="J454" t="str">
        <f>VLOOKUP($G454,DefinitionArrays!$I$6:$J$12,2,FALSE)</f>
        <v>Workweek</v>
      </c>
    </row>
    <row r="455" spans="1:10">
      <c r="A455" s="159" t="str">
        <f t="shared" si="36"/>
        <v>$E$1:$E$92</v>
      </c>
      <c r="B455" s="159" t="str">
        <f t="shared" si="37"/>
        <v>$F$1:$F$92</v>
      </c>
      <c r="C455" s="159" t="str">
        <f t="shared" si="38"/>
        <v>August!$E$1:$E$92</v>
      </c>
      <c r="D455" s="159" t="str">
        <f t="shared" si="39"/>
        <v>August!$F$1:$F$92</v>
      </c>
      <c r="E455" t="s">
        <v>3</v>
      </c>
      <c r="F455" t="s">
        <v>127</v>
      </c>
      <c r="G455" t="s">
        <v>142</v>
      </c>
      <c r="H455" t="s">
        <v>23</v>
      </c>
      <c r="I455" t="e">
        <f t="shared" ca="1" si="35"/>
        <v>#REF!</v>
      </c>
      <c r="J455" t="str">
        <f>VLOOKUP($G455,DefinitionArrays!$I$6:$J$12,2,FALSE)</f>
        <v>Workweek</v>
      </c>
    </row>
    <row r="456" spans="1:10">
      <c r="A456" s="159" t="str">
        <f t="shared" si="36"/>
        <v>$E$1:$E$92</v>
      </c>
      <c r="B456" s="159" t="str">
        <f t="shared" si="37"/>
        <v>$F$1:$F$92</v>
      </c>
      <c r="C456" s="159" t="str">
        <f t="shared" si="38"/>
        <v>August!$E$1:$E$92</v>
      </c>
      <c r="D456" s="159" t="str">
        <f t="shared" si="39"/>
        <v>August!$F$1:$F$92</v>
      </c>
      <c r="E456" t="s">
        <v>3</v>
      </c>
      <c r="F456" t="s">
        <v>127</v>
      </c>
      <c r="G456" t="s">
        <v>142</v>
      </c>
      <c r="H456" t="s">
        <v>24</v>
      </c>
      <c r="I456" t="e">
        <f t="shared" ca="1" si="35"/>
        <v>#REF!</v>
      </c>
      <c r="J456" t="str">
        <f>VLOOKUP($G456,DefinitionArrays!$I$6:$J$12,2,FALSE)</f>
        <v>Workweek</v>
      </c>
    </row>
    <row r="457" spans="1:10">
      <c r="A457" s="159" t="str">
        <f t="shared" si="36"/>
        <v>$E$1:$E$92</v>
      </c>
      <c r="B457" s="159" t="str">
        <f t="shared" si="37"/>
        <v>$F$1:$F$92</v>
      </c>
      <c r="C457" s="159" t="str">
        <f t="shared" si="38"/>
        <v>August!$E$1:$E$92</v>
      </c>
      <c r="D457" s="159" t="str">
        <f t="shared" si="39"/>
        <v>August!$F$1:$F$92</v>
      </c>
      <c r="E457" t="s">
        <v>3</v>
      </c>
      <c r="F457" t="s">
        <v>127</v>
      </c>
      <c r="G457" t="s">
        <v>142</v>
      </c>
      <c r="H457" t="s">
        <v>179</v>
      </c>
      <c r="I457" t="e">
        <f t="shared" ca="1" si="35"/>
        <v>#REF!</v>
      </c>
      <c r="J457" t="str">
        <f>VLOOKUP($G457,DefinitionArrays!$I$6:$J$12,2,FALSE)</f>
        <v>Workweek</v>
      </c>
    </row>
    <row r="458" spans="1:10">
      <c r="A458" s="159" t="str">
        <f t="shared" si="36"/>
        <v>$E$1:$E$92</v>
      </c>
      <c r="B458" s="159" t="str">
        <f t="shared" si="37"/>
        <v>$F$1:$F$92</v>
      </c>
      <c r="C458" s="159" t="str">
        <f t="shared" si="38"/>
        <v>August!$E$1:$E$92</v>
      </c>
      <c r="D458" s="159" t="str">
        <f t="shared" si="39"/>
        <v>August!$F$1:$F$92</v>
      </c>
      <c r="E458" t="s">
        <v>3</v>
      </c>
      <c r="F458" t="s">
        <v>127</v>
      </c>
      <c r="G458" t="s">
        <v>142</v>
      </c>
      <c r="H458" t="s">
        <v>180</v>
      </c>
      <c r="I458" t="e">
        <f t="shared" ca="1" si="35"/>
        <v>#REF!</v>
      </c>
      <c r="J458" t="str">
        <f>VLOOKUP($G458,DefinitionArrays!$I$6:$J$12,2,FALSE)</f>
        <v>Workweek</v>
      </c>
    </row>
    <row r="459" spans="1:10">
      <c r="A459" s="159" t="str">
        <f t="shared" si="36"/>
        <v>$E$1:$E$92</v>
      </c>
      <c r="B459" s="159" t="str">
        <f t="shared" si="37"/>
        <v>$F$1:$F$92</v>
      </c>
      <c r="C459" s="159" t="str">
        <f t="shared" si="38"/>
        <v>August!$E$1:$E$92</v>
      </c>
      <c r="D459" s="159" t="str">
        <f t="shared" si="39"/>
        <v>August!$F$1:$F$92</v>
      </c>
      <c r="E459" t="s">
        <v>3</v>
      </c>
      <c r="F459" t="s">
        <v>127</v>
      </c>
      <c r="G459" t="s">
        <v>142</v>
      </c>
      <c r="H459" t="s">
        <v>44</v>
      </c>
      <c r="I459" t="e">
        <f t="shared" ca="1" si="35"/>
        <v>#REF!</v>
      </c>
      <c r="J459" t="str">
        <f>VLOOKUP($G459,DefinitionArrays!$I$6:$J$12,2,FALSE)</f>
        <v>Workweek</v>
      </c>
    </row>
    <row r="460" spans="1:10">
      <c r="A460" s="159" t="str">
        <f t="shared" si="36"/>
        <v>$H$1:$H$92</v>
      </c>
      <c r="B460" s="159" t="str">
        <f t="shared" si="37"/>
        <v>$I$1:$I$92</v>
      </c>
      <c r="C460" s="159" t="str">
        <f t="shared" si="38"/>
        <v>August!$H$1:$H$92</v>
      </c>
      <c r="D460" s="159" t="str">
        <f t="shared" si="39"/>
        <v>August!$I$1:$I$92</v>
      </c>
      <c r="E460" t="s">
        <v>3</v>
      </c>
      <c r="F460" t="s">
        <v>127</v>
      </c>
      <c r="G460" t="s">
        <v>143</v>
      </c>
      <c r="H460" t="s">
        <v>159</v>
      </c>
      <c r="I460" t="e">
        <f t="shared" ca="1" si="35"/>
        <v>#REF!</v>
      </c>
      <c r="J460" t="str">
        <f>VLOOKUP($G460,DefinitionArrays!$I$6:$J$12,2,FALSE)</f>
        <v>Workweek</v>
      </c>
    </row>
    <row r="461" spans="1:10">
      <c r="A461" s="159" t="str">
        <f t="shared" si="36"/>
        <v>$H$1:$H$92</v>
      </c>
      <c r="B461" s="159" t="str">
        <f t="shared" si="37"/>
        <v>$I$1:$I$92</v>
      </c>
      <c r="C461" s="159" t="str">
        <f t="shared" si="38"/>
        <v>August!$H$1:$H$92</v>
      </c>
      <c r="D461" s="159" t="str">
        <f t="shared" si="39"/>
        <v>August!$I$1:$I$92</v>
      </c>
      <c r="E461" t="s">
        <v>3</v>
      </c>
      <c r="F461" t="s">
        <v>127</v>
      </c>
      <c r="G461" t="s">
        <v>143</v>
      </c>
      <c r="H461" t="s">
        <v>18</v>
      </c>
      <c r="I461" t="e">
        <f t="shared" ca="1" si="35"/>
        <v>#REF!</v>
      </c>
      <c r="J461" t="str">
        <f>VLOOKUP($G461,DefinitionArrays!$I$6:$J$12,2,FALSE)</f>
        <v>Workweek</v>
      </c>
    </row>
    <row r="462" spans="1:10">
      <c r="A462" s="159" t="str">
        <f t="shared" si="36"/>
        <v>$H$1:$H$92</v>
      </c>
      <c r="B462" s="159" t="str">
        <f t="shared" si="37"/>
        <v>$I$1:$I$92</v>
      </c>
      <c r="C462" s="159" t="str">
        <f t="shared" si="38"/>
        <v>August!$H$1:$H$92</v>
      </c>
      <c r="D462" s="159" t="str">
        <f t="shared" si="39"/>
        <v>August!$I$1:$I$92</v>
      </c>
      <c r="E462" t="s">
        <v>3</v>
      </c>
      <c r="F462" t="s">
        <v>127</v>
      </c>
      <c r="G462" t="s">
        <v>143</v>
      </c>
      <c r="H462" t="s">
        <v>153</v>
      </c>
      <c r="I462" t="e">
        <f t="shared" ca="1" si="35"/>
        <v>#REF!</v>
      </c>
      <c r="J462" t="str">
        <f>VLOOKUP($G462,DefinitionArrays!$I$6:$J$12,2,FALSE)</f>
        <v>Workweek</v>
      </c>
    </row>
    <row r="463" spans="1:10">
      <c r="A463" s="159" t="str">
        <f t="shared" si="36"/>
        <v>$H$1:$H$92</v>
      </c>
      <c r="B463" s="159" t="str">
        <f t="shared" si="37"/>
        <v>$I$1:$I$92</v>
      </c>
      <c r="C463" s="159" t="str">
        <f t="shared" si="38"/>
        <v>August!$H$1:$H$92</v>
      </c>
      <c r="D463" s="159" t="str">
        <f t="shared" si="39"/>
        <v>August!$I$1:$I$92</v>
      </c>
      <c r="E463" t="s">
        <v>3</v>
      </c>
      <c r="F463" t="s">
        <v>127</v>
      </c>
      <c r="G463" t="s">
        <v>143</v>
      </c>
      <c r="H463" t="s">
        <v>19</v>
      </c>
      <c r="I463" t="e">
        <f t="shared" ca="1" si="35"/>
        <v>#REF!</v>
      </c>
      <c r="J463" t="str">
        <f>VLOOKUP($G463,DefinitionArrays!$I$6:$J$12,2,FALSE)</f>
        <v>Workweek</v>
      </c>
    </row>
    <row r="464" spans="1:10">
      <c r="A464" s="159" t="str">
        <f t="shared" si="36"/>
        <v>$H$1:$H$92</v>
      </c>
      <c r="B464" s="159" t="str">
        <f t="shared" si="37"/>
        <v>$I$1:$I$92</v>
      </c>
      <c r="C464" s="159" t="str">
        <f t="shared" si="38"/>
        <v>August!$H$1:$H$92</v>
      </c>
      <c r="D464" s="159" t="str">
        <f t="shared" si="39"/>
        <v>August!$I$1:$I$92</v>
      </c>
      <c r="E464" t="s">
        <v>3</v>
      </c>
      <c r="F464" t="s">
        <v>127</v>
      </c>
      <c r="G464" t="s">
        <v>143</v>
      </c>
      <c r="H464" t="s">
        <v>20</v>
      </c>
      <c r="I464" t="e">
        <f t="shared" ca="1" si="35"/>
        <v>#REF!</v>
      </c>
      <c r="J464" t="str">
        <f>VLOOKUP($G464,DefinitionArrays!$I$6:$J$12,2,FALSE)</f>
        <v>Workweek</v>
      </c>
    </row>
    <row r="465" spans="1:10">
      <c r="A465" s="159" t="str">
        <f t="shared" si="36"/>
        <v>$H$1:$H$92</v>
      </c>
      <c r="B465" s="159" t="str">
        <f t="shared" si="37"/>
        <v>$I$1:$I$92</v>
      </c>
      <c r="C465" s="159" t="str">
        <f t="shared" si="38"/>
        <v>August!$H$1:$H$92</v>
      </c>
      <c r="D465" s="159" t="str">
        <f t="shared" si="39"/>
        <v>August!$I$1:$I$92</v>
      </c>
      <c r="E465" t="s">
        <v>3</v>
      </c>
      <c r="F465" t="s">
        <v>127</v>
      </c>
      <c r="G465" t="s">
        <v>143</v>
      </c>
      <c r="H465" t="s">
        <v>21</v>
      </c>
      <c r="I465" t="e">
        <f t="shared" ca="1" si="35"/>
        <v>#REF!</v>
      </c>
      <c r="J465" t="str">
        <f>VLOOKUP($G465,DefinitionArrays!$I$6:$J$12,2,FALSE)</f>
        <v>Workweek</v>
      </c>
    </row>
    <row r="466" spans="1:10">
      <c r="A466" s="159" t="str">
        <f t="shared" si="36"/>
        <v>$H$1:$H$92</v>
      </c>
      <c r="B466" s="159" t="str">
        <f t="shared" si="37"/>
        <v>$I$1:$I$92</v>
      </c>
      <c r="C466" s="159" t="str">
        <f t="shared" si="38"/>
        <v>August!$H$1:$H$92</v>
      </c>
      <c r="D466" s="159" t="str">
        <f t="shared" si="39"/>
        <v>August!$I$1:$I$92</v>
      </c>
      <c r="E466" t="s">
        <v>3</v>
      </c>
      <c r="F466" t="s">
        <v>127</v>
      </c>
      <c r="G466" t="s">
        <v>143</v>
      </c>
      <c r="H466" t="s">
        <v>22</v>
      </c>
      <c r="I466" t="e">
        <f t="shared" ca="1" si="35"/>
        <v>#REF!</v>
      </c>
      <c r="J466" t="str">
        <f>VLOOKUP($G466,DefinitionArrays!$I$6:$J$12,2,FALSE)</f>
        <v>Workweek</v>
      </c>
    </row>
    <row r="467" spans="1:10">
      <c r="A467" s="159" t="str">
        <f t="shared" si="36"/>
        <v>$H$1:$H$92</v>
      </c>
      <c r="B467" s="159" t="str">
        <f t="shared" si="37"/>
        <v>$I$1:$I$92</v>
      </c>
      <c r="C467" s="159" t="str">
        <f t="shared" si="38"/>
        <v>August!$H$1:$H$92</v>
      </c>
      <c r="D467" s="159" t="str">
        <f t="shared" si="39"/>
        <v>August!$I$1:$I$92</v>
      </c>
      <c r="E467" t="s">
        <v>3</v>
      </c>
      <c r="F467" t="s">
        <v>127</v>
      </c>
      <c r="G467" t="s">
        <v>143</v>
      </c>
      <c r="H467" t="s">
        <v>23</v>
      </c>
      <c r="I467" t="e">
        <f t="shared" ca="1" si="35"/>
        <v>#REF!</v>
      </c>
      <c r="J467" t="str">
        <f>VLOOKUP($G467,DefinitionArrays!$I$6:$J$12,2,FALSE)</f>
        <v>Workweek</v>
      </c>
    </row>
    <row r="468" spans="1:10">
      <c r="A468" s="159" t="str">
        <f t="shared" si="36"/>
        <v>$H$1:$H$92</v>
      </c>
      <c r="B468" s="159" t="str">
        <f t="shared" si="37"/>
        <v>$I$1:$I$92</v>
      </c>
      <c r="C468" s="159" t="str">
        <f t="shared" si="38"/>
        <v>August!$H$1:$H$92</v>
      </c>
      <c r="D468" s="159" t="str">
        <f t="shared" si="39"/>
        <v>August!$I$1:$I$92</v>
      </c>
      <c r="E468" t="s">
        <v>3</v>
      </c>
      <c r="F468" t="s">
        <v>127</v>
      </c>
      <c r="G468" t="s">
        <v>143</v>
      </c>
      <c r="H468" t="s">
        <v>24</v>
      </c>
      <c r="I468" t="e">
        <f t="shared" ca="1" si="35"/>
        <v>#REF!</v>
      </c>
      <c r="J468" t="str">
        <f>VLOOKUP($G468,DefinitionArrays!$I$6:$J$12,2,FALSE)</f>
        <v>Workweek</v>
      </c>
    </row>
    <row r="469" spans="1:10">
      <c r="A469" s="159" t="str">
        <f t="shared" si="36"/>
        <v>$H$1:$H$92</v>
      </c>
      <c r="B469" s="159" t="str">
        <f t="shared" si="37"/>
        <v>$I$1:$I$92</v>
      </c>
      <c r="C469" s="159" t="str">
        <f t="shared" si="38"/>
        <v>August!$H$1:$H$92</v>
      </c>
      <c r="D469" s="159" t="str">
        <f t="shared" si="39"/>
        <v>August!$I$1:$I$92</v>
      </c>
      <c r="E469" t="s">
        <v>3</v>
      </c>
      <c r="F469" t="s">
        <v>127</v>
      </c>
      <c r="G469" t="s">
        <v>143</v>
      </c>
      <c r="H469" t="s">
        <v>179</v>
      </c>
      <c r="I469" t="e">
        <f t="shared" ca="1" si="35"/>
        <v>#REF!</v>
      </c>
      <c r="J469" t="str">
        <f>VLOOKUP($G469,DefinitionArrays!$I$6:$J$12,2,FALSE)</f>
        <v>Workweek</v>
      </c>
    </row>
    <row r="470" spans="1:10">
      <c r="A470" s="159" t="str">
        <f t="shared" si="36"/>
        <v>$H$1:$H$92</v>
      </c>
      <c r="B470" s="159" t="str">
        <f t="shared" si="37"/>
        <v>$I$1:$I$92</v>
      </c>
      <c r="C470" s="159" t="str">
        <f t="shared" si="38"/>
        <v>August!$H$1:$H$92</v>
      </c>
      <c r="D470" s="159" t="str">
        <f t="shared" si="39"/>
        <v>August!$I$1:$I$92</v>
      </c>
      <c r="E470" t="s">
        <v>3</v>
      </c>
      <c r="F470" t="s">
        <v>127</v>
      </c>
      <c r="G470" t="s">
        <v>143</v>
      </c>
      <c r="H470" t="s">
        <v>180</v>
      </c>
      <c r="I470" t="e">
        <f t="shared" ca="1" si="35"/>
        <v>#REF!</v>
      </c>
      <c r="J470" t="str">
        <f>VLOOKUP($G470,DefinitionArrays!$I$6:$J$12,2,FALSE)</f>
        <v>Workweek</v>
      </c>
    </row>
    <row r="471" spans="1:10">
      <c r="A471" s="159" t="str">
        <f t="shared" si="36"/>
        <v>$H$1:$H$92</v>
      </c>
      <c r="B471" s="159" t="str">
        <f t="shared" si="37"/>
        <v>$I$1:$I$92</v>
      </c>
      <c r="C471" s="159" t="str">
        <f t="shared" si="38"/>
        <v>August!$H$1:$H$92</v>
      </c>
      <c r="D471" s="159" t="str">
        <f t="shared" si="39"/>
        <v>August!$I$1:$I$92</v>
      </c>
      <c r="E471" t="s">
        <v>3</v>
      </c>
      <c r="F471" t="s">
        <v>127</v>
      </c>
      <c r="G471" t="s">
        <v>143</v>
      </c>
      <c r="H471" t="s">
        <v>44</v>
      </c>
      <c r="I471" t="e">
        <f t="shared" ca="1" si="35"/>
        <v>#REF!</v>
      </c>
      <c r="J471" t="str">
        <f>VLOOKUP($G471,DefinitionArrays!$I$6:$J$12,2,FALSE)</f>
        <v>Workweek</v>
      </c>
    </row>
    <row r="472" spans="1:10">
      <c r="A472" s="159" t="str">
        <f t="shared" si="36"/>
        <v>$K$1:$K$92</v>
      </c>
      <c r="B472" s="159" t="str">
        <f t="shared" si="37"/>
        <v>$L$1:$L$92</v>
      </c>
      <c r="C472" s="159" t="str">
        <f t="shared" si="38"/>
        <v>August!$K$1:$K$92</v>
      </c>
      <c r="D472" s="159" t="str">
        <f t="shared" si="39"/>
        <v>August!$L$1:$L$92</v>
      </c>
      <c r="E472" t="s">
        <v>3</v>
      </c>
      <c r="F472" t="s">
        <v>127</v>
      </c>
      <c r="G472" t="s">
        <v>144</v>
      </c>
      <c r="H472" t="s">
        <v>159</v>
      </c>
      <c r="I472" t="e">
        <f t="shared" ca="1" si="35"/>
        <v>#REF!</v>
      </c>
      <c r="J472" t="str">
        <f>VLOOKUP($G472,DefinitionArrays!$I$6:$J$12,2,FALSE)</f>
        <v>Workweek</v>
      </c>
    </row>
    <row r="473" spans="1:10">
      <c r="A473" s="159" t="str">
        <f t="shared" si="36"/>
        <v>$K$1:$K$92</v>
      </c>
      <c r="B473" s="159" t="str">
        <f t="shared" si="37"/>
        <v>$L$1:$L$92</v>
      </c>
      <c r="C473" s="159" t="str">
        <f t="shared" si="38"/>
        <v>August!$K$1:$K$92</v>
      </c>
      <c r="D473" s="159" t="str">
        <f t="shared" si="39"/>
        <v>August!$L$1:$L$92</v>
      </c>
      <c r="E473" t="s">
        <v>3</v>
      </c>
      <c r="F473" t="s">
        <v>127</v>
      </c>
      <c r="G473" t="s">
        <v>144</v>
      </c>
      <c r="H473" t="s">
        <v>18</v>
      </c>
      <c r="I473" t="e">
        <f t="shared" ca="1" si="35"/>
        <v>#REF!</v>
      </c>
      <c r="J473" t="str">
        <f>VLOOKUP($G473,DefinitionArrays!$I$6:$J$12,2,FALSE)</f>
        <v>Workweek</v>
      </c>
    </row>
    <row r="474" spans="1:10">
      <c r="A474" s="159" t="str">
        <f t="shared" si="36"/>
        <v>$K$1:$K$92</v>
      </c>
      <c r="B474" s="159" t="str">
        <f t="shared" si="37"/>
        <v>$L$1:$L$92</v>
      </c>
      <c r="C474" s="159" t="str">
        <f t="shared" si="38"/>
        <v>August!$K$1:$K$92</v>
      </c>
      <c r="D474" s="159" t="str">
        <f t="shared" si="39"/>
        <v>August!$L$1:$L$92</v>
      </c>
      <c r="E474" t="s">
        <v>3</v>
      </c>
      <c r="F474" t="s">
        <v>127</v>
      </c>
      <c r="G474" t="s">
        <v>144</v>
      </c>
      <c r="H474" t="s">
        <v>153</v>
      </c>
      <c r="I474" t="e">
        <f t="shared" ca="1" si="35"/>
        <v>#REF!</v>
      </c>
      <c r="J474" t="str">
        <f>VLOOKUP($G474,DefinitionArrays!$I$6:$J$12,2,FALSE)</f>
        <v>Workweek</v>
      </c>
    </row>
    <row r="475" spans="1:10">
      <c r="A475" s="159" t="str">
        <f t="shared" si="36"/>
        <v>$K$1:$K$92</v>
      </c>
      <c r="B475" s="159" t="str">
        <f t="shared" si="37"/>
        <v>$L$1:$L$92</v>
      </c>
      <c r="C475" s="159" t="str">
        <f t="shared" si="38"/>
        <v>August!$K$1:$K$92</v>
      </c>
      <c r="D475" s="159" t="str">
        <f t="shared" si="39"/>
        <v>August!$L$1:$L$92</v>
      </c>
      <c r="E475" t="s">
        <v>3</v>
      </c>
      <c r="F475" t="s">
        <v>127</v>
      </c>
      <c r="G475" t="s">
        <v>144</v>
      </c>
      <c r="H475" t="s">
        <v>19</v>
      </c>
      <c r="I475" t="e">
        <f t="shared" ca="1" si="35"/>
        <v>#REF!</v>
      </c>
      <c r="J475" t="str">
        <f>VLOOKUP($G475,DefinitionArrays!$I$6:$J$12,2,FALSE)</f>
        <v>Workweek</v>
      </c>
    </row>
    <row r="476" spans="1:10">
      <c r="A476" s="159" t="str">
        <f t="shared" si="36"/>
        <v>$K$1:$K$92</v>
      </c>
      <c r="B476" s="159" t="str">
        <f t="shared" si="37"/>
        <v>$L$1:$L$92</v>
      </c>
      <c r="C476" s="159" t="str">
        <f t="shared" si="38"/>
        <v>August!$K$1:$K$92</v>
      </c>
      <c r="D476" s="159" t="str">
        <f t="shared" si="39"/>
        <v>August!$L$1:$L$92</v>
      </c>
      <c r="E476" t="s">
        <v>3</v>
      </c>
      <c r="F476" t="s">
        <v>127</v>
      </c>
      <c r="G476" t="s">
        <v>144</v>
      </c>
      <c r="H476" t="s">
        <v>20</v>
      </c>
      <c r="I476" t="e">
        <f t="shared" ca="1" si="35"/>
        <v>#REF!</v>
      </c>
      <c r="J476" t="str">
        <f>VLOOKUP($G476,DefinitionArrays!$I$6:$J$12,2,FALSE)</f>
        <v>Workweek</v>
      </c>
    </row>
    <row r="477" spans="1:10">
      <c r="A477" s="159" t="str">
        <f t="shared" si="36"/>
        <v>$K$1:$K$92</v>
      </c>
      <c r="B477" s="159" t="str">
        <f t="shared" si="37"/>
        <v>$L$1:$L$92</v>
      </c>
      <c r="C477" s="159" t="str">
        <f t="shared" si="38"/>
        <v>August!$K$1:$K$92</v>
      </c>
      <c r="D477" s="159" t="str">
        <f t="shared" si="39"/>
        <v>August!$L$1:$L$92</v>
      </c>
      <c r="E477" t="s">
        <v>3</v>
      </c>
      <c r="F477" t="s">
        <v>127</v>
      </c>
      <c r="G477" t="s">
        <v>144</v>
      </c>
      <c r="H477" t="s">
        <v>21</v>
      </c>
      <c r="I477" t="e">
        <f t="shared" ca="1" si="35"/>
        <v>#REF!</v>
      </c>
      <c r="J477" t="str">
        <f>VLOOKUP($G477,DefinitionArrays!$I$6:$J$12,2,FALSE)</f>
        <v>Workweek</v>
      </c>
    </row>
    <row r="478" spans="1:10">
      <c r="A478" s="159" t="str">
        <f t="shared" si="36"/>
        <v>$K$1:$K$92</v>
      </c>
      <c r="B478" s="159" t="str">
        <f t="shared" si="37"/>
        <v>$L$1:$L$92</v>
      </c>
      <c r="C478" s="159" t="str">
        <f t="shared" si="38"/>
        <v>August!$K$1:$K$92</v>
      </c>
      <c r="D478" s="159" t="str">
        <f t="shared" si="39"/>
        <v>August!$L$1:$L$92</v>
      </c>
      <c r="E478" t="s">
        <v>3</v>
      </c>
      <c r="F478" t="s">
        <v>127</v>
      </c>
      <c r="G478" t="s">
        <v>144</v>
      </c>
      <c r="H478" t="s">
        <v>22</v>
      </c>
      <c r="I478" t="e">
        <f t="shared" ca="1" si="35"/>
        <v>#REF!</v>
      </c>
      <c r="J478" t="str">
        <f>VLOOKUP($G478,DefinitionArrays!$I$6:$J$12,2,FALSE)</f>
        <v>Workweek</v>
      </c>
    </row>
    <row r="479" spans="1:10">
      <c r="A479" s="159" t="str">
        <f t="shared" si="36"/>
        <v>$K$1:$K$92</v>
      </c>
      <c r="B479" s="159" t="str">
        <f t="shared" si="37"/>
        <v>$L$1:$L$92</v>
      </c>
      <c r="C479" s="159" t="str">
        <f t="shared" si="38"/>
        <v>August!$K$1:$K$92</v>
      </c>
      <c r="D479" s="159" t="str">
        <f t="shared" si="39"/>
        <v>August!$L$1:$L$92</v>
      </c>
      <c r="E479" t="s">
        <v>3</v>
      </c>
      <c r="F479" t="s">
        <v>127</v>
      </c>
      <c r="G479" t="s">
        <v>144</v>
      </c>
      <c r="H479" t="s">
        <v>23</v>
      </c>
      <c r="I479" t="e">
        <f t="shared" ca="1" si="35"/>
        <v>#REF!</v>
      </c>
      <c r="J479" t="str">
        <f>VLOOKUP($G479,DefinitionArrays!$I$6:$J$12,2,FALSE)</f>
        <v>Workweek</v>
      </c>
    </row>
    <row r="480" spans="1:10">
      <c r="A480" s="159" t="str">
        <f t="shared" si="36"/>
        <v>$K$1:$K$92</v>
      </c>
      <c r="B480" s="159" t="str">
        <f t="shared" si="37"/>
        <v>$L$1:$L$92</v>
      </c>
      <c r="C480" s="159" t="str">
        <f t="shared" si="38"/>
        <v>August!$K$1:$K$92</v>
      </c>
      <c r="D480" s="159" t="str">
        <f t="shared" si="39"/>
        <v>August!$L$1:$L$92</v>
      </c>
      <c r="E480" t="s">
        <v>3</v>
      </c>
      <c r="F480" t="s">
        <v>127</v>
      </c>
      <c r="G480" t="s">
        <v>144</v>
      </c>
      <c r="H480" t="s">
        <v>24</v>
      </c>
      <c r="I480" t="e">
        <f t="shared" ca="1" si="35"/>
        <v>#REF!</v>
      </c>
      <c r="J480" t="str">
        <f>VLOOKUP($G480,DefinitionArrays!$I$6:$J$12,2,FALSE)</f>
        <v>Workweek</v>
      </c>
    </row>
    <row r="481" spans="1:10">
      <c r="A481" s="159" t="str">
        <f t="shared" si="36"/>
        <v>$K$1:$K$92</v>
      </c>
      <c r="B481" s="159" t="str">
        <f t="shared" si="37"/>
        <v>$L$1:$L$92</v>
      </c>
      <c r="C481" s="159" t="str">
        <f t="shared" si="38"/>
        <v>August!$K$1:$K$92</v>
      </c>
      <c r="D481" s="159" t="str">
        <f t="shared" si="39"/>
        <v>August!$L$1:$L$92</v>
      </c>
      <c r="E481" t="s">
        <v>3</v>
      </c>
      <c r="F481" t="s">
        <v>127</v>
      </c>
      <c r="G481" t="s">
        <v>144</v>
      </c>
      <c r="H481" t="s">
        <v>179</v>
      </c>
      <c r="I481" t="e">
        <f t="shared" ca="1" si="35"/>
        <v>#REF!</v>
      </c>
      <c r="J481" t="str">
        <f>VLOOKUP($G481,DefinitionArrays!$I$6:$J$12,2,FALSE)</f>
        <v>Workweek</v>
      </c>
    </row>
    <row r="482" spans="1:10">
      <c r="A482" s="159" t="str">
        <f t="shared" si="36"/>
        <v>$K$1:$K$92</v>
      </c>
      <c r="B482" s="159" t="str">
        <f t="shared" si="37"/>
        <v>$L$1:$L$92</v>
      </c>
      <c r="C482" s="159" t="str">
        <f t="shared" si="38"/>
        <v>August!$K$1:$K$92</v>
      </c>
      <c r="D482" s="159" t="str">
        <f t="shared" si="39"/>
        <v>August!$L$1:$L$92</v>
      </c>
      <c r="E482" t="s">
        <v>3</v>
      </c>
      <c r="F482" t="s">
        <v>127</v>
      </c>
      <c r="G482" t="s">
        <v>144</v>
      </c>
      <c r="H482" t="s">
        <v>180</v>
      </c>
      <c r="I482" t="e">
        <f t="shared" ca="1" si="35"/>
        <v>#REF!</v>
      </c>
      <c r="J482" t="str">
        <f>VLOOKUP($G482,DefinitionArrays!$I$6:$J$12,2,FALSE)</f>
        <v>Workweek</v>
      </c>
    </row>
    <row r="483" spans="1:10">
      <c r="A483" s="159" t="str">
        <f t="shared" si="36"/>
        <v>$K$1:$K$92</v>
      </c>
      <c r="B483" s="159" t="str">
        <f t="shared" si="37"/>
        <v>$L$1:$L$92</v>
      </c>
      <c r="C483" s="159" t="str">
        <f t="shared" si="38"/>
        <v>August!$K$1:$K$92</v>
      </c>
      <c r="D483" s="159" t="str">
        <f t="shared" si="39"/>
        <v>August!$L$1:$L$92</v>
      </c>
      <c r="E483" t="s">
        <v>3</v>
      </c>
      <c r="F483" t="s">
        <v>127</v>
      </c>
      <c r="G483" t="s">
        <v>144</v>
      </c>
      <c r="H483" t="s">
        <v>44</v>
      </c>
      <c r="I483" t="e">
        <f t="shared" ca="1" si="35"/>
        <v>#REF!</v>
      </c>
      <c r="J483" t="str">
        <f>VLOOKUP($G483,DefinitionArrays!$I$6:$J$12,2,FALSE)</f>
        <v>Workweek</v>
      </c>
    </row>
    <row r="484" spans="1:10">
      <c r="A484" s="159" t="str">
        <f t="shared" si="36"/>
        <v>$N$1:$N$92</v>
      </c>
      <c r="B484" s="159" t="str">
        <f t="shared" si="37"/>
        <v>$O$1:$O$92</v>
      </c>
      <c r="C484" s="159" t="str">
        <f t="shared" si="38"/>
        <v>August!$N$1:$N$92</v>
      </c>
      <c r="D484" s="159" t="str">
        <f t="shared" si="39"/>
        <v>August!$O$1:$O$92</v>
      </c>
      <c r="E484" t="s">
        <v>3</v>
      </c>
      <c r="F484" t="s">
        <v>127</v>
      </c>
      <c r="G484" t="s">
        <v>145</v>
      </c>
      <c r="H484" t="s">
        <v>159</v>
      </c>
      <c r="I484" t="e">
        <f t="shared" ca="1" si="35"/>
        <v>#REF!</v>
      </c>
      <c r="J484" t="str">
        <f>VLOOKUP($G484,DefinitionArrays!$I$6:$J$12,2,FALSE)</f>
        <v>Weekend</v>
      </c>
    </row>
    <row r="485" spans="1:10">
      <c r="A485" s="159" t="str">
        <f t="shared" si="36"/>
        <v>$N$1:$N$92</v>
      </c>
      <c r="B485" s="159" t="str">
        <f t="shared" si="37"/>
        <v>$O$1:$O$92</v>
      </c>
      <c r="C485" s="159" t="str">
        <f t="shared" si="38"/>
        <v>August!$N$1:$N$92</v>
      </c>
      <c r="D485" s="159" t="str">
        <f t="shared" si="39"/>
        <v>August!$O$1:$O$92</v>
      </c>
      <c r="E485" t="s">
        <v>3</v>
      </c>
      <c r="F485" t="s">
        <v>127</v>
      </c>
      <c r="G485" t="s">
        <v>145</v>
      </c>
      <c r="H485" t="s">
        <v>18</v>
      </c>
      <c r="I485" t="e">
        <f t="shared" ca="1" si="35"/>
        <v>#REF!</v>
      </c>
      <c r="J485" t="str">
        <f>VLOOKUP($G485,DefinitionArrays!$I$6:$J$12,2,FALSE)</f>
        <v>Weekend</v>
      </c>
    </row>
    <row r="486" spans="1:10">
      <c r="A486" s="159" t="str">
        <f t="shared" si="36"/>
        <v>$N$1:$N$92</v>
      </c>
      <c r="B486" s="159" t="str">
        <f t="shared" si="37"/>
        <v>$O$1:$O$92</v>
      </c>
      <c r="C486" s="159" t="str">
        <f t="shared" si="38"/>
        <v>August!$N$1:$N$92</v>
      </c>
      <c r="D486" s="159" t="str">
        <f t="shared" si="39"/>
        <v>August!$O$1:$O$92</v>
      </c>
      <c r="E486" t="s">
        <v>3</v>
      </c>
      <c r="F486" t="s">
        <v>127</v>
      </c>
      <c r="G486" t="s">
        <v>145</v>
      </c>
      <c r="H486" t="s">
        <v>153</v>
      </c>
      <c r="I486" t="e">
        <f t="shared" ca="1" si="35"/>
        <v>#REF!</v>
      </c>
      <c r="J486" t="str">
        <f>VLOOKUP($G486,DefinitionArrays!$I$6:$J$12,2,FALSE)</f>
        <v>Weekend</v>
      </c>
    </row>
    <row r="487" spans="1:10">
      <c r="A487" s="159" t="str">
        <f t="shared" si="36"/>
        <v>$N$1:$N$92</v>
      </c>
      <c r="B487" s="159" t="str">
        <f t="shared" si="37"/>
        <v>$O$1:$O$92</v>
      </c>
      <c r="C487" s="159" t="str">
        <f t="shared" si="38"/>
        <v>August!$N$1:$N$92</v>
      </c>
      <c r="D487" s="159" t="str">
        <f t="shared" si="39"/>
        <v>August!$O$1:$O$92</v>
      </c>
      <c r="E487" t="s">
        <v>3</v>
      </c>
      <c r="F487" t="s">
        <v>127</v>
      </c>
      <c r="G487" t="s">
        <v>145</v>
      </c>
      <c r="H487" t="s">
        <v>19</v>
      </c>
      <c r="I487" t="e">
        <f t="shared" ca="1" si="35"/>
        <v>#REF!</v>
      </c>
      <c r="J487" t="str">
        <f>VLOOKUP($G487,DefinitionArrays!$I$6:$J$12,2,FALSE)</f>
        <v>Weekend</v>
      </c>
    </row>
    <row r="488" spans="1:10">
      <c r="A488" s="159" t="str">
        <f t="shared" si="36"/>
        <v>$N$1:$N$92</v>
      </c>
      <c r="B488" s="159" t="str">
        <f t="shared" si="37"/>
        <v>$O$1:$O$92</v>
      </c>
      <c r="C488" s="159" t="str">
        <f t="shared" si="38"/>
        <v>August!$N$1:$N$92</v>
      </c>
      <c r="D488" s="159" t="str">
        <f t="shared" si="39"/>
        <v>August!$O$1:$O$92</v>
      </c>
      <c r="E488" t="s">
        <v>3</v>
      </c>
      <c r="F488" t="s">
        <v>127</v>
      </c>
      <c r="G488" t="s">
        <v>145</v>
      </c>
      <c r="H488" t="s">
        <v>20</v>
      </c>
      <c r="I488" t="e">
        <f t="shared" ca="1" si="35"/>
        <v>#REF!</v>
      </c>
      <c r="J488" t="str">
        <f>VLOOKUP($G488,DefinitionArrays!$I$6:$J$12,2,FALSE)</f>
        <v>Weekend</v>
      </c>
    </row>
    <row r="489" spans="1:10">
      <c r="A489" s="159" t="str">
        <f t="shared" si="36"/>
        <v>$N$1:$N$92</v>
      </c>
      <c r="B489" s="159" t="str">
        <f t="shared" si="37"/>
        <v>$O$1:$O$92</v>
      </c>
      <c r="C489" s="159" t="str">
        <f t="shared" si="38"/>
        <v>August!$N$1:$N$92</v>
      </c>
      <c r="D489" s="159" t="str">
        <f t="shared" si="39"/>
        <v>August!$O$1:$O$92</v>
      </c>
      <c r="E489" t="s">
        <v>3</v>
      </c>
      <c r="F489" t="s">
        <v>127</v>
      </c>
      <c r="G489" t="s">
        <v>145</v>
      </c>
      <c r="H489" t="s">
        <v>21</v>
      </c>
      <c r="I489" t="e">
        <f t="shared" ca="1" si="35"/>
        <v>#REF!</v>
      </c>
      <c r="J489" t="str">
        <f>VLOOKUP($G489,DefinitionArrays!$I$6:$J$12,2,FALSE)</f>
        <v>Weekend</v>
      </c>
    </row>
    <row r="490" spans="1:10">
      <c r="A490" s="159" t="str">
        <f t="shared" si="36"/>
        <v>$N$1:$N$92</v>
      </c>
      <c r="B490" s="159" t="str">
        <f t="shared" si="37"/>
        <v>$O$1:$O$92</v>
      </c>
      <c r="C490" s="159" t="str">
        <f t="shared" si="38"/>
        <v>August!$N$1:$N$92</v>
      </c>
      <c r="D490" s="159" t="str">
        <f t="shared" si="39"/>
        <v>August!$O$1:$O$92</v>
      </c>
      <c r="E490" t="s">
        <v>3</v>
      </c>
      <c r="F490" t="s">
        <v>127</v>
      </c>
      <c r="G490" t="s">
        <v>145</v>
      </c>
      <c r="H490" t="s">
        <v>22</v>
      </c>
      <c r="I490" t="e">
        <f t="shared" ca="1" si="35"/>
        <v>#REF!</v>
      </c>
      <c r="J490" t="str">
        <f>VLOOKUP($G490,DefinitionArrays!$I$6:$J$12,2,FALSE)</f>
        <v>Weekend</v>
      </c>
    </row>
    <row r="491" spans="1:10">
      <c r="A491" s="159" t="str">
        <f t="shared" si="36"/>
        <v>$N$1:$N$92</v>
      </c>
      <c r="B491" s="159" t="str">
        <f t="shared" si="37"/>
        <v>$O$1:$O$92</v>
      </c>
      <c r="C491" s="159" t="str">
        <f t="shared" si="38"/>
        <v>August!$N$1:$N$92</v>
      </c>
      <c r="D491" s="159" t="str">
        <f t="shared" si="39"/>
        <v>August!$O$1:$O$92</v>
      </c>
      <c r="E491" t="s">
        <v>3</v>
      </c>
      <c r="F491" t="s">
        <v>127</v>
      </c>
      <c r="G491" t="s">
        <v>145</v>
      </c>
      <c r="H491" t="s">
        <v>23</v>
      </c>
      <c r="I491" t="e">
        <f t="shared" ca="1" si="35"/>
        <v>#REF!</v>
      </c>
      <c r="J491" t="str">
        <f>VLOOKUP($G491,DefinitionArrays!$I$6:$J$12,2,FALSE)</f>
        <v>Weekend</v>
      </c>
    </row>
    <row r="492" spans="1:10">
      <c r="A492" s="159" t="str">
        <f t="shared" si="36"/>
        <v>$N$1:$N$92</v>
      </c>
      <c r="B492" s="159" t="str">
        <f t="shared" si="37"/>
        <v>$O$1:$O$92</v>
      </c>
      <c r="C492" s="159" t="str">
        <f t="shared" si="38"/>
        <v>August!$N$1:$N$92</v>
      </c>
      <c r="D492" s="159" t="str">
        <f t="shared" si="39"/>
        <v>August!$O$1:$O$92</v>
      </c>
      <c r="E492" t="s">
        <v>3</v>
      </c>
      <c r="F492" t="s">
        <v>127</v>
      </c>
      <c r="G492" t="s">
        <v>145</v>
      </c>
      <c r="H492" t="s">
        <v>24</v>
      </c>
      <c r="I492" t="e">
        <f t="shared" ca="1" si="35"/>
        <v>#REF!</v>
      </c>
      <c r="J492" t="str">
        <f>VLOOKUP($G492,DefinitionArrays!$I$6:$J$12,2,FALSE)</f>
        <v>Weekend</v>
      </c>
    </row>
    <row r="493" spans="1:10">
      <c r="A493" s="159" t="str">
        <f t="shared" si="36"/>
        <v>$N$1:$N$92</v>
      </c>
      <c r="B493" s="159" t="str">
        <f t="shared" si="37"/>
        <v>$O$1:$O$92</v>
      </c>
      <c r="C493" s="159" t="str">
        <f t="shared" si="38"/>
        <v>August!$N$1:$N$92</v>
      </c>
      <c r="D493" s="159" t="str">
        <f t="shared" si="39"/>
        <v>August!$O$1:$O$92</v>
      </c>
      <c r="E493" t="s">
        <v>3</v>
      </c>
      <c r="F493" t="s">
        <v>127</v>
      </c>
      <c r="G493" t="s">
        <v>145</v>
      </c>
      <c r="H493" t="s">
        <v>179</v>
      </c>
      <c r="I493" t="e">
        <f t="shared" ca="1" si="35"/>
        <v>#REF!</v>
      </c>
      <c r="J493" t="str">
        <f>VLOOKUP($G493,DefinitionArrays!$I$6:$J$12,2,FALSE)</f>
        <v>Weekend</v>
      </c>
    </row>
    <row r="494" spans="1:10">
      <c r="A494" s="159" t="str">
        <f t="shared" si="36"/>
        <v>$N$1:$N$92</v>
      </c>
      <c r="B494" s="159" t="str">
        <f t="shared" si="37"/>
        <v>$O$1:$O$92</v>
      </c>
      <c r="C494" s="159" t="str">
        <f t="shared" si="38"/>
        <v>August!$N$1:$N$92</v>
      </c>
      <c r="D494" s="159" t="str">
        <f t="shared" si="39"/>
        <v>August!$O$1:$O$92</v>
      </c>
      <c r="E494" t="s">
        <v>3</v>
      </c>
      <c r="F494" t="s">
        <v>127</v>
      </c>
      <c r="G494" t="s">
        <v>145</v>
      </c>
      <c r="H494" t="s">
        <v>180</v>
      </c>
      <c r="I494" t="e">
        <f t="shared" ca="1" si="35"/>
        <v>#REF!</v>
      </c>
      <c r="J494" t="str">
        <f>VLOOKUP($G494,DefinitionArrays!$I$6:$J$12,2,FALSE)</f>
        <v>Weekend</v>
      </c>
    </row>
    <row r="495" spans="1:10">
      <c r="A495" s="159" t="str">
        <f t="shared" si="36"/>
        <v>$N$1:$N$92</v>
      </c>
      <c r="B495" s="159" t="str">
        <f t="shared" si="37"/>
        <v>$O$1:$O$92</v>
      </c>
      <c r="C495" s="159" t="str">
        <f t="shared" si="38"/>
        <v>August!$N$1:$N$92</v>
      </c>
      <c r="D495" s="159" t="str">
        <f t="shared" si="39"/>
        <v>August!$O$1:$O$92</v>
      </c>
      <c r="E495" t="s">
        <v>3</v>
      </c>
      <c r="F495" t="s">
        <v>127</v>
      </c>
      <c r="G495" t="s">
        <v>145</v>
      </c>
      <c r="H495" t="s">
        <v>44</v>
      </c>
      <c r="I495" t="e">
        <f t="shared" ca="1" si="35"/>
        <v>#REF!</v>
      </c>
      <c r="J495" t="str">
        <f>VLOOKUP($G495,DefinitionArrays!$I$6:$J$12,2,FALSE)</f>
        <v>Weekend</v>
      </c>
    </row>
    <row r="496" spans="1:10">
      <c r="A496" s="159" t="str">
        <f t="shared" si="36"/>
        <v>$Q$1:$Q$92</v>
      </c>
      <c r="B496" s="159" t="str">
        <f t="shared" si="37"/>
        <v>$R$1:$R$92</v>
      </c>
      <c r="C496" s="159" t="str">
        <f t="shared" si="38"/>
        <v>August!$Q$1:$Q$92</v>
      </c>
      <c r="D496" s="159" t="str">
        <f t="shared" si="39"/>
        <v>August!$R$1:$R$92</v>
      </c>
      <c r="E496" t="s">
        <v>3</v>
      </c>
      <c r="F496" t="s">
        <v>127</v>
      </c>
      <c r="G496" t="s">
        <v>146</v>
      </c>
      <c r="H496" t="s">
        <v>159</v>
      </c>
      <c r="I496" t="e">
        <f t="shared" ca="1" si="35"/>
        <v>#REF!</v>
      </c>
      <c r="J496" t="str">
        <f>VLOOKUP($G496,DefinitionArrays!$I$6:$J$12,2,FALSE)</f>
        <v>Weekend</v>
      </c>
    </row>
    <row r="497" spans="1:10">
      <c r="A497" s="159" t="str">
        <f t="shared" si="36"/>
        <v>$T$1:$T$92</v>
      </c>
      <c r="B497" s="159" t="str">
        <f t="shared" si="37"/>
        <v>$U$1:$U$92</v>
      </c>
      <c r="C497" s="159" t="str">
        <f t="shared" si="38"/>
        <v>August!$T$1:$T$92</v>
      </c>
      <c r="D497" s="159" t="str">
        <f t="shared" si="39"/>
        <v>August!$U$1:$U$92</v>
      </c>
      <c r="E497" t="s">
        <v>3</v>
      </c>
      <c r="F497" t="s">
        <v>127</v>
      </c>
      <c r="G497" t="s">
        <v>141</v>
      </c>
      <c r="H497" t="s">
        <v>159</v>
      </c>
      <c r="I497" t="e">
        <f t="shared" ca="1" si="35"/>
        <v>#REF!</v>
      </c>
      <c r="J497" t="str">
        <f>VLOOKUP($G497,DefinitionArrays!$I$6:$J$12,2,FALSE)</f>
        <v>Weekend</v>
      </c>
    </row>
    <row r="498" spans="1:10">
      <c r="A498" s="159" t="str">
        <f t="shared" si="36"/>
        <v>$B$1:$B$92</v>
      </c>
      <c r="B498" s="159" t="str">
        <f t="shared" si="37"/>
        <v>$C$1:$C$92</v>
      </c>
      <c r="C498" s="159" t="str">
        <f t="shared" si="38"/>
        <v>September!$B$1:$B$92</v>
      </c>
      <c r="D498" s="159" t="str">
        <f t="shared" si="39"/>
        <v>September!$C$1:$C$92</v>
      </c>
      <c r="E498" t="s">
        <v>3</v>
      </c>
      <c r="F498" t="s">
        <v>128</v>
      </c>
      <c r="G498" t="s">
        <v>13</v>
      </c>
      <c r="H498" t="s">
        <v>159</v>
      </c>
      <c r="I498" t="e">
        <f ca="1">COUNTIFS(INDIRECT($C498),$E498,INDIRECT($D498),$H498)</f>
        <v>#REF!</v>
      </c>
      <c r="J498" t="str">
        <f>VLOOKUP($G498,DefinitionArrays!$I$6:$J$12,2,FALSE)</f>
        <v>Workweek</v>
      </c>
    </row>
    <row r="499" spans="1:10">
      <c r="A499" s="159" t="str">
        <f t="shared" si="36"/>
        <v>$B$1:$B$92</v>
      </c>
      <c r="B499" s="159" t="str">
        <f t="shared" si="37"/>
        <v>$C$1:$C$92</v>
      </c>
      <c r="C499" s="159" t="str">
        <f t="shared" si="38"/>
        <v>September!$B$1:$B$92</v>
      </c>
      <c r="D499" s="159" t="str">
        <f t="shared" si="39"/>
        <v>September!$C$1:$C$92</v>
      </c>
      <c r="E499" t="s">
        <v>3</v>
      </c>
      <c r="F499" t="s">
        <v>128</v>
      </c>
      <c r="G499" t="s">
        <v>13</v>
      </c>
      <c r="H499" t="s">
        <v>18</v>
      </c>
      <c r="I499" t="e">
        <f t="shared" ref="I499:I559" ca="1" si="40">COUNTIFS(INDIRECT($C499),$E499,INDIRECT($D499),$H499)</f>
        <v>#REF!</v>
      </c>
      <c r="J499" t="str">
        <f>VLOOKUP($G499,DefinitionArrays!$I$6:$J$12,2,FALSE)</f>
        <v>Workweek</v>
      </c>
    </row>
    <row r="500" spans="1:10">
      <c r="A500" s="159" t="str">
        <f t="shared" si="36"/>
        <v>$B$1:$B$92</v>
      </c>
      <c r="B500" s="159" t="str">
        <f t="shared" si="37"/>
        <v>$C$1:$C$92</v>
      </c>
      <c r="C500" s="159" t="str">
        <f t="shared" si="38"/>
        <v>September!$B$1:$B$92</v>
      </c>
      <c r="D500" s="159" t="str">
        <f t="shared" si="39"/>
        <v>September!$C$1:$C$92</v>
      </c>
      <c r="E500" t="s">
        <v>3</v>
      </c>
      <c r="F500" t="s">
        <v>128</v>
      </c>
      <c r="G500" t="s">
        <v>13</v>
      </c>
      <c r="H500" t="s">
        <v>153</v>
      </c>
      <c r="I500" t="e">
        <f t="shared" ca="1" si="40"/>
        <v>#REF!</v>
      </c>
      <c r="J500" t="str">
        <f>VLOOKUP($G500,DefinitionArrays!$I$6:$J$12,2,FALSE)</f>
        <v>Workweek</v>
      </c>
    </row>
    <row r="501" spans="1:10">
      <c r="A501" s="159" t="str">
        <f t="shared" si="36"/>
        <v>$B$1:$B$92</v>
      </c>
      <c r="B501" s="159" t="str">
        <f t="shared" si="37"/>
        <v>$C$1:$C$92</v>
      </c>
      <c r="C501" s="159" t="str">
        <f t="shared" si="38"/>
        <v>September!$B$1:$B$92</v>
      </c>
      <c r="D501" s="159" t="str">
        <f t="shared" si="39"/>
        <v>September!$C$1:$C$92</v>
      </c>
      <c r="E501" t="s">
        <v>3</v>
      </c>
      <c r="F501" t="s">
        <v>128</v>
      </c>
      <c r="G501" t="s">
        <v>13</v>
      </c>
      <c r="H501" t="s">
        <v>19</v>
      </c>
      <c r="I501" t="e">
        <f t="shared" ca="1" si="40"/>
        <v>#REF!</v>
      </c>
      <c r="J501" t="str">
        <f>VLOOKUP($G501,DefinitionArrays!$I$6:$J$12,2,FALSE)</f>
        <v>Workweek</v>
      </c>
    </row>
    <row r="502" spans="1:10">
      <c r="A502" s="159" t="str">
        <f t="shared" si="36"/>
        <v>$B$1:$B$92</v>
      </c>
      <c r="B502" s="159" t="str">
        <f t="shared" si="37"/>
        <v>$C$1:$C$92</v>
      </c>
      <c r="C502" s="159" t="str">
        <f t="shared" si="38"/>
        <v>September!$B$1:$B$92</v>
      </c>
      <c r="D502" s="159" t="str">
        <f t="shared" si="39"/>
        <v>September!$C$1:$C$92</v>
      </c>
      <c r="E502" t="s">
        <v>3</v>
      </c>
      <c r="F502" t="s">
        <v>128</v>
      </c>
      <c r="G502" t="s">
        <v>13</v>
      </c>
      <c r="H502" t="s">
        <v>20</v>
      </c>
      <c r="I502" t="e">
        <f t="shared" ca="1" si="40"/>
        <v>#REF!</v>
      </c>
      <c r="J502" t="str">
        <f>VLOOKUP($G502,DefinitionArrays!$I$6:$J$12,2,FALSE)</f>
        <v>Workweek</v>
      </c>
    </row>
    <row r="503" spans="1:10">
      <c r="A503" s="159" t="str">
        <f t="shared" si="36"/>
        <v>$B$1:$B$92</v>
      </c>
      <c r="B503" s="159" t="str">
        <f t="shared" si="37"/>
        <v>$C$1:$C$92</v>
      </c>
      <c r="C503" s="159" t="str">
        <f t="shared" si="38"/>
        <v>September!$B$1:$B$92</v>
      </c>
      <c r="D503" s="159" t="str">
        <f t="shared" si="39"/>
        <v>September!$C$1:$C$92</v>
      </c>
      <c r="E503" t="s">
        <v>3</v>
      </c>
      <c r="F503" t="s">
        <v>128</v>
      </c>
      <c r="G503" t="s">
        <v>13</v>
      </c>
      <c r="H503" t="s">
        <v>21</v>
      </c>
      <c r="I503" t="e">
        <f t="shared" ca="1" si="40"/>
        <v>#REF!</v>
      </c>
      <c r="J503" t="str">
        <f>VLOOKUP($G503,DefinitionArrays!$I$6:$J$12,2,FALSE)</f>
        <v>Workweek</v>
      </c>
    </row>
    <row r="504" spans="1:10">
      <c r="A504" s="159" t="str">
        <f t="shared" si="36"/>
        <v>$B$1:$B$92</v>
      </c>
      <c r="B504" s="159" t="str">
        <f t="shared" si="37"/>
        <v>$C$1:$C$92</v>
      </c>
      <c r="C504" s="159" t="str">
        <f t="shared" si="38"/>
        <v>September!$B$1:$B$92</v>
      </c>
      <c r="D504" s="159" t="str">
        <f t="shared" si="39"/>
        <v>September!$C$1:$C$92</v>
      </c>
      <c r="E504" t="s">
        <v>3</v>
      </c>
      <c r="F504" t="s">
        <v>128</v>
      </c>
      <c r="G504" t="s">
        <v>13</v>
      </c>
      <c r="H504" t="s">
        <v>22</v>
      </c>
      <c r="I504" t="e">
        <f t="shared" ca="1" si="40"/>
        <v>#REF!</v>
      </c>
      <c r="J504" t="str">
        <f>VLOOKUP($G504,DefinitionArrays!$I$6:$J$12,2,FALSE)</f>
        <v>Workweek</v>
      </c>
    </row>
    <row r="505" spans="1:10">
      <c r="A505" s="159" t="str">
        <f t="shared" si="36"/>
        <v>$B$1:$B$92</v>
      </c>
      <c r="B505" s="159" t="str">
        <f t="shared" si="37"/>
        <v>$C$1:$C$92</v>
      </c>
      <c r="C505" s="159" t="str">
        <f t="shared" si="38"/>
        <v>September!$B$1:$B$92</v>
      </c>
      <c r="D505" s="159" t="str">
        <f t="shared" si="39"/>
        <v>September!$C$1:$C$92</v>
      </c>
      <c r="E505" t="s">
        <v>3</v>
      </c>
      <c r="F505" t="s">
        <v>128</v>
      </c>
      <c r="G505" t="s">
        <v>13</v>
      </c>
      <c r="H505" t="s">
        <v>23</v>
      </c>
      <c r="I505" t="e">
        <f t="shared" ca="1" si="40"/>
        <v>#REF!</v>
      </c>
      <c r="J505" t="str">
        <f>VLOOKUP($G505,DefinitionArrays!$I$6:$J$12,2,FALSE)</f>
        <v>Workweek</v>
      </c>
    </row>
    <row r="506" spans="1:10">
      <c r="A506" s="159" t="str">
        <f t="shared" si="36"/>
        <v>$B$1:$B$92</v>
      </c>
      <c r="B506" s="159" t="str">
        <f t="shared" si="37"/>
        <v>$C$1:$C$92</v>
      </c>
      <c r="C506" s="159" t="str">
        <f t="shared" si="38"/>
        <v>September!$B$1:$B$92</v>
      </c>
      <c r="D506" s="159" t="str">
        <f t="shared" si="39"/>
        <v>September!$C$1:$C$92</v>
      </c>
      <c r="E506" t="s">
        <v>3</v>
      </c>
      <c r="F506" t="s">
        <v>128</v>
      </c>
      <c r="G506" t="s">
        <v>13</v>
      </c>
      <c r="H506" t="s">
        <v>24</v>
      </c>
      <c r="I506" t="e">
        <f t="shared" ca="1" si="40"/>
        <v>#REF!</v>
      </c>
      <c r="J506" t="str">
        <f>VLOOKUP($G506,DefinitionArrays!$I$6:$J$12,2,FALSE)</f>
        <v>Workweek</v>
      </c>
    </row>
    <row r="507" spans="1:10">
      <c r="A507" s="159" t="str">
        <f t="shared" si="36"/>
        <v>$B$1:$B$92</v>
      </c>
      <c r="B507" s="159" t="str">
        <f t="shared" si="37"/>
        <v>$C$1:$C$92</v>
      </c>
      <c r="C507" s="159" t="str">
        <f t="shared" si="38"/>
        <v>September!$B$1:$B$92</v>
      </c>
      <c r="D507" s="159" t="str">
        <f t="shared" si="39"/>
        <v>September!$C$1:$C$92</v>
      </c>
      <c r="E507" t="s">
        <v>3</v>
      </c>
      <c r="F507" t="s">
        <v>128</v>
      </c>
      <c r="G507" t="s">
        <v>13</v>
      </c>
      <c r="H507" t="s">
        <v>179</v>
      </c>
      <c r="I507" t="e">
        <f t="shared" ca="1" si="40"/>
        <v>#REF!</v>
      </c>
      <c r="J507" t="str">
        <f>VLOOKUP($G507,DefinitionArrays!$I$6:$J$12,2,FALSE)</f>
        <v>Workweek</v>
      </c>
    </row>
    <row r="508" spans="1:10">
      <c r="A508" s="159" t="str">
        <f t="shared" si="36"/>
        <v>$B$1:$B$92</v>
      </c>
      <c r="B508" s="159" t="str">
        <f t="shared" si="37"/>
        <v>$C$1:$C$92</v>
      </c>
      <c r="C508" s="159" t="str">
        <f t="shared" si="38"/>
        <v>September!$B$1:$B$92</v>
      </c>
      <c r="D508" s="159" t="str">
        <f t="shared" si="39"/>
        <v>September!$C$1:$C$92</v>
      </c>
      <c r="E508" t="s">
        <v>3</v>
      </c>
      <c r="F508" t="s">
        <v>128</v>
      </c>
      <c r="G508" t="s">
        <v>13</v>
      </c>
      <c r="H508" t="s">
        <v>180</v>
      </c>
      <c r="I508" t="e">
        <f t="shared" ca="1" si="40"/>
        <v>#REF!</v>
      </c>
      <c r="J508" t="str">
        <f>VLOOKUP($G508,DefinitionArrays!$I$6:$J$12,2,FALSE)</f>
        <v>Workweek</v>
      </c>
    </row>
    <row r="509" spans="1:10">
      <c r="A509" s="159" t="str">
        <f t="shared" si="36"/>
        <v>$B$1:$B$92</v>
      </c>
      <c r="B509" s="159" t="str">
        <f t="shared" si="37"/>
        <v>$C$1:$C$92</v>
      </c>
      <c r="C509" s="159" t="str">
        <f t="shared" si="38"/>
        <v>September!$B$1:$B$92</v>
      </c>
      <c r="D509" s="159" t="str">
        <f t="shared" si="39"/>
        <v>September!$C$1:$C$92</v>
      </c>
      <c r="E509" t="s">
        <v>3</v>
      </c>
      <c r="F509" t="s">
        <v>128</v>
      </c>
      <c r="G509" t="s">
        <v>13</v>
      </c>
      <c r="H509" t="s">
        <v>44</v>
      </c>
      <c r="I509" t="e">
        <f t="shared" ca="1" si="40"/>
        <v>#REF!</v>
      </c>
      <c r="J509" t="str">
        <f>VLOOKUP($G509,DefinitionArrays!$I$6:$J$12,2,FALSE)</f>
        <v>Workweek</v>
      </c>
    </row>
    <row r="510" spans="1:10">
      <c r="A510" s="159" t="str">
        <f t="shared" si="36"/>
        <v>$E$1:$E$92</v>
      </c>
      <c r="B510" s="159" t="str">
        <f t="shared" si="37"/>
        <v>$F$1:$F$92</v>
      </c>
      <c r="C510" s="159" t="str">
        <f t="shared" si="38"/>
        <v>September!$E$1:$E$92</v>
      </c>
      <c r="D510" s="159" t="str">
        <f t="shared" si="39"/>
        <v>September!$F$1:$F$92</v>
      </c>
      <c r="E510" t="s">
        <v>3</v>
      </c>
      <c r="F510" t="s">
        <v>128</v>
      </c>
      <c r="G510" t="s">
        <v>142</v>
      </c>
      <c r="H510" t="s">
        <v>159</v>
      </c>
      <c r="I510" t="e">
        <f t="shared" ca="1" si="40"/>
        <v>#REF!</v>
      </c>
      <c r="J510" t="str">
        <f>VLOOKUP($G510,DefinitionArrays!$I$6:$J$12,2,FALSE)</f>
        <v>Workweek</v>
      </c>
    </row>
    <row r="511" spans="1:10">
      <c r="A511" s="159" t="str">
        <f t="shared" si="36"/>
        <v>$E$1:$E$92</v>
      </c>
      <c r="B511" s="159" t="str">
        <f t="shared" si="37"/>
        <v>$F$1:$F$92</v>
      </c>
      <c r="C511" s="159" t="str">
        <f t="shared" si="38"/>
        <v>September!$E$1:$E$92</v>
      </c>
      <c r="D511" s="159" t="str">
        <f t="shared" si="39"/>
        <v>September!$F$1:$F$92</v>
      </c>
      <c r="E511" t="s">
        <v>3</v>
      </c>
      <c r="F511" t="s">
        <v>128</v>
      </c>
      <c r="G511" t="s">
        <v>142</v>
      </c>
      <c r="H511" t="s">
        <v>18</v>
      </c>
      <c r="I511" t="e">
        <f t="shared" ca="1" si="40"/>
        <v>#REF!</v>
      </c>
      <c r="J511" t="str">
        <f>VLOOKUP($G511,DefinitionArrays!$I$6:$J$12,2,FALSE)</f>
        <v>Workweek</v>
      </c>
    </row>
    <row r="512" spans="1:10">
      <c r="A512" s="159" t="str">
        <f t="shared" si="36"/>
        <v>$E$1:$E$92</v>
      </c>
      <c r="B512" s="159" t="str">
        <f t="shared" si="37"/>
        <v>$F$1:$F$92</v>
      </c>
      <c r="C512" s="159" t="str">
        <f t="shared" si="38"/>
        <v>September!$E$1:$E$92</v>
      </c>
      <c r="D512" s="159" t="str">
        <f t="shared" si="39"/>
        <v>September!$F$1:$F$92</v>
      </c>
      <c r="E512" t="s">
        <v>3</v>
      </c>
      <c r="F512" t="s">
        <v>128</v>
      </c>
      <c r="G512" t="s">
        <v>142</v>
      </c>
      <c r="H512" t="s">
        <v>153</v>
      </c>
      <c r="I512" t="e">
        <f t="shared" ca="1" si="40"/>
        <v>#REF!</v>
      </c>
      <c r="J512" t="str">
        <f>VLOOKUP($G512,DefinitionArrays!$I$6:$J$12,2,FALSE)</f>
        <v>Workweek</v>
      </c>
    </row>
    <row r="513" spans="1:10">
      <c r="A513" s="159" t="str">
        <f t="shared" si="36"/>
        <v>$E$1:$E$92</v>
      </c>
      <c r="B513" s="159" t="str">
        <f t="shared" si="37"/>
        <v>$F$1:$F$92</v>
      </c>
      <c r="C513" s="159" t="str">
        <f t="shared" si="38"/>
        <v>September!$E$1:$E$92</v>
      </c>
      <c r="D513" s="159" t="str">
        <f t="shared" si="39"/>
        <v>September!$F$1:$F$92</v>
      </c>
      <c r="E513" t="s">
        <v>3</v>
      </c>
      <c r="F513" t="s">
        <v>128</v>
      </c>
      <c r="G513" t="s">
        <v>142</v>
      </c>
      <c r="H513" t="s">
        <v>19</v>
      </c>
      <c r="I513" t="e">
        <f t="shared" ca="1" si="40"/>
        <v>#REF!</v>
      </c>
      <c r="J513" t="str">
        <f>VLOOKUP($G513,DefinitionArrays!$I$6:$J$12,2,FALSE)</f>
        <v>Workweek</v>
      </c>
    </row>
    <row r="514" spans="1:10">
      <c r="A514" s="159" t="str">
        <f t="shared" ref="A514:A577" si="41">VLOOKUP($G514,Fx_Code,2,FALSE)</f>
        <v>$E$1:$E$92</v>
      </c>
      <c r="B514" s="159" t="str">
        <f t="shared" ref="B514:B577" si="42">VLOOKUP($G514,Fx_Code,3,FALSE)</f>
        <v>$F$1:$F$92</v>
      </c>
      <c r="C514" s="159" t="str">
        <f t="shared" ref="C514:C577" si="43">CONCATENATE($F514,$K$1,A514)</f>
        <v>September!$E$1:$E$92</v>
      </c>
      <c r="D514" s="159" t="str">
        <f t="shared" ref="D514:D577" si="44">CONCATENATE($F514,$K$1,B514)</f>
        <v>September!$F$1:$F$92</v>
      </c>
      <c r="E514" t="s">
        <v>3</v>
      </c>
      <c r="F514" t="s">
        <v>128</v>
      </c>
      <c r="G514" t="s">
        <v>142</v>
      </c>
      <c r="H514" t="s">
        <v>20</v>
      </c>
      <c r="I514" t="e">
        <f t="shared" ca="1" si="40"/>
        <v>#REF!</v>
      </c>
      <c r="J514" t="str">
        <f>VLOOKUP($G514,DefinitionArrays!$I$6:$J$12,2,FALSE)</f>
        <v>Workweek</v>
      </c>
    </row>
    <row r="515" spans="1:10">
      <c r="A515" s="159" t="str">
        <f t="shared" si="41"/>
        <v>$E$1:$E$92</v>
      </c>
      <c r="B515" s="159" t="str">
        <f t="shared" si="42"/>
        <v>$F$1:$F$92</v>
      </c>
      <c r="C515" s="159" t="str">
        <f t="shared" si="43"/>
        <v>September!$E$1:$E$92</v>
      </c>
      <c r="D515" s="159" t="str">
        <f t="shared" si="44"/>
        <v>September!$F$1:$F$92</v>
      </c>
      <c r="E515" t="s">
        <v>3</v>
      </c>
      <c r="F515" t="s">
        <v>128</v>
      </c>
      <c r="G515" t="s">
        <v>142</v>
      </c>
      <c r="H515" t="s">
        <v>21</v>
      </c>
      <c r="I515" t="e">
        <f t="shared" ca="1" si="40"/>
        <v>#REF!</v>
      </c>
      <c r="J515" t="str">
        <f>VLOOKUP($G515,DefinitionArrays!$I$6:$J$12,2,FALSE)</f>
        <v>Workweek</v>
      </c>
    </row>
    <row r="516" spans="1:10">
      <c r="A516" s="159" t="str">
        <f t="shared" si="41"/>
        <v>$E$1:$E$92</v>
      </c>
      <c r="B516" s="159" t="str">
        <f t="shared" si="42"/>
        <v>$F$1:$F$92</v>
      </c>
      <c r="C516" s="159" t="str">
        <f t="shared" si="43"/>
        <v>September!$E$1:$E$92</v>
      </c>
      <c r="D516" s="159" t="str">
        <f t="shared" si="44"/>
        <v>September!$F$1:$F$92</v>
      </c>
      <c r="E516" t="s">
        <v>3</v>
      </c>
      <c r="F516" t="s">
        <v>128</v>
      </c>
      <c r="G516" t="s">
        <v>142</v>
      </c>
      <c r="H516" t="s">
        <v>22</v>
      </c>
      <c r="I516" t="e">
        <f t="shared" ca="1" si="40"/>
        <v>#REF!</v>
      </c>
      <c r="J516" t="str">
        <f>VLOOKUP($G516,DefinitionArrays!$I$6:$J$12,2,FALSE)</f>
        <v>Workweek</v>
      </c>
    </row>
    <row r="517" spans="1:10">
      <c r="A517" s="159" t="str">
        <f t="shared" si="41"/>
        <v>$E$1:$E$92</v>
      </c>
      <c r="B517" s="159" t="str">
        <f t="shared" si="42"/>
        <v>$F$1:$F$92</v>
      </c>
      <c r="C517" s="159" t="str">
        <f t="shared" si="43"/>
        <v>September!$E$1:$E$92</v>
      </c>
      <c r="D517" s="159" t="str">
        <f t="shared" si="44"/>
        <v>September!$F$1:$F$92</v>
      </c>
      <c r="E517" t="s">
        <v>3</v>
      </c>
      <c r="F517" t="s">
        <v>128</v>
      </c>
      <c r="G517" t="s">
        <v>142</v>
      </c>
      <c r="H517" t="s">
        <v>23</v>
      </c>
      <c r="I517" t="e">
        <f t="shared" ca="1" si="40"/>
        <v>#REF!</v>
      </c>
      <c r="J517" t="str">
        <f>VLOOKUP($G517,DefinitionArrays!$I$6:$J$12,2,FALSE)</f>
        <v>Workweek</v>
      </c>
    </row>
    <row r="518" spans="1:10">
      <c r="A518" s="159" t="str">
        <f t="shared" si="41"/>
        <v>$E$1:$E$92</v>
      </c>
      <c r="B518" s="159" t="str">
        <f t="shared" si="42"/>
        <v>$F$1:$F$92</v>
      </c>
      <c r="C518" s="159" t="str">
        <f t="shared" si="43"/>
        <v>September!$E$1:$E$92</v>
      </c>
      <c r="D518" s="159" t="str">
        <f t="shared" si="44"/>
        <v>September!$F$1:$F$92</v>
      </c>
      <c r="E518" t="s">
        <v>3</v>
      </c>
      <c r="F518" t="s">
        <v>128</v>
      </c>
      <c r="G518" t="s">
        <v>142</v>
      </c>
      <c r="H518" t="s">
        <v>24</v>
      </c>
      <c r="I518" t="e">
        <f t="shared" ca="1" si="40"/>
        <v>#REF!</v>
      </c>
      <c r="J518" t="str">
        <f>VLOOKUP($G518,DefinitionArrays!$I$6:$J$12,2,FALSE)</f>
        <v>Workweek</v>
      </c>
    </row>
    <row r="519" spans="1:10">
      <c r="A519" s="159" t="str">
        <f t="shared" si="41"/>
        <v>$E$1:$E$92</v>
      </c>
      <c r="B519" s="159" t="str">
        <f t="shared" si="42"/>
        <v>$F$1:$F$92</v>
      </c>
      <c r="C519" s="159" t="str">
        <f t="shared" si="43"/>
        <v>September!$E$1:$E$92</v>
      </c>
      <c r="D519" s="159" t="str">
        <f t="shared" si="44"/>
        <v>September!$F$1:$F$92</v>
      </c>
      <c r="E519" t="s">
        <v>3</v>
      </c>
      <c r="F519" t="s">
        <v>128</v>
      </c>
      <c r="G519" t="s">
        <v>142</v>
      </c>
      <c r="H519" t="s">
        <v>179</v>
      </c>
      <c r="I519" t="e">
        <f t="shared" ca="1" si="40"/>
        <v>#REF!</v>
      </c>
      <c r="J519" t="str">
        <f>VLOOKUP($G519,DefinitionArrays!$I$6:$J$12,2,FALSE)</f>
        <v>Workweek</v>
      </c>
    </row>
    <row r="520" spans="1:10">
      <c r="A520" s="159" t="str">
        <f t="shared" si="41"/>
        <v>$E$1:$E$92</v>
      </c>
      <c r="B520" s="159" t="str">
        <f t="shared" si="42"/>
        <v>$F$1:$F$92</v>
      </c>
      <c r="C520" s="159" t="str">
        <f t="shared" si="43"/>
        <v>September!$E$1:$E$92</v>
      </c>
      <c r="D520" s="159" t="str">
        <f t="shared" si="44"/>
        <v>September!$F$1:$F$92</v>
      </c>
      <c r="E520" t="s">
        <v>3</v>
      </c>
      <c r="F520" t="s">
        <v>128</v>
      </c>
      <c r="G520" t="s">
        <v>142</v>
      </c>
      <c r="H520" t="s">
        <v>180</v>
      </c>
      <c r="I520" t="e">
        <f t="shared" ca="1" si="40"/>
        <v>#REF!</v>
      </c>
      <c r="J520" t="str">
        <f>VLOOKUP($G520,DefinitionArrays!$I$6:$J$12,2,FALSE)</f>
        <v>Workweek</v>
      </c>
    </row>
    <row r="521" spans="1:10">
      <c r="A521" s="159" t="str">
        <f t="shared" si="41"/>
        <v>$E$1:$E$92</v>
      </c>
      <c r="B521" s="159" t="str">
        <f t="shared" si="42"/>
        <v>$F$1:$F$92</v>
      </c>
      <c r="C521" s="159" t="str">
        <f t="shared" si="43"/>
        <v>September!$E$1:$E$92</v>
      </c>
      <c r="D521" s="159" t="str">
        <f t="shared" si="44"/>
        <v>September!$F$1:$F$92</v>
      </c>
      <c r="E521" t="s">
        <v>3</v>
      </c>
      <c r="F521" t="s">
        <v>128</v>
      </c>
      <c r="G521" t="s">
        <v>142</v>
      </c>
      <c r="H521" t="s">
        <v>44</v>
      </c>
      <c r="I521" t="e">
        <f t="shared" ca="1" si="40"/>
        <v>#REF!</v>
      </c>
      <c r="J521" t="str">
        <f>VLOOKUP($G521,DefinitionArrays!$I$6:$J$12,2,FALSE)</f>
        <v>Workweek</v>
      </c>
    </row>
    <row r="522" spans="1:10">
      <c r="A522" s="159" t="str">
        <f t="shared" si="41"/>
        <v>$H$1:$H$92</v>
      </c>
      <c r="B522" s="159" t="str">
        <f t="shared" si="42"/>
        <v>$I$1:$I$92</v>
      </c>
      <c r="C522" s="159" t="str">
        <f t="shared" si="43"/>
        <v>September!$H$1:$H$92</v>
      </c>
      <c r="D522" s="159" t="str">
        <f t="shared" si="44"/>
        <v>September!$I$1:$I$92</v>
      </c>
      <c r="E522" t="s">
        <v>3</v>
      </c>
      <c r="F522" t="s">
        <v>128</v>
      </c>
      <c r="G522" t="s">
        <v>143</v>
      </c>
      <c r="H522" t="s">
        <v>159</v>
      </c>
      <c r="I522" t="e">
        <f t="shared" ca="1" si="40"/>
        <v>#REF!</v>
      </c>
      <c r="J522" t="str">
        <f>VLOOKUP($G522,DefinitionArrays!$I$6:$J$12,2,FALSE)</f>
        <v>Workweek</v>
      </c>
    </row>
    <row r="523" spans="1:10">
      <c r="A523" s="159" t="str">
        <f t="shared" si="41"/>
        <v>$H$1:$H$92</v>
      </c>
      <c r="B523" s="159" t="str">
        <f t="shared" si="42"/>
        <v>$I$1:$I$92</v>
      </c>
      <c r="C523" s="159" t="str">
        <f t="shared" si="43"/>
        <v>September!$H$1:$H$92</v>
      </c>
      <c r="D523" s="159" t="str">
        <f t="shared" si="44"/>
        <v>September!$I$1:$I$92</v>
      </c>
      <c r="E523" t="s">
        <v>3</v>
      </c>
      <c r="F523" t="s">
        <v>128</v>
      </c>
      <c r="G523" t="s">
        <v>143</v>
      </c>
      <c r="H523" t="s">
        <v>18</v>
      </c>
      <c r="I523" t="e">
        <f t="shared" ca="1" si="40"/>
        <v>#REF!</v>
      </c>
      <c r="J523" t="str">
        <f>VLOOKUP($G523,DefinitionArrays!$I$6:$J$12,2,FALSE)</f>
        <v>Workweek</v>
      </c>
    </row>
    <row r="524" spans="1:10">
      <c r="A524" s="159" t="str">
        <f t="shared" si="41"/>
        <v>$H$1:$H$92</v>
      </c>
      <c r="B524" s="159" t="str">
        <f t="shared" si="42"/>
        <v>$I$1:$I$92</v>
      </c>
      <c r="C524" s="159" t="str">
        <f t="shared" si="43"/>
        <v>September!$H$1:$H$92</v>
      </c>
      <c r="D524" s="159" t="str">
        <f t="shared" si="44"/>
        <v>September!$I$1:$I$92</v>
      </c>
      <c r="E524" t="s">
        <v>3</v>
      </c>
      <c r="F524" t="s">
        <v>128</v>
      </c>
      <c r="G524" t="s">
        <v>143</v>
      </c>
      <c r="H524" t="s">
        <v>153</v>
      </c>
      <c r="I524" t="e">
        <f t="shared" ca="1" si="40"/>
        <v>#REF!</v>
      </c>
      <c r="J524" t="str">
        <f>VLOOKUP($G524,DefinitionArrays!$I$6:$J$12,2,FALSE)</f>
        <v>Workweek</v>
      </c>
    </row>
    <row r="525" spans="1:10">
      <c r="A525" s="159" t="str">
        <f t="shared" si="41"/>
        <v>$H$1:$H$92</v>
      </c>
      <c r="B525" s="159" t="str">
        <f t="shared" si="42"/>
        <v>$I$1:$I$92</v>
      </c>
      <c r="C525" s="159" t="str">
        <f t="shared" si="43"/>
        <v>September!$H$1:$H$92</v>
      </c>
      <c r="D525" s="159" t="str">
        <f t="shared" si="44"/>
        <v>September!$I$1:$I$92</v>
      </c>
      <c r="E525" t="s">
        <v>3</v>
      </c>
      <c r="F525" t="s">
        <v>128</v>
      </c>
      <c r="G525" t="s">
        <v>143</v>
      </c>
      <c r="H525" t="s">
        <v>19</v>
      </c>
      <c r="I525" t="e">
        <f t="shared" ca="1" si="40"/>
        <v>#REF!</v>
      </c>
      <c r="J525" t="str">
        <f>VLOOKUP($G525,DefinitionArrays!$I$6:$J$12,2,FALSE)</f>
        <v>Workweek</v>
      </c>
    </row>
    <row r="526" spans="1:10">
      <c r="A526" s="159" t="str">
        <f t="shared" si="41"/>
        <v>$H$1:$H$92</v>
      </c>
      <c r="B526" s="159" t="str">
        <f t="shared" si="42"/>
        <v>$I$1:$I$92</v>
      </c>
      <c r="C526" s="159" t="str">
        <f t="shared" si="43"/>
        <v>September!$H$1:$H$92</v>
      </c>
      <c r="D526" s="159" t="str">
        <f t="shared" si="44"/>
        <v>September!$I$1:$I$92</v>
      </c>
      <c r="E526" t="s">
        <v>3</v>
      </c>
      <c r="F526" t="s">
        <v>128</v>
      </c>
      <c r="G526" t="s">
        <v>143</v>
      </c>
      <c r="H526" t="s">
        <v>20</v>
      </c>
      <c r="I526" t="e">
        <f t="shared" ca="1" si="40"/>
        <v>#REF!</v>
      </c>
      <c r="J526" t="str">
        <f>VLOOKUP($G526,DefinitionArrays!$I$6:$J$12,2,FALSE)</f>
        <v>Workweek</v>
      </c>
    </row>
    <row r="527" spans="1:10">
      <c r="A527" s="159" t="str">
        <f t="shared" si="41"/>
        <v>$H$1:$H$92</v>
      </c>
      <c r="B527" s="159" t="str">
        <f t="shared" si="42"/>
        <v>$I$1:$I$92</v>
      </c>
      <c r="C527" s="159" t="str">
        <f t="shared" si="43"/>
        <v>September!$H$1:$H$92</v>
      </c>
      <c r="D527" s="159" t="str">
        <f t="shared" si="44"/>
        <v>September!$I$1:$I$92</v>
      </c>
      <c r="E527" t="s">
        <v>3</v>
      </c>
      <c r="F527" t="s">
        <v>128</v>
      </c>
      <c r="G527" t="s">
        <v>143</v>
      </c>
      <c r="H527" t="s">
        <v>21</v>
      </c>
      <c r="I527" t="e">
        <f t="shared" ca="1" si="40"/>
        <v>#REF!</v>
      </c>
      <c r="J527" t="str">
        <f>VLOOKUP($G527,DefinitionArrays!$I$6:$J$12,2,FALSE)</f>
        <v>Workweek</v>
      </c>
    </row>
    <row r="528" spans="1:10">
      <c r="A528" s="159" t="str">
        <f t="shared" si="41"/>
        <v>$H$1:$H$92</v>
      </c>
      <c r="B528" s="159" t="str">
        <f t="shared" si="42"/>
        <v>$I$1:$I$92</v>
      </c>
      <c r="C528" s="159" t="str">
        <f t="shared" si="43"/>
        <v>September!$H$1:$H$92</v>
      </c>
      <c r="D528" s="159" t="str">
        <f t="shared" si="44"/>
        <v>September!$I$1:$I$92</v>
      </c>
      <c r="E528" t="s">
        <v>3</v>
      </c>
      <c r="F528" t="s">
        <v>128</v>
      </c>
      <c r="G528" t="s">
        <v>143</v>
      </c>
      <c r="H528" t="s">
        <v>22</v>
      </c>
      <c r="I528" t="e">
        <f t="shared" ca="1" si="40"/>
        <v>#REF!</v>
      </c>
      <c r="J528" t="str">
        <f>VLOOKUP($G528,DefinitionArrays!$I$6:$J$12,2,FALSE)</f>
        <v>Workweek</v>
      </c>
    </row>
    <row r="529" spans="1:10">
      <c r="A529" s="159" t="str">
        <f t="shared" si="41"/>
        <v>$H$1:$H$92</v>
      </c>
      <c r="B529" s="159" t="str">
        <f t="shared" si="42"/>
        <v>$I$1:$I$92</v>
      </c>
      <c r="C529" s="159" t="str">
        <f t="shared" si="43"/>
        <v>September!$H$1:$H$92</v>
      </c>
      <c r="D529" s="159" t="str">
        <f t="shared" si="44"/>
        <v>September!$I$1:$I$92</v>
      </c>
      <c r="E529" t="s">
        <v>3</v>
      </c>
      <c r="F529" t="s">
        <v>128</v>
      </c>
      <c r="G529" t="s">
        <v>143</v>
      </c>
      <c r="H529" t="s">
        <v>23</v>
      </c>
      <c r="I529" t="e">
        <f t="shared" ca="1" si="40"/>
        <v>#REF!</v>
      </c>
      <c r="J529" t="str">
        <f>VLOOKUP($G529,DefinitionArrays!$I$6:$J$12,2,FALSE)</f>
        <v>Workweek</v>
      </c>
    </row>
    <row r="530" spans="1:10">
      <c r="A530" s="159" t="str">
        <f t="shared" si="41"/>
        <v>$H$1:$H$92</v>
      </c>
      <c r="B530" s="159" t="str">
        <f t="shared" si="42"/>
        <v>$I$1:$I$92</v>
      </c>
      <c r="C530" s="159" t="str">
        <f t="shared" si="43"/>
        <v>September!$H$1:$H$92</v>
      </c>
      <c r="D530" s="159" t="str">
        <f t="shared" si="44"/>
        <v>September!$I$1:$I$92</v>
      </c>
      <c r="E530" t="s">
        <v>3</v>
      </c>
      <c r="F530" t="s">
        <v>128</v>
      </c>
      <c r="G530" t="s">
        <v>143</v>
      </c>
      <c r="H530" t="s">
        <v>24</v>
      </c>
      <c r="I530" t="e">
        <f t="shared" ca="1" si="40"/>
        <v>#REF!</v>
      </c>
      <c r="J530" t="str">
        <f>VLOOKUP($G530,DefinitionArrays!$I$6:$J$12,2,FALSE)</f>
        <v>Workweek</v>
      </c>
    </row>
    <row r="531" spans="1:10">
      <c r="A531" s="159" t="str">
        <f t="shared" si="41"/>
        <v>$H$1:$H$92</v>
      </c>
      <c r="B531" s="159" t="str">
        <f t="shared" si="42"/>
        <v>$I$1:$I$92</v>
      </c>
      <c r="C531" s="159" t="str">
        <f t="shared" si="43"/>
        <v>September!$H$1:$H$92</v>
      </c>
      <c r="D531" s="159" t="str">
        <f t="shared" si="44"/>
        <v>September!$I$1:$I$92</v>
      </c>
      <c r="E531" t="s">
        <v>3</v>
      </c>
      <c r="F531" t="s">
        <v>128</v>
      </c>
      <c r="G531" t="s">
        <v>143</v>
      </c>
      <c r="H531" t="s">
        <v>179</v>
      </c>
      <c r="I531" t="e">
        <f t="shared" ca="1" si="40"/>
        <v>#REF!</v>
      </c>
      <c r="J531" t="str">
        <f>VLOOKUP($G531,DefinitionArrays!$I$6:$J$12,2,FALSE)</f>
        <v>Workweek</v>
      </c>
    </row>
    <row r="532" spans="1:10">
      <c r="A532" s="159" t="str">
        <f t="shared" si="41"/>
        <v>$H$1:$H$92</v>
      </c>
      <c r="B532" s="159" t="str">
        <f t="shared" si="42"/>
        <v>$I$1:$I$92</v>
      </c>
      <c r="C532" s="159" t="str">
        <f t="shared" si="43"/>
        <v>September!$H$1:$H$92</v>
      </c>
      <c r="D532" s="159" t="str">
        <f t="shared" si="44"/>
        <v>September!$I$1:$I$92</v>
      </c>
      <c r="E532" t="s">
        <v>3</v>
      </c>
      <c r="F532" t="s">
        <v>128</v>
      </c>
      <c r="G532" t="s">
        <v>143</v>
      </c>
      <c r="H532" t="s">
        <v>180</v>
      </c>
      <c r="I532" t="e">
        <f t="shared" ca="1" si="40"/>
        <v>#REF!</v>
      </c>
      <c r="J532" t="str">
        <f>VLOOKUP($G532,DefinitionArrays!$I$6:$J$12,2,FALSE)</f>
        <v>Workweek</v>
      </c>
    </row>
    <row r="533" spans="1:10">
      <c r="A533" s="159" t="str">
        <f t="shared" si="41"/>
        <v>$H$1:$H$92</v>
      </c>
      <c r="B533" s="159" t="str">
        <f t="shared" si="42"/>
        <v>$I$1:$I$92</v>
      </c>
      <c r="C533" s="159" t="str">
        <f t="shared" si="43"/>
        <v>September!$H$1:$H$92</v>
      </c>
      <c r="D533" s="159" t="str">
        <f t="shared" si="44"/>
        <v>September!$I$1:$I$92</v>
      </c>
      <c r="E533" t="s">
        <v>3</v>
      </c>
      <c r="F533" t="s">
        <v>128</v>
      </c>
      <c r="G533" t="s">
        <v>143</v>
      </c>
      <c r="H533" t="s">
        <v>44</v>
      </c>
      <c r="I533" t="e">
        <f t="shared" ca="1" si="40"/>
        <v>#REF!</v>
      </c>
      <c r="J533" t="str">
        <f>VLOOKUP($G533,DefinitionArrays!$I$6:$J$12,2,FALSE)</f>
        <v>Workweek</v>
      </c>
    </row>
    <row r="534" spans="1:10">
      <c r="A534" s="159" t="str">
        <f t="shared" si="41"/>
        <v>$K$1:$K$92</v>
      </c>
      <c r="B534" s="159" t="str">
        <f t="shared" si="42"/>
        <v>$L$1:$L$92</v>
      </c>
      <c r="C534" s="159" t="str">
        <f t="shared" si="43"/>
        <v>September!$K$1:$K$92</v>
      </c>
      <c r="D534" s="159" t="str">
        <f t="shared" si="44"/>
        <v>September!$L$1:$L$92</v>
      </c>
      <c r="E534" t="s">
        <v>3</v>
      </c>
      <c r="F534" t="s">
        <v>128</v>
      </c>
      <c r="G534" t="s">
        <v>144</v>
      </c>
      <c r="H534" t="s">
        <v>159</v>
      </c>
      <c r="I534" t="e">
        <f t="shared" ca="1" si="40"/>
        <v>#REF!</v>
      </c>
      <c r="J534" t="str">
        <f>VLOOKUP($G534,DefinitionArrays!$I$6:$J$12,2,FALSE)</f>
        <v>Workweek</v>
      </c>
    </row>
    <row r="535" spans="1:10">
      <c r="A535" s="159" t="str">
        <f t="shared" si="41"/>
        <v>$K$1:$K$92</v>
      </c>
      <c r="B535" s="159" t="str">
        <f t="shared" si="42"/>
        <v>$L$1:$L$92</v>
      </c>
      <c r="C535" s="159" t="str">
        <f t="shared" si="43"/>
        <v>September!$K$1:$K$92</v>
      </c>
      <c r="D535" s="159" t="str">
        <f t="shared" si="44"/>
        <v>September!$L$1:$L$92</v>
      </c>
      <c r="E535" t="s">
        <v>3</v>
      </c>
      <c r="F535" t="s">
        <v>128</v>
      </c>
      <c r="G535" t="s">
        <v>144</v>
      </c>
      <c r="H535" t="s">
        <v>18</v>
      </c>
      <c r="I535" t="e">
        <f t="shared" ca="1" si="40"/>
        <v>#REF!</v>
      </c>
      <c r="J535" t="str">
        <f>VLOOKUP($G535,DefinitionArrays!$I$6:$J$12,2,FALSE)</f>
        <v>Workweek</v>
      </c>
    </row>
    <row r="536" spans="1:10">
      <c r="A536" s="159" t="str">
        <f t="shared" si="41"/>
        <v>$K$1:$K$92</v>
      </c>
      <c r="B536" s="159" t="str">
        <f t="shared" si="42"/>
        <v>$L$1:$L$92</v>
      </c>
      <c r="C536" s="159" t="str">
        <f t="shared" si="43"/>
        <v>September!$K$1:$K$92</v>
      </c>
      <c r="D536" s="159" t="str">
        <f t="shared" si="44"/>
        <v>September!$L$1:$L$92</v>
      </c>
      <c r="E536" t="s">
        <v>3</v>
      </c>
      <c r="F536" t="s">
        <v>128</v>
      </c>
      <c r="G536" t="s">
        <v>144</v>
      </c>
      <c r="H536" t="s">
        <v>153</v>
      </c>
      <c r="I536" t="e">
        <f t="shared" ca="1" si="40"/>
        <v>#REF!</v>
      </c>
      <c r="J536" t="str">
        <f>VLOOKUP($G536,DefinitionArrays!$I$6:$J$12,2,FALSE)</f>
        <v>Workweek</v>
      </c>
    </row>
    <row r="537" spans="1:10">
      <c r="A537" s="159" t="str">
        <f t="shared" si="41"/>
        <v>$K$1:$K$92</v>
      </c>
      <c r="B537" s="159" t="str">
        <f t="shared" si="42"/>
        <v>$L$1:$L$92</v>
      </c>
      <c r="C537" s="159" t="str">
        <f t="shared" si="43"/>
        <v>September!$K$1:$K$92</v>
      </c>
      <c r="D537" s="159" t="str">
        <f t="shared" si="44"/>
        <v>September!$L$1:$L$92</v>
      </c>
      <c r="E537" t="s">
        <v>3</v>
      </c>
      <c r="F537" t="s">
        <v>128</v>
      </c>
      <c r="G537" t="s">
        <v>144</v>
      </c>
      <c r="H537" t="s">
        <v>19</v>
      </c>
      <c r="I537" t="e">
        <f t="shared" ca="1" si="40"/>
        <v>#REF!</v>
      </c>
      <c r="J537" t="str">
        <f>VLOOKUP($G537,DefinitionArrays!$I$6:$J$12,2,FALSE)</f>
        <v>Workweek</v>
      </c>
    </row>
    <row r="538" spans="1:10">
      <c r="A538" s="159" t="str">
        <f t="shared" si="41"/>
        <v>$K$1:$K$92</v>
      </c>
      <c r="B538" s="159" t="str">
        <f t="shared" si="42"/>
        <v>$L$1:$L$92</v>
      </c>
      <c r="C538" s="159" t="str">
        <f t="shared" si="43"/>
        <v>September!$K$1:$K$92</v>
      </c>
      <c r="D538" s="159" t="str">
        <f t="shared" si="44"/>
        <v>September!$L$1:$L$92</v>
      </c>
      <c r="E538" t="s">
        <v>3</v>
      </c>
      <c r="F538" t="s">
        <v>128</v>
      </c>
      <c r="G538" t="s">
        <v>144</v>
      </c>
      <c r="H538" t="s">
        <v>20</v>
      </c>
      <c r="I538" t="e">
        <f t="shared" ca="1" si="40"/>
        <v>#REF!</v>
      </c>
      <c r="J538" t="str">
        <f>VLOOKUP($G538,DefinitionArrays!$I$6:$J$12,2,FALSE)</f>
        <v>Workweek</v>
      </c>
    </row>
    <row r="539" spans="1:10">
      <c r="A539" s="159" t="str">
        <f t="shared" si="41"/>
        <v>$K$1:$K$92</v>
      </c>
      <c r="B539" s="159" t="str">
        <f t="shared" si="42"/>
        <v>$L$1:$L$92</v>
      </c>
      <c r="C539" s="159" t="str">
        <f t="shared" si="43"/>
        <v>September!$K$1:$K$92</v>
      </c>
      <c r="D539" s="159" t="str">
        <f t="shared" si="44"/>
        <v>September!$L$1:$L$92</v>
      </c>
      <c r="E539" t="s">
        <v>3</v>
      </c>
      <c r="F539" t="s">
        <v>128</v>
      </c>
      <c r="G539" t="s">
        <v>144</v>
      </c>
      <c r="H539" t="s">
        <v>21</v>
      </c>
      <c r="I539" t="e">
        <f t="shared" ca="1" si="40"/>
        <v>#REF!</v>
      </c>
      <c r="J539" t="str">
        <f>VLOOKUP($G539,DefinitionArrays!$I$6:$J$12,2,FALSE)</f>
        <v>Workweek</v>
      </c>
    </row>
    <row r="540" spans="1:10">
      <c r="A540" s="159" t="str">
        <f t="shared" si="41"/>
        <v>$K$1:$K$92</v>
      </c>
      <c r="B540" s="159" t="str">
        <f t="shared" si="42"/>
        <v>$L$1:$L$92</v>
      </c>
      <c r="C540" s="159" t="str">
        <f t="shared" si="43"/>
        <v>September!$K$1:$K$92</v>
      </c>
      <c r="D540" s="159" t="str">
        <f t="shared" si="44"/>
        <v>September!$L$1:$L$92</v>
      </c>
      <c r="E540" t="s">
        <v>3</v>
      </c>
      <c r="F540" t="s">
        <v>128</v>
      </c>
      <c r="G540" t="s">
        <v>144</v>
      </c>
      <c r="H540" t="s">
        <v>22</v>
      </c>
      <c r="I540" t="e">
        <f t="shared" ca="1" si="40"/>
        <v>#REF!</v>
      </c>
      <c r="J540" t="str">
        <f>VLOOKUP($G540,DefinitionArrays!$I$6:$J$12,2,FALSE)</f>
        <v>Workweek</v>
      </c>
    </row>
    <row r="541" spans="1:10">
      <c r="A541" s="159" t="str">
        <f t="shared" si="41"/>
        <v>$K$1:$K$92</v>
      </c>
      <c r="B541" s="159" t="str">
        <f t="shared" si="42"/>
        <v>$L$1:$L$92</v>
      </c>
      <c r="C541" s="159" t="str">
        <f t="shared" si="43"/>
        <v>September!$K$1:$K$92</v>
      </c>
      <c r="D541" s="159" t="str">
        <f t="shared" si="44"/>
        <v>September!$L$1:$L$92</v>
      </c>
      <c r="E541" t="s">
        <v>3</v>
      </c>
      <c r="F541" t="s">
        <v>128</v>
      </c>
      <c r="G541" t="s">
        <v>144</v>
      </c>
      <c r="H541" t="s">
        <v>23</v>
      </c>
      <c r="I541" t="e">
        <f t="shared" ca="1" si="40"/>
        <v>#REF!</v>
      </c>
      <c r="J541" t="str">
        <f>VLOOKUP($G541,DefinitionArrays!$I$6:$J$12,2,FALSE)</f>
        <v>Workweek</v>
      </c>
    </row>
    <row r="542" spans="1:10">
      <c r="A542" s="159" t="str">
        <f t="shared" si="41"/>
        <v>$K$1:$K$92</v>
      </c>
      <c r="B542" s="159" t="str">
        <f t="shared" si="42"/>
        <v>$L$1:$L$92</v>
      </c>
      <c r="C542" s="159" t="str">
        <f t="shared" si="43"/>
        <v>September!$K$1:$K$92</v>
      </c>
      <c r="D542" s="159" t="str">
        <f t="shared" si="44"/>
        <v>September!$L$1:$L$92</v>
      </c>
      <c r="E542" t="s">
        <v>3</v>
      </c>
      <c r="F542" t="s">
        <v>128</v>
      </c>
      <c r="G542" t="s">
        <v>144</v>
      </c>
      <c r="H542" t="s">
        <v>24</v>
      </c>
      <c r="I542" t="e">
        <f t="shared" ca="1" si="40"/>
        <v>#REF!</v>
      </c>
      <c r="J542" t="str">
        <f>VLOOKUP($G542,DefinitionArrays!$I$6:$J$12,2,FALSE)</f>
        <v>Workweek</v>
      </c>
    </row>
    <row r="543" spans="1:10">
      <c r="A543" s="159" t="str">
        <f t="shared" si="41"/>
        <v>$K$1:$K$92</v>
      </c>
      <c r="B543" s="159" t="str">
        <f t="shared" si="42"/>
        <v>$L$1:$L$92</v>
      </c>
      <c r="C543" s="159" t="str">
        <f t="shared" si="43"/>
        <v>September!$K$1:$K$92</v>
      </c>
      <c r="D543" s="159" t="str">
        <f t="shared" si="44"/>
        <v>September!$L$1:$L$92</v>
      </c>
      <c r="E543" t="s">
        <v>3</v>
      </c>
      <c r="F543" t="s">
        <v>128</v>
      </c>
      <c r="G543" t="s">
        <v>144</v>
      </c>
      <c r="H543" t="s">
        <v>179</v>
      </c>
      <c r="I543" t="e">
        <f t="shared" ca="1" si="40"/>
        <v>#REF!</v>
      </c>
      <c r="J543" t="str">
        <f>VLOOKUP($G543,DefinitionArrays!$I$6:$J$12,2,FALSE)</f>
        <v>Workweek</v>
      </c>
    </row>
    <row r="544" spans="1:10">
      <c r="A544" s="159" t="str">
        <f t="shared" si="41"/>
        <v>$K$1:$K$92</v>
      </c>
      <c r="B544" s="159" t="str">
        <f t="shared" si="42"/>
        <v>$L$1:$L$92</v>
      </c>
      <c r="C544" s="159" t="str">
        <f t="shared" si="43"/>
        <v>September!$K$1:$K$92</v>
      </c>
      <c r="D544" s="159" t="str">
        <f t="shared" si="44"/>
        <v>September!$L$1:$L$92</v>
      </c>
      <c r="E544" t="s">
        <v>3</v>
      </c>
      <c r="F544" t="s">
        <v>128</v>
      </c>
      <c r="G544" t="s">
        <v>144</v>
      </c>
      <c r="H544" t="s">
        <v>180</v>
      </c>
      <c r="I544" t="e">
        <f t="shared" ca="1" si="40"/>
        <v>#REF!</v>
      </c>
      <c r="J544" t="str">
        <f>VLOOKUP($G544,DefinitionArrays!$I$6:$J$12,2,FALSE)</f>
        <v>Workweek</v>
      </c>
    </row>
    <row r="545" spans="1:10">
      <c r="A545" s="159" t="str">
        <f t="shared" si="41"/>
        <v>$K$1:$K$92</v>
      </c>
      <c r="B545" s="159" t="str">
        <f t="shared" si="42"/>
        <v>$L$1:$L$92</v>
      </c>
      <c r="C545" s="159" t="str">
        <f t="shared" si="43"/>
        <v>September!$K$1:$K$92</v>
      </c>
      <c r="D545" s="159" t="str">
        <f t="shared" si="44"/>
        <v>September!$L$1:$L$92</v>
      </c>
      <c r="E545" t="s">
        <v>3</v>
      </c>
      <c r="F545" t="s">
        <v>128</v>
      </c>
      <c r="G545" t="s">
        <v>144</v>
      </c>
      <c r="H545" t="s">
        <v>44</v>
      </c>
      <c r="I545" t="e">
        <f t="shared" ca="1" si="40"/>
        <v>#REF!</v>
      </c>
      <c r="J545" t="str">
        <f>VLOOKUP($G545,DefinitionArrays!$I$6:$J$12,2,FALSE)</f>
        <v>Workweek</v>
      </c>
    </row>
    <row r="546" spans="1:10">
      <c r="A546" s="159" t="str">
        <f t="shared" si="41"/>
        <v>$N$1:$N$92</v>
      </c>
      <c r="B546" s="159" t="str">
        <f t="shared" si="42"/>
        <v>$O$1:$O$92</v>
      </c>
      <c r="C546" s="159" t="str">
        <f t="shared" si="43"/>
        <v>September!$N$1:$N$92</v>
      </c>
      <c r="D546" s="159" t="str">
        <f t="shared" si="44"/>
        <v>September!$O$1:$O$92</v>
      </c>
      <c r="E546" t="s">
        <v>3</v>
      </c>
      <c r="F546" t="s">
        <v>128</v>
      </c>
      <c r="G546" t="s">
        <v>145</v>
      </c>
      <c r="H546" t="s">
        <v>159</v>
      </c>
      <c r="I546" t="e">
        <f t="shared" ca="1" si="40"/>
        <v>#REF!</v>
      </c>
      <c r="J546" t="str">
        <f>VLOOKUP($G546,DefinitionArrays!$I$6:$J$12,2,FALSE)</f>
        <v>Weekend</v>
      </c>
    </row>
    <row r="547" spans="1:10">
      <c r="A547" s="159" t="str">
        <f t="shared" si="41"/>
        <v>$N$1:$N$92</v>
      </c>
      <c r="B547" s="159" t="str">
        <f t="shared" si="42"/>
        <v>$O$1:$O$92</v>
      </c>
      <c r="C547" s="159" t="str">
        <f t="shared" si="43"/>
        <v>September!$N$1:$N$92</v>
      </c>
      <c r="D547" s="159" t="str">
        <f t="shared" si="44"/>
        <v>September!$O$1:$O$92</v>
      </c>
      <c r="E547" t="s">
        <v>3</v>
      </c>
      <c r="F547" t="s">
        <v>128</v>
      </c>
      <c r="G547" t="s">
        <v>145</v>
      </c>
      <c r="H547" t="s">
        <v>18</v>
      </c>
      <c r="I547" t="e">
        <f t="shared" ca="1" si="40"/>
        <v>#REF!</v>
      </c>
      <c r="J547" t="str">
        <f>VLOOKUP($G547,DefinitionArrays!$I$6:$J$12,2,FALSE)</f>
        <v>Weekend</v>
      </c>
    </row>
    <row r="548" spans="1:10">
      <c r="A548" s="159" t="str">
        <f t="shared" si="41"/>
        <v>$N$1:$N$92</v>
      </c>
      <c r="B548" s="159" t="str">
        <f t="shared" si="42"/>
        <v>$O$1:$O$92</v>
      </c>
      <c r="C548" s="159" t="str">
        <f t="shared" si="43"/>
        <v>September!$N$1:$N$92</v>
      </c>
      <c r="D548" s="159" t="str">
        <f t="shared" si="44"/>
        <v>September!$O$1:$O$92</v>
      </c>
      <c r="E548" t="s">
        <v>3</v>
      </c>
      <c r="F548" t="s">
        <v>128</v>
      </c>
      <c r="G548" t="s">
        <v>145</v>
      </c>
      <c r="H548" t="s">
        <v>153</v>
      </c>
      <c r="I548" t="e">
        <f t="shared" ca="1" si="40"/>
        <v>#REF!</v>
      </c>
      <c r="J548" t="str">
        <f>VLOOKUP($G548,DefinitionArrays!$I$6:$J$12,2,FALSE)</f>
        <v>Weekend</v>
      </c>
    </row>
    <row r="549" spans="1:10">
      <c r="A549" s="159" t="str">
        <f t="shared" si="41"/>
        <v>$N$1:$N$92</v>
      </c>
      <c r="B549" s="159" t="str">
        <f t="shared" si="42"/>
        <v>$O$1:$O$92</v>
      </c>
      <c r="C549" s="159" t="str">
        <f t="shared" si="43"/>
        <v>September!$N$1:$N$92</v>
      </c>
      <c r="D549" s="159" t="str">
        <f t="shared" si="44"/>
        <v>September!$O$1:$O$92</v>
      </c>
      <c r="E549" t="s">
        <v>3</v>
      </c>
      <c r="F549" t="s">
        <v>128</v>
      </c>
      <c r="G549" t="s">
        <v>145</v>
      </c>
      <c r="H549" t="s">
        <v>19</v>
      </c>
      <c r="I549" t="e">
        <f t="shared" ca="1" si="40"/>
        <v>#REF!</v>
      </c>
      <c r="J549" t="str">
        <f>VLOOKUP($G549,DefinitionArrays!$I$6:$J$12,2,FALSE)</f>
        <v>Weekend</v>
      </c>
    </row>
    <row r="550" spans="1:10">
      <c r="A550" s="159" t="str">
        <f t="shared" si="41"/>
        <v>$N$1:$N$92</v>
      </c>
      <c r="B550" s="159" t="str">
        <f t="shared" si="42"/>
        <v>$O$1:$O$92</v>
      </c>
      <c r="C550" s="159" t="str">
        <f t="shared" si="43"/>
        <v>September!$N$1:$N$92</v>
      </c>
      <c r="D550" s="159" t="str">
        <f t="shared" si="44"/>
        <v>September!$O$1:$O$92</v>
      </c>
      <c r="E550" t="s">
        <v>3</v>
      </c>
      <c r="F550" t="s">
        <v>128</v>
      </c>
      <c r="G550" t="s">
        <v>145</v>
      </c>
      <c r="H550" t="s">
        <v>20</v>
      </c>
      <c r="I550" t="e">
        <f t="shared" ca="1" si="40"/>
        <v>#REF!</v>
      </c>
      <c r="J550" t="str">
        <f>VLOOKUP($G550,DefinitionArrays!$I$6:$J$12,2,FALSE)</f>
        <v>Weekend</v>
      </c>
    </row>
    <row r="551" spans="1:10">
      <c r="A551" s="159" t="str">
        <f t="shared" si="41"/>
        <v>$N$1:$N$92</v>
      </c>
      <c r="B551" s="159" t="str">
        <f t="shared" si="42"/>
        <v>$O$1:$O$92</v>
      </c>
      <c r="C551" s="159" t="str">
        <f t="shared" si="43"/>
        <v>September!$N$1:$N$92</v>
      </c>
      <c r="D551" s="159" t="str">
        <f t="shared" si="44"/>
        <v>September!$O$1:$O$92</v>
      </c>
      <c r="E551" t="s">
        <v>3</v>
      </c>
      <c r="F551" t="s">
        <v>128</v>
      </c>
      <c r="G551" t="s">
        <v>145</v>
      </c>
      <c r="H551" t="s">
        <v>21</v>
      </c>
      <c r="I551" t="e">
        <f t="shared" ca="1" si="40"/>
        <v>#REF!</v>
      </c>
      <c r="J551" t="str">
        <f>VLOOKUP($G551,DefinitionArrays!$I$6:$J$12,2,FALSE)</f>
        <v>Weekend</v>
      </c>
    </row>
    <row r="552" spans="1:10">
      <c r="A552" s="159" t="str">
        <f t="shared" si="41"/>
        <v>$N$1:$N$92</v>
      </c>
      <c r="B552" s="159" t="str">
        <f t="shared" si="42"/>
        <v>$O$1:$O$92</v>
      </c>
      <c r="C552" s="159" t="str">
        <f t="shared" si="43"/>
        <v>September!$N$1:$N$92</v>
      </c>
      <c r="D552" s="159" t="str">
        <f t="shared" si="44"/>
        <v>September!$O$1:$O$92</v>
      </c>
      <c r="E552" t="s">
        <v>3</v>
      </c>
      <c r="F552" t="s">
        <v>128</v>
      </c>
      <c r="G552" t="s">
        <v>145</v>
      </c>
      <c r="H552" t="s">
        <v>22</v>
      </c>
      <c r="I552" t="e">
        <f t="shared" ca="1" si="40"/>
        <v>#REF!</v>
      </c>
      <c r="J552" t="str">
        <f>VLOOKUP($G552,DefinitionArrays!$I$6:$J$12,2,FALSE)</f>
        <v>Weekend</v>
      </c>
    </row>
    <row r="553" spans="1:10">
      <c r="A553" s="159" t="str">
        <f t="shared" si="41"/>
        <v>$N$1:$N$92</v>
      </c>
      <c r="B553" s="159" t="str">
        <f t="shared" si="42"/>
        <v>$O$1:$O$92</v>
      </c>
      <c r="C553" s="159" t="str">
        <f t="shared" si="43"/>
        <v>September!$N$1:$N$92</v>
      </c>
      <c r="D553" s="159" t="str">
        <f t="shared" si="44"/>
        <v>September!$O$1:$O$92</v>
      </c>
      <c r="E553" t="s">
        <v>3</v>
      </c>
      <c r="F553" t="s">
        <v>128</v>
      </c>
      <c r="G553" t="s">
        <v>145</v>
      </c>
      <c r="H553" t="s">
        <v>23</v>
      </c>
      <c r="I553" t="e">
        <f t="shared" ca="1" si="40"/>
        <v>#REF!</v>
      </c>
      <c r="J553" t="str">
        <f>VLOOKUP($G553,DefinitionArrays!$I$6:$J$12,2,FALSE)</f>
        <v>Weekend</v>
      </c>
    </row>
    <row r="554" spans="1:10">
      <c r="A554" s="159" t="str">
        <f t="shared" si="41"/>
        <v>$N$1:$N$92</v>
      </c>
      <c r="B554" s="159" t="str">
        <f t="shared" si="42"/>
        <v>$O$1:$O$92</v>
      </c>
      <c r="C554" s="159" t="str">
        <f t="shared" si="43"/>
        <v>September!$N$1:$N$92</v>
      </c>
      <c r="D554" s="159" t="str">
        <f t="shared" si="44"/>
        <v>September!$O$1:$O$92</v>
      </c>
      <c r="E554" t="s">
        <v>3</v>
      </c>
      <c r="F554" t="s">
        <v>128</v>
      </c>
      <c r="G554" t="s">
        <v>145</v>
      </c>
      <c r="H554" t="s">
        <v>24</v>
      </c>
      <c r="I554" t="e">
        <f t="shared" ca="1" si="40"/>
        <v>#REF!</v>
      </c>
      <c r="J554" t="str">
        <f>VLOOKUP($G554,DefinitionArrays!$I$6:$J$12,2,FALSE)</f>
        <v>Weekend</v>
      </c>
    </row>
    <row r="555" spans="1:10">
      <c r="A555" s="159" t="str">
        <f t="shared" si="41"/>
        <v>$N$1:$N$92</v>
      </c>
      <c r="B555" s="159" t="str">
        <f t="shared" si="42"/>
        <v>$O$1:$O$92</v>
      </c>
      <c r="C555" s="159" t="str">
        <f t="shared" si="43"/>
        <v>September!$N$1:$N$92</v>
      </c>
      <c r="D555" s="159" t="str">
        <f t="shared" si="44"/>
        <v>September!$O$1:$O$92</v>
      </c>
      <c r="E555" t="s">
        <v>3</v>
      </c>
      <c r="F555" t="s">
        <v>128</v>
      </c>
      <c r="G555" t="s">
        <v>145</v>
      </c>
      <c r="H555" t="s">
        <v>179</v>
      </c>
      <c r="I555" t="e">
        <f t="shared" ca="1" si="40"/>
        <v>#REF!</v>
      </c>
      <c r="J555" t="str">
        <f>VLOOKUP($G555,DefinitionArrays!$I$6:$J$12,2,FALSE)</f>
        <v>Weekend</v>
      </c>
    </row>
    <row r="556" spans="1:10">
      <c r="A556" s="159" t="str">
        <f t="shared" si="41"/>
        <v>$N$1:$N$92</v>
      </c>
      <c r="B556" s="159" t="str">
        <f t="shared" si="42"/>
        <v>$O$1:$O$92</v>
      </c>
      <c r="C556" s="159" t="str">
        <f t="shared" si="43"/>
        <v>September!$N$1:$N$92</v>
      </c>
      <c r="D556" s="159" t="str">
        <f t="shared" si="44"/>
        <v>September!$O$1:$O$92</v>
      </c>
      <c r="E556" t="s">
        <v>3</v>
      </c>
      <c r="F556" t="s">
        <v>128</v>
      </c>
      <c r="G556" t="s">
        <v>145</v>
      </c>
      <c r="H556" t="s">
        <v>180</v>
      </c>
      <c r="I556" t="e">
        <f t="shared" ca="1" si="40"/>
        <v>#REF!</v>
      </c>
      <c r="J556" t="str">
        <f>VLOOKUP($G556,DefinitionArrays!$I$6:$J$12,2,FALSE)</f>
        <v>Weekend</v>
      </c>
    </row>
    <row r="557" spans="1:10">
      <c r="A557" s="159" t="str">
        <f t="shared" si="41"/>
        <v>$N$1:$N$92</v>
      </c>
      <c r="B557" s="159" t="str">
        <f t="shared" si="42"/>
        <v>$O$1:$O$92</v>
      </c>
      <c r="C557" s="159" t="str">
        <f t="shared" si="43"/>
        <v>September!$N$1:$N$92</v>
      </c>
      <c r="D557" s="159" t="str">
        <f t="shared" si="44"/>
        <v>September!$O$1:$O$92</v>
      </c>
      <c r="E557" t="s">
        <v>3</v>
      </c>
      <c r="F557" t="s">
        <v>128</v>
      </c>
      <c r="G557" t="s">
        <v>145</v>
      </c>
      <c r="H557" t="s">
        <v>44</v>
      </c>
      <c r="I557" t="e">
        <f t="shared" ca="1" si="40"/>
        <v>#REF!</v>
      </c>
      <c r="J557" t="str">
        <f>VLOOKUP($G557,DefinitionArrays!$I$6:$J$12,2,FALSE)</f>
        <v>Weekend</v>
      </c>
    </row>
    <row r="558" spans="1:10">
      <c r="A558" s="159" t="str">
        <f t="shared" si="41"/>
        <v>$Q$1:$Q$92</v>
      </c>
      <c r="B558" s="159" t="str">
        <f t="shared" si="42"/>
        <v>$R$1:$R$92</v>
      </c>
      <c r="C558" s="159" t="str">
        <f t="shared" si="43"/>
        <v>September!$Q$1:$Q$92</v>
      </c>
      <c r="D558" s="159" t="str">
        <f t="shared" si="44"/>
        <v>September!$R$1:$R$92</v>
      </c>
      <c r="E558" t="s">
        <v>3</v>
      </c>
      <c r="F558" t="s">
        <v>128</v>
      </c>
      <c r="G558" t="s">
        <v>146</v>
      </c>
      <c r="H558" t="s">
        <v>159</v>
      </c>
      <c r="I558" t="e">
        <f t="shared" ca="1" si="40"/>
        <v>#REF!</v>
      </c>
      <c r="J558" t="str">
        <f>VLOOKUP($G558,DefinitionArrays!$I$6:$J$12,2,FALSE)</f>
        <v>Weekend</v>
      </c>
    </row>
    <row r="559" spans="1:10">
      <c r="A559" s="159" t="str">
        <f t="shared" si="41"/>
        <v>$T$1:$T$92</v>
      </c>
      <c r="B559" s="159" t="str">
        <f t="shared" si="42"/>
        <v>$U$1:$U$92</v>
      </c>
      <c r="C559" s="159" t="str">
        <f t="shared" si="43"/>
        <v>September!$T$1:$T$92</v>
      </c>
      <c r="D559" s="159" t="str">
        <f t="shared" si="44"/>
        <v>September!$U$1:$U$92</v>
      </c>
      <c r="E559" t="s">
        <v>3</v>
      </c>
      <c r="F559" t="s">
        <v>128</v>
      </c>
      <c r="G559" t="s">
        <v>141</v>
      </c>
      <c r="H559" t="s">
        <v>159</v>
      </c>
      <c r="I559" t="e">
        <f t="shared" ca="1" si="40"/>
        <v>#REF!</v>
      </c>
      <c r="J559" t="str">
        <f>VLOOKUP($G559,DefinitionArrays!$I$6:$J$12,2,FALSE)</f>
        <v>Weekend</v>
      </c>
    </row>
    <row r="560" spans="1:10">
      <c r="A560" s="159" t="str">
        <f t="shared" si="41"/>
        <v>$B$1:$B$92</v>
      </c>
      <c r="B560" s="159" t="str">
        <f t="shared" si="42"/>
        <v>$C$1:$C$92</v>
      </c>
      <c r="C560" s="159" t="str">
        <f t="shared" si="43"/>
        <v>October!$B$1:$B$92</v>
      </c>
      <c r="D560" s="159" t="str">
        <f t="shared" si="44"/>
        <v>October!$C$1:$C$92</v>
      </c>
      <c r="E560" t="s">
        <v>3</v>
      </c>
      <c r="F560" t="s">
        <v>129</v>
      </c>
      <c r="G560" t="s">
        <v>13</v>
      </c>
      <c r="H560" t="s">
        <v>159</v>
      </c>
      <c r="I560" t="e">
        <f ca="1">COUNTIFS(INDIRECT($C560),$E560,INDIRECT($D560),$H560)</f>
        <v>#REF!</v>
      </c>
      <c r="J560" t="str">
        <f>VLOOKUP($G560,DefinitionArrays!$I$6:$J$12,2,FALSE)</f>
        <v>Workweek</v>
      </c>
    </row>
    <row r="561" spans="1:10">
      <c r="A561" s="159" t="str">
        <f t="shared" si="41"/>
        <v>$B$1:$B$92</v>
      </c>
      <c r="B561" s="159" t="str">
        <f t="shared" si="42"/>
        <v>$C$1:$C$92</v>
      </c>
      <c r="C561" s="159" t="str">
        <f t="shared" si="43"/>
        <v>October!$B$1:$B$92</v>
      </c>
      <c r="D561" s="159" t="str">
        <f t="shared" si="44"/>
        <v>October!$C$1:$C$92</v>
      </c>
      <c r="E561" t="s">
        <v>3</v>
      </c>
      <c r="F561" t="s">
        <v>129</v>
      </c>
      <c r="G561" t="s">
        <v>13</v>
      </c>
      <c r="H561" t="s">
        <v>18</v>
      </c>
      <c r="I561" t="e">
        <f t="shared" ref="I561:I621" ca="1" si="45">COUNTIFS(INDIRECT($C561),$E561,INDIRECT($D561),$H561)</f>
        <v>#REF!</v>
      </c>
      <c r="J561" t="str">
        <f>VLOOKUP($G561,DefinitionArrays!$I$6:$J$12,2,FALSE)</f>
        <v>Workweek</v>
      </c>
    </row>
    <row r="562" spans="1:10">
      <c r="A562" s="159" t="str">
        <f t="shared" si="41"/>
        <v>$B$1:$B$92</v>
      </c>
      <c r="B562" s="159" t="str">
        <f t="shared" si="42"/>
        <v>$C$1:$C$92</v>
      </c>
      <c r="C562" s="159" t="str">
        <f t="shared" si="43"/>
        <v>October!$B$1:$B$92</v>
      </c>
      <c r="D562" s="159" t="str">
        <f t="shared" si="44"/>
        <v>October!$C$1:$C$92</v>
      </c>
      <c r="E562" t="s">
        <v>3</v>
      </c>
      <c r="F562" t="s">
        <v>129</v>
      </c>
      <c r="G562" t="s">
        <v>13</v>
      </c>
      <c r="H562" t="s">
        <v>153</v>
      </c>
      <c r="I562" t="e">
        <f t="shared" ca="1" si="45"/>
        <v>#REF!</v>
      </c>
      <c r="J562" t="str">
        <f>VLOOKUP($G562,DefinitionArrays!$I$6:$J$12,2,FALSE)</f>
        <v>Workweek</v>
      </c>
    </row>
    <row r="563" spans="1:10">
      <c r="A563" s="159" t="str">
        <f t="shared" si="41"/>
        <v>$B$1:$B$92</v>
      </c>
      <c r="B563" s="159" t="str">
        <f t="shared" si="42"/>
        <v>$C$1:$C$92</v>
      </c>
      <c r="C563" s="159" t="str">
        <f t="shared" si="43"/>
        <v>October!$B$1:$B$92</v>
      </c>
      <c r="D563" s="159" t="str">
        <f t="shared" si="44"/>
        <v>October!$C$1:$C$92</v>
      </c>
      <c r="E563" t="s">
        <v>3</v>
      </c>
      <c r="F563" t="s">
        <v>129</v>
      </c>
      <c r="G563" t="s">
        <v>13</v>
      </c>
      <c r="H563" t="s">
        <v>19</v>
      </c>
      <c r="I563" t="e">
        <f t="shared" ca="1" si="45"/>
        <v>#REF!</v>
      </c>
      <c r="J563" t="str">
        <f>VLOOKUP($G563,DefinitionArrays!$I$6:$J$12,2,FALSE)</f>
        <v>Workweek</v>
      </c>
    </row>
    <row r="564" spans="1:10">
      <c r="A564" s="159" t="str">
        <f t="shared" si="41"/>
        <v>$B$1:$B$92</v>
      </c>
      <c r="B564" s="159" t="str">
        <f t="shared" si="42"/>
        <v>$C$1:$C$92</v>
      </c>
      <c r="C564" s="159" t="str">
        <f t="shared" si="43"/>
        <v>October!$B$1:$B$92</v>
      </c>
      <c r="D564" s="159" t="str">
        <f t="shared" si="44"/>
        <v>October!$C$1:$C$92</v>
      </c>
      <c r="E564" t="s">
        <v>3</v>
      </c>
      <c r="F564" t="s">
        <v>129</v>
      </c>
      <c r="G564" t="s">
        <v>13</v>
      </c>
      <c r="H564" t="s">
        <v>20</v>
      </c>
      <c r="I564" t="e">
        <f t="shared" ca="1" si="45"/>
        <v>#REF!</v>
      </c>
      <c r="J564" t="str">
        <f>VLOOKUP($G564,DefinitionArrays!$I$6:$J$12,2,FALSE)</f>
        <v>Workweek</v>
      </c>
    </row>
    <row r="565" spans="1:10">
      <c r="A565" s="159" t="str">
        <f t="shared" si="41"/>
        <v>$B$1:$B$92</v>
      </c>
      <c r="B565" s="159" t="str">
        <f t="shared" si="42"/>
        <v>$C$1:$C$92</v>
      </c>
      <c r="C565" s="159" t="str">
        <f t="shared" si="43"/>
        <v>October!$B$1:$B$92</v>
      </c>
      <c r="D565" s="159" t="str">
        <f t="shared" si="44"/>
        <v>October!$C$1:$C$92</v>
      </c>
      <c r="E565" t="s">
        <v>3</v>
      </c>
      <c r="F565" t="s">
        <v>129</v>
      </c>
      <c r="G565" t="s">
        <v>13</v>
      </c>
      <c r="H565" t="s">
        <v>21</v>
      </c>
      <c r="I565" t="e">
        <f t="shared" ca="1" si="45"/>
        <v>#REF!</v>
      </c>
      <c r="J565" t="str">
        <f>VLOOKUP($G565,DefinitionArrays!$I$6:$J$12,2,FALSE)</f>
        <v>Workweek</v>
      </c>
    </row>
    <row r="566" spans="1:10">
      <c r="A566" s="159" t="str">
        <f t="shared" si="41"/>
        <v>$B$1:$B$92</v>
      </c>
      <c r="B566" s="159" t="str">
        <f t="shared" si="42"/>
        <v>$C$1:$C$92</v>
      </c>
      <c r="C566" s="159" t="str">
        <f t="shared" si="43"/>
        <v>October!$B$1:$B$92</v>
      </c>
      <c r="D566" s="159" t="str">
        <f t="shared" si="44"/>
        <v>October!$C$1:$C$92</v>
      </c>
      <c r="E566" t="s">
        <v>3</v>
      </c>
      <c r="F566" t="s">
        <v>129</v>
      </c>
      <c r="G566" t="s">
        <v>13</v>
      </c>
      <c r="H566" t="s">
        <v>22</v>
      </c>
      <c r="I566" t="e">
        <f t="shared" ca="1" si="45"/>
        <v>#REF!</v>
      </c>
      <c r="J566" t="str">
        <f>VLOOKUP($G566,DefinitionArrays!$I$6:$J$12,2,FALSE)</f>
        <v>Workweek</v>
      </c>
    </row>
    <row r="567" spans="1:10">
      <c r="A567" s="159" t="str">
        <f t="shared" si="41"/>
        <v>$B$1:$B$92</v>
      </c>
      <c r="B567" s="159" t="str">
        <f t="shared" si="42"/>
        <v>$C$1:$C$92</v>
      </c>
      <c r="C567" s="159" t="str">
        <f t="shared" si="43"/>
        <v>October!$B$1:$B$92</v>
      </c>
      <c r="D567" s="159" t="str">
        <f t="shared" si="44"/>
        <v>October!$C$1:$C$92</v>
      </c>
      <c r="E567" t="s">
        <v>3</v>
      </c>
      <c r="F567" t="s">
        <v>129</v>
      </c>
      <c r="G567" t="s">
        <v>13</v>
      </c>
      <c r="H567" t="s">
        <v>23</v>
      </c>
      <c r="I567" t="e">
        <f t="shared" ca="1" si="45"/>
        <v>#REF!</v>
      </c>
      <c r="J567" t="str">
        <f>VLOOKUP($G567,DefinitionArrays!$I$6:$J$12,2,FALSE)</f>
        <v>Workweek</v>
      </c>
    </row>
    <row r="568" spans="1:10">
      <c r="A568" s="159" t="str">
        <f t="shared" si="41"/>
        <v>$B$1:$B$92</v>
      </c>
      <c r="B568" s="159" t="str">
        <f t="shared" si="42"/>
        <v>$C$1:$C$92</v>
      </c>
      <c r="C568" s="159" t="str">
        <f t="shared" si="43"/>
        <v>October!$B$1:$B$92</v>
      </c>
      <c r="D568" s="159" t="str">
        <f t="shared" si="44"/>
        <v>October!$C$1:$C$92</v>
      </c>
      <c r="E568" t="s">
        <v>3</v>
      </c>
      <c r="F568" t="s">
        <v>129</v>
      </c>
      <c r="G568" t="s">
        <v>13</v>
      </c>
      <c r="H568" t="s">
        <v>24</v>
      </c>
      <c r="I568" t="e">
        <f t="shared" ca="1" si="45"/>
        <v>#REF!</v>
      </c>
      <c r="J568" t="str">
        <f>VLOOKUP($G568,DefinitionArrays!$I$6:$J$12,2,FALSE)</f>
        <v>Workweek</v>
      </c>
    </row>
    <row r="569" spans="1:10">
      <c r="A569" s="159" t="str">
        <f t="shared" si="41"/>
        <v>$B$1:$B$92</v>
      </c>
      <c r="B569" s="159" t="str">
        <f t="shared" si="42"/>
        <v>$C$1:$C$92</v>
      </c>
      <c r="C569" s="159" t="str">
        <f t="shared" si="43"/>
        <v>October!$B$1:$B$92</v>
      </c>
      <c r="D569" s="159" t="str">
        <f t="shared" si="44"/>
        <v>October!$C$1:$C$92</v>
      </c>
      <c r="E569" t="s">
        <v>3</v>
      </c>
      <c r="F569" t="s">
        <v>129</v>
      </c>
      <c r="G569" t="s">
        <v>13</v>
      </c>
      <c r="H569" t="s">
        <v>179</v>
      </c>
      <c r="I569" t="e">
        <f t="shared" ca="1" si="45"/>
        <v>#REF!</v>
      </c>
      <c r="J569" t="str">
        <f>VLOOKUP($G569,DefinitionArrays!$I$6:$J$12,2,FALSE)</f>
        <v>Workweek</v>
      </c>
    </row>
    <row r="570" spans="1:10">
      <c r="A570" s="159" t="str">
        <f t="shared" si="41"/>
        <v>$B$1:$B$92</v>
      </c>
      <c r="B570" s="159" t="str">
        <f t="shared" si="42"/>
        <v>$C$1:$C$92</v>
      </c>
      <c r="C570" s="159" t="str">
        <f t="shared" si="43"/>
        <v>October!$B$1:$B$92</v>
      </c>
      <c r="D570" s="159" t="str">
        <f t="shared" si="44"/>
        <v>October!$C$1:$C$92</v>
      </c>
      <c r="E570" t="s">
        <v>3</v>
      </c>
      <c r="F570" t="s">
        <v>129</v>
      </c>
      <c r="G570" t="s">
        <v>13</v>
      </c>
      <c r="H570" t="s">
        <v>180</v>
      </c>
      <c r="I570" t="e">
        <f t="shared" ca="1" si="45"/>
        <v>#REF!</v>
      </c>
      <c r="J570" t="str">
        <f>VLOOKUP($G570,DefinitionArrays!$I$6:$J$12,2,FALSE)</f>
        <v>Workweek</v>
      </c>
    </row>
    <row r="571" spans="1:10">
      <c r="A571" s="159" t="str">
        <f t="shared" si="41"/>
        <v>$B$1:$B$92</v>
      </c>
      <c r="B571" s="159" t="str">
        <f t="shared" si="42"/>
        <v>$C$1:$C$92</v>
      </c>
      <c r="C571" s="159" t="str">
        <f t="shared" si="43"/>
        <v>October!$B$1:$B$92</v>
      </c>
      <c r="D571" s="159" t="str">
        <f t="shared" si="44"/>
        <v>October!$C$1:$C$92</v>
      </c>
      <c r="E571" t="s">
        <v>3</v>
      </c>
      <c r="F571" t="s">
        <v>129</v>
      </c>
      <c r="G571" t="s">
        <v>13</v>
      </c>
      <c r="H571" t="s">
        <v>44</v>
      </c>
      <c r="I571" t="e">
        <f t="shared" ca="1" si="45"/>
        <v>#REF!</v>
      </c>
      <c r="J571" t="str">
        <f>VLOOKUP($G571,DefinitionArrays!$I$6:$J$12,2,FALSE)</f>
        <v>Workweek</v>
      </c>
    </row>
    <row r="572" spans="1:10">
      <c r="A572" s="159" t="str">
        <f t="shared" si="41"/>
        <v>$E$1:$E$92</v>
      </c>
      <c r="B572" s="159" t="str">
        <f t="shared" si="42"/>
        <v>$F$1:$F$92</v>
      </c>
      <c r="C572" s="159" t="str">
        <f t="shared" si="43"/>
        <v>October!$E$1:$E$92</v>
      </c>
      <c r="D572" s="159" t="str">
        <f t="shared" si="44"/>
        <v>October!$F$1:$F$92</v>
      </c>
      <c r="E572" t="s">
        <v>3</v>
      </c>
      <c r="F572" t="s">
        <v>129</v>
      </c>
      <c r="G572" t="s">
        <v>142</v>
      </c>
      <c r="H572" t="s">
        <v>159</v>
      </c>
      <c r="I572" t="e">
        <f t="shared" ca="1" si="45"/>
        <v>#REF!</v>
      </c>
      <c r="J572" t="str">
        <f>VLOOKUP($G572,DefinitionArrays!$I$6:$J$12,2,FALSE)</f>
        <v>Workweek</v>
      </c>
    </row>
    <row r="573" spans="1:10">
      <c r="A573" s="159" t="str">
        <f t="shared" si="41"/>
        <v>$E$1:$E$92</v>
      </c>
      <c r="B573" s="159" t="str">
        <f t="shared" si="42"/>
        <v>$F$1:$F$92</v>
      </c>
      <c r="C573" s="159" t="str">
        <f t="shared" si="43"/>
        <v>October!$E$1:$E$92</v>
      </c>
      <c r="D573" s="159" t="str">
        <f t="shared" si="44"/>
        <v>October!$F$1:$F$92</v>
      </c>
      <c r="E573" t="s">
        <v>3</v>
      </c>
      <c r="F573" t="s">
        <v>129</v>
      </c>
      <c r="G573" t="s">
        <v>142</v>
      </c>
      <c r="H573" t="s">
        <v>18</v>
      </c>
      <c r="I573" t="e">
        <f t="shared" ca="1" si="45"/>
        <v>#REF!</v>
      </c>
      <c r="J573" t="str">
        <f>VLOOKUP($G573,DefinitionArrays!$I$6:$J$12,2,FALSE)</f>
        <v>Workweek</v>
      </c>
    </row>
    <row r="574" spans="1:10">
      <c r="A574" s="159" t="str">
        <f t="shared" si="41"/>
        <v>$E$1:$E$92</v>
      </c>
      <c r="B574" s="159" t="str">
        <f t="shared" si="42"/>
        <v>$F$1:$F$92</v>
      </c>
      <c r="C574" s="159" t="str">
        <f t="shared" si="43"/>
        <v>October!$E$1:$E$92</v>
      </c>
      <c r="D574" s="159" t="str">
        <f t="shared" si="44"/>
        <v>October!$F$1:$F$92</v>
      </c>
      <c r="E574" t="s">
        <v>3</v>
      </c>
      <c r="F574" t="s">
        <v>129</v>
      </c>
      <c r="G574" t="s">
        <v>142</v>
      </c>
      <c r="H574" t="s">
        <v>153</v>
      </c>
      <c r="I574" t="e">
        <f t="shared" ca="1" si="45"/>
        <v>#REF!</v>
      </c>
      <c r="J574" t="str">
        <f>VLOOKUP($G574,DefinitionArrays!$I$6:$J$12,2,FALSE)</f>
        <v>Workweek</v>
      </c>
    </row>
    <row r="575" spans="1:10">
      <c r="A575" s="159" t="str">
        <f t="shared" si="41"/>
        <v>$E$1:$E$92</v>
      </c>
      <c r="B575" s="159" t="str">
        <f t="shared" si="42"/>
        <v>$F$1:$F$92</v>
      </c>
      <c r="C575" s="159" t="str">
        <f t="shared" si="43"/>
        <v>October!$E$1:$E$92</v>
      </c>
      <c r="D575" s="159" t="str">
        <f t="shared" si="44"/>
        <v>October!$F$1:$F$92</v>
      </c>
      <c r="E575" t="s">
        <v>3</v>
      </c>
      <c r="F575" t="s">
        <v>129</v>
      </c>
      <c r="G575" t="s">
        <v>142</v>
      </c>
      <c r="H575" t="s">
        <v>19</v>
      </c>
      <c r="I575" t="e">
        <f t="shared" ca="1" si="45"/>
        <v>#REF!</v>
      </c>
      <c r="J575" t="str">
        <f>VLOOKUP($G575,DefinitionArrays!$I$6:$J$12,2,FALSE)</f>
        <v>Workweek</v>
      </c>
    </row>
    <row r="576" spans="1:10">
      <c r="A576" s="159" t="str">
        <f t="shared" si="41"/>
        <v>$E$1:$E$92</v>
      </c>
      <c r="B576" s="159" t="str">
        <f t="shared" si="42"/>
        <v>$F$1:$F$92</v>
      </c>
      <c r="C576" s="159" t="str">
        <f t="shared" si="43"/>
        <v>October!$E$1:$E$92</v>
      </c>
      <c r="D576" s="159" t="str">
        <f t="shared" si="44"/>
        <v>October!$F$1:$F$92</v>
      </c>
      <c r="E576" t="s">
        <v>3</v>
      </c>
      <c r="F576" t="s">
        <v>129</v>
      </c>
      <c r="G576" t="s">
        <v>142</v>
      </c>
      <c r="H576" t="s">
        <v>20</v>
      </c>
      <c r="I576" t="e">
        <f t="shared" ca="1" si="45"/>
        <v>#REF!</v>
      </c>
      <c r="J576" t="str">
        <f>VLOOKUP($G576,DefinitionArrays!$I$6:$J$12,2,FALSE)</f>
        <v>Workweek</v>
      </c>
    </row>
    <row r="577" spans="1:10">
      <c r="A577" s="159" t="str">
        <f t="shared" si="41"/>
        <v>$E$1:$E$92</v>
      </c>
      <c r="B577" s="159" t="str">
        <f t="shared" si="42"/>
        <v>$F$1:$F$92</v>
      </c>
      <c r="C577" s="159" t="str">
        <f t="shared" si="43"/>
        <v>October!$E$1:$E$92</v>
      </c>
      <c r="D577" s="159" t="str">
        <f t="shared" si="44"/>
        <v>October!$F$1:$F$92</v>
      </c>
      <c r="E577" t="s">
        <v>3</v>
      </c>
      <c r="F577" t="s">
        <v>129</v>
      </c>
      <c r="G577" t="s">
        <v>142</v>
      </c>
      <c r="H577" t="s">
        <v>21</v>
      </c>
      <c r="I577" t="e">
        <f t="shared" ca="1" si="45"/>
        <v>#REF!</v>
      </c>
      <c r="J577" t="str">
        <f>VLOOKUP($G577,DefinitionArrays!$I$6:$J$12,2,FALSE)</f>
        <v>Workweek</v>
      </c>
    </row>
    <row r="578" spans="1:10">
      <c r="A578" s="159" t="str">
        <f t="shared" ref="A578:A641" si="46">VLOOKUP($G578,Fx_Code,2,FALSE)</f>
        <v>$E$1:$E$92</v>
      </c>
      <c r="B578" s="159" t="str">
        <f t="shared" ref="B578:B641" si="47">VLOOKUP($G578,Fx_Code,3,FALSE)</f>
        <v>$F$1:$F$92</v>
      </c>
      <c r="C578" s="159" t="str">
        <f t="shared" ref="C578:C641" si="48">CONCATENATE($F578,$K$1,A578)</f>
        <v>October!$E$1:$E$92</v>
      </c>
      <c r="D578" s="159" t="str">
        <f t="shared" ref="D578:D641" si="49">CONCATENATE($F578,$K$1,B578)</f>
        <v>October!$F$1:$F$92</v>
      </c>
      <c r="E578" t="s">
        <v>3</v>
      </c>
      <c r="F578" t="s">
        <v>129</v>
      </c>
      <c r="G578" t="s">
        <v>142</v>
      </c>
      <c r="H578" t="s">
        <v>22</v>
      </c>
      <c r="I578" t="e">
        <f t="shared" ca="1" si="45"/>
        <v>#REF!</v>
      </c>
      <c r="J578" t="str">
        <f>VLOOKUP($G578,DefinitionArrays!$I$6:$J$12,2,FALSE)</f>
        <v>Workweek</v>
      </c>
    </row>
    <row r="579" spans="1:10">
      <c r="A579" s="159" t="str">
        <f t="shared" si="46"/>
        <v>$E$1:$E$92</v>
      </c>
      <c r="B579" s="159" t="str">
        <f t="shared" si="47"/>
        <v>$F$1:$F$92</v>
      </c>
      <c r="C579" s="159" t="str">
        <f t="shared" si="48"/>
        <v>October!$E$1:$E$92</v>
      </c>
      <c r="D579" s="159" t="str">
        <f t="shared" si="49"/>
        <v>October!$F$1:$F$92</v>
      </c>
      <c r="E579" t="s">
        <v>3</v>
      </c>
      <c r="F579" t="s">
        <v>129</v>
      </c>
      <c r="G579" t="s">
        <v>142</v>
      </c>
      <c r="H579" t="s">
        <v>23</v>
      </c>
      <c r="I579" t="e">
        <f t="shared" ca="1" si="45"/>
        <v>#REF!</v>
      </c>
      <c r="J579" t="str">
        <f>VLOOKUP($G579,DefinitionArrays!$I$6:$J$12,2,FALSE)</f>
        <v>Workweek</v>
      </c>
    </row>
    <row r="580" spans="1:10">
      <c r="A580" s="159" t="str">
        <f t="shared" si="46"/>
        <v>$E$1:$E$92</v>
      </c>
      <c r="B580" s="159" t="str">
        <f t="shared" si="47"/>
        <v>$F$1:$F$92</v>
      </c>
      <c r="C580" s="159" t="str">
        <f t="shared" si="48"/>
        <v>October!$E$1:$E$92</v>
      </c>
      <c r="D580" s="159" t="str">
        <f t="shared" si="49"/>
        <v>October!$F$1:$F$92</v>
      </c>
      <c r="E580" t="s">
        <v>3</v>
      </c>
      <c r="F580" t="s">
        <v>129</v>
      </c>
      <c r="G580" t="s">
        <v>142</v>
      </c>
      <c r="H580" t="s">
        <v>24</v>
      </c>
      <c r="I580" t="e">
        <f t="shared" ca="1" si="45"/>
        <v>#REF!</v>
      </c>
      <c r="J580" t="str">
        <f>VLOOKUP($G580,DefinitionArrays!$I$6:$J$12,2,FALSE)</f>
        <v>Workweek</v>
      </c>
    </row>
    <row r="581" spans="1:10">
      <c r="A581" s="159" t="str">
        <f t="shared" si="46"/>
        <v>$E$1:$E$92</v>
      </c>
      <c r="B581" s="159" t="str">
        <f t="shared" si="47"/>
        <v>$F$1:$F$92</v>
      </c>
      <c r="C581" s="159" t="str">
        <f t="shared" si="48"/>
        <v>October!$E$1:$E$92</v>
      </c>
      <c r="D581" s="159" t="str">
        <f t="shared" si="49"/>
        <v>October!$F$1:$F$92</v>
      </c>
      <c r="E581" t="s">
        <v>3</v>
      </c>
      <c r="F581" t="s">
        <v>129</v>
      </c>
      <c r="G581" t="s">
        <v>142</v>
      </c>
      <c r="H581" t="s">
        <v>179</v>
      </c>
      <c r="I581" t="e">
        <f t="shared" ca="1" si="45"/>
        <v>#REF!</v>
      </c>
      <c r="J581" t="str">
        <f>VLOOKUP($G581,DefinitionArrays!$I$6:$J$12,2,FALSE)</f>
        <v>Workweek</v>
      </c>
    </row>
    <row r="582" spans="1:10">
      <c r="A582" s="159" t="str">
        <f t="shared" si="46"/>
        <v>$E$1:$E$92</v>
      </c>
      <c r="B582" s="159" t="str">
        <f t="shared" si="47"/>
        <v>$F$1:$F$92</v>
      </c>
      <c r="C582" s="159" t="str">
        <f t="shared" si="48"/>
        <v>October!$E$1:$E$92</v>
      </c>
      <c r="D582" s="159" t="str">
        <f t="shared" si="49"/>
        <v>October!$F$1:$F$92</v>
      </c>
      <c r="E582" t="s">
        <v>3</v>
      </c>
      <c r="F582" t="s">
        <v>129</v>
      </c>
      <c r="G582" t="s">
        <v>142</v>
      </c>
      <c r="H582" t="s">
        <v>180</v>
      </c>
      <c r="I582" t="e">
        <f t="shared" ca="1" si="45"/>
        <v>#REF!</v>
      </c>
      <c r="J582" t="str">
        <f>VLOOKUP($G582,DefinitionArrays!$I$6:$J$12,2,FALSE)</f>
        <v>Workweek</v>
      </c>
    </row>
    <row r="583" spans="1:10">
      <c r="A583" s="159" t="str">
        <f t="shared" si="46"/>
        <v>$E$1:$E$92</v>
      </c>
      <c r="B583" s="159" t="str">
        <f t="shared" si="47"/>
        <v>$F$1:$F$92</v>
      </c>
      <c r="C583" s="159" t="str">
        <f t="shared" si="48"/>
        <v>October!$E$1:$E$92</v>
      </c>
      <c r="D583" s="159" t="str">
        <f t="shared" si="49"/>
        <v>October!$F$1:$F$92</v>
      </c>
      <c r="E583" t="s">
        <v>3</v>
      </c>
      <c r="F583" t="s">
        <v>129</v>
      </c>
      <c r="G583" t="s">
        <v>142</v>
      </c>
      <c r="H583" t="s">
        <v>44</v>
      </c>
      <c r="I583" t="e">
        <f t="shared" ca="1" si="45"/>
        <v>#REF!</v>
      </c>
      <c r="J583" t="str">
        <f>VLOOKUP($G583,DefinitionArrays!$I$6:$J$12,2,FALSE)</f>
        <v>Workweek</v>
      </c>
    </row>
    <row r="584" spans="1:10">
      <c r="A584" s="159" t="str">
        <f t="shared" si="46"/>
        <v>$H$1:$H$92</v>
      </c>
      <c r="B584" s="159" t="str">
        <f t="shared" si="47"/>
        <v>$I$1:$I$92</v>
      </c>
      <c r="C584" s="159" t="str">
        <f t="shared" si="48"/>
        <v>October!$H$1:$H$92</v>
      </c>
      <c r="D584" s="159" t="str">
        <f t="shared" si="49"/>
        <v>October!$I$1:$I$92</v>
      </c>
      <c r="E584" t="s">
        <v>3</v>
      </c>
      <c r="F584" t="s">
        <v>129</v>
      </c>
      <c r="G584" t="s">
        <v>143</v>
      </c>
      <c r="H584" t="s">
        <v>159</v>
      </c>
      <c r="I584" t="e">
        <f t="shared" ca="1" si="45"/>
        <v>#REF!</v>
      </c>
      <c r="J584" t="str">
        <f>VLOOKUP($G584,DefinitionArrays!$I$6:$J$12,2,FALSE)</f>
        <v>Workweek</v>
      </c>
    </row>
    <row r="585" spans="1:10">
      <c r="A585" s="159" t="str">
        <f t="shared" si="46"/>
        <v>$H$1:$H$92</v>
      </c>
      <c r="B585" s="159" t="str">
        <f t="shared" si="47"/>
        <v>$I$1:$I$92</v>
      </c>
      <c r="C585" s="159" t="str">
        <f t="shared" si="48"/>
        <v>October!$H$1:$H$92</v>
      </c>
      <c r="D585" s="159" t="str">
        <f t="shared" si="49"/>
        <v>October!$I$1:$I$92</v>
      </c>
      <c r="E585" t="s">
        <v>3</v>
      </c>
      <c r="F585" t="s">
        <v>129</v>
      </c>
      <c r="G585" t="s">
        <v>143</v>
      </c>
      <c r="H585" t="s">
        <v>18</v>
      </c>
      <c r="I585" t="e">
        <f t="shared" ca="1" si="45"/>
        <v>#REF!</v>
      </c>
      <c r="J585" t="str">
        <f>VLOOKUP($G585,DefinitionArrays!$I$6:$J$12,2,FALSE)</f>
        <v>Workweek</v>
      </c>
    </row>
    <row r="586" spans="1:10">
      <c r="A586" s="159" t="str">
        <f t="shared" si="46"/>
        <v>$H$1:$H$92</v>
      </c>
      <c r="B586" s="159" t="str">
        <f t="shared" si="47"/>
        <v>$I$1:$I$92</v>
      </c>
      <c r="C586" s="159" t="str">
        <f t="shared" si="48"/>
        <v>October!$H$1:$H$92</v>
      </c>
      <c r="D586" s="159" t="str">
        <f t="shared" si="49"/>
        <v>October!$I$1:$I$92</v>
      </c>
      <c r="E586" t="s">
        <v>3</v>
      </c>
      <c r="F586" t="s">
        <v>129</v>
      </c>
      <c r="G586" t="s">
        <v>143</v>
      </c>
      <c r="H586" t="s">
        <v>153</v>
      </c>
      <c r="I586" t="e">
        <f t="shared" ca="1" si="45"/>
        <v>#REF!</v>
      </c>
      <c r="J586" t="str">
        <f>VLOOKUP($G586,DefinitionArrays!$I$6:$J$12,2,FALSE)</f>
        <v>Workweek</v>
      </c>
    </row>
    <row r="587" spans="1:10">
      <c r="A587" s="159" t="str">
        <f t="shared" si="46"/>
        <v>$H$1:$H$92</v>
      </c>
      <c r="B587" s="159" t="str">
        <f t="shared" si="47"/>
        <v>$I$1:$I$92</v>
      </c>
      <c r="C587" s="159" t="str">
        <f t="shared" si="48"/>
        <v>October!$H$1:$H$92</v>
      </c>
      <c r="D587" s="159" t="str">
        <f t="shared" si="49"/>
        <v>October!$I$1:$I$92</v>
      </c>
      <c r="E587" t="s">
        <v>3</v>
      </c>
      <c r="F587" t="s">
        <v>129</v>
      </c>
      <c r="G587" t="s">
        <v>143</v>
      </c>
      <c r="H587" t="s">
        <v>19</v>
      </c>
      <c r="I587" t="e">
        <f t="shared" ca="1" si="45"/>
        <v>#REF!</v>
      </c>
      <c r="J587" t="str">
        <f>VLOOKUP($G587,DefinitionArrays!$I$6:$J$12,2,FALSE)</f>
        <v>Workweek</v>
      </c>
    </row>
    <row r="588" spans="1:10">
      <c r="A588" s="159" t="str">
        <f t="shared" si="46"/>
        <v>$H$1:$H$92</v>
      </c>
      <c r="B588" s="159" t="str">
        <f t="shared" si="47"/>
        <v>$I$1:$I$92</v>
      </c>
      <c r="C588" s="159" t="str">
        <f t="shared" si="48"/>
        <v>October!$H$1:$H$92</v>
      </c>
      <c r="D588" s="159" t="str">
        <f t="shared" si="49"/>
        <v>October!$I$1:$I$92</v>
      </c>
      <c r="E588" t="s">
        <v>3</v>
      </c>
      <c r="F588" t="s">
        <v>129</v>
      </c>
      <c r="G588" t="s">
        <v>143</v>
      </c>
      <c r="H588" t="s">
        <v>20</v>
      </c>
      <c r="I588" t="e">
        <f t="shared" ca="1" si="45"/>
        <v>#REF!</v>
      </c>
      <c r="J588" t="str">
        <f>VLOOKUP($G588,DefinitionArrays!$I$6:$J$12,2,FALSE)</f>
        <v>Workweek</v>
      </c>
    </row>
    <row r="589" spans="1:10">
      <c r="A589" s="159" t="str">
        <f t="shared" si="46"/>
        <v>$H$1:$H$92</v>
      </c>
      <c r="B589" s="159" t="str">
        <f t="shared" si="47"/>
        <v>$I$1:$I$92</v>
      </c>
      <c r="C589" s="159" t="str">
        <f t="shared" si="48"/>
        <v>October!$H$1:$H$92</v>
      </c>
      <c r="D589" s="159" t="str">
        <f t="shared" si="49"/>
        <v>October!$I$1:$I$92</v>
      </c>
      <c r="E589" t="s">
        <v>3</v>
      </c>
      <c r="F589" t="s">
        <v>129</v>
      </c>
      <c r="G589" t="s">
        <v>143</v>
      </c>
      <c r="H589" t="s">
        <v>21</v>
      </c>
      <c r="I589" t="e">
        <f t="shared" ca="1" si="45"/>
        <v>#REF!</v>
      </c>
      <c r="J589" t="str">
        <f>VLOOKUP($G589,DefinitionArrays!$I$6:$J$12,2,FALSE)</f>
        <v>Workweek</v>
      </c>
    </row>
    <row r="590" spans="1:10">
      <c r="A590" s="159" t="str">
        <f t="shared" si="46"/>
        <v>$H$1:$H$92</v>
      </c>
      <c r="B590" s="159" t="str">
        <f t="shared" si="47"/>
        <v>$I$1:$I$92</v>
      </c>
      <c r="C590" s="159" t="str">
        <f t="shared" si="48"/>
        <v>October!$H$1:$H$92</v>
      </c>
      <c r="D590" s="159" t="str">
        <f t="shared" si="49"/>
        <v>October!$I$1:$I$92</v>
      </c>
      <c r="E590" t="s">
        <v>3</v>
      </c>
      <c r="F590" t="s">
        <v>129</v>
      </c>
      <c r="G590" t="s">
        <v>143</v>
      </c>
      <c r="H590" t="s">
        <v>22</v>
      </c>
      <c r="I590" t="e">
        <f t="shared" ca="1" si="45"/>
        <v>#REF!</v>
      </c>
      <c r="J590" t="str">
        <f>VLOOKUP($G590,DefinitionArrays!$I$6:$J$12,2,FALSE)</f>
        <v>Workweek</v>
      </c>
    </row>
    <row r="591" spans="1:10">
      <c r="A591" s="159" t="str">
        <f t="shared" si="46"/>
        <v>$H$1:$H$92</v>
      </c>
      <c r="B591" s="159" t="str">
        <f t="shared" si="47"/>
        <v>$I$1:$I$92</v>
      </c>
      <c r="C591" s="159" t="str">
        <f t="shared" si="48"/>
        <v>October!$H$1:$H$92</v>
      </c>
      <c r="D591" s="159" t="str">
        <f t="shared" si="49"/>
        <v>October!$I$1:$I$92</v>
      </c>
      <c r="E591" t="s">
        <v>3</v>
      </c>
      <c r="F591" t="s">
        <v>129</v>
      </c>
      <c r="G591" t="s">
        <v>143</v>
      </c>
      <c r="H591" t="s">
        <v>23</v>
      </c>
      <c r="I591" t="e">
        <f t="shared" ca="1" si="45"/>
        <v>#REF!</v>
      </c>
      <c r="J591" t="str">
        <f>VLOOKUP($G591,DefinitionArrays!$I$6:$J$12,2,FALSE)</f>
        <v>Workweek</v>
      </c>
    </row>
    <row r="592" spans="1:10">
      <c r="A592" s="159" t="str">
        <f t="shared" si="46"/>
        <v>$H$1:$H$92</v>
      </c>
      <c r="B592" s="159" t="str">
        <f t="shared" si="47"/>
        <v>$I$1:$I$92</v>
      </c>
      <c r="C592" s="159" t="str">
        <f t="shared" si="48"/>
        <v>October!$H$1:$H$92</v>
      </c>
      <c r="D592" s="159" t="str">
        <f t="shared" si="49"/>
        <v>October!$I$1:$I$92</v>
      </c>
      <c r="E592" t="s">
        <v>3</v>
      </c>
      <c r="F592" t="s">
        <v>129</v>
      </c>
      <c r="G592" t="s">
        <v>143</v>
      </c>
      <c r="H592" t="s">
        <v>24</v>
      </c>
      <c r="I592" t="e">
        <f t="shared" ca="1" si="45"/>
        <v>#REF!</v>
      </c>
      <c r="J592" t="str">
        <f>VLOOKUP($G592,DefinitionArrays!$I$6:$J$12,2,FALSE)</f>
        <v>Workweek</v>
      </c>
    </row>
    <row r="593" spans="1:10">
      <c r="A593" s="159" t="str">
        <f t="shared" si="46"/>
        <v>$H$1:$H$92</v>
      </c>
      <c r="B593" s="159" t="str">
        <f t="shared" si="47"/>
        <v>$I$1:$I$92</v>
      </c>
      <c r="C593" s="159" t="str">
        <f t="shared" si="48"/>
        <v>October!$H$1:$H$92</v>
      </c>
      <c r="D593" s="159" t="str">
        <f t="shared" si="49"/>
        <v>October!$I$1:$I$92</v>
      </c>
      <c r="E593" t="s">
        <v>3</v>
      </c>
      <c r="F593" t="s">
        <v>129</v>
      </c>
      <c r="G593" t="s">
        <v>143</v>
      </c>
      <c r="H593" t="s">
        <v>179</v>
      </c>
      <c r="I593" t="e">
        <f t="shared" ca="1" si="45"/>
        <v>#REF!</v>
      </c>
      <c r="J593" t="str">
        <f>VLOOKUP($G593,DefinitionArrays!$I$6:$J$12,2,FALSE)</f>
        <v>Workweek</v>
      </c>
    </row>
    <row r="594" spans="1:10">
      <c r="A594" s="159" t="str">
        <f t="shared" si="46"/>
        <v>$H$1:$H$92</v>
      </c>
      <c r="B594" s="159" t="str">
        <f t="shared" si="47"/>
        <v>$I$1:$I$92</v>
      </c>
      <c r="C594" s="159" t="str">
        <f t="shared" si="48"/>
        <v>October!$H$1:$H$92</v>
      </c>
      <c r="D594" s="159" t="str">
        <f t="shared" si="49"/>
        <v>October!$I$1:$I$92</v>
      </c>
      <c r="E594" t="s">
        <v>3</v>
      </c>
      <c r="F594" t="s">
        <v>129</v>
      </c>
      <c r="G594" t="s">
        <v>143</v>
      </c>
      <c r="H594" t="s">
        <v>180</v>
      </c>
      <c r="I594" t="e">
        <f t="shared" ca="1" si="45"/>
        <v>#REF!</v>
      </c>
      <c r="J594" t="str">
        <f>VLOOKUP($G594,DefinitionArrays!$I$6:$J$12,2,FALSE)</f>
        <v>Workweek</v>
      </c>
    </row>
    <row r="595" spans="1:10">
      <c r="A595" s="159" t="str">
        <f t="shared" si="46"/>
        <v>$H$1:$H$92</v>
      </c>
      <c r="B595" s="159" t="str">
        <f t="shared" si="47"/>
        <v>$I$1:$I$92</v>
      </c>
      <c r="C595" s="159" t="str">
        <f t="shared" si="48"/>
        <v>October!$H$1:$H$92</v>
      </c>
      <c r="D595" s="159" t="str">
        <f t="shared" si="49"/>
        <v>October!$I$1:$I$92</v>
      </c>
      <c r="E595" t="s">
        <v>3</v>
      </c>
      <c r="F595" t="s">
        <v>129</v>
      </c>
      <c r="G595" t="s">
        <v>143</v>
      </c>
      <c r="H595" t="s">
        <v>44</v>
      </c>
      <c r="I595" t="e">
        <f t="shared" ca="1" si="45"/>
        <v>#REF!</v>
      </c>
      <c r="J595" t="str">
        <f>VLOOKUP($G595,DefinitionArrays!$I$6:$J$12,2,FALSE)</f>
        <v>Workweek</v>
      </c>
    </row>
    <row r="596" spans="1:10">
      <c r="A596" s="159" t="str">
        <f t="shared" si="46"/>
        <v>$K$1:$K$92</v>
      </c>
      <c r="B596" s="159" t="str">
        <f t="shared" si="47"/>
        <v>$L$1:$L$92</v>
      </c>
      <c r="C596" s="159" t="str">
        <f t="shared" si="48"/>
        <v>October!$K$1:$K$92</v>
      </c>
      <c r="D596" s="159" t="str">
        <f t="shared" si="49"/>
        <v>October!$L$1:$L$92</v>
      </c>
      <c r="E596" t="s">
        <v>3</v>
      </c>
      <c r="F596" t="s">
        <v>129</v>
      </c>
      <c r="G596" t="s">
        <v>144</v>
      </c>
      <c r="H596" t="s">
        <v>159</v>
      </c>
      <c r="I596" t="e">
        <f t="shared" ca="1" si="45"/>
        <v>#REF!</v>
      </c>
      <c r="J596" t="str">
        <f>VLOOKUP($G596,DefinitionArrays!$I$6:$J$12,2,FALSE)</f>
        <v>Workweek</v>
      </c>
    </row>
    <row r="597" spans="1:10">
      <c r="A597" s="159" t="str">
        <f t="shared" si="46"/>
        <v>$K$1:$K$92</v>
      </c>
      <c r="B597" s="159" t="str">
        <f t="shared" si="47"/>
        <v>$L$1:$L$92</v>
      </c>
      <c r="C597" s="159" t="str">
        <f t="shared" si="48"/>
        <v>October!$K$1:$K$92</v>
      </c>
      <c r="D597" s="159" t="str">
        <f t="shared" si="49"/>
        <v>October!$L$1:$L$92</v>
      </c>
      <c r="E597" t="s">
        <v>3</v>
      </c>
      <c r="F597" t="s">
        <v>129</v>
      </c>
      <c r="G597" t="s">
        <v>144</v>
      </c>
      <c r="H597" t="s">
        <v>18</v>
      </c>
      <c r="I597" t="e">
        <f t="shared" ca="1" si="45"/>
        <v>#REF!</v>
      </c>
      <c r="J597" t="str">
        <f>VLOOKUP($G597,DefinitionArrays!$I$6:$J$12,2,FALSE)</f>
        <v>Workweek</v>
      </c>
    </row>
    <row r="598" spans="1:10">
      <c r="A598" s="159" t="str">
        <f t="shared" si="46"/>
        <v>$K$1:$K$92</v>
      </c>
      <c r="B598" s="159" t="str">
        <f t="shared" si="47"/>
        <v>$L$1:$L$92</v>
      </c>
      <c r="C598" s="159" t="str">
        <f t="shared" si="48"/>
        <v>October!$K$1:$K$92</v>
      </c>
      <c r="D598" s="159" t="str">
        <f t="shared" si="49"/>
        <v>October!$L$1:$L$92</v>
      </c>
      <c r="E598" t="s">
        <v>3</v>
      </c>
      <c r="F598" t="s">
        <v>129</v>
      </c>
      <c r="G598" t="s">
        <v>144</v>
      </c>
      <c r="H598" t="s">
        <v>153</v>
      </c>
      <c r="I598" t="e">
        <f t="shared" ca="1" si="45"/>
        <v>#REF!</v>
      </c>
      <c r="J598" t="str">
        <f>VLOOKUP($G598,DefinitionArrays!$I$6:$J$12,2,FALSE)</f>
        <v>Workweek</v>
      </c>
    </row>
    <row r="599" spans="1:10">
      <c r="A599" s="159" t="str">
        <f t="shared" si="46"/>
        <v>$K$1:$K$92</v>
      </c>
      <c r="B599" s="159" t="str">
        <f t="shared" si="47"/>
        <v>$L$1:$L$92</v>
      </c>
      <c r="C599" s="159" t="str">
        <f t="shared" si="48"/>
        <v>October!$K$1:$K$92</v>
      </c>
      <c r="D599" s="159" t="str">
        <f t="shared" si="49"/>
        <v>October!$L$1:$L$92</v>
      </c>
      <c r="E599" t="s">
        <v>3</v>
      </c>
      <c r="F599" t="s">
        <v>129</v>
      </c>
      <c r="G599" t="s">
        <v>144</v>
      </c>
      <c r="H599" t="s">
        <v>19</v>
      </c>
      <c r="I599" t="e">
        <f t="shared" ca="1" si="45"/>
        <v>#REF!</v>
      </c>
      <c r="J599" t="str">
        <f>VLOOKUP($G599,DefinitionArrays!$I$6:$J$12,2,FALSE)</f>
        <v>Workweek</v>
      </c>
    </row>
    <row r="600" spans="1:10">
      <c r="A600" s="159" t="str">
        <f t="shared" si="46"/>
        <v>$K$1:$K$92</v>
      </c>
      <c r="B600" s="159" t="str">
        <f t="shared" si="47"/>
        <v>$L$1:$L$92</v>
      </c>
      <c r="C600" s="159" t="str">
        <f t="shared" si="48"/>
        <v>October!$K$1:$K$92</v>
      </c>
      <c r="D600" s="159" t="str">
        <f t="shared" si="49"/>
        <v>October!$L$1:$L$92</v>
      </c>
      <c r="E600" t="s">
        <v>3</v>
      </c>
      <c r="F600" t="s">
        <v>129</v>
      </c>
      <c r="G600" t="s">
        <v>144</v>
      </c>
      <c r="H600" t="s">
        <v>20</v>
      </c>
      <c r="I600" t="e">
        <f t="shared" ca="1" si="45"/>
        <v>#REF!</v>
      </c>
      <c r="J600" t="str">
        <f>VLOOKUP($G600,DefinitionArrays!$I$6:$J$12,2,FALSE)</f>
        <v>Workweek</v>
      </c>
    </row>
    <row r="601" spans="1:10">
      <c r="A601" s="159" t="str">
        <f t="shared" si="46"/>
        <v>$K$1:$K$92</v>
      </c>
      <c r="B601" s="159" t="str">
        <f t="shared" si="47"/>
        <v>$L$1:$L$92</v>
      </c>
      <c r="C601" s="159" t="str">
        <f t="shared" si="48"/>
        <v>October!$K$1:$K$92</v>
      </c>
      <c r="D601" s="159" t="str">
        <f t="shared" si="49"/>
        <v>October!$L$1:$L$92</v>
      </c>
      <c r="E601" t="s">
        <v>3</v>
      </c>
      <c r="F601" t="s">
        <v>129</v>
      </c>
      <c r="G601" t="s">
        <v>144</v>
      </c>
      <c r="H601" t="s">
        <v>21</v>
      </c>
      <c r="I601" t="e">
        <f t="shared" ca="1" si="45"/>
        <v>#REF!</v>
      </c>
      <c r="J601" t="str">
        <f>VLOOKUP($G601,DefinitionArrays!$I$6:$J$12,2,FALSE)</f>
        <v>Workweek</v>
      </c>
    </row>
    <row r="602" spans="1:10">
      <c r="A602" s="159" t="str">
        <f t="shared" si="46"/>
        <v>$K$1:$K$92</v>
      </c>
      <c r="B602" s="159" t="str">
        <f t="shared" si="47"/>
        <v>$L$1:$L$92</v>
      </c>
      <c r="C602" s="159" t="str">
        <f t="shared" si="48"/>
        <v>October!$K$1:$K$92</v>
      </c>
      <c r="D602" s="159" t="str">
        <f t="shared" si="49"/>
        <v>October!$L$1:$L$92</v>
      </c>
      <c r="E602" t="s">
        <v>3</v>
      </c>
      <c r="F602" t="s">
        <v>129</v>
      </c>
      <c r="G602" t="s">
        <v>144</v>
      </c>
      <c r="H602" t="s">
        <v>22</v>
      </c>
      <c r="I602" t="e">
        <f t="shared" ca="1" si="45"/>
        <v>#REF!</v>
      </c>
      <c r="J602" t="str">
        <f>VLOOKUP($G602,DefinitionArrays!$I$6:$J$12,2,FALSE)</f>
        <v>Workweek</v>
      </c>
    </row>
    <row r="603" spans="1:10">
      <c r="A603" s="159" t="str">
        <f t="shared" si="46"/>
        <v>$K$1:$K$92</v>
      </c>
      <c r="B603" s="159" t="str">
        <f t="shared" si="47"/>
        <v>$L$1:$L$92</v>
      </c>
      <c r="C603" s="159" t="str">
        <f t="shared" si="48"/>
        <v>October!$K$1:$K$92</v>
      </c>
      <c r="D603" s="159" t="str">
        <f t="shared" si="49"/>
        <v>October!$L$1:$L$92</v>
      </c>
      <c r="E603" t="s">
        <v>3</v>
      </c>
      <c r="F603" t="s">
        <v>129</v>
      </c>
      <c r="G603" t="s">
        <v>144</v>
      </c>
      <c r="H603" t="s">
        <v>23</v>
      </c>
      <c r="I603" t="e">
        <f t="shared" ca="1" si="45"/>
        <v>#REF!</v>
      </c>
      <c r="J603" t="str">
        <f>VLOOKUP($G603,DefinitionArrays!$I$6:$J$12,2,FALSE)</f>
        <v>Workweek</v>
      </c>
    </row>
    <row r="604" spans="1:10">
      <c r="A604" s="159" t="str">
        <f t="shared" si="46"/>
        <v>$K$1:$K$92</v>
      </c>
      <c r="B604" s="159" t="str">
        <f t="shared" si="47"/>
        <v>$L$1:$L$92</v>
      </c>
      <c r="C604" s="159" t="str">
        <f t="shared" si="48"/>
        <v>October!$K$1:$K$92</v>
      </c>
      <c r="D604" s="159" t="str">
        <f t="shared" si="49"/>
        <v>October!$L$1:$L$92</v>
      </c>
      <c r="E604" t="s">
        <v>3</v>
      </c>
      <c r="F604" t="s">
        <v>129</v>
      </c>
      <c r="G604" t="s">
        <v>144</v>
      </c>
      <c r="H604" t="s">
        <v>24</v>
      </c>
      <c r="I604" t="e">
        <f t="shared" ca="1" si="45"/>
        <v>#REF!</v>
      </c>
      <c r="J604" t="str">
        <f>VLOOKUP($G604,DefinitionArrays!$I$6:$J$12,2,FALSE)</f>
        <v>Workweek</v>
      </c>
    </row>
    <row r="605" spans="1:10">
      <c r="A605" s="159" t="str">
        <f t="shared" si="46"/>
        <v>$K$1:$K$92</v>
      </c>
      <c r="B605" s="159" t="str">
        <f t="shared" si="47"/>
        <v>$L$1:$L$92</v>
      </c>
      <c r="C605" s="159" t="str">
        <f t="shared" si="48"/>
        <v>October!$K$1:$K$92</v>
      </c>
      <c r="D605" s="159" t="str">
        <f t="shared" si="49"/>
        <v>October!$L$1:$L$92</v>
      </c>
      <c r="E605" t="s">
        <v>3</v>
      </c>
      <c r="F605" t="s">
        <v>129</v>
      </c>
      <c r="G605" t="s">
        <v>144</v>
      </c>
      <c r="H605" t="s">
        <v>179</v>
      </c>
      <c r="I605" t="e">
        <f t="shared" ca="1" si="45"/>
        <v>#REF!</v>
      </c>
      <c r="J605" t="str">
        <f>VLOOKUP($G605,DefinitionArrays!$I$6:$J$12,2,FALSE)</f>
        <v>Workweek</v>
      </c>
    </row>
    <row r="606" spans="1:10">
      <c r="A606" s="159" t="str">
        <f t="shared" si="46"/>
        <v>$K$1:$K$92</v>
      </c>
      <c r="B606" s="159" t="str">
        <f t="shared" si="47"/>
        <v>$L$1:$L$92</v>
      </c>
      <c r="C606" s="159" t="str">
        <f t="shared" si="48"/>
        <v>October!$K$1:$K$92</v>
      </c>
      <c r="D606" s="159" t="str">
        <f t="shared" si="49"/>
        <v>October!$L$1:$L$92</v>
      </c>
      <c r="E606" t="s">
        <v>3</v>
      </c>
      <c r="F606" t="s">
        <v>129</v>
      </c>
      <c r="G606" t="s">
        <v>144</v>
      </c>
      <c r="H606" t="s">
        <v>180</v>
      </c>
      <c r="I606" t="e">
        <f t="shared" ca="1" si="45"/>
        <v>#REF!</v>
      </c>
      <c r="J606" t="str">
        <f>VLOOKUP($G606,DefinitionArrays!$I$6:$J$12,2,FALSE)</f>
        <v>Workweek</v>
      </c>
    </row>
    <row r="607" spans="1:10">
      <c r="A607" s="159" t="str">
        <f t="shared" si="46"/>
        <v>$K$1:$K$92</v>
      </c>
      <c r="B607" s="159" t="str">
        <f t="shared" si="47"/>
        <v>$L$1:$L$92</v>
      </c>
      <c r="C607" s="159" t="str">
        <f t="shared" si="48"/>
        <v>October!$K$1:$K$92</v>
      </c>
      <c r="D607" s="159" t="str">
        <f t="shared" si="49"/>
        <v>October!$L$1:$L$92</v>
      </c>
      <c r="E607" t="s">
        <v>3</v>
      </c>
      <c r="F607" t="s">
        <v>129</v>
      </c>
      <c r="G607" t="s">
        <v>144</v>
      </c>
      <c r="H607" t="s">
        <v>44</v>
      </c>
      <c r="I607" t="e">
        <f t="shared" ca="1" si="45"/>
        <v>#REF!</v>
      </c>
      <c r="J607" t="str">
        <f>VLOOKUP($G607,DefinitionArrays!$I$6:$J$12,2,FALSE)</f>
        <v>Workweek</v>
      </c>
    </row>
    <row r="608" spans="1:10">
      <c r="A608" s="159" t="str">
        <f t="shared" si="46"/>
        <v>$N$1:$N$92</v>
      </c>
      <c r="B608" s="159" t="str">
        <f t="shared" si="47"/>
        <v>$O$1:$O$92</v>
      </c>
      <c r="C608" s="159" t="str">
        <f t="shared" si="48"/>
        <v>October!$N$1:$N$92</v>
      </c>
      <c r="D608" s="159" t="str">
        <f t="shared" si="49"/>
        <v>October!$O$1:$O$92</v>
      </c>
      <c r="E608" t="s">
        <v>3</v>
      </c>
      <c r="F608" t="s">
        <v>129</v>
      </c>
      <c r="G608" t="s">
        <v>145</v>
      </c>
      <c r="H608" t="s">
        <v>159</v>
      </c>
      <c r="I608" t="e">
        <f t="shared" ca="1" si="45"/>
        <v>#REF!</v>
      </c>
      <c r="J608" t="str">
        <f>VLOOKUP($G608,DefinitionArrays!$I$6:$J$12,2,FALSE)</f>
        <v>Weekend</v>
      </c>
    </row>
    <row r="609" spans="1:10">
      <c r="A609" s="159" t="str">
        <f t="shared" si="46"/>
        <v>$N$1:$N$92</v>
      </c>
      <c r="B609" s="159" t="str">
        <f t="shared" si="47"/>
        <v>$O$1:$O$92</v>
      </c>
      <c r="C609" s="159" t="str">
        <f t="shared" si="48"/>
        <v>October!$N$1:$N$92</v>
      </c>
      <c r="D609" s="159" t="str">
        <f t="shared" si="49"/>
        <v>October!$O$1:$O$92</v>
      </c>
      <c r="E609" t="s">
        <v>3</v>
      </c>
      <c r="F609" t="s">
        <v>129</v>
      </c>
      <c r="G609" t="s">
        <v>145</v>
      </c>
      <c r="H609" t="s">
        <v>18</v>
      </c>
      <c r="I609" t="e">
        <f t="shared" ca="1" si="45"/>
        <v>#REF!</v>
      </c>
      <c r="J609" t="str">
        <f>VLOOKUP($G609,DefinitionArrays!$I$6:$J$12,2,FALSE)</f>
        <v>Weekend</v>
      </c>
    </row>
    <row r="610" spans="1:10">
      <c r="A610" s="159" t="str">
        <f t="shared" si="46"/>
        <v>$N$1:$N$92</v>
      </c>
      <c r="B610" s="159" t="str">
        <f t="shared" si="47"/>
        <v>$O$1:$O$92</v>
      </c>
      <c r="C610" s="159" t="str">
        <f t="shared" si="48"/>
        <v>October!$N$1:$N$92</v>
      </c>
      <c r="D610" s="159" t="str">
        <f t="shared" si="49"/>
        <v>October!$O$1:$O$92</v>
      </c>
      <c r="E610" t="s">
        <v>3</v>
      </c>
      <c r="F610" t="s">
        <v>129</v>
      </c>
      <c r="G610" t="s">
        <v>145</v>
      </c>
      <c r="H610" t="s">
        <v>153</v>
      </c>
      <c r="I610" t="e">
        <f t="shared" ca="1" si="45"/>
        <v>#REF!</v>
      </c>
      <c r="J610" t="str">
        <f>VLOOKUP($G610,DefinitionArrays!$I$6:$J$12,2,FALSE)</f>
        <v>Weekend</v>
      </c>
    </row>
    <row r="611" spans="1:10">
      <c r="A611" s="159" t="str">
        <f t="shared" si="46"/>
        <v>$N$1:$N$92</v>
      </c>
      <c r="B611" s="159" t="str">
        <f t="shared" si="47"/>
        <v>$O$1:$O$92</v>
      </c>
      <c r="C611" s="159" t="str">
        <f t="shared" si="48"/>
        <v>October!$N$1:$N$92</v>
      </c>
      <c r="D611" s="159" t="str">
        <f t="shared" si="49"/>
        <v>October!$O$1:$O$92</v>
      </c>
      <c r="E611" t="s">
        <v>3</v>
      </c>
      <c r="F611" t="s">
        <v>129</v>
      </c>
      <c r="G611" t="s">
        <v>145</v>
      </c>
      <c r="H611" t="s">
        <v>19</v>
      </c>
      <c r="I611" t="e">
        <f t="shared" ca="1" si="45"/>
        <v>#REF!</v>
      </c>
      <c r="J611" t="str">
        <f>VLOOKUP($G611,DefinitionArrays!$I$6:$J$12,2,FALSE)</f>
        <v>Weekend</v>
      </c>
    </row>
    <row r="612" spans="1:10">
      <c r="A612" s="159" t="str">
        <f t="shared" si="46"/>
        <v>$N$1:$N$92</v>
      </c>
      <c r="B612" s="159" t="str">
        <f t="shared" si="47"/>
        <v>$O$1:$O$92</v>
      </c>
      <c r="C612" s="159" t="str">
        <f t="shared" si="48"/>
        <v>October!$N$1:$N$92</v>
      </c>
      <c r="D612" s="159" t="str">
        <f t="shared" si="49"/>
        <v>October!$O$1:$O$92</v>
      </c>
      <c r="E612" t="s">
        <v>3</v>
      </c>
      <c r="F612" t="s">
        <v>129</v>
      </c>
      <c r="G612" t="s">
        <v>145</v>
      </c>
      <c r="H612" t="s">
        <v>20</v>
      </c>
      <c r="I612" t="e">
        <f t="shared" ca="1" si="45"/>
        <v>#REF!</v>
      </c>
      <c r="J612" t="str">
        <f>VLOOKUP($G612,DefinitionArrays!$I$6:$J$12,2,FALSE)</f>
        <v>Weekend</v>
      </c>
    </row>
    <row r="613" spans="1:10">
      <c r="A613" s="159" t="str">
        <f t="shared" si="46"/>
        <v>$N$1:$N$92</v>
      </c>
      <c r="B613" s="159" t="str">
        <f t="shared" si="47"/>
        <v>$O$1:$O$92</v>
      </c>
      <c r="C613" s="159" t="str">
        <f t="shared" si="48"/>
        <v>October!$N$1:$N$92</v>
      </c>
      <c r="D613" s="159" t="str">
        <f t="shared" si="49"/>
        <v>October!$O$1:$O$92</v>
      </c>
      <c r="E613" t="s">
        <v>3</v>
      </c>
      <c r="F613" t="s">
        <v>129</v>
      </c>
      <c r="G613" t="s">
        <v>145</v>
      </c>
      <c r="H613" t="s">
        <v>21</v>
      </c>
      <c r="I613" t="e">
        <f t="shared" ca="1" si="45"/>
        <v>#REF!</v>
      </c>
      <c r="J613" t="str">
        <f>VLOOKUP($G613,DefinitionArrays!$I$6:$J$12,2,FALSE)</f>
        <v>Weekend</v>
      </c>
    </row>
    <row r="614" spans="1:10">
      <c r="A614" s="159" t="str">
        <f t="shared" si="46"/>
        <v>$N$1:$N$92</v>
      </c>
      <c r="B614" s="159" t="str">
        <f t="shared" si="47"/>
        <v>$O$1:$O$92</v>
      </c>
      <c r="C614" s="159" t="str">
        <f t="shared" si="48"/>
        <v>October!$N$1:$N$92</v>
      </c>
      <c r="D614" s="159" t="str">
        <f t="shared" si="49"/>
        <v>October!$O$1:$O$92</v>
      </c>
      <c r="E614" t="s">
        <v>3</v>
      </c>
      <c r="F614" t="s">
        <v>129</v>
      </c>
      <c r="G614" t="s">
        <v>145</v>
      </c>
      <c r="H614" t="s">
        <v>22</v>
      </c>
      <c r="I614" t="e">
        <f t="shared" ca="1" si="45"/>
        <v>#REF!</v>
      </c>
      <c r="J614" t="str">
        <f>VLOOKUP($G614,DefinitionArrays!$I$6:$J$12,2,FALSE)</f>
        <v>Weekend</v>
      </c>
    </row>
    <row r="615" spans="1:10">
      <c r="A615" s="159" t="str">
        <f t="shared" si="46"/>
        <v>$N$1:$N$92</v>
      </c>
      <c r="B615" s="159" t="str">
        <f t="shared" si="47"/>
        <v>$O$1:$O$92</v>
      </c>
      <c r="C615" s="159" t="str">
        <f t="shared" si="48"/>
        <v>October!$N$1:$N$92</v>
      </c>
      <c r="D615" s="159" t="str">
        <f t="shared" si="49"/>
        <v>October!$O$1:$O$92</v>
      </c>
      <c r="E615" t="s">
        <v>3</v>
      </c>
      <c r="F615" t="s">
        <v>129</v>
      </c>
      <c r="G615" t="s">
        <v>145</v>
      </c>
      <c r="H615" t="s">
        <v>23</v>
      </c>
      <c r="I615" t="e">
        <f t="shared" ca="1" si="45"/>
        <v>#REF!</v>
      </c>
      <c r="J615" t="str">
        <f>VLOOKUP($G615,DefinitionArrays!$I$6:$J$12,2,FALSE)</f>
        <v>Weekend</v>
      </c>
    </row>
    <row r="616" spans="1:10">
      <c r="A616" s="159" t="str">
        <f t="shared" si="46"/>
        <v>$N$1:$N$92</v>
      </c>
      <c r="B616" s="159" t="str">
        <f t="shared" si="47"/>
        <v>$O$1:$O$92</v>
      </c>
      <c r="C616" s="159" t="str">
        <f t="shared" si="48"/>
        <v>October!$N$1:$N$92</v>
      </c>
      <c r="D616" s="159" t="str">
        <f t="shared" si="49"/>
        <v>October!$O$1:$O$92</v>
      </c>
      <c r="E616" t="s">
        <v>3</v>
      </c>
      <c r="F616" t="s">
        <v>129</v>
      </c>
      <c r="G616" t="s">
        <v>145</v>
      </c>
      <c r="H616" t="s">
        <v>24</v>
      </c>
      <c r="I616" t="e">
        <f t="shared" ca="1" si="45"/>
        <v>#REF!</v>
      </c>
      <c r="J616" t="str">
        <f>VLOOKUP($G616,DefinitionArrays!$I$6:$J$12,2,FALSE)</f>
        <v>Weekend</v>
      </c>
    </row>
    <row r="617" spans="1:10">
      <c r="A617" s="159" t="str">
        <f t="shared" si="46"/>
        <v>$N$1:$N$92</v>
      </c>
      <c r="B617" s="159" t="str">
        <f t="shared" si="47"/>
        <v>$O$1:$O$92</v>
      </c>
      <c r="C617" s="159" t="str">
        <f t="shared" si="48"/>
        <v>October!$N$1:$N$92</v>
      </c>
      <c r="D617" s="159" t="str">
        <f t="shared" si="49"/>
        <v>October!$O$1:$O$92</v>
      </c>
      <c r="E617" t="s">
        <v>3</v>
      </c>
      <c r="F617" t="s">
        <v>129</v>
      </c>
      <c r="G617" t="s">
        <v>145</v>
      </c>
      <c r="H617" t="s">
        <v>179</v>
      </c>
      <c r="I617" t="e">
        <f t="shared" ca="1" si="45"/>
        <v>#REF!</v>
      </c>
      <c r="J617" t="str">
        <f>VLOOKUP($G617,DefinitionArrays!$I$6:$J$12,2,FALSE)</f>
        <v>Weekend</v>
      </c>
    </row>
    <row r="618" spans="1:10">
      <c r="A618" s="159" t="str">
        <f t="shared" si="46"/>
        <v>$N$1:$N$92</v>
      </c>
      <c r="B618" s="159" t="str">
        <f t="shared" si="47"/>
        <v>$O$1:$O$92</v>
      </c>
      <c r="C618" s="159" t="str">
        <f t="shared" si="48"/>
        <v>October!$N$1:$N$92</v>
      </c>
      <c r="D618" s="159" t="str">
        <f t="shared" si="49"/>
        <v>October!$O$1:$O$92</v>
      </c>
      <c r="E618" t="s">
        <v>3</v>
      </c>
      <c r="F618" t="s">
        <v>129</v>
      </c>
      <c r="G618" t="s">
        <v>145</v>
      </c>
      <c r="H618" t="s">
        <v>180</v>
      </c>
      <c r="I618" t="e">
        <f t="shared" ca="1" si="45"/>
        <v>#REF!</v>
      </c>
      <c r="J618" t="str">
        <f>VLOOKUP($G618,DefinitionArrays!$I$6:$J$12,2,FALSE)</f>
        <v>Weekend</v>
      </c>
    </row>
    <row r="619" spans="1:10">
      <c r="A619" s="159" t="str">
        <f t="shared" si="46"/>
        <v>$N$1:$N$92</v>
      </c>
      <c r="B619" s="159" t="str">
        <f t="shared" si="47"/>
        <v>$O$1:$O$92</v>
      </c>
      <c r="C619" s="159" t="str">
        <f t="shared" si="48"/>
        <v>October!$N$1:$N$92</v>
      </c>
      <c r="D619" s="159" t="str">
        <f t="shared" si="49"/>
        <v>October!$O$1:$O$92</v>
      </c>
      <c r="E619" t="s">
        <v>3</v>
      </c>
      <c r="F619" t="s">
        <v>129</v>
      </c>
      <c r="G619" t="s">
        <v>145</v>
      </c>
      <c r="H619" t="s">
        <v>44</v>
      </c>
      <c r="I619" t="e">
        <f t="shared" ca="1" si="45"/>
        <v>#REF!</v>
      </c>
      <c r="J619" t="str">
        <f>VLOOKUP($G619,DefinitionArrays!$I$6:$J$12,2,FALSE)</f>
        <v>Weekend</v>
      </c>
    </row>
    <row r="620" spans="1:10">
      <c r="A620" s="159" t="str">
        <f t="shared" si="46"/>
        <v>$Q$1:$Q$92</v>
      </c>
      <c r="B620" s="159" t="str">
        <f t="shared" si="47"/>
        <v>$R$1:$R$92</v>
      </c>
      <c r="C620" s="159" t="str">
        <f t="shared" si="48"/>
        <v>October!$Q$1:$Q$92</v>
      </c>
      <c r="D620" s="159" t="str">
        <f t="shared" si="49"/>
        <v>October!$R$1:$R$92</v>
      </c>
      <c r="E620" t="s">
        <v>3</v>
      </c>
      <c r="F620" t="s">
        <v>129</v>
      </c>
      <c r="G620" t="s">
        <v>146</v>
      </c>
      <c r="H620" t="s">
        <v>159</v>
      </c>
      <c r="I620" t="e">
        <f t="shared" ca="1" si="45"/>
        <v>#REF!</v>
      </c>
      <c r="J620" t="str">
        <f>VLOOKUP($G620,DefinitionArrays!$I$6:$J$12,2,FALSE)</f>
        <v>Weekend</v>
      </c>
    </row>
    <row r="621" spans="1:10">
      <c r="A621" s="159" t="str">
        <f t="shared" si="46"/>
        <v>$T$1:$T$92</v>
      </c>
      <c r="B621" s="159" t="str">
        <f t="shared" si="47"/>
        <v>$U$1:$U$92</v>
      </c>
      <c r="C621" s="159" t="str">
        <f t="shared" si="48"/>
        <v>October!$T$1:$T$92</v>
      </c>
      <c r="D621" s="159" t="str">
        <f t="shared" si="49"/>
        <v>October!$U$1:$U$92</v>
      </c>
      <c r="E621" t="s">
        <v>3</v>
      </c>
      <c r="F621" t="s">
        <v>129</v>
      </c>
      <c r="G621" t="s">
        <v>141</v>
      </c>
      <c r="H621" t="s">
        <v>159</v>
      </c>
      <c r="I621" t="e">
        <f t="shared" ca="1" si="45"/>
        <v>#REF!</v>
      </c>
      <c r="J621" t="str">
        <f>VLOOKUP($G621,DefinitionArrays!$I$6:$J$12,2,FALSE)</f>
        <v>Weekend</v>
      </c>
    </row>
    <row r="622" spans="1:10">
      <c r="A622" s="159" t="str">
        <f t="shared" si="46"/>
        <v>$B$1:$B$92</v>
      </c>
      <c r="B622" s="159" t="str">
        <f t="shared" si="47"/>
        <v>$C$1:$C$92</v>
      </c>
      <c r="C622" s="159" t="str">
        <f t="shared" si="48"/>
        <v>November!$B$1:$B$92</v>
      </c>
      <c r="D622" s="159" t="str">
        <f t="shared" si="49"/>
        <v>November!$C$1:$C$92</v>
      </c>
      <c r="E622" t="s">
        <v>3</v>
      </c>
      <c r="F622" t="s">
        <v>130</v>
      </c>
      <c r="G622" t="s">
        <v>13</v>
      </c>
      <c r="H622" t="s">
        <v>159</v>
      </c>
      <c r="I622" t="e">
        <f ca="1">COUNTIFS(INDIRECT($C622),$E622,INDIRECT($D622),$H622)</f>
        <v>#REF!</v>
      </c>
      <c r="J622" t="str">
        <f>VLOOKUP($G622,DefinitionArrays!$I$6:$J$12,2,FALSE)</f>
        <v>Workweek</v>
      </c>
    </row>
    <row r="623" spans="1:10">
      <c r="A623" s="159" t="str">
        <f t="shared" si="46"/>
        <v>$B$1:$B$92</v>
      </c>
      <c r="B623" s="159" t="str">
        <f t="shared" si="47"/>
        <v>$C$1:$C$92</v>
      </c>
      <c r="C623" s="159" t="str">
        <f t="shared" si="48"/>
        <v>November!$B$1:$B$92</v>
      </c>
      <c r="D623" s="159" t="str">
        <f t="shared" si="49"/>
        <v>November!$C$1:$C$92</v>
      </c>
      <c r="E623" t="s">
        <v>3</v>
      </c>
      <c r="F623" t="s">
        <v>130</v>
      </c>
      <c r="G623" t="s">
        <v>13</v>
      </c>
      <c r="H623" t="s">
        <v>18</v>
      </c>
      <c r="I623" t="e">
        <f t="shared" ref="I623:I683" ca="1" si="50">COUNTIFS(INDIRECT($C623),$E623,INDIRECT($D623),$H623)</f>
        <v>#REF!</v>
      </c>
      <c r="J623" t="str">
        <f>VLOOKUP($G623,DefinitionArrays!$I$6:$J$12,2,FALSE)</f>
        <v>Workweek</v>
      </c>
    </row>
    <row r="624" spans="1:10">
      <c r="A624" s="159" t="str">
        <f t="shared" si="46"/>
        <v>$B$1:$B$92</v>
      </c>
      <c r="B624" s="159" t="str">
        <f t="shared" si="47"/>
        <v>$C$1:$C$92</v>
      </c>
      <c r="C624" s="159" t="str">
        <f t="shared" si="48"/>
        <v>November!$B$1:$B$92</v>
      </c>
      <c r="D624" s="159" t="str">
        <f t="shared" si="49"/>
        <v>November!$C$1:$C$92</v>
      </c>
      <c r="E624" t="s">
        <v>3</v>
      </c>
      <c r="F624" t="s">
        <v>130</v>
      </c>
      <c r="G624" t="s">
        <v>13</v>
      </c>
      <c r="H624" t="s">
        <v>153</v>
      </c>
      <c r="I624" t="e">
        <f t="shared" ca="1" si="50"/>
        <v>#REF!</v>
      </c>
      <c r="J624" t="str">
        <f>VLOOKUP($G624,DefinitionArrays!$I$6:$J$12,2,FALSE)</f>
        <v>Workweek</v>
      </c>
    </row>
    <row r="625" spans="1:10">
      <c r="A625" s="159" t="str">
        <f t="shared" si="46"/>
        <v>$B$1:$B$92</v>
      </c>
      <c r="B625" s="159" t="str">
        <f t="shared" si="47"/>
        <v>$C$1:$C$92</v>
      </c>
      <c r="C625" s="159" t="str">
        <f t="shared" si="48"/>
        <v>November!$B$1:$B$92</v>
      </c>
      <c r="D625" s="159" t="str">
        <f t="shared" si="49"/>
        <v>November!$C$1:$C$92</v>
      </c>
      <c r="E625" t="s">
        <v>3</v>
      </c>
      <c r="F625" t="s">
        <v>130</v>
      </c>
      <c r="G625" t="s">
        <v>13</v>
      </c>
      <c r="H625" t="s">
        <v>19</v>
      </c>
      <c r="I625" t="e">
        <f t="shared" ca="1" si="50"/>
        <v>#REF!</v>
      </c>
      <c r="J625" t="str">
        <f>VLOOKUP($G625,DefinitionArrays!$I$6:$J$12,2,FALSE)</f>
        <v>Workweek</v>
      </c>
    </row>
    <row r="626" spans="1:10">
      <c r="A626" s="159" t="str">
        <f t="shared" si="46"/>
        <v>$B$1:$B$92</v>
      </c>
      <c r="B626" s="159" t="str">
        <f t="shared" si="47"/>
        <v>$C$1:$C$92</v>
      </c>
      <c r="C626" s="159" t="str">
        <f t="shared" si="48"/>
        <v>November!$B$1:$B$92</v>
      </c>
      <c r="D626" s="159" t="str">
        <f t="shared" si="49"/>
        <v>November!$C$1:$C$92</v>
      </c>
      <c r="E626" t="s">
        <v>3</v>
      </c>
      <c r="F626" t="s">
        <v>130</v>
      </c>
      <c r="G626" t="s">
        <v>13</v>
      </c>
      <c r="H626" t="s">
        <v>20</v>
      </c>
      <c r="I626" t="e">
        <f t="shared" ca="1" si="50"/>
        <v>#REF!</v>
      </c>
      <c r="J626" t="str">
        <f>VLOOKUP($G626,DefinitionArrays!$I$6:$J$12,2,FALSE)</f>
        <v>Workweek</v>
      </c>
    </row>
    <row r="627" spans="1:10">
      <c r="A627" s="159" t="str">
        <f t="shared" si="46"/>
        <v>$B$1:$B$92</v>
      </c>
      <c r="B627" s="159" t="str">
        <f t="shared" si="47"/>
        <v>$C$1:$C$92</v>
      </c>
      <c r="C627" s="159" t="str">
        <f t="shared" si="48"/>
        <v>November!$B$1:$B$92</v>
      </c>
      <c r="D627" s="159" t="str">
        <f t="shared" si="49"/>
        <v>November!$C$1:$C$92</v>
      </c>
      <c r="E627" t="s">
        <v>3</v>
      </c>
      <c r="F627" t="s">
        <v>130</v>
      </c>
      <c r="G627" t="s">
        <v>13</v>
      </c>
      <c r="H627" t="s">
        <v>21</v>
      </c>
      <c r="I627" t="e">
        <f t="shared" ca="1" si="50"/>
        <v>#REF!</v>
      </c>
      <c r="J627" t="str">
        <f>VLOOKUP($G627,DefinitionArrays!$I$6:$J$12,2,FALSE)</f>
        <v>Workweek</v>
      </c>
    </row>
    <row r="628" spans="1:10">
      <c r="A628" s="159" t="str">
        <f t="shared" si="46"/>
        <v>$B$1:$B$92</v>
      </c>
      <c r="B628" s="159" t="str">
        <f t="shared" si="47"/>
        <v>$C$1:$C$92</v>
      </c>
      <c r="C628" s="159" t="str">
        <f t="shared" si="48"/>
        <v>November!$B$1:$B$92</v>
      </c>
      <c r="D628" s="159" t="str">
        <f t="shared" si="49"/>
        <v>November!$C$1:$C$92</v>
      </c>
      <c r="E628" t="s">
        <v>3</v>
      </c>
      <c r="F628" t="s">
        <v>130</v>
      </c>
      <c r="G628" t="s">
        <v>13</v>
      </c>
      <c r="H628" t="s">
        <v>22</v>
      </c>
      <c r="I628" t="e">
        <f t="shared" ca="1" si="50"/>
        <v>#REF!</v>
      </c>
      <c r="J628" t="str">
        <f>VLOOKUP($G628,DefinitionArrays!$I$6:$J$12,2,FALSE)</f>
        <v>Workweek</v>
      </c>
    </row>
    <row r="629" spans="1:10">
      <c r="A629" s="159" t="str">
        <f t="shared" si="46"/>
        <v>$B$1:$B$92</v>
      </c>
      <c r="B629" s="159" t="str">
        <f t="shared" si="47"/>
        <v>$C$1:$C$92</v>
      </c>
      <c r="C629" s="159" t="str">
        <f t="shared" si="48"/>
        <v>November!$B$1:$B$92</v>
      </c>
      <c r="D629" s="159" t="str">
        <f t="shared" si="49"/>
        <v>November!$C$1:$C$92</v>
      </c>
      <c r="E629" t="s">
        <v>3</v>
      </c>
      <c r="F629" t="s">
        <v>130</v>
      </c>
      <c r="G629" t="s">
        <v>13</v>
      </c>
      <c r="H629" t="s">
        <v>23</v>
      </c>
      <c r="I629" t="e">
        <f t="shared" ca="1" si="50"/>
        <v>#REF!</v>
      </c>
      <c r="J629" t="str">
        <f>VLOOKUP($G629,DefinitionArrays!$I$6:$J$12,2,FALSE)</f>
        <v>Workweek</v>
      </c>
    </row>
    <row r="630" spans="1:10">
      <c r="A630" s="159" t="str">
        <f t="shared" si="46"/>
        <v>$B$1:$B$92</v>
      </c>
      <c r="B630" s="159" t="str">
        <f t="shared" si="47"/>
        <v>$C$1:$C$92</v>
      </c>
      <c r="C630" s="159" t="str">
        <f t="shared" si="48"/>
        <v>November!$B$1:$B$92</v>
      </c>
      <c r="D630" s="159" t="str">
        <f t="shared" si="49"/>
        <v>November!$C$1:$C$92</v>
      </c>
      <c r="E630" t="s">
        <v>3</v>
      </c>
      <c r="F630" t="s">
        <v>130</v>
      </c>
      <c r="G630" t="s">
        <v>13</v>
      </c>
      <c r="H630" t="s">
        <v>24</v>
      </c>
      <c r="I630" t="e">
        <f t="shared" ca="1" si="50"/>
        <v>#REF!</v>
      </c>
      <c r="J630" t="str">
        <f>VLOOKUP($G630,DefinitionArrays!$I$6:$J$12,2,FALSE)</f>
        <v>Workweek</v>
      </c>
    </row>
    <row r="631" spans="1:10">
      <c r="A631" s="159" t="str">
        <f t="shared" si="46"/>
        <v>$B$1:$B$92</v>
      </c>
      <c r="B631" s="159" t="str">
        <f t="shared" si="47"/>
        <v>$C$1:$C$92</v>
      </c>
      <c r="C631" s="159" t="str">
        <f t="shared" si="48"/>
        <v>November!$B$1:$B$92</v>
      </c>
      <c r="D631" s="159" t="str">
        <f t="shared" si="49"/>
        <v>November!$C$1:$C$92</v>
      </c>
      <c r="E631" t="s">
        <v>3</v>
      </c>
      <c r="F631" t="s">
        <v>130</v>
      </c>
      <c r="G631" t="s">
        <v>13</v>
      </c>
      <c r="H631" t="s">
        <v>179</v>
      </c>
      <c r="I631" t="e">
        <f t="shared" ca="1" si="50"/>
        <v>#REF!</v>
      </c>
      <c r="J631" t="str">
        <f>VLOOKUP($G631,DefinitionArrays!$I$6:$J$12,2,FALSE)</f>
        <v>Workweek</v>
      </c>
    </row>
    <row r="632" spans="1:10">
      <c r="A632" s="159" t="str">
        <f t="shared" si="46"/>
        <v>$B$1:$B$92</v>
      </c>
      <c r="B632" s="159" t="str">
        <f t="shared" si="47"/>
        <v>$C$1:$C$92</v>
      </c>
      <c r="C632" s="159" t="str">
        <f t="shared" si="48"/>
        <v>November!$B$1:$B$92</v>
      </c>
      <c r="D632" s="159" t="str">
        <f t="shared" si="49"/>
        <v>November!$C$1:$C$92</v>
      </c>
      <c r="E632" t="s">
        <v>3</v>
      </c>
      <c r="F632" t="s">
        <v>130</v>
      </c>
      <c r="G632" t="s">
        <v>13</v>
      </c>
      <c r="H632" t="s">
        <v>180</v>
      </c>
      <c r="I632" t="e">
        <f t="shared" ca="1" si="50"/>
        <v>#REF!</v>
      </c>
      <c r="J632" t="str">
        <f>VLOOKUP($G632,DefinitionArrays!$I$6:$J$12,2,FALSE)</f>
        <v>Workweek</v>
      </c>
    </row>
    <row r="633" spans="1:10">
      <c r="A633" s="159" t="str">
        <f t="shared" si="46"/>
        <v>$B$1:$B$92</v>
      </c>
      <c r="B633" s="159" t="str">
        <f t="shared" si="47"/>
        <v>$C$1:$C$92</v>
      </c>
      <c r="C633" s="159" t="str">
        <f t="shared" si="48"/>
        <v>November!$B$1:$B$92</v>
      </c>
      <c r="D633" s="159" t="str">
        <f t="shared" si="49"/>
        <v>November!$C$1:$C$92</v>
      </c>
      <c r="E633" t="s">
        <v>3</v>
      </c>
      <c r="F633" t="s">
        <v>130</v>
      </c>
      <c r="G633" t="s">
        <v>13</v>
      </c>
      <c r="H633" t="s">
        <v>44</v>
      </c>
      <c r="I633" t="e">
        <f t="shared" ca="1" si="50"/>
        <v>#REF!</v>
      </c>
      <c r="J633" t="str">
        <f>VLOOKUP($G633,DefinitionArrays!$I$6:$J$12,2,FALSE)</f>
        <v>Workweek</v>
      </c>
    </row>
    <row r="634" spans="1:10">
      <c r="A634" s="159" t="str">
        <f t="shared" si="46"/>
        <v>$E$1:$E$92</v>
      </c>
      <c r="B634" s="159" t="str">
        <f t="shared" si="47"/>
        <v>$F$1:$F$92</v>
      </c>
      <c r="C634" s="159" t="str">
        <f t="shared" si="48"/>
        <v>November!$E$1:$E$92</v>
      </c>
      <c r="D634" s="159" t="str">
        <f t="shared" si="49"/>
        <v>November!$F$1:$F$92</v>
      </c>
      <c r="E634" t="s">
        <v>3</v>
      </c>
      <c r="F634" t="s">
        <v>130</v>
      </c>
      <c r="G634" t="s">
        <v>142</v>
      </c>
      <c r="H634" t="s">
        <v>159</v>
      </c>
      <c r="I634" t="e">
        <f t="shared" ca="1" si="50"/>
        <v>#REF!</v>
      </c>
      <c r="J634" t="str">
        <f>VLOOKUP($G634,DefinitionArrays!$I$6:$J$12,2,FALSE)</f>
        <v>Workweek</v>
      </c>
    </row>
    <row r="635" spans="1:10">
      <c r="A635" s="159" t="str">
        <f t="shared" si="46"/>
        <v>$E$1:$E$92</v>
      </c>
      <c r="B635" s="159" t="str">
        <f t="shared" si="47"/>
        <v>$F$1:$F$92</v>
      </c>
      <c r="C635" s="159" t="str">
        <f t="shared" si="48"/>
        <v>November!$E$1:$E$92</v>
      </c>
      <c r="D635" s="159" t="str">
        <f t="shared" si="49"/>
        <v>November!$F$1:$F$92</v>
      </c>
      <c r="E635" t="s">
        <v>3</v>
      </c>
      <c r="F635" t="s">
        <v>130</v>
      </c>
      <c r="G635" t="s">
        <v>142</v>
      </c>
      <c r="H635" t="s">
        <v>18</v>
      </c>
      <c r="I635" t="e">
        <f t="shared" ca="1" si="50"/>
        <v>#REF!</v>
      </c>
      <c r="J635" t="str">
        <f>VLOOKUP($G635,DefinitionArrays!$I$6:$J$12,2,FALSE)</f>
        <v>Workweek</v>
      </c>
    </row>
    <row r="636" spans="1:10">
      <c r="A636" s="159" t="str">
        <f t="shared" si="46"/>
        <v>$E$1:$E$92</v>
      </c>
      <c r="B636" s="159" t="str">
        <f t="shared" si="47"/>
        <v>$F$1:$F$92</v>
      </c>
      <c r="C636" s="159" t="str">
        <f t="shared" si="48"/>
        <v>November!$E$1:$E$92</v>
      </c>
      <c r="D636" s="159" t="str">
        <f t="shared" si="49"/>
        <v>November!$F$1:$F$92</v>
      </c>
      <c r="E636" t="s">
        <v>3</v>
      </c>
      <c r="F636" t="s">
        <v>130</v>
      </c>
      <c r="G636" t="s">
        <v>142</v>
      </c>
      <c r="H636" t="s">
        <v>153</v>
      </c>
      <c r="I636" t="e">
        <f t="shared" ca="1" si="50"/>
        <v>#REF!</v>
      </c>
      <c r="J636" t="str">
        <f>VLOOKUP($G636,DefinitionArrays!$I$6:$J$12,2,FALSE)</f>
        <v>Workweek</v>
      </c>
    </row>
    <row r="637" spans="1:10">
      <c r="A637" s="159" t="str">
        <f t="shared" si="46"/>
        <v>$E$1:$E$92</v>
      </c>
      <c r="B637" s="159" t="str">
        <f t="shared" si="47"/>
        <v>$F$1:$F$92</v>
      </c>
      <c r="C637" s="159" t="str">
        <f t="shared" si="48"/>
        <v>November!$E$1:$E$92</v>
      </c>
      <c r="D637" s="159" t="str">
        <f t="shared" si="49"/>
        <v>November!$F$1:$F$92</v>
      </c>
      <c r="E637" t="s">
        <v>3</v>
      </c>
      <c r="F637" t="s">
        <v>130</v>
      </c>
      <c r="G637" t="s">
        <v>142</v>
      </c>
      <c r="H637" t="s">
        <v>19</v>
      </c>
      <c r="I637" t="e">
        <f t="shared" ca="1" si="50"/>
        <v>#REF!</v>
      </c>
      <c r="J637" t="str">
        <f>VLOOKUP($G637,DefinitionArrays!$I$6:$J$12,2,FALSE)</f>
        <v>Workweek</v>
      </c>
    </row>
    <row r="638" spans="1:10">
      <c r="A638" s="159" t="str">
        <f t="shared" si="46"/>
        <v>$E$1:$E$92</v>
      </c>
      <c r="B638" s="159" t="str">
        <f t="shared" si="47"/>
        <v>$F$1:$F$92</v>
      </c>
      <c r="C638" s="159" t="str">
        <f t="shared" si="48"/>
        <v>November!$E$1:$E$92</v>
      </c>
      <c r="D638" s="159" t="str">
        <f t="shared" si="49"/>
        <v>November!$F$1:$F$92</v>
      </c>
      <c r="E638" t="s">
        <v>3</v>
      </c>
      <c r="F638" t="s">
        <v>130</v>
      </c>
      <c r="G638" t="s">
        <v>142</v>
      </c>
      <c r="H638" t="s">
        <v>20</v>
      </c>
      <c r="I638" t="e">
        <f t="shared" ca="1" si="50"/>
        <v>#REF!</v>
      </c>
      <c r="J638" t="str">
        <f>VLOOKUP($G638,DefinitionArrays!$I$6:$J$12,2,FALSE)</f>
        <v>Workweek</v>
      </c>
    </row>
    <row r="639" spans="1:10">
      <c r="A639" s="159" t="str">
        <f t="shared" si="46"/>
        <v>$E$1:$E$92</v>
      </c>
      <c r="B639" s="159" t="str">
        <f t="shared" si="47"/>
        <v>$F$1:$F$92</v>
      </c>
      <c r="C639" s="159" t="str">
        <f t="shared" si="48"/>
        <v>November!$E$1:$E$92</v>
      </c>
      <c r="D639" s="159" t="str">
        <f t="shared" si="49"/>
        <v>November!$F$1:$F$92</v>
      </c>
      <c r="E639" t="s">
        <v>3</v>
      </c>
      <c r="F639" t="s">
        <v>130</v>
      </c>
      <c r="G639" t="s">
        <v>142</v>
      </c>
      <c r="H639" t="s">
        <v>21</v>
      </c>
      <c r="I639" t="e">
        <f t="shared" ca="1" si="50"/>
        <v>#REF!</v>
      </c>
      <c r="J639" t="str">
        <f>VLOOKUP($G639,DefinitionArrays!$I$6:$J$12,2,FALSE)</f>
        <v>Workweek</v>
      </c>
    </row>
    <row r="640" spans="1:10">
      <c r="A640" s="159" t="str">
        <f t="shared" si="46"/>
        <v>$E$1:$E$92</v>
      </c>
      <c r="B640" s="159" t="str">
        <f t="shared" si="47"/>
        <v>$F$1:$F$92</v>
      </c>
      <c r="C640" s="159" t="str">
        <f t="shared" si="48"/>
        <v>November!$E$1:$E$92</v>
      </c>
      <c r="D640" s="159" t="str">
        <f t="shared" si="49"/>
        <v>November!$F$1:$F$92</v>
      </c>
      <c r="E640" t="s">
        <v>3</v>
      </c>
      <c r="F640" t="s">
        <v>130</v>
      </c>
      <c r="G640" t="s">
        <v>142</v>
      </c>
      <c r="H640" t="s">
        <v>22</v>
      </c>
      <c r="I640" t="e">
        <f t="shared" ca="1" si="50"/>
        <v>#REF!</v>
      </c>
      <c r="J640" t="str">
        <f>VLOOKUP($G640,DefinitionArrays!$I$6:$J$12,2,FALSE)</f>
        <v>Workweek</v>
      </c>
    </row>
    <row r="641" spans="1:10">
      <c r="A641" s="159" t="str">
        <f t="shared" si="46"/>
        <v>$E$1:$E$92</v>
      </c>
      <c r="B641" s="159" t="str">
        <f t="shared" si="47"/>
        <v>$F$1:$F$92</v>
      </c>
      <c r="C641" s="159" t="str">
        <f t="shared" si="48"/>
        <v>November!$E$1:$E$92</v>
      </c>
      <c r="D641" s="159" t="str">
        <f t="shared" si="49"/>
        <v>November!$F$1:$F$92</v>
      </c>
      <c r="E641" t="s">
        <v>3</v>
      </c>
      <c r="F641" t="s">
        <v>130</v>
      </c>
      <c r="G641" t="s">
        <v>142</v>
      </c>
      <c r="H641" t="s">
        <v>23</v>
      </c>
      <c r="I641" t="e">
        <f t="shared" ca="1" si="50"/>
        <v>#REF!</v>
      </c>
      <c r="J641" t="str">
        <f>VLOOKUP($G641,DefinitionArrays!$I$6:$J$12,2,FALSE)</f>
        <v>Workweek</v>
      </c>
    </row>
    <row r="642" spans="1:10">
      <c r="A642" s="159" t="str">
        <f t="shared" ref="A642:A705" si="51">VLOOKUP($G642,Fx_Code,2,FALSE)</f>
        <v>$E$1:$E$92</v>
      </c>
      <c r="B642" s="159" t="str">
        <f t="shared" ref="B642:B705" si="52">VLOOKUP($G642,Fx_Code,3,FALSE)</f>
        <v>$F$1:$F$92</v>
      </c>
      <c r="C642" s="159" t="str">
        <f t="shared" ref="C642:C705" si="53">CONCATENATE($F642,$K$1,A642)</f>
        <v>November!$E$1:$E$92</v>
      </c>
      <c r="D642" s="159" t="str">
        <f t="shared" ref="D642:D705" si="54">CONCATENATE($F642,$K$1,B642)</f>
        <v>November!$F$1:$F$92</v>
      </c>
      <c r="E642" t="s">
        <v>3</v>
      </c>
      <c r="F642" t="s">
        <v>130</v>
      </c>
      <c r="G642" t="s">
        <v>142</v>
      </c>
      <c r="H642" t="s">
        <v>24</v>
      </c>
      <c r="I642" t="e">
        <f t="shared" ca="1" si="50"/>
        <v>#REF!</v>
      </c>
      <c r="J642" t="str">
        <f>VLOOKUP($G642,DefinitionArrays!$I$6:$J$12,2,FALSE)</f>
        <v>Workweek</v>
      </c>
    </row>
    <row r="643" spans="1:10">
      <c r="A643" s="159" t="str">
        <f t="shared" si="51"/>
        <v>$E$1:$E$92</v>
      </c>
      <c r="B643" s="159" t="str">
        <f t="shared" si="52"/>
        <v>$F$1:$F$92</v>
      </c>
      <c r="C643" s="159" t="str">
        <f t="shared" si="53"/>
        <v>November!$E$1:$E$92</v>
      </c>
      <c r="D643" s="159" t="str">
        <f t="shared" si="54"/>
        <v>November!$F$1:$F$92</v>
      </c>
      <c r="E643" t="s">
        <v>3</v>
      </c>
      <c r="F643" t="s">
        <v>130</v>
      </c>
      <c r="G643" t="s">
        <v>142</v>
      </c>
      <c r="H643" t="s">
        <v>179</v>
      </c>
      <c r="I643" t="e">
        <f t="shared" ca="1" si="50"/>
        <v>#REF!</v>
      </c>
      <c r="J643" t="str">
        <f>VLOOKUP($G643,DefinitionArrays!$I$6:$J$12,2,FALSE)</f>
        <v>Workweek</v>
      </c>
    </row>
    <row r="644" spans="1:10">
      <c r="A644" s="159" t="str">
        <f t="shared" si="51"/>
        <v>$E$1:$E$92</v>
      </c>
      <c r="B644" s="159" t="str">
        <f t="shared" si="52"/>
        <v>$F$1:$F$92</v>
      </c>
      <c r="C644" s="159" t="str">
        <f t="shared" si="53"/>
        <v>November!$E$1:$E$92</v>
      </c>
      <c r="D644" s="159" t="str">
        <f t="shared" si="54"/>
        <v>November!$F$1:$F$92</v>
      </c>
      <c r="E644" t="s">
        <v>3</v>
      </c>
      <c r="F644" t="s">
        <v>130</v>
      </c>
      <c r="G644" t="s">
        <v>142</v>
      </c>
      <c r="H644" t="s">
        <v>180</v>
      </c>
      <c r="I644" t="e">
        <f t="shared" ca="1" si="50"/>
        <v>#REF!</v>
      </c>
      <c r="J644" t="str">
        <f>VLOOKUP($G644,DefinitionArrays!$I$6:$J$12,2,FALSE)</f>
        <v>Workweek</v>
      </c>
    </row>
    <row r="645" spans="1:10">
      <c r="A645" s="159" t="str">
        <f t="shared" si="51"/>
        <v>$E$1:$E$92</v>
      </c>
      <c r="B645" s="159" t="str">
        <f t="shared" si="52"/>
        <v>$F$1:$F$92</v>
      </c>
      <c r="C645" s="159" t="str">
        <f t="shared" si="53"/>
        <v>November!$E$1:$E$92</v>
      </c>
      <c r="D645" s="159" t="str">
        <f t="shared" si="54"/>
        <v>November!$F$1:$F$92</v>
      </c>
      <c r="E645" t="s">
        <v>3</v>
      </c>
      <c r="F645" t="s">
        <v>130</v>
      </c>
      <c r="G645" t="s">
        <v>142</v>
      </c>
      <c r="H645" t="s">
        <v>44</v>
      </c>
      <c r="I645" t="e">
        <f t="shared" ca="1" si="50"/>
        <v>#REF!</v>
      </c>
      <c r="J645" t="str">
        <f>VLOOKUP($G645,DefinitionArrays!$I$6:$J$12,2,FALSE)</f>
        <v>Workweek</v>
      </c>
    </row>
    <row r="646" spans="1:10">
      <c r="A646" s="159" t="str">
        <f t="shared" si="51"/>
        <v>$H$1:$H$92</v>
      </c>
      <c r="B646" s="159" t="str">
        <f t="shared" si="52"/>
        <v>$I$1:$I$92</v>
      </c>
      <c r="C646" s="159" t="str">
        <f t="shared" si="53"/>
        <v>November!$H$1:$H$92</v>
      </c>
      <c r="D646" s="159" t="str">
        <f t="shared" si="54"/>
        <v>November!$I$1:$I$92</v>
      </c>
      <c r="E646" t="s">
        <v>3</v>
      </c>
      <c r="F646" t="s">
        <v>130</v>
      </c>
      <c r="G646" t="s">
        <v>143</v>
      </c>
      <c r="H646" t="s">
        <v>159</v>
      </c>
      <c r="I646" t="e">
        <f t="shared" ca="1" si="50"/>
        <v>#REF!</v>
      </c>
      <c r="J646" t="str">
        <f>VLOOKUP($G646,DefinitionArrays!$I$6:$J$12,2,FALSE)</f>
        <v>Workweek</v>
      </c>
    </row>
    <row r="647" spans="1:10">
      <c r="A647" s="159" t="str">
        <f t="shared" si="51"/>
        <v>$H$1:$H$92</v>
      </c>
      <c r="B647" s="159" t="str">
        <f t="shared" si="52"/>
        <v>$I$1:$I$92</v>
      </c>
      <c r="C647" s="159" t="str">
        <f t="shared" si="53"/>
        <v>November!$H$1:$H$92</v>
      </c>
      <c r="D647" s="159" t="str">
        <f t="shared" si="54"/>
        <v>November!$I$1:$I$92</v>
      </c>
      <c r="E647" t="s">
        <v>3</v>
      </c>
      <c r="F647" t="s">
        <v>130</v>
      </c>
      <c r="G647" t="s">
        <v>143</v>
      </c>
      <c r="H647" t="s">
        <v>18</v>
      </c>
      <c r="I647" t="e">
        <f t="shared" ca="1" si="50"/>
        <v>#REF!</v>
      </c>
      <c r="J647" t="str">
        <f>VLOOKUP($G647,DefinitionArrays!$I$6:$J$12,2,FALSE)</f>
        <v>Workweek</v>
      </c>
    </row>
    <row r="648" spans="1:10">
      <c r="A648" s="159" t="str">
        <f t="shared" si="51"/>
        <v>$H$1:$H$92</v>
      </c>
      <c r="B648" s="159" t="str">
        <f t="shared" si="52"/>
        <v>$I$1:$I$92</v>
      </c>
      <c r="C648" s="159" t="str">
        <f t="shared" si="53"/>
        <v>November!$H$1:$H$92</v>
      </c>
      <c r="D648" s="159" t="str">
        <f t="shared" si="54"/>
        <v>November!$I$1:$I$92</v>
      </c>
      <c r="E648" t="s">
        <v>3</v>
      </c>
      <c r="F648" t="s">
        <v>130</v>
      </c>
      <c r="G648" t="s">
        <v>143</v>
      </c>
      <c r="H648" t="s">
        <v>153</v>
      </c>
      <c r="I648" t="e">
        <f t="shared" ca="1" si="50"/>
        <v>#REF!</v>
      </c>
      <c r="J648" t="str">
        <f>VLOOKUP($G648,DefinitionArrays!$I$6:$J$12,2,FALSE)</f>
        <v>Workweek</v>
      </c>
    </row>
    <row r="649" spans="1:10">
      <c r="A649" s="159" t="str">
        <f t="shared" si="51"/>
        <v>$H$1:$H$92</v>
      </c>
      <c r="B649" s="159" t="str">
        <f t="shared" si="52"/>
        <v>$I$1:$I$92</v>
      </c>
      <c r="C649" s="159" t="str">
        <f t="shared" si="53"/>
        <v>November!$H$1:$H$92</v>
      </c>
      <c r="D649" s="159" t="str">
        <f t="shared" si="54"/>
        <v>November!$I$1:$I$92</v>
      </c>
      <c r="E649" t="s">
        <v>3</v>
      </c>
      <c r="F649" t="s">
        <v>130</v>
      </c>
      <c r="G649" t="s">
        <v>143</v>
      </c>
      <c r="H649" t="s">
        <v>19</v>
      </c>
      <c r="I649" t="e">
        <f t="shared" ca="1" si="50"/>
        <v>#REF!</v>
      </c>
      <c r="J649" t="str">
        <f>VLOOKUP($G649,DefinitionArrays!$I$6:$J$12,2,FALSE)</f>
        <v>Workweek</v>
      </c>
    </row>
    <row r="650" spans="1:10">
      <c r="A650" s="159" t="str">
        <f t="shared" si="51"/>
        <v>$H$1:$H$92</v>
      </c>
      <c r="B650" s="159" t="str">
        <f t="shared" si="52"/>
        <v>$I$1:$I$92</v>
      </c>
      <c r="C650" s="159" t="str">
        <f t="shared" si="53"/>
        <v>November!$H$1:$H$92</v>
      </c>
      <c r="D650" s="159" t="str">
        <f t="shared" si="54"/>
        <v>November!$I$1:$I$92</v>
      </c>
      <c r="E650" t="s">
        <v>3</v>
      </c>
      <c r="F650" t="s">
        <v>130</v>
      </c>
      <c r="G650" t="s">
        <v>143</v>
      </c>
      <c r="H650" t="s">
        <v>20</v>
      </c>
      <c r="I650" t="e">
        <f t="shared" ca="1" si="50"/>
        <v>#REF!</v>
      </c>
      <c r="J650" t="str">
        <f>VLOOKUP($G650,DefinitionArrays!$I$6:$J$12,2,FALSE)</f>
        <v>Workweek</v>
      </c>
    </row>
    <row r="651" spans="1:10">
      <c r="A651" s="159" t="str">
        <f t="shared" si="51"/>
        <v>$H$1:$H$92</v>
      </c>
      <c r="B651" s="159" t="str">
        <f t="shared" si="52"/>
        <v>$I$1:$I$92</v>
      </c>
      <c r="C651" s="159" t="str">
        <f t="shared" si="53"/>
        <v>November!$H$1:$H$92</v>
      </c>
      <c r="D651" s="159" t="str">
        <f t="shared" si="54"/>
        <v>November!$I$1:$I$92</v>
      </c>
      <c r="E651" t="s">
        <v>3</v>
      </c>
      <c r="F651" t="s">
        <v>130</v>
      </c>
      <c r="G651" t="s">
        <v>143</v>
      </c>
      <c r="H651" t="s">
        <v>21</v>
      </c>
      <c r="I651" t="e">
        <f t="shared" ca="1" si="50"/>
        <v>#REF!</v>
      </c>
      <c r="J651" t="str">
        <f>VLOOKUP($G651,DefinitionArrays!$I$6:$J$12,2,FALSE)</f>
        <v>Workweek</v>
      </c>
    </row>
    <row r="652" spans="1:10">
      <c r="A652" s="159" t="str">
        <f t="shared" si="51"/>
        <v>$H$1:$H$92</v>
      </c>
      <c r="B652" s="159" t="str">
        <f t="shared" si="52"/>
        <v>$I$1:$I$92</v>
      </c>
      <c r="C652" s="159" t="str">
        <f t="shared" si="53"/>
        <v>November!$H$1:$H$92</v>
      </c>
      <c r="D652" s="159" t="str">
        <f t="shared" si="54"/>
        <v>November!$I$1:$I$92</v>
      </c>
      <c r="E652" t="s">
        <v>3</v>
      </c>
      <c r="F652" t="s">
        <v>130</v>
      </c>
      <c r="G652" t="s">
        <v>143</v>
      </c>
      <c r="H652" t="s">
        <v>22</v>
      </c>
      <c r="I652" t="e">
        <f t="shared" ca="1" si="50"/>
        <v>#REF!</v>
      </c>
      <c r="J652" t="str">
        <f>VLOOKUP($G652,DefinitionArrays!$I$6:$J$12,2,FALSE)</f>
        <v>Workweek</v>
      </c>
    </row>
    <row r="653" spans="1:10">
      <c r="A653" s="159" t="str">
        <f t="shared" si="51"/>
        <v>$H$1:$H$92</v>
      </c>
      <c r="B653" s="159" t="str">
        <f t="shared" si="52"/>
        <v>$I$1:$I$92</v>
      </c>
      <c r="C653" s="159" t="str">
        <f t="shared" si="53"/>
        <v>November!$H$1:$H$92</v>
      </c>
      <c r="D653" s="159" t="str">
        <f t="shared" si="54"/>
        <v>November!$I$1:$I$92</v>
      </c>
      <c r="E653" t="s">
        <v>3</v>
      </c>
      <c r="F653" t="s">
        <v>130</v>
      </c>
      <c r="G653" t="s">
        <v>143</v>
      </c>
      <c r="H653" t="s">
        <v>23</v>
      </c>
      <c r="I653" t="e">
        <f t="shared" ca="1" si="50"/>
        <v>#REF!</v>
      </c>
      <c r="J653" t="str">
        <f>VLOOKUP($G653,DefinitionArrays!$I$6:$J$12,2,FALSE)</f>
        <v>Workweek</v>
      </c>
    </row>
    <row r="654" spans="1:10">
      <c r="A654" s="159" t="str">
        <f t="shared" si="51"/>
        <v>$H$1:$H$92</v>
      </c>
      <c r="B654" s="159" t="str">
        <f t="shared" si="52"/>
        <v>$I$1:$I$92</v>
      </c>
      <c r="C654" s="159" t="str">
        <f t="shared" si="53"/>
        <v>November!$H$1:$H$92</v>
      </c>
      <c r="D654" s="159" t="str">
        <f t="shared" si="54"/>
        <v>November!$I$1:$I$92</v>
      </c>
      <c r="E654" t="s">
        <v>3</v>
      </c>
      <c r="F654" t="s">
        <v>130</v>
      </c>
      <c r="G654" t="s">
        <v>143</v>
      </c>
      <c r="H654" t="s">
        <v>24</v>
      </c>
      <c r="I654" t="e">
        <f t="shared" ca="1" si="50"/>
        <v>#REF!</v>
      </c>
      <c r="J654" t="str">
        <f>VLOOKUP($G654,DefinitionArrays!$I$6:$J$12,2,FALSE)</f>
        <v>Workweek</v>
      </c>
    </row>
    <row r="655" spans="1:10">
      <c r="A655" s="159" t="str">
        <f t="shared" si="51"/>
        <v>$H$1:$H$92</v>
      </c>
      <c r="B655" s="159" t="str">
        <f t="shared" si="52"/>
        <v>$I$1:$I$92</v>
      </c>
      <c r="C655" s="159" t="str">
        <f t="shared" si="53"/>
        <v>November!$H$1:$H$92</v>
      </c>
      <c r="D655" s="159" t="str">
        <f t="shared" si="54"/>
        <v>November!$I$1:$I$92</v>
      </c>
      <c r="E655" t="s">
        <v>3</v>
      </c>
      <c r="F655" t="s">
        <v>130</v>
      </c>
      <c r="G655" t="s">
        <v>143</v>
      </c>
      <c r="H655" t="s">
        <v>179</v>
      </c>
      <c r="I655" t="e">
        <f t="shared" ca="1" si="50"/>
        <v>#REF!</v>
      </c>
      <c r="J655" t="str">
        <f>VLOOKUP($G655,DefinitionArrays!$I$6:$J$12,2,FALSE)</f>
        <v>Workweek</v>
      </c>
    </row>
    <row r="656" spans="1:10">
      <c r="A656" s="159" t="str">
        <f t="shared" si="51"/>
        <v>$H$1:$H$92</v>
      </c>
      <c r="B656" s="159" t="str">
        <f t="shared" si="52"/>
        <v>$I$1:$I$92</v>
      </c>
      <c r="C656" s="159" t="str">
        <f t="shared" si="53"/>
        <v>November!$H$1:$H$92</v>
      </c>
      <c r="D656" s="159" t="str">
        <f t="shared" si="54"/>
        <v>November!$I$1:$I$92</v>
      </c>
      <c r="E656" t="s">
        <v>3</v>
      </c>
      <c r="F656" t="s">
        <v>130</v>
      </c>
      <c r="G656" t="s">
        <v>143</v>
      </c>
      <c r="H656" t="s">
        <v>180</v>
      </c>
      <c r="I656" t="e">
        <f t="shared" ca="1" si="50"/>
        <v>#REF!</v>
      </c>
      <c r="J656" t="str">
        <f>VLOOKUP($G656,DefinitionArrays!$I$6:$J$12,2,FALSE)</f>
        <v>Workweek</v>
      </c>
    </row>
    <row r="657" spans="1:10">
      <c r="A657" s="159" t="str">
        <f t="shared" si="51"/>
        <v>$H$1:$H$92</v>
      </c>
      <c r="B657" s="159" t="str">
        <f t="shared" si="52"/>
        <v>$I$1:$I$92</v>
      </c>
      <c r="C657" s="159" t="str">
        <f t="shared" si="53"/>
        <v>November!$H$1:$H$92</v>
      </c>
      <c r="D657" s="159" t="str">
        <f t="shared" si="54"/>
        <v>November!$I$1:$I$92</v>
      </c>
      <c r="E657" t="s">
        <v>3</v>
      </c>
      <c r="F657" t="s">
        <v>130</v>
      </c>
      <c r="G657" t="s">
        <v>143</v>
      </c>
      <c r="H657" t="s">
        <v>44</v>
      </c>
      <c r="I657" t="e">
        <f t="shared" ca="1" si="50"/>
        <v>#REF!</v>
      </c>
      <c r="J657" t="str">
        <f>VLOOKUP($G657,DefinitionArrays!$I$6:$J$12,2,FALSE)</f>
        <v>Workweek</v>
      </c>
    </row>
    <row r="658" spans="1:10">
      <c r="A658" s="159" t="str">
        <f t="shared" si="51"/>
        <v>$K$1:$K$92</v>
      </c>
      <c r="B658" s="159" t="str">
        <f t="shared" si="52"/>
        <v>$L$1:$L$92</v>
      </c>
      <c r="C658" s="159" t="str">
        <f t="shared" si="53"/>
        <v>November!$K$1:$K$92</v>
      </c>
      <c r="D658" s="159" t="str">
        <f t="shared" si="54"/>
        <v>November!$L$1:$L$92</v>
      </c>
      <c r="E658" t="s">
        <v>3</v>
      </c>
      <c r="F658" t="s">
        <v>130</v>
      </c>
      <c r="G658" t="s">
        <v>144</v>
      </c>
      <c r="H658" t="s">
        <v>159</v>
      </c>
      <c r="I658" t="e">
        <f t="shared" ca="1" si="50"/>
        <v>#REF!</v>
      </c>
      <c r="J658" t="str">
        <f>VLOOKUP($G658,DefinitionArrays!$I$6:$J$12,2,FALSE)</f>
        <v>Workweek</v>
      </c>
    </row>
    <row r="659" spans="1:10">
      <c r="A659" s="159" t="str">
        <f t="shared" si="51"/>
        <v>$K$1:$K$92</v>
      </c>
      <c r="B659" s="159" t="str">
        <f t="shared" si="52"/>
        <v>$L$1:$L$92</v>
      </c>
      <c r="C659" s="159" t="str">
        <f t="shared" si="53"/>
        <v>November!$K$1:$K$92</v>
      </c>
      <c r="D659" s="159" t="str">
        <f t="shared" si="54"/>
        <v>November!$L$1:$L$92</v>
      </c>
      <c r="E659" t="s">
        <v>3</v>
      </c>
      <c r="F659" t="s">
        <v>130</v>
      </c>
      <c r="G659" t="s">
        <v>144</v>
      </c>
      <c r="H659" t="s">
        <v>18</v>
      </c>
      <c r="I659" t="e">
        <f t="shared" ca="1" si="50"/>
        <v>#REF!</v>
      </c>
      <c r="J659" t="str">
        <f>VLOOKUP($G659,DefinitionArrays!$I$6:$J$12,2,FALSE)</f>
        <v>Workweek</v>
      </c>
    </row>
    <row r="660" spans="1:10">
      <c r="A660" s="159" t="str">
        <f t="shared" si="51"/>
        <v>$K$1:$K$92</v>
      </c>
      <c r="B660" s="159" t="str">
        <f t="shared" si="52"/>
        <v>$L$1:$L$92</v>
      </c>
      <c r="C660" s="159" t="str">
        <f t="shared" si="53"/>
        <v>November!$K$1:$K$92</v>
      </c>
      <c r="D660" s="159" t="str">
        <f t="shared" si="54"/>
        <v>November!$L$1:$L$92</v>
      </c>
      <c r="E660" t="s">
        <v>3</v>
      </c>
      <c r="F660" t="s">
        <v>130</v>
      </c>
      <c r="G660" t="s">
        <v>144</v>
      </c>
      <c r="H660" t="s">
        <v>153</v>
      </c>
      <c r="I660" t="e">
        <f t="shared" ca="1" si="50"/>
        <v>#REF!</v>
      </c>
      <c r="J660" t="str">
        <f>VLOOKUP($G660,DefinitionArrays!$I$6:$J$12,2,FALSE)</f>
        <v>Workweek</v>
      </c>
    </row>
    <row r="661" spans="1:10">
      <c r="A661" s="159" t="str">
        <f t="shared" si="51"/>
        <v>$K$1:$K$92</v>
      </c>
      <c r="B661" s="159" t="str">
        <f t="shared" si="52"/>
        <v>$L$1:$L$92</v>
      </c>
      <c r="C661" s="159" t="str">
        <f t="shared" si="53"/>
        <v>November!$K$1:$K$92</v>
      </c>
      <c r="D661" s="159" t="str">
        <f t="shared" si="54"/>
        <v>November!$L$1:$L$92</v>
      </c>
      <c r="E661" t="s">
        <v>3</v>
      </c>
      <c r="F661" t="s">
        <v>130</v>
      </c>
      <c r="G661" t="s">
        <v>144</v>
      </c>
      <c r="H661" t="s">
        <v>19</v>
      </c>
      <c r="I661" t="e">
        <f t="shared" ca="1" si="50"/>
        <v>#REF!</v>
      </c>
      <c r="J661" t="str">
        <f>VLOOKUP($G661,DefinitionArrays!$I$6:$J$12,2,FALSE)</f>
        <v>Workweek</v>
      </c>
    </row>
    <row r="662" spans="1:10">
      <c r="A662" s="159" t="str">
        <f t="shared" si="51"/>
        <v>$K$1:$K$92</v>
      </c>
      <c r="B662" s="159" t="str">
        <f t="shared" si="52"/>
        <v>$L$1:$L$92</v>
      </c>
      <c r="C662" s="159" t="str">
        <f t="shared" si="53"/>
        <v>November!$K$1:$K$92</v>
      </c>
      <c r="D662" s="159" t="str">
        <f t="shared" si="54"/>
        <v>November!$L$1:$L$92</v>
      </c>
      <c r="E662" t="s">
        <v>3</v>
      </c>
      <c r="F662" t="s">
        <v>130</v>
      </c>
      <c r="G662" t="s">
        <v>144</v>
      </c>
      <c r="H662" t="s">
        <v>20</v>
      </c>
      <c r="I662" t="e">
        <f t="shared" ca="1" si="50"/>
        <v>#REF!</v>
      </c>
      <c r="J662" t="str">
        <f>VLOOKUP($G662,DefinitionArrays!$I$6:$J$12,2,FALSE)</f>
        <v>Workweek</v>
      </c>
    </row>
    <row r="663" spans="1:10">
      <c r="A663" s="159" t="str">
        <f t="shared" si="51"/>
        <v>$K$1:$K$92</v>
      </c>
      <c r="B663" s="159" t="str">
        <f t="shared" si="52"/>
        <v>$L$1:$L$92</v>
      </c>
      <c r="C663" s="159" t="str">
        <f t="shared" si="53"/>
        <v>November!$K$1:$K$92</v>
      </c>
      <c r="D663" s="159" t="str">
        <f t="shared" si="54"/>
        <v>November!$L$1:$L$92</v>
      </c>
      <c r="E663" t="s">
        <v>3</v>
      </c>
      <c r="F663" t="s">
        <v>130</v>
      </c>
      <c r="G663" t="s">
        <v>144</v>
      </c>
      <c r="H663" t="s">
        <v>21</v>
      </c>
      <c r="I663" t="e">
        <f t="shared" ca="1" si="50"/>
        <v>#REF!</v>
      </c>
      <c r="J663" t="str">
        <f>VLOOKUP($G663,DefinitionArrays!$I$6:$J$12,2,FALSE)</f>
        <v>Workweek</v>
      </c>
    </row>
    <row r="664" spans="1:10">
      <c r="A664" s="159" t="str">
        <f t="shared" si="51"/>
        <v>$K$1:$K$92</v>
      </c>
      <c r="B664" s="159" t="str">
        <f t="shared" si="52"/>
        <v>$L$1:$L$92</v>
      </c>
      <c r="C664" s="159" t="str">
        <f t="shared" si="53"/>
        <v>November!$K$1:$K$92</v>
      </c>
      <c r="D664" s="159" t="str">
        <f t="shared" si="54"/>
        <v>November!$L$1:$L$92</v>
      </c>
      <c r="E664" t="s">
        <v>3</v>
      </c>
      <c r="F664" t="s">
        <v>130</v>
      </c>
      <c r="G664" t="s">
        <v>144</v>
      </c>
      <c r="H664" t="s">
        <v>22</v>
      </c>
      <c r="I664" t="e">
        <f t="shared" ca="1" si="50"/>
        <v>#REF!</v>
      </c>
      <c r="J664" t="str">
        <f>VLOOKUP($G664,DefinitionArrays!$I$6:$J$12,2,FALSE)</f>
        <v>Workweek</v>
      </c>
    </row>
    <row r="665" spans="1:10">
      <c r="A665" s="159" t="str">
        <f t="shared" si="51"/>
        <v>$K$1:$K$92</v>
      </c>
      <c r="B665" s="159" t="str">
        <f t="shared" si="52"/>
        <v>$L$1:$L$92</v>
      </c>
      <c r="C665" s="159" t="str">
        <f t="shared" si="53"/>
        <v>November!$K$1:$K$92</v>
      </c>
      <c r="D665" s="159" t="str">
        <f t="shared" si="54"/>
        <v>November!$L$1:$L$92</v>
      </c>
      <c r="E665" t="s">
        <v>3</v>
      </c>
      <c r="F665" t="s">
        <v>130</v>
      </c>
      <c r="G665" t="s">
        <v>144</v>
      </c>
      <c r="H665" t="s">
        <v>23</v>
      </c>
      <c r="I665" t="e">
        <f t="shared" ca="1" si="50"/>
        <v>#REF!</v>
      </c>
      <c r="J665" t="str">
        <f>VLOOKUP($G665,DefinitionArrays!$I$6:$J$12,2,FALSE)</f>
        <v>Workweek</v>
      </c>
    </row>
    <row r="666" spans="1:10">
      <c r="A666" s="159" t="str">
        <f t="shared" si="51"/>
        <v>$K$1:$K$92</v>
      </c>
      <c r="B666" s="159" t="str">
        <f t="shared" si="52"/>
        <v>$L$1:$L$92</v>
      </c>
      <c r="C666" s="159" t="str">
        <f t="shared" si="53"/>
        <v>November!$K$1:$K$92</v>
      </c>
      <c r="D666" s="159" t="str">
        <f t="shared" si="54"/>
        <v>November!$L$1:$L$92</v>
      </c>
      <c r="E666" t="s">
        <v>3</v>
      </c>
      <c r="F666" t="s">
        <v>130</v>
      </c>
      <c r="G666" t="s">
        <v>144</v>
      </c>
      <c r="H666" t="s">
        <v>24</v>
      </c>
      <c r="I666" t="e">
        <f t="shared" ca="1" si="50"/>
        <v>#REF!</v>
      </c>
      <c r="J666" t="str">
        <f>VLOOKUP($G666,DefinitionArrays!$I$6:$J$12,2,FALSE)</f>
        <v>Workweek</v>
      </c>
    </row>
    <row r="667" spans="1:10">
      <c r="A667" s="159" t="str">
        <f t="shared" si="51"/>
        <v>$K$1:$K$92</v>
      </c>
      <c r="B667" s="159" t="str">
        <f t="shared" si="52"/>
        <v>$L$1:$L$92</v>
      </c>
      <c r="C667" s="159" t="str">
        <f t="shared" si="53"/>
        <v>November!$K$1:$K$92</v>
      </c>
      <c r="D667" s="159" t="str">
        <f t="shared" si="54"/>
        <v>November!$L$1:$L$92</v>
      </c>
      <c r="E667" t="s">
        <v>3</v>
      </c>
      <c r="F667" t="s">
        <v>130</v>
      </c>
      <c r="G667" t="s">
        <v>144</v>
      </c>
      <c r="H667" t="s">
        <v>179</v>
      </c>
      <c r="I667" t="e">
        <f t="shared" ca="1" si="50"/>
        <v>#REF!</v>
      </c>
      <c r="J667" t="str">
        <f>VLOOKUP($G667,DefinitionArrays!$I$6:$J$12,2,FALSE)</f>
        <v>Workweek</v>
      </c>
    </row>
    <row r="668" spans="1:10">
      <c r="A668" s="159" t="str">
        <f t="shared" si="51"/>
        <v>$K$1:$K$92</v>
      </c>
      <c r="B668" s="159" t="str">
        <f t="shared" si="52"/>
        <v>$L$1:$L$92</v>
      </c>
      <c r="C668" s="159" t="str">
        <f t="shared" si="53"/>
        <v>November!$K$1:$K$92</v>
      </c>
      <c r="D668" s="159" t="str">
        <f t="shared" si="54"/>
        <v>November!$L$1:$L$92</v>
      </c>
      <c r="E668" t="s">
        <v>3</v>
      </c>
      <c r="F668" t="s">
        <v>130</v>
      </c>
      <c r="G668" t="s">
        <v>144</v>
      </c>
      <c r="H668" t="s">
        <v>180</v>
      </c>
      <c r="I668" t="e">
        <f t="shared" ca="1" si="50"/>
        <v>#REF!</v>
      </c>
      <c r="J668" t="str">
        <f>VLOOKUP($G668,DefinitionArrays!$I$6:$J$12,2,FALSE)</f>
        <v>Workweek</v>
      </c>
    </row>
    <row r="669" spans="1:10">
      <c r="A669" s="159" t="str">
        <f t="shared" si="51"/>
        <v>$K$1:$K$92</v>
      </c>
      <c r="B669" s="159" t="str">
        <f t="shared" si="52"/>
        <v>$L$1:$L$92</v>
      </c>
      <c r="C669" s="159" t="str">
        <f t="shared" si="53"/>
        <v>November!$K$1:$K$92</v>
      </c>
      <c r="D669" s="159" t="str">
        <f t="shared" si="54"/>
        <v>November!$L$1:$L$92</v>
      </c>
      <c r="E669" t="s">
        <v>3</v>
      </c>
      <c r="F669" t="s">
        <v>130</v>
      </c>
      <c r="G669" t="s">
        <v>144</v>
      </c>
      <c r="H669" t="s">
        <v>44</v>
      </c>
      <c r="I669" t="e">
        <f t="shared" ca="1" si="50"/>
        <v>#REF!</v>
      </c>
      <c r="J669" t="str">
        <f>VLOOKUP($G669,DefinitionArrays!$I$6:$J$12,2,FALSE)</f>
        <v>Workweek</v>
      </c>
    </row>
    <row r="670" spans="1:10">
      <c r="A670" s="159" t="str">
        <f t="shared" si="51"/>
        <v>$N$1:$N$92</v>
      </c>
      <c r="B670" s="159" t="str">
        <f t="shared" si="52"/>
        <v>$O$1:$O$92</v>
      </c>
      <c r="C670" s="159" t="str">
        <f t="shared" si="53"/>
        <v>November!$N$1:$N$92</v>
      </c>
      <c r="D670" s="159" t="str">
        <f t="shared" si="54"/>
        <v>November!$O$1:$O$92</v>
      </c>
      <c r="E670" t="s">
        <v>3</v>
      </c>
      <c r="F670" t="s">
        <v>130</v>
      </c>
      <c r="G670" t="s">
        <v>145</v>
      </c>
      <c r="H670" t="s">
        <v>159</v>
      </c>
      <c r="I670" t="e">
        <f t="shared" ca="1" si="50"/>
        <v>#REF!</v>
      </c>
      <c r="J670" t="str">
        <f>VLOOKUP($G670,DefinitionArrays!$I$6:$J$12,2,FALSE)</f>
        <v>Weekend</v>
      </c>
    </row>
    <row r="671" spans="1:10">
      <c r="A671" s="159" t="str">
        <f t="shared" si="51"/>
        <v>$N$1:$N$92</v>
      </c>
      <c r="B671" s="159" t="str">
        <f t="shared" si="52"/>
        <v>$O$1:$O$92</v>
      </c>
      <c r="C671" s="159" t="str">
        <f t="shared" si="53"/>
        <v>November!$N$1:$N$92</v>
      </c>
      <c r="D671" s="159" t="str">
        <f t="shared" si="54"/>
        <v>November!$O$1:$O$92</v>
      </c>
      <c r="E671" t="s">
        <v>3</v>
      </c>
      <c r="F671" t="s">
        <v>130</v>
      </c>
      <c r="G671" t="s">
        <v>145</v>
      </c>
      <c r="H671" t="s">
        <v>18</v>
      </c>
      <c r="I671" t="e">
        <f t="shared" ca="1" si="50"/>
        <v>#REF!</v>
      </c>
      <c r="J671" t="str">
        <f>VLOOKUP($G671,DefinitionArrays!$I$6:$J$12,2,FALSE)</f>
        <v>Weekend</v>
      </c>
    </row>
    <row r="672" spans="1:10">
      <c r="A672" s="159" t="str">
        <f t="shared" si="51"/>
        <v>$N$1:$N$92</v>
      </c>
      <c r="B672" s="159" t="str">
        <f t="shared" si="52"/>
        <v>$O$1:$O$92</v>
      </c>
      <c r="C672" s="159" t="str">
        <f t="shared" si="53"/>
        <v>November!$N$1:$N$92</v>
      </c>
      <c r="D672" s="159" t="str">
        <f t="shared" si="54"/>
        <v>November!$O$1:$O$92</v>
      </c>
      <c r="E672" t="s">
        <v>3</v>
      </c>
      <c r="F672" t="s">
        <v>130</v>
      </c>
      <c r="G672" t="s">
        <v>145</v>
      </c>
      <c r="H672" t="s">
        <v>153</v>
      </c>
      <c r="I672" t="e">
        <f t="shared" ca="1" si="50"/>
        <v>#REF!</v>
      </c>
      <c r="J672" t="str">
        <f>VLOOKUP($G672,DefinitionArrays!$I$6:$J$12,2,FALSE)</f>
        <v>Weekend</v>
      </c>
    </row>
    <row r="673" spans="1:10">
      <c r="A673" s="159" t="str">
        <f t="shared" si="51"/>
        <v>$N$1:$N$92</v>
      </c>
      <c r="B673" s="159" t="str">
        <f t="shared" si="52"/>
        <v>$O$1:$O$92</v>
      </c>
      <c r="C673" s="159" t="str">
        <f t="shared" si="53"/>
        <v>November!$N$1:$N$92</v>
      </c>
      <c r="D673" s="159" t="str">
        <f t="shared" si="54"/>
        <v>November!$O$1:$O$92</v>
      </c>
      <c r="E673" t="s">
        <v>3</v>
      </c>
      <c r="F673" t="s">
        <v>130</v>
      </c>
      <c r="G673" t="s">
        <v>145</v>
      </c>
      <c r="H673" t="s">
        <v>19</v>
      </c>
      <c r="I673" t="e">
        <f t="shared" ca="1" si="50"/>
        <v>#REF!</v>
      </c>
      <c r="J673" t="str">
        <f>VLOOKUP($G673,DefinitionArrays!$I$6:$J$12,2,FALSE)</f>
        <v>Weekend</v>
      </c>
    </row>
    <row r="674" spans="1:10">
      <c r="A674" s="159" t="str">
        <f t="shared" si="51"/>
        <v>$N$1:$N$92</v>
      </c>
      <c r="B674" s="159" t="str">
        <f t="shared" si="52"/>
        <v>$O$1:$O$92</v>
      </c>
      <c r="C674" s="159" t="str">
        <f t="shared" si="53"/>
        <v>November!$N$1:$N$92</v>
      </c>
      <c r="D674" s="159" t="str">
        <f t="shared" si="54"/>
        <v>November!$O$1:$O$92</v>
      </c>
      <c r="E674" t="s">
        <v>3</v>
      </c>
      <c r="F674" t="s">
        <v>130</v>
      </c>
      <c r="G674" t="s">
        <v>145</v>
      </c>
      <c r="H674" t="s">
        <v>20</v>
      </c>
      <c r="I674" t="e">
        <f t="shared" ca="1" si="50"/>
        <v>#REF!</v>
      </c>
      <c r="J674" t="str">
        <f>VLOOKUP($G674,DefinitionArrays!$I$6:$J$12,2,FALSE)</f>
        <v>Weekend</v>
      </c>
    </row>
    <row r="675" spans="1:10">
      <c r="A675" s="159" t="str">
        <f t="shared" si="51"/>
        <v>$N$1:$N$92</v>
      </c>
      <c r="B675" s="159" t="str">
        <f t="shared" si="52"/>
        <v>$O$1:$O$92</v>
      </c>
      <c r="C675" s="159" t="str">
        <f t="shared" si="53"/>
        <v>November!$N$1:$N$92</v>
      </c>
      <c r="D675" s="159" t="str">
        <f t="shared" si="54"/>
        <v>November!$O$1:$O$92</v>
      </c>
      <c r="E675" t="s">
        <v>3</v>
      </c>
      <c r="F675" t="s">
        <v>130</v>
      </c>
      <c r="G675" t="s">
        <v>145</v>
      </c>
      <c r="H675" t="s">
        <v>21</v>
      </c>
      <c r="I675" t="e">
        <f t="shared" ca="1" si="50"/>
        <v>#REF!</v>
      </c>
      <c r="J675" t="str">
        <f>VLOOKUP($G675,DefinitionArrays!$I$6:$J$12,2,FALSE)</f>
        <v>Weekend</v>
      </c>
    </row>
    <row r="676" spans="1:10">
      <c r="A676" s="159" t="str">
        <f t="shared" si="51"/>
        <v>$N$1:$N$92</v>
      </c>
      <c r="B676" s="159" t="str">
        <f t="shared" si="52"/>
        <v>$O$1:$O$92</v>
      </c>
      <c r="C676" s="159" t="str">
        <f t="shared" si="53"/>
        <v>November!$N$1:$N$92</v>
      </c>
      <c r="D676" s="159" t="str">
        <f t="shared" si="54"/>
        <v>November!$O$1:$O$92</v>
      </c>
      <c r="E676" t="s">
        <v>3</v>
      </c>
      <c r="F676" t="s">
        <v>130</v>
      </c>
      <c r="G676" t="s">
        <v>145</v>
      </c>
      <c r="H676" t="s">
        <v>22</v>
      </c>
      <c r="I676" t="e">
        <f t="shared" ca="1" si="50"/>
        <v>#REF!</v>
      </c>
      <c r="J676" t="str">
        <f>VLOOKUP($G676,DefinitionArrays!$I$6:$J$12,2,FALSE)</f>
        <v>Weekend</v>
      </c>
    </row>
    <row r="677" spans="1:10">
      <c r="A677" s="159" t="str">
        <f t="shared" si="51"/>
        <v>$N$1:$N$92</v>
      </c>
      <c r="B677" s="159" t="str">
        <f t="shared" si="52"/>
        <v>$O$1:$O$92</v>
      </c>
      <c r="C677" s="159" t="str">
        <f t="shared" si="53"/>
        <v>November!$N$1:$N$92</v>
      </c>
      <c r="D677" s="159" t="str">
        <f t="shared" si="54"/>
        <v>November!$O$1:$O$92</v>
      </c>
      <c r="E677" t="s">
        <v>3</v>
      </c>
      <c r="F677" t="s">
        <v>130</v>
      </c>
      <c r="G677" t="s">
        <v>145</v>
      </c>
      <c r="H677" t="s">
        <v>23</v>
      </c>
      <c r="I677" t="e">
        <f t="shared" ca="1" si="50"/>
        <v>#REF!</v>
      </c>
      <c r="J677" t="str">
        <f>VLOOKUP($G677,DefinitionArrays!$I$6:$J$12,2,FALSE)</f>
        <v>Weekend</v>
      </c>
    </row>
    <row r="678" spans="1:10">
      <c r="A678" s="159" t="str">
        <f t="shared" si="51"/>
        <v>$N$1:$N$92</v>
      </c>
      <c r="B678" s="159" t="str">
        <f t="shared" si="52"/>
        <v>$O$1:$O$92</v>
      </c>
      <c r="C678" s="159" t="str">
        <f t="shared" si="53"/>
        <v>November!$N$1:$N$92</v>
      </c>
      <c r="D678" s="159" t="str">
        <f t="shared" si="54"/>
        <v>November!$O$1:$O$92</v>
      </c>
      <c r="E678" t="s">
        <v>3</v>
      </c>
      <c r="F678" t="s">
        <v>130</v>
      </c>
      <c r="G678" t="s">
        <v>145</v>
      </c>
      <c r="H678" t="s">
        <v>24</v>
      </c>
      <c r="I678" t="e">
        <f t="shared" ca="1" si="50"/>
        <v>#REF!</v>
      </c>
      <c r="J678" t="str">
        <f>VLOOKUP($G678,DefinitionArrays!$I$6:$J$12,2,FALSE)</f>
        <v>Weekend</v>
      </c>
    </row>
    <row r="679" spans="1:10">
      <c r="A679" s="159" t="str">
        <f t="shared" si="51"/>
        <v>$N$1:$N$92</v>
      </c>
      <c r="B679" s="159" t="str">
        <f t="shared" si="52"/>
        <v>$O$1:$O$92</v>
      </c>
      <c r="C679" s="159" t="str">
        <f t="shared" si="53"/>
        <v>November!$N$1:$N$92</v>
      </c>
      <c r="D679" s="159" t="str">
        <f t="shared" si="54"/>
        <v>November!$O$1:$O$92</v>
      </c>
      <c r="E679" t="s">
        <v>3</v>
      </c>
      <c r="F679" t="s">
        <v>130</v>
      </c>
      <c r="G679" t="s">
        <v>145</v>
      </c>
      <c r="H679" t="s">
        <v>179</v>
      </c>
      <c r="I679" t="e">
        <f t="shared" ca="1" si="50"/>
        <v>#REF!</v>
      </c>
      <c r="J679" t="str">
        <f>VLOOKUP($G679,DefinitionArrays!$I$6:$J$12,2,FALSE)</f>
        <v>Weekend</v>
      </c>
    </row>
    <row r="680" spans="1:10">
      <c r="A680" s="159" t="str">
        <f t="shared" si="51"/>
        <v>$N$1:$N$92</v>
      </c>
      <c r="B680" s="159" t="str">
        <f t="shared" si="52"/>
        <v>$O$1:$O$92</v>
      </c>
      <c r="C680" s="159" t="str">
        <f t="shared" si="53"/>
        <v>November!$N$1:$N$92</v>
      </c>
      <c r="D680" s="159" t="str">
        <f t="shared" si="54"/>
        <v>November!$O$1:$O$92</v>
      </c>
      <c r="E680" t="s">
        <v>3</v>
      </c>
      <c r="F680" t="s">
        <v>130</v>
      </c>
      <c r="G680" t="s">
        <v>145</v>
      </c>
      <c r="H680" t="s">
        <v>180</v>
      </c>
      <c r="I680" t="e">
        <f t="shared" ca="1" si="50"/>
        <v>#REF!</v>
      </c>
      <c r="J680" t="str">
        <f>VLOOKUP($G680,DefinitionArrays!$I$6:$J$12,2,FALSE)</f>
        <v>Weekend</v>
      </c>
    </row>
    <row r="681" spans="1:10">
      <c r="A681" s="159" t="str">
        <f t="shared" si="51"/>
        <v>$N$1:$N$92</v>
      </c>
      <c r="B681" s="159" t="str">
        <f t="shared" si="52"/>
        <v>$O$1:$O$92</v>
      </c>
      <c r="C681" s="159" t="str">
        <f t="shared" si="53"/>
        <v>November!$N$1:$N$92</v>
      </c>
      <c r="D681" s="159" t="str">
        <f t="shared" si="54"/>
        <v>November!$O$1:$O$92</v>
      </c>
      <c r="E681" t="s">
        <v>3</v>
      </c>
      <c r="F681" t="s">
        <v>130</v>
      </c>
      <c r="G681" t="s">
        <v>145</v>
      </c>
      <c r="H681" t="s">
        <v>44</v>
      </c>
      <c r="I681" t="e">
        <f t="shared" ca="1" si="50"/>
        <v>#REF!</v>
      </c>
      <c r="J681" t="str">
        <f>VLOOKUP($G681,DefinitionArrays!$I$6:$J$12,2,FALSE)</f>
        <v>Weekend</v>
      </c>
    </row>
    <row r="682" spans="1:10">
      <c r="A682" s="159" t="str">
        <f t="shared" si="51"/>
        <v>$Q$1:$Q$92</v>
      </c>
      <c r="B682" s="159" t="str">
        <f t="shared" si="52"/>
        <v>$R$1:$R$92</v>
      </c>
      <c r="C682" s="159" t="str">
        <f t="shared" si="53"/>
        <v>November!$Q$1:$Q$92</v>
      </c>
      <c r="D682" s="159" t="str">
        <f t="shared" si="54"/>
        <v>November!$R$1:$R$92</v>
      </c>
      <c r="E682" t="s">
        <v>3</v>
      </c>
      <c r="F682" t="s">
        <v>130</v>
      </c>
      <c r="G682" t="s">
        <v>146</v>
      </c>
      <c r="H682" t="s">
        <v>159</v>
      </c>
      <c r="I682" t="e">
        <f t="shared" ca="1" si="50"/>
        <v>#REF!</v>
      </c>
      <c r="J682" t="str">
        <f>VLOOKUP($G682,DefinitionArrays!$I$6:$J$12,2,FALSE)</f>
        <v>Weekend</v>
      </c>
    </row>
    <row r="683" spans="1:10">
      <c r="A683" s="159" t="str">
        <f t="shared" si="51"/>
        <v>$T$1:$T$92</v>
      </c>
      <c r="B683" s="159" t="str">
        <f t="shared" si="52"/>
        <v>$U$1:$U$92</v>
      </c>
      <c r="C683" s="159" t="str">
        <f t="shared" si="53"/>
        <v>November!$T$1:$T$92</v>
      </c>
      <c r="D683" s="159" t="str">
        <f t="shared" si="54"/>
        <v>November!$U$1:$U$92</v>
      </c>
      <c r="E683" t="s">
        <v>3</v>
      </c>
      <c r="F683" t="s">
        <v>130</v>
      </c>
      <c r="G683" t="s">
        <v>141</v>
      </c>
      <c r="H683" t="s">
        <v>159</v>
      </c>
      <c r="I683" t="e">
        <f t="shared" ca="1" si="50"/>
        <v>#REF!</v>
      </c>
      <c r="J683" t="str">
        <f>VLOOKUP($G683,DefinitionArrays!$I$6:$J$12,2,FALSE)</f>
        <v>Weekend</v>
      </c>
    </row>
    <row r="684" spans="1:10">
      <c r="A684" s="159" t="str">
        <f t="shared" si="51"/>
        <v>$B$1:$B$92</v>
      </c>
      <c r="B684" s="159" t="str">
        <f t="shared" si="52"/>
        <v>$C$1:$C$92</v>
      </c>
      <c r="C684" s="159" t="str">
        <f t="shared" si="53"/>
        <v>December!$B$1:$B$92</v>
      </c>
      <c r="D684" s="159" t="str">
        <f t="shared" si="54"/>
        <v>December!$C$1:$C$92</v>
      </c>
      <c r="E684" t="s">
        <v>3</v>
      </c>
      <c r="F684" t="s">
        <v>131</v>
      </c>
      <c r="G684" t="s">
        <v>13</v>
      </c>
      <c r="H684" t="s">
        <v>159</v>
      </c>
      <c r="I684" t="e">
        <f ca="1">COUNTIFS(INDIRECT($C684),$E684,INDIRECT($D684),$H684)</f>
        <v>#REF!</v>
      </c>
      <c r="J684" t="str">
        <f>VLOOKUP($G684,DefinitionArrays!$I$6:$J$12,2,FALSE)</f>
        <v>Workweek</v>
      </c>
    </row>
    <row r="685" spans="1:10">
      <c r="A685" s="159" t="str">
        <f t="shared" si="51"/>
        <v>$B$1:$B$92</v>
      </c>
      <c r="B685" s="159" t="str">
        <f t="shared" si="52"/>
        <v>$C$1:$C$92</v>
      </c>
      <c r="C685" s="159" t="str">
        <f t="shared" si="53"/>
        <v>December!$B$1:$B$92</v>
      </c>
      <c r="D685" s="159" t="str">
        <f t="shared" si="54"/>
        <v>December!$C$1:$C$92</v>
      </c>
      <c r="E685" t="s">
        <v>3</v>
      </c>
      <c r="F685" t="s">
        <v>131</v>
      </c>
      <c r="G685" t="s">
        <v>13</v>
      </c>
      <c r="H685" t="s">
        <v>18</v>
      </c>
      <c r="I685" t="e">
        <f t="shared" ref="I685:I745" ca="1" si="55">COUNTIFS(INDIRECT($C685),$E685,INDIRECT($D685),$H685)</f>
        <v>#REF!</v>
      </c>
      <c r="J685" t="str">
        <f>VLOOKUP($G685,DefinitionArrays!$I$6:$J$12,2,FALSE)</f>
        <v>Workweek</v>
      </c>
    </row>
    <row r="686" spans="1:10">
      <c r="A686" s="159" t="str">
        <f t="shared" si="51"/>
        <v>$B$1:$B$92</v>
      </c>
      <c r="B686" s="159" t="str">
        <f t="shared" si="52"/>
        <v>$C$1:$C$92</v>
      </c>
      <c r="C686" s="159" t="str">
        <f t="shared" si="53"/>
        <v>December!$B$1:$B$92</v>
      </c>
      <c r="D686" s="159" t="str">
        <f t="shared" si="54"/>
        <v>December!$C$1:$C$92</v>
      </c>
      <c r="E686" t="s">
        <v>3</v>
      </c>
      <c r="F686" t="s">
        <v>131</v>
      </c>
      <c r="G686" t="s">
        <v>13</v>
      </c>
      <c r="H686" t="s">
        <v>153</v>
      </c>
      <c r="I686" t="e">
        <f t="shared" ca="1" si="55"/>
        <v>#REF!</v>
      </c>
      <c r="J686" t="str">
        <f>VLOOKUP($G686,DefinitionArrays!$I$6:$J$12,2,FALSE)</f>
        <v>Workweek</v>
      </c>
    </row>
    <row r="687" spans="1:10">
      <c r="A687" s="159" t="str">
        <f t="shared" si="51"/>
        <v>$B$1:$B$92</v>
      </c>
      <c r="B687" s="159" t="str">
        <f t="shared" si="52"/>
        <v>$C$1:$C$92</v>
      </c>
      <c r="C687" s="159" t="str">
        <f t="shared" si="53"/>
        <v>December!$B$1:$B$92</v>
      </c>
      <c r="D687" s="159" t="str">
        <f t="shared" si="54"/>
        <v>December!$C$1:$C$92</v>
      </c>
      <c r="E687" t="s">
        <v>3</v>
      </c>
      <c r="F687" t="s">
        <v>131</v>
      </c>
      <c r="G687" t="s">
        <v>13</v>
      </c>
      <c r="H687" t="s">
        <v>19</v>
      </c>
      <c r="I687" t="e">
        <f t="shared" ca="1" si="55"/>
        <v>#REF!</v>
      </c>
      <c r="J687" t="str">
        <f>VLOOKUP($G687,DefinitionArrays!$I$6:$J$12,2,FALSE)</f>
        <v>Workweek</v>
      </c>
    </row>
    <row r="688" spans="1:10">
      <c r="A688" s="159" t="str">
        <f t="shared" si="51"/>
        <v>$B$1:$B$92</v>
      </c>
      <c r="B688" s="159" t="str">
        <f t="shared" si="52"/>
        <v>$C$1:$C$92</v>
      </c>
      <c r="C688" s="159" t="str">
        <f t="shared" si="53"/>
        <v>December!$B$1:$B$92</v>
      </c>
      <c r="D688" s="159" t="str">
        <f t="shared" si="54"/>
        <v>December!$C$1:$C$92</v>
      </c>
      <c r="E688" t="s">
        <v>3</v>
      </c>
      <c r="F688" t="s">
        <v>131</v>
      </c>
      <c r="G688" t="s">
        <v>13</v>
      </c>
      <c r="H688" t="s">
        <v>20</v>
      </c>
      <c r="I688" t="e">
        <f t="shared" ca="1" si="55"/>
        <v>#REF!</v>
      </c>
      <c r="J688" t="str">
        <f>VLOOKUP($G688,DefinitionArrays!$I$6:$J$12,2,FALSE)</f>
        <v>Workweek</v>
      </c>
    </row>
    <row r="689" spans="1:10">
      <c r="A689" s="159" t="str">
        <f t="shared" si="51"/>
        <v>$B$1:$B$92</v>
      </c>
      <c r="B689" s="159" t="str">
        <f t="shared" si="52"/>
        <v>$C$1:$C$92</v>
      </c>
      <c r="C689" s="159" t="str">
        <f t="shared" si="53"/>
        <v>December!$B$1:$B$92</v>
      </c>
      <c r="D689" s="159" t="str">
        <f t="shared" si="54"/>
        <v>December!$C$1:$C$92</v>
      </c>
      <c r="E689" t="s">
        <v>3</v>
      </c>
      <c r="F689" t="s">
        <v>131</v>
      </c>
      <c r="G689" t="s">
        <v>13</v>
      </c>
      <c r="H689" t="s">
        <v>21</v>
      </c>
      <c r="I689" t="e">
        <f t="shared" ca="1" si="55"/>
        <v>#REF!</v>
      </c>
      <c r="J689" t="str">
        <f>VLOOKUP($G689,DefinitionArrays!$I$6:$J$12,2,FALSE)</f>
        <v>Workweek</v>
      </c>
    </row>
    <row r="690" spans="1:10">
      <c r="A690" s="159" t="str">
        <f t="shared" si="51"/>
        <v>$B$1:$B$92</v>
      </c>
      <c r="B690" s="159" t="str">
        <f t="shared" si="52"/>
        <v>$C$1:$C$92</v>
      </c>
      <c r="C690" s="159" t="str">
        <f t="shared" si="53"/>
        <v>December!$B$1:$B$92</v>
      </c>
      <c r="D690" s="159" t="str">
        <f t="shared" si="54"/>
        <v>December!$C$1:$C$92</v>
      </c>
      <c r="E690" t="s">
        <v>3</v>
      </c>
      <c r="F690" t="s">
        <v>131</v>
      </c>
      <c r="G690" t="s">
        <v>13</v>
      </c>
      <c r="H690" t="s">
        <v>22</v>
      </c>
      <c r="I690" t="e">
        <f t="shared" ca="1" si="55"/>
        <v>#REF!</v>
      </c>
      <c r="J690" t="str">
        <f>VLOOKUP($G690,DefinitionArrays!$I$6:$J$12,2,FALSE)</f>
        <v>Workweek</v>
      </c>
    </row>
    <row r="691" spans="1:10">
      <c r="A691" s="159" t="str">
        <f t="shared" si="51"/>
        <v>$B$1:$B$92</v>
      </c>
      <c r="B691" s="159" t="str">
        <f t="shared" si="52"/>
        <v>$C$1:$C$92</v>
      </c>
      <c r="C691" s="159" t="str">
        <f t="shared" si="53"/>
        <v>December!$B$1:$B$92</v>
      </c>
      <c r="D691" s="159" t="str">
        <f t="shared" si="54"/>
        <v>December!$C$1:$C$92</v>
      </c>
      <c r="E691" t="s">
        <v>3</v>
      </c>
      <c r="F691" t="s">
        <v>131</v>
      </c>
      <c r="G691" t="s">
        <v>13</v>
      </c>
      <c r="H691" t="s">
        <v>23</v>
      </c>
      <c r="I691" t="e">
        <f t="shared" ca="1" si="55"/>
        <v>#REF!</v>
      </c>
      <c r="J691" t="str">
        <f>VLOOKUP($G691,DefinitionArrays!$I$6:$J$12,2,FALSE)</f>
        <v>Workweek</v>
      </c>
    </row>
    <row r="692" spans="1:10">
      <c r="A692" s="159" t="str">
        <f t="shared" si="51"/>
        <v>$B$1:$B$92</v>
      </c>
      <c r="B692" s="159" t="str">
        <f t="shared" si="52"/>
        <v>$C$1:$C$92</v>
      </c>
      <c r="C692" s="159" t="str">
        <f t="shared" si="53"/>
        <v>December!$B$1:$B$92</v>
      </c>
      <c r="D692" s="159" t="str">
        <f t="shared" si="54"/>
        <v>December!$C$1:$C$92</v>
      </c>
      <c r="E692" t="s">
        <v>3</v>
      </c>
      <c r="F692" t="s">
        <v>131</v>
      </c>
      <c r="G692" t="s">
        <v>13</v>
      </c>
      <c r="H692" t="s">
        <v>24</v>
      </c>
      <c r="I692" t="e">
        <f t="shared" ca="1" si="55"/>
        <v>#REF!</v>
      </c>
      <c r="J692" t="str">
        <f>VLOOKUP($G692,DefinitionArrays!$I$6:$J$12,2,FALSE)</f>
        <v>Workweek</v>
      </c>
    </row>
    <row r="693" spans="1:10">
      <c r="A693" s="159" t="str">
        <f t="shared" si="51"/>
        <v>$B$1:$B$92</v>
      </c>
      <c r="B693" s="159" t="str">
        <f t="shared" si="52"/>
        <v>$C$1:$C$92</v>
      </c>
      <c r="C693" s="159" t="str">
        <f t="shared" si="53"/>
        <v>December!$B$1:$B$92</v>
      </c>
      <c r="D693" s="159" t="str">
        <f t="shared" si="54"/>
        <v>December!$C$1:$C$92</v>
      </c>
      <c r="E693" t="s">
        <v>3</v>
      </c>
      <c r="F693" t="s">
        <v>131</v>
      </c>
      <c r="G693" t="s">
        <v>13</v>
      </c>
      <c r="H693" t="s">
        <v>179</v>
      </c>
      <c r="I693" t="e">
        <f t="shared" ca="1" si="55"/>
        <v>#REF!</v>
      </c>
      <c r="J693" t="str">
        <f>VLOOKUP($G693,DefinitionArrays!$I$6:$J$12,2,FALSE)</f>
        <v>Workweek</v>
      </c>
    </row>
    <row r="694" spans="1:10">
      <c r="A694" s="159" t="str">
        <f t="shared" si="51"/>
        <v>$B$1:$B$92</v>
      </c>
      <c r="B694" s="159" t="str">
        <f t="shared" si="52"/>
        <v>$C$1:$C$92</v>
      </c>
      <c r="C694" s="159" t="str">
        <f t="shared" si="53"/>
        <v>December!$B$1:$B$92</v>
      </c>
      <c r="D694" s="159" t="str">
        <f t="shared" si="54"/>
        <v>December!$C$1:$C$92</v>
      </c>
      <c r="E694" t="s">
        <v>3</v>
      </c>
      <c r="F694" t="s">
        <v>131</v>
      </c>
      <c r="G694" t="s">
        <v>13</v>
      </c>
      <c r="H694" t="s">
        <v>180</v>
      </c>
      <c r="I694" t="e">
        <f t="shared" ca="1" si="55"/>
        <v>#REF!</v>
      </c>
      <c r="J694" t="str">
        <f>VLOOKUP($G694,DefinitionArrays!$I$6:$J$12,2,FALSE)</f>
        <v>Workweek</v>
      </c>
    </row>
    <row r="695" spans="1:10">
      <c r="A695" s="159" t="str">
        <f t="shared" si="51"/>
        <v>$B$1:$B$92</v>
      </c>
      <c r="B695" s="159" t="str">
        <f t="shared" si="52"/>
        <v>$C$1:$C$92</v>
      </c>
      <c r="C695" s="159" t="str">
        <f t="shared" si="53"/>
        <v>December!$B$1:$B$92</v>
      </c>
      <c r="D695" s="159" t="str">
        <f t="shared" si="54"/>
        <v>December!$C$1:$C$92</v>
      </c>
      <c r="E695" t="s">
        <v>3</v>
      </c>
      <c r="F695" t="s">
        <v>131</v>
      </c>
      <c r="G695" t="s">
        <v>13</v>
      </c>
      <c r="H695" t="s">
        <v>44</v>
      </c>
      <c r="I695" t="e">
        <f t="shared" ca="1" si="55"/>
        <v>#REF!</v>
      </c>
      <c r="J695" t="str">
        <f>VLOOKUP($G695,DefinitionArrays!$I$6:$J$12,2,FALSE)</f>
        <v>Workweek</v>
      </c>
    </row>
    <row r="696" spans="1:10">
      <c r="A696" s="159" t="str">
        <f t="shared" si="51"/>
        <v>$E$1:$E$92</v>
      </c>
      <c r="B696" s="159" t="str">
        <f t="shared" si="52"/>
        <v>$F$1:$F$92</v>
      </c>
      <c r="C696" s="159" t="str">
        <f t="shared" si="53"/>
        <v>December!$E$1:$E$92</v>
      </c>
      <c r="D696" s="159" t="str">
        <f t="shared" si="54"/>
        <v>December!$F$1:$F$92</v>
      </c>
      <c r="E696" t="s">
        <v>3</v>
      </c>
      <c r="F696" t="s">
        <v>131</v>
      </c>
      <c r="G696" t="s">
        <v>142</v>
      </c>
      <c r="H696" t="s">
        <v>159</v>
      </c>
      <c r="I696" t="e">
        <f t="shared" ca="1" si="55"/>
        <v>#REF!</v>
      </c>
      <c r="J696" t="str">
        <f>VLOOKUP($G696,DefinitionArrays!$I$6:$J$12,2,FALSE)</f>
        <v>Workweek</v>
      </c>
    </row>
    <row r="697" spans="1:10">
      <c r="A697" s="159" t="str">
        <f t="shared" si="51"/>
        <v>$E$1:$E$92</v>
      </c>
      <c r="B697" s="159" t="str">
        <f t="shared" si="52"/>
        <v>$F$1:$F$92</v>
      </c>
      <c r="C697" s="159" t="str">
        <f t="shared" si="53"/>
        <v>December!$E$1:$E$92</v>
      </c>
      <c r="D697" s="159" t="str">
        <f t="shared" si="54"/>
        <v>December!$F$1:$F$92</v>
      </c>
      <c r="E697" t="s">
        <v>3</v>
      </c>
      <c r="F697" t="s">
        <v>131</v>
      </c>
      <c r="G697" t="s">
        <v>142</v>
      </c>
      <c r="H697" t="s">
        <v>18</v>
      </c>
      <c r="I697" t="e">
        <f t="shared" ca="1" si="55"/>
        <v>#REF!</v>
      </c>
      <c r="J697" t="str">
        <f>VLOOKUP($G697,DefinitionArrays!$I$6:$J$12,2,FALSE)</f>
        <v>Workweek</v>
      </c>
    </row>
    <row r="698" spans="1:10">
      <c r="A698" s="159" t="str">
        <f t="shared" si="51"/>
        <v>$E$1:$E$92</v>
      </c>
      <c r="B698" s="159" t="str">
        <f t="shared" si="52"/>
        <v>$F$1:$F$92</v>
      </c>
      <c r="C698" s="159" t="str">
        <f t="shared" si="53"/>
        <v>December!$E$1:$E$92</v>
      </c>
      <c r="D698" s="159" t="str">
        <f t="shared" si="54"/>
        <v>December!$F$1:$F$92</v>
      </c>
      <c r="E698" t="s">
        <v>3</v>
      </c>
      <c r="F698" t="s">
        <v>131</v>
      </c>
      <c r="G698" t="s">
        <v>142</v>
      </c>
      <c r="H698" t="s">
        <v>153</v>
      </c>
      <c r="I698" t="e">
        <f t="shared" ca="1" si="55"/>
        <v>#REF!</v>
      </c>
      <c r="J698" t="str">
        <f>VLOOKUP($G698,DefinitionArrays!$I$6:$J$12,2,FALSE)</f>
        <v>Workweek</v>
      </c>
    </row>
    <row r="699" spans="1:10">
      <c r="A699" s="159" t="str">
        <f t="shared" si="51"/>
        <v>$E$1:$E$92</v>
      </c>
      <c r="B699" s="159" t="str">
        <f t="shared" si="52"/>
        <v>$F$1:$F$92</v>
      </c>
      <c r="C699" s="159" t="str">
        <f t="shared" si="53"/>
        <v>December!$E$1:$E$92</v>
      </c>
      <c r="D699" s="159" t="str">
        <f t="shared" si="54"/>
        <v>December!$F$1:$F$92</v>
      </c>
      <c r="E699" t="s">
        <v>3</v>
      </c>
      <c r="F699" t="s">
        <v>131</v>
      </c>
      <c r="G699" t="s">
        <v>142</v>
      </c>
      <c r="H699" t="s">
        <v>19</v>
      </c>
      <c r="I699" t="e">
        <f t="shared" ca="1" si="55"/>
        <v>#REF!</v>
      </c>
      <c r="J699" t="str">
        <f>VLOOKUP($G699,DefinitionArrays!$I$6:$J$12,2,FALSE)</f>
        <v>Workweek</v>
      </c>
    </row>
    <row r="700" spans="1:10">
      <c r="A700" s="159" t="str">
        <f t="shared" si="51"/>
        <v>$E$1:$E$92</v>
      </c>
      <c r="B700" s="159" t="str">
        <f t="shared" si="52"/>
        <v>$F$1:$F$92</v>
      </c>
      <c r="C700" s="159" t="str">
        <f t="shared" si="53"/>
        <v>December!$E$1:$E$92</v>
      </c>
      <c r="D700" s="159" t="str">
        <f t="shared" si="54"/>
        <v>December!$F$1:$F$92</v>
      </c>
      <c r="E700" t="s">
        <v>3</v>
      </c>
      <c r="F700" t="s">
        <v>131</v>
      </c>
      <c r="G700" t="s">
        <v>142</v>
      </c>
      <c r="H700" t="s">
        <v>20</v>
      </c>
      <c r="I700" t="e">
        <f t="shared" ca="1" si="55"/>
        <v>#REF!</v>
      </c>
      <c r="J700" t="str">
        <f>VLOOKUP($G700,DefinitionArrays!$I$6:$J$12,2,FALSE)</f>
        <v>Workweek</v>
      </c>
    </row>
    <row r="701" spans="1:10">
      <c r="A701" s="159" t="str">
        <f t="shared" si="51"/>
        <v>$E$1:$E$92</v>
      </c>
      <c r="B701" s="159" t="str">
        <f t="shared" si="52"/>
        <v>$F$1:$F$92</v>
      </c>
      <c r="C701" s="159" t="str">
        <f t="shared" si="53"/>
        <v>December!$E$1:$E$92</v>
      </c>
      <c r="D701" s="159" t="str">
        <f t="shared" si="54"/>
        <v>December!$F$1:$F$92</v>
      </c>
      <c r="E701" t="s">
        <v>3</v>
      </c>
      <c r="F701" t="s">
        <v>131</v>
      </c>
      <c r="G701" t="s">
        <v>142</v>
      </c>
      <c r="H701" t="s">
        <v>21</v>
      </c>
      <c r="I701" t="e">
        <f t="shared" ca="1" si="55"/>
        <v>#REF!</v>
      </c>
      <c r="J701" t="str">
        <f>VLOOKUP($G701,DefinitionArrays!$I$6:$J$12,2,FALSE)</f>
        <v>Workweek</v>
      </c>
    </row>
    <row r="702" spans="1:10">
      <c r="A702" s="159" t="str">
        <f t="shared" si="51"/>
        <v>$E$1:$E$92</v>
      </c>
      <c r="B702" s="159" t="str">
        <f t="shared" si="52"/>
        <v>$F$1:$F$92</v>
      </c>
      <c r="C702" s="159" t="str">
        <f t="shared" si="53"/>
        <v>December!$E$1:$E$92</v>
      </c>
      <c r="D702" s="159" t="str">
        <f t="shared" si="54"/>
        <v>December!$F$1:$F$92</v>
      </c>
      <c r="E702" t="s">
        <v>3</v>
      </c>
      <c r="F702" t="s">
        <v>131</v>
      </c>
      <c r="G702" t="s">
        <v>142</v>
      </c>
      <c r="H702" t="s">
        <v>22</v>
      </c>
      <c r="I702" t="e">
        <f t="shared" ca="1" si="55"/>
        <v>#REF!</v>
      </c>
      <c r="J702" t="str">
        <f>VLOOKUP($G702,DefinitionArrays!$I$6:$J$12,2,FALSE)</f>
        <v>Workweek</v>
      </c>
    </row>
    <row r="703" spans="1:10">
      <c r="A703" s="159" t="str">
        <f t="shared" si="51"/>
        <v>$E$1:$E$92</v>
      </c>
      <c r="B703" s="159" t="str">
        <f t="shared" si="52"/>
        <v>$F$1:$F$92</v>
      </c>
      <c r="C703" s="159" t="str">
        <f t="shared" si="53"/>
        <v>December!$E$1:$E$92</v>
      </c>
      <c r="D703" s="159" t="str">
        <f t="shared" si="54"/>
        <v>December!$F$1:$F$92</v>
      </c>
      <c r="E703" t="s">
        <v>3</v>
      </c>
      <c r="F703" t="s">
        <v>131</v>
      </c>
      <c r="G703" t="s">
        <v>142</v>
      </c>
      <c r="H703" t="s">
        <v>23</v>
      </c>
      <c r="I703" t="e">
        <f t="shared" ca="1" si="55"/>
        <v>#REF!</v>
      </c>
      <c r="J703" t="str">
        <f>VLOOKUP($G703,DefinitionArrays!$I$6:$J$12,2,FALSE)</f>
        <v>Workweek</v>
      </c>
    </row>
    <row r="704" spans="1:10">
      <c r="A704" s="159" t="str">
        <f t="shared" si="51"/>
        <v>$E$1:$E$92</v>
      </c>
      <c r="B704" s="159" t="str">
        <f t="shared" si="52"/>
        <v>$F$1:$F$92</v>
      </c>
      <c r="C704" s="159" t="str">
        <f t="shared" si="53"/>
        <v>December!$E$1:$E$92</v>
      </c>
      <c r="D704" s="159" t="str">
        <f t="shared" si="54"/>
        <v>December!$F$1:$F$92</v>
      </c>
      <c r="E704" t="s">
        <v>3</v>
      </c>
      <c r="F704" t="s">
        <v>131</v>
      </c>
      <c r="G704" t="s">
        <v>142</v>
      </c>
      <c r="H704" t="s">
        <v>24</v>
      </c>
      <c r="I704" t="e">
        <f t="shared" ca="1" si="55"/>
        <v>#REF!</v>
      </c>
      <c r="J704" t="str">
        <f>VLOOKUP($G704,DefinitionArrays!$I$6:$J$12,2,FALSE)</f>
        <v>Workweek</v>
      </c>
    </row>
    <row r="705" spans="1:10">
      <c r="A705" s="159" t="str">
        <f t="shared" si="51"/>
        <v>$E$1:$E$92</v>
      </c>
      <c r="B705" s="159" t="str">
        <f t="shared" si="52"/>
        <v>$F$1:$F$92</v>
      </c>
      <c r="C705" s="159" t="str">
        <f t="shared" si="53"/>
        <v>December!$E$1:$E$92</v>
      </c>
      <c r="D705" s="159" t="str">
        <f t="shared" si="54"/>
        <v>December!$F$1:$F$92</v>
      </c>
      <c r="E705" t="s">
        <v>3</v>
      </c>
      <c r="F705" t="s">
        <v>131</v>
      </c>
      <c r="G705" t="s">
        <v>142</v>
      </c>
      <c r="H705" t="s">
        <v>179</v>
      </c>
      <c r="I705" t="e">
        <f t="shared" ca="1" si="55"/>
        <v>#REF!</v>
      </c>
      <c r="J705" t="str">
        <f>VLOOKUP($G705,DefinitionArrays!$I$6:$J$12,2,FALSE)</f>
        <v>Workweek</v>
      </c>
    </row>
    <row r="706" spans="1:10">
      <c r="A706" s="159" t="str">
        <f t="shared" ref="A706:A769" si="56">VLOOKUP($G706,Fx_Code,2,FALSE)</f>
        <v>$E$1:$E$92</v>
      </c>
      <c r="B706" s="159" t="str">
        <f t="shared" ref="B706:B769" si="57">VLOOKUP($G706,Fx_Code,3,FALSE)</f>
        <v>$F$1:$F$92</v>
      </c>
      <c r="C706" s="159" t="str">
        <f t="shared" ref="C706:C769" si="58">CONCATENATE($F706,$K$1,A706)</f>
        <v>December!$E$1:$E$92</v>
      </c>
      <c r="D706" s="159" t="str">
        <f t="shared" ref="D706:D769" si="59">CONCATENATE($F706,$K$1,B706)</f>
        <v>December!$F$1:$F$92</v>
      </c>
      <c r="E706" t="s">
        <v>3</v>
      </c>
      <c r="F706" t="s">
        <v>131</v>
      </c>
      <c r="G706" t="s">
        <v>142</v>
      </c>
      <c r="H706" t="s">
        <v>180</v>
      </c>
      <c r="I706" t="e">
        <f t="shared" ca="1" si="55"/>
        <v>#REF!</v>
      </c>
      <c r="J706" t="str">
        <f>VLOOKUP($G706,DefinitionArrays!$I$6:$J$12,2,FALSE)</f>
        <v>Workweek</v>
      </c>
    </row>
    <row r="707" spans="1:10">
      <c r="A707" s="159" t="str">
        <f t="shared" si="56"/>
        <v>$E$1:$E$92</v>
      </c>
      <c r="B707" s="159" t="str">
        <f t="shared" si="57"/>
        <v>$F$1:$F$92</v>
      </c>
      <c r="C707" s="159" t="str">
        <f t="shared" si="58"/>
        <v>December!$E$1:$E$92</v>
      </c>
      <c r="D707" s="159" t="str">
        <f t="shared" si="59"/>
        <v>December!$F$1:$F$92</v>
      </c>
      <c r="E707" t="s">
        <v>3</v>
      </c>
      <c r="F707" t="s">
        <v>131</v>
      </c>
      <c r="G707" t="s">
        <v>142</v>
      </c>
      <c r="H707" t="s">
        <v>44</v>
      </c>
      <c r="I707" t="e">
        <f t="shared" ca="1" si="55"/>
        <v>#REF!</v>
      </c>
      <c r="J707" t="str">
        <f>VLOOKUP($G707,DefinitionArrays!$I$6:$J$12,2,FALSE)</f>
        <v>Workweek</v>
      </c>
    </row>
    <row r="708" spans="1:10">
      <c r="A708" s="159" t="str">
        <f t="shared" si="56"/>
        <v>$H$1:$H$92</v>
      </c>
      <c r="B708" s="159" t="str">
        <f t="shared" si="57"/>
        <v>$I$1:$I$92</v>
      </c>
      <c r="C708" s="159" t="str">
        <f t="shared" si="58"/>
        <v>December!$H$1:$H$92</v>
      </c>
      <c r="D708" s="159" t="str">
        <f t="shared" si="59"/>
        <v>December!$I$1:$I$92</v>
      </c>
      <c r="E708" t="s">
        <v>3</v>
      </c>
      <c r="F708" t="s">
        <v>131</v>
      </c>
      <c r="G708" t="s">
        <v>143</v>
      </c>
      <c r="H708" t="s">
        <v>159</v>
      </c>
      <c r="I708" t="e">
        <f t="shared" ca="1" si="55"/>
        <v>#REF!</v>
      </c>
      <c r="J708" t="str">
        <f>VLOOKUP($G708,DefinitionArrays!$I$6:$J$12,2,FALSE)</f>
        <v>Workweek</v>
      </c>
    </row>
    <row r="709" spans="1:10">
      <c r="A709" s="159" t="str">
        <f t="shared" si="56"/>
        <v>$H$1:$H$92</v>
      </c>
      <c r="B709" s="159" t="str">
        <f t="shared" si="57"/>
        <v>$I$1:$I$92</v>
      </c>
      <c r="C709" s="159" t="str">
        <f t="shared" si="58"/>
        <v>December!$H$1:$H$92</v>
      </c>
      <c r="D709" s="159" t="str">
        <f t="shared" si="59"/>
        <v>December!$I$1:$I$92</v>
      </c>
      <c r="E709" t="s">
        <v>3</v>
      </c>
      <c r="F709" t="s">
        <v>131</v>
      </c>
      <c r="G709" t="s">
        <v>143</v>
      </c>
      <c r="H709" t="s">
        <v>18</v>
      </c>
      <c r="I709" t="e">
        <f t="shared" ca="1" si="55"/>
        <v>#REF!</v>
      </c>
      <c r="J709" t="str">
        <f>VLOOKUP($G709,DefinitionArrays!$I$6:$J$12,2,FALSE)</f>
        <v>Workweek</v>
      </c>
    </row>
    <row r="710" spans="1:10">
      <c r="A710" s="159" t="str">
        <f t="shared" si="56"/>
        <v>$H$1:$H$92</v>
      </c>
      <c r="B710" s="159" t="str">
        <f t="shared" si="57"/>
        <v>$I$1:$I$92</v>
      </c>
      <c r="C710" s="159" t="str">
        <f t="shared" si="58"/>
        <v>December!$H$1:$H$92</v>
      </c>
      <c r="D710" s="159" t="str">
        <f t="shared" si="59"/>
        <v>December!$I$1:$I$92</v>
      </c>
      <c r="E710" t="s">
        <v>3</v>
      </c>
      <c r="F710" t="s">
        <v>131</v>
      </c>
      <c r="G710" t="s">
        <v>143</v>
      </c>
      <c r="H710" t="s">
        <v>153</v>
      </c>
      <c r="I710" t="e">
        <f t="shared" ca="1" si="55"/>
        <v>#REF!</v>
      </c>
      <c r="J710" t="str">
        <f>VLOOKUP($G710,DefinitionArrays!$I$6:$J$12,2,FALSE)</f>
        <v>Workweek</v>
      </c>
    </row>
    <row r="711" spans="1:10">
      <c r="A711" s="159" t="str">
        <f t="shared" si="56"/>
        <v>$H$1:$H$92</v>
      </c>
      <c r="B711" s="159" t="str">
        <f t="shared" si="57"/>
        <v>$I$1:$I$92</v>
      </c>
      <c r="C711" s="159" t="str">
        <f t="shared" si="58"/>
        <v>December!$H$1:$H$92</v>
      </c>
      <c r="D711" s="159" t="str">
        <f t="shared" si="59"/>
        <v>December!$I$1:$I$92</v>
      </c>
      <c r="E711" t="s">
        <v>3</v>
      </c>
      <c r="F711" t="s">
        <v>131</v>
      </c>
      <c r="G711" t="s">
        <v>143</v>
      </c>
      <c r="H711" t="s">
        <v>19</v>
      </c>
      <c r="I711" t="e">
        <f t="shared" ca="1" si="55"/>
        <v>#REF!</v>
      </c>
      <c r="J711" t="str">
        <f>VLOOKUP($G711,DefinitionArrays!$I$6:$J$12,2,FALSE)</f>
        <v>Workweek</v>
      </c>
    </row>
    <row r="712" spans="1:10">
      <c r="A712" s="159" t="str">
        <f t="shared" si="56"/>
        <v>$H$1:$H$92</v>
      </c>
      <c r="B712" s="159" t="str">
        <f t="shared" si="57"/>
        <v>$I$1:$I$92</v>
      </c>
      <c r="C712" s="159" t="str">
        <f t="shared" si="58"/>
        <v>December!$H$1:$H$92</v>
      </c>
      <c r="D712" s="159" t="str">
        <f t="shared" si="59"/>
        <v>December!$I$1:$I$92</v>
      </c>
      <c r="E712" t="s">
        <v>3</v>
      </c>
      <c r="F712" t="s">
        <v>131</v>
      </c>
      <c r="G712" t="s">
        <v>143</v>
      </c>
      <c r="H712" t="s">
        <v>20</v>
      </c>
      <c r="I712" t="e">
        <f t="shared" ca="1" si="55"/>
        <v>#REF!</v>
      </c>
      <c r="J712" t="str">
        <f>VLOOKUP($G712,DefinitionArrays!$I$6:$J$12,2,FALSE)</f>
        <v>Workweek</v>
      </c>
    </row>
    <row r="713" spans="1:10">
      <c r="A713" s="159" t="str">
        <f t="shared" si="56"/>
        <v>$H$1:$H$92</v>
      </c>
      <c r="B713" s="159" t="str">
        <f t="shared" si="57"/>
        <v>$I$1:$I$92</v>
      </c>
      <c r="C713" s="159" t="str">
        <f t="shared" si="58"/>
        <v>December!$H$1:$H$92</v>
      </c>
      <c r="D713" s="159" t="str">
        <f t="shared" si="59"/>
        <v>December!$I$1:$I$92</v>
      </c>
      <c r="E713" t="s">
        <v>3</v>
      </c>
      <c r="F713" t="s">
        <v>131</v>
      </c>
      <c r="G713" t="s">
        <v>143</v>
      </c>
      <c r="H713" t="s">
        <v>21</v>
      </c>
      <c r="I713" t="e">
        <f t="shared" ca="1" si="55"/>
        <v>#REF!</v>
      </c>
      <c r="J713" t="str">
        <f>VLOOKUP($G713,DefinitionArrays!$I$6:$J$12,2,FALSE)</f>
        <v>Workweek</v>
      </c>
    </row>
    <row r="714" spans="1:10">
      <c r="A714" s="159" t="str">
        <f t="shared" si="56"/>
        <v>$H$1:$H$92</v>
      </c>
      <c r="B714" s="159" t="str">
        <f t="shared" si="57"/>
        <v>$I$1:$I$92</v>
      </c>
      <c r="C714" s="159" t="str">
        <f t="shared" si="58"/>
        <v>December!$H$1:$H$92</v>
      </c>
      <c r="D714" s="159" t="str">
        <f t="shared" si="59"/>
        <v>December!$I$1:$I$92</v>
      </c>
      <c r="E714" t="s">
        <v>3</v>
      </c>
      <c r="F714" t="s">
        <v>131</v>
      </c>
      <c r="G714" t="s">
        <v>143</v>
      </c>
      <c r="H714" t="s">
        <v>22</v>
      </c>
      <c r="I714" t="e">
        <f t="shared" ca="1" si="55"/>
        <v>#REF!</v>
      </c>
      <c r="J714" t="str">
        <f>VLOOKUP($G714,DefinitionArrays!$I$6:$J$12,2,FALSE)</f>
        <v>Workweek</v>
      </c>
    </row>
    <row r="715" spans="1:10">
      <c r="A715" s="159" t="str">
        <f t="shared" si="56"/>
        <v>$H$1:$H$92</v>
      </c>
      <c r="B715" s="159" t="str">
        <f t="shared" si="57"/>
        <v>$I$1:$I$92</v>
      </c>
      <c r="C715" s="159" t="str">
        <f t="shared" si="58"/>
        <v>December!$H$1:$H$92</v>
      </c>
      <c r="D715" s="159" t="str">
        <f t="shared" si="59"/>
        <v>December!$I$1:$I$92</v>
      </c>
      <c r="E715" t="s">
        <v>3</v>
      </c>
      <c r="F715" t="s">
        <v>131</v>
      </c>
      <c r="G715" t="s">
        <v>143</v>
      </c>
      <c r="H715" t="s">
        <v>23</v>
      </c>
      <c r="I715" t="e">
        <f t="shared" ca="1" si="55"/>
        <v>#REF!</v>
      </c>
      <c r="J715" t="str">
        <f>VLOOKUP($G715,DefinitionArrays!$I$6:$J$12,2,FALSE)</f>
        <v>Workweek</v>
      </c>
    </row>
    <row r="716" spans="1:10">
      <c r="A716" s="159" t="str">
        <f t="shared" si="56"/>
        <v>$H$1:$H$92</v>
      </c>
      <c r="B716" s="159" t="str">
        <f t="shared" si="57"/>
        <v>$I$1:$I$92</v>
      </c>
      <c r="C716" s="159" t="str">
        <f t="shared" si="58"/>
        <v>December!$H$1:$H$92</v>
      </c>
      <c r="D716" s="159" t="str">
        <f t="shared" si="59"/>
        <v>December!$I$1:$I$92</v>
      </c>
      <c r="E716" t="s">
        <v>3</v>
      </c>
      <c r="F716" t="s">
        <v>131</v>
      </c>
      <c r="G716" t="s">
        <v>143</v>
      </c>
      <c r="H716" t="s">
        <v>24</v>
      </c>
      <c r="I716" t="e">
        <f t="shared" ca="1" si="55"/>
        <v>#REF!</v>
      </c>
      <c r="J716" t="str">
        <f>VLOOKUP($G716,DefinitionArrays!$I$6:$J$12,2,FALSE)</f>
        <v>Workweek</v>
      </c>
    </row>
    <row r="717" spans="1:10">
      <c r="A717" s="159" t="str">
        <f t="shared" si="56"/>
        <v>$H$1:$H$92</v>
      </c>
      <c r="B717" s="159" t="str">
        <f t="shared" si="57"/>
        <v>$I$1:$I$92</v>
      </c>
      <c r="C717" s="159" t="str">
        <f t="shared" si="58"/>
        <v>December!$H$1:$H$92</v>
      </c>
      <c r="D717" s="159" t="str">
        <f t="shared" si="59"/>
        <v>December!$I$1:$I$92</v>
      </c>
      <c r="E717" t="s">
        <v>3</v>
      </c>
      <c r="F717" t="s">
        <v>131</v>
      </c>
      <c r="G717" t="s">
        <v>143</v>
      </c>
      <c r="H717" t="s">
        <v>179</v>
      </c>
      <c r="I717" t="e">
        <f t="shared" ca="1" si="55"/>
        <v>#REF!</v>
      </c>
      <c r="J717" t="str">
        <f>VLOOKUP($G717,DefinitionArrays!$I$6:$J$12,2,FALSE)</f>
        <v>Workweek</v>
      </c>
    </row>
    <row r="718" spans="1:10">
      <c r="A718" s="159" t="str">
        <f t="shared" si="56"/>
        <v>$H$1:$H$92</v>
      </c>
      <c r="B718" s="159" t="str">
        <f t="shared" si="57"/>
        <v>$I$1:$I$92</v>
      </c>
      <c r="C718" s="159" t="str">
        <f t="shared" si="58"/>
        <v>December!$H$1:$H$92</v>
      </c>
      <c r="D718" s="159" t="str">
        <f t="shared" si="59"/>
        <v>December!$I$1:$I$92</v>
      </c>
      <c r="E718" t="s">
        <v>3</v>
      </c>
      <c r="F718" t="s">
        <v>131</v>
      </c>
      <c r="G718" t="s">
        <v>143</v>
      </c>
      <c r="H718" t="s">
        <v>180</v>
      </c>
      <c r="I718" t="e">
        <f t="shared" ca="1" si="55"/>
        <v>#REF!</v>
      </c>
      <c r="J718" t="str">
        <f>VLOOKUP($G718,DefinitionArrays!$I$6:$J$12,2,FALSE)</f>
        <v>Workweek</v>
      </c>
    </row>
    <row r="719" spans="1:10">
      <c r="A719" s="159" t="str">
        <f t="shared" si="56"/>
        <v>$H$1:$H$92</v>
      </c>
      <c r="B719" s="159" t="str">
        <f t="shared" si="57"/>
        <v>$I$1:$I$92</v>
      </c>
      <c r="C719" s="159" t="str">
        <f t="shared" si="58"/>
        <v>December!$H$1:$H$92</v>
      </c>
      <c r="D719" s="159" t="str">
        <f t="shared" si="59"/>
        <v>December!$I$1:$I$92</v>
      </c>
      <c r="E719" t="s">
        <v>3</v>
      </c>
      <c r="F719" t="s">
        <v>131</v>
      </c>
      <c r="G719" t="s">
        <v>143</v>
      </c>
      <c r="H719" t="s">
        <v>44</v>
      </c>
      <c r="I719" t="e">
        <f t="shared" ca="1" si="55"/>
        <v>#REF!</v>
      </c>
      <c r="J719" t="str">
        <f>VLOOKUP($G719,DefinitionArrays!$I$6:$J$12,2,FALSE)</f>
        <v>Workweek</v>
      </c>
    </row>
    <row r="720" spans="1:10">
      <c r="A720" s="159" t="str">
        <f t="shared" si="56"/>
        <v>$K$1:$K$92</v>
      </c>
      <c r="B720" s="159" t="str">
        <f t="shared" si="57"/>
        <v>$L$1:$L$92</v>
      </c>
      <c r="C720" s="159" t="str">
        <f t="shared" si="58"/>
        <v>December!$K$1:$K$92</v>
      </c>
      <c r="D720" s="159" t="str">
        <f t="shared" si="59"/>
        <v>December!$L$1:$L$92</v>
      </c>
      <c r="E720" t="s">
        <v>3</v>
      </c>
      <c r="F720" t="s">
        <v>131</v>
      </c>
      <c r="G720" t="s">
        <v>144</v>
      </c>
      <c r="H720" t="s">
        <v>159</v>
      </c>
      <c r="I720" t="e">
        <f t="shared" ca="1" si="55"/>
        <v>#REF!</v>
      </c>
      <c r="J720" t="str">
        <f>VLOOKUP($G720,DefinitionArrays!$I$6:$J$12,2,FALSE)</f>
        <v>Workweek</v>
      </c>
    </row>
    <row r="721" spans="1:10">
      <c r="A721" s="159" t="str">
        <f t="shared" si="56"/>
        <v>$K$1:$K$92</v>
      </c>
      <c r="B721" s="159" t="str">
        <f t="shared" si="57"/>
        <v>$L$1:$L$92</v>
      </c>
      <c r="C721" s="159" t="str">
        <f t="shared" si="58"/>
        <v>December!$K$1:$K$92</v>
      </c>
      <c r="D721" s="159" t="str">
        <f t="shared" si="59"/>
        <v>December!$L$1:$L$92</v>
      </c>
      <c r="E721" t="s">
        <v>3</v>
      </c>
      <c r="F721" t="s">
        <v>131</v>
      </c>
      <c r="G721" t="s">
        <v>144</v>
      </c>
      <c r="H721" t="s">
        <v>18</v>
      </c>
      <c r="I721" t="e">
        <f t="shared" ca="1" si="55"/>
        <v>#REF!</v>
      </c>
      <c r="J721" t="str">
        <f>VLOOKUP($G721,DefinitionArrays!$I$6:$J$12,2,FALSE)</f>
        <v>Workweek</v>
      </c>
    </row>
    <row r="722" spans="1:10">
      <c r="A722" s="159" t="str">
        <f t="shared" si="56"/>
        <v>$K$1:$K$92</v>
      </c>
      <c r="B722" s="159" t="str">
        <f t="shared" si="57"/>
        <v>$L$1:$L$92</v>
      </c>
      <c r="C722" s="159" t="str">
        <f t="shared" si="58"/>
        <v>December!$K$1:$K$92</v>
      </c>
      <c r="D722" s="159" t="str">
        <f t="shared" si="59"/>
        <v>December!$L$1:$L$92</v>
      </c>
      <c r="E722" t="s">
        <v>3</v>
      </c>
      <c r="F722" t="s">
        <v>131</v>
      </c>
      <c r="G722" t="s">
        <v>144</v>
      </c>
      <c r="H722" t="s">
        <v>153</v>
      </c>
      <c r="I722" t="e">
        <f t="shared" ca="1" si="55"/>
        <v>#REF!</v>
      </c>
      <c r="J722" t="str">
        <f>VLOOKUP($G722,DefinitionArrays!$I$6:$J$12,2,FALSE)</f>
        <v>Workweek</v>
      </c>
    </row>
    <row r="723" spans="1:10">
      <c r="A723" s="159" t="str">
        <f t="shared" si="56"/>
        <v>$K$1:$K$92</v>
      </c>
      <c r="B723" s="159" t="str">
        <f t="shared" si="57"/>
        <v>$L$1:$L$92</v>
      </c>
      <c r="C723" s="159" t="str">
        <f t="shared" si="58"/>
        <v>December!$K$1:$K$92</v>
      </c>
      <c r="D723" s="159" t="str">
        <f t="shared" si="59"/>
        <v>December!$L$1:$L$92</v>
      </c>
      <c r="E723" t="s">
        <v>3</v>
      </c>
      <c r="F723" t="s">
        <v>131</v>
      </c>
      <c r="G723" t="s">
        <v>144</v>
      </c>
      <c r="H723" t="s">
        <v>19</v>
      </c>
      <c r="I723" t="e">
        <f t="shared" ca="1" si="55"/>
        <v>#REF!</v>
      </c>
      <c r="J723" t="str">
        <f>VLOOKUP($G723,DefinitionArrays!$I$6:$J$12,2,FALSE)</f>
        <v>Workweek</v>
      </c>
    </row>
    <row r="724" spans="1:10">
      <c r="A724" s="159" t="str">
        <f t="shared" si="56"/>
        <v>$K$1:$K$92</v>
      </c>
      <c r="B724" s="159" t="str">
        <f t="shared" si="57"/>
        <v>$L$1:$L$92</v>
      </c>
      <c r="C724" s="159" t="str">
        <f t="shared" si="58"/>
        <v>December!$K$1:$K$92</v>
      </c>
      <c r="D724" s="159" t="str">
        <f t="shared" si="59"/>
        <v>December!$L$1:$L$92</v>
      </c>
      <c r="E724" t="s">
        <v>3</v>
      </c>
      <c r="F724" t="s">
        <v>131</v>
      </c>
      <c r="G724" t="s">
        <v>144</v>
      </c>
      <c r="H724" t="s">
        <v>20</v>
      </c>
      <c r="I724" t="e">
        <f t="shared" ca="1" si="55"/>
        <v>#REF!</v>
      </c>
      <c r="J724" t="str">
        <f>VLOOKUP($G724,DefinitionArrays!$I$6:$J$12,2,FALSE)</f>
        <v>Workweek</v>
      </c>
    </row>
    <row r="725" spans="1:10">
      <c r="A725" s="159" t="str">
        <f t="shared" si="56"/>
        <v>$K$1:$K$92</v>
      </c>
      <c r="B725" s="159" t="str">
        <f t="shared" si="57"/>
        <v>$L$1:$L$92</v>
      </c>
      <c r="C725" s="159" t="str">
        <f t="shared" si="58"/>
        <v>December!$K$1:$K$92</v>
      </c>
      <c r="D725" s="159" t="str">
        <f t="shared" si="59"/>
        <v>December!$L$1:$L$92</v>
      </c>
      <c r="E725" t="s">
        <v>3</v>
      </c>
      <c r="F725" t="s">
        <v>131</v>
      </c>
      <c r="G725" t="s">
        <v>144</v>
      </c>
      <c r="H725" t="s">
        <v>21</v>
      </c>
      <c r="I725" t="e">
        <f t="shared" ca="1" si="55"/>
        <v>#REF!</v>
      </c>
      <c r="J725" t="str">
        <f>VLOOKUP($G725,DefinitionArrays!$I$6:$J$12,2,FALSE)</f>
        <v>Workweek</v>
      </c>
    </row>
    <row r="726" spans="1:10">
      <c r="A726" s="159" t="str">
        <f t="shared" si="56"/>
        <v>$K$1:$K$92</v>
      </c>
      <c r="B726" s="159" t="str">
        <f t="shared" si="57"/>
        <v>$L$1:$L$92</v>
      </c>
      <c r="C726" s="159" t="str">
        <f t="shared" si="58"/>
        <v>December!$K$1:$K$92</v>
      </c>
      <c r="D726" s="159" t="str">
        <f t="shared" si="59"/>
        <v>December!$L$1:$L$92</v>
      </c>
      <c r="E726" t="s">
        <v>3</v>
      </c>
      <c r="F726" t="s">
        <v>131</v>
      </c>
      <c r="G726" t="s">
        <v>144</v>
      </c>
      <c r="H726" t="s">
        <v>22</v>
      </c>
      <c r="I726" t="e">
        <f t="shared" ca="1" si="55"/>
        <v>#REF!</v>
      </c>
      <c r="J726" t="str">
        <f>VLOOKUP($G726,DefinitionArrays!$I$6:$J$12,2,FALSE)</f>
        <v>Workweek</v>
      </c>
    </row>
    <row r="727" spans="1:10">
      <c r="A727" s="159" t="str">
        <f t="shared" si="56"/>
        <v>$K$1:$K$92</v>
      </c>
      <c r="B727" s="159" t="str">
        <f t="shared" si="57"/>
        <v>$L$1:$L$92</v>
      </c>
      <c r="C727" s="159" t="str">
        <f t="shared" si="58"/>
        <v>December!$K$1:$K$92</v>
      </c>
      <c r="D727" s="159" t="str">
        <f t="shared" si="59"/>
        <v>December!$L$1:$L$92</v>
      </c>
      <c r="E727" t="s">
        <v>3</v>
      </c>
      <c r="F727" t="s">
        <v>131</v>
      </c>
      <c r="G727" t="s">
        <v>144</v>
      </c>
      <c r="H727" t="s">
        <v>23</v>
      </c>
      <c r="I727" t="e">
        <f t="shared" ca="1" si="55"/>
        <v>#REF!</v>
      </c>
      <c r="J727" t="str">
        <f>VLOOKUP($G727,DefinitionArrays!$I$6:$J$12,2,FALSE)</f>
        <v>Workweek</v>
      </c>
    </row>
    <row r="728" spans="1:10">
      <c r="A728" s="159" t="str">
        <f t="shared" si="56"/>
        <v>$K$1:$K$92</v>
      </c>
      <c r="B728" s="159" t="str">
        <f t="shared" si="57"/>
        <v>$L$1:$L$92</v>
      </c>
      <c r="C728" s="159" t="str">
        <f t="shared" si="58"/>
        <v>December!$K$1:$K$92</v>
      </c>
      <c r="D728" s="159" t="str">
        <f t="shared" si="59"/>
        <v>December!$L$1:$L$92</v>
      </c>
      <c r="E728" t="s">
        <v>3</v>
      </c>
      <c r="F728" t="s">
        <v>131</v>
      </c>
      <c r="G728" t="s">
        <v>144</v>
      </c>
      <c r="H728" t="s">
        <v>24</v>
      </c>
      <c r="I728" t="e">
        <f t="shared" ca="1" si="55"/>
        <v>#REF!</v>
      </c>
      <c r="J728" t="str">
        <f>VLOOKUP($G728,DefinitionArrays!$I$6:$J$12,2,FALSE)</f>
        <v>Workweek</v>
      </c>
    </row>
    <row r="729" spans="1:10">
      <c r="A729" s="159" t="str">
        <f t="shared" si="56"/>
        <v>$K$1:$K$92</v>
      </c>
      <c r="B729" s="159" t="str">
        <f t="shared" si="57"/>
        <v>$L$1:$L$92</v>
      </c>
      <c r="C729" s="159" t="str">
        <f t="shared" si="58"/>
        <v>December!$K$1:$K$92</v>
      </c>
      <c r="D729" s="159" t="str">
        <f t="shared" si="59"/>
        <v>December!$L$1:$L$92</v>
      </c>
      <c r="E729" t="s">
        <v>3</v>
      </c>
      <c r="F729" t="s">
        <v>131</v>
      </c>
      <c r="G729" t="s">
        <v>144</v>
      </c>
      <c r="H729" t="s">
        <v>179</v>
      </c>
      <c r="I729" t="e">
        <f t="shared" ca="1" si="55"/>
        <v>#REF!</v>
      </c>
      <c r="J729" t="str">
        <f>VLOOKUP($G729,DefinitionArrays!$I$6:$J$12,2,FALSE)</f>
        <v>Workweek</v>
      </c>
    </row>
    <row r="730" spans="1:10">
      <c r="A730" s="159" t="str">
        <f t="shared" si="56"/>
        <v>$K$1:$K$92</v>
      </c>
      <c r="B730" s="159" t="str">
        <f t="shared" si="57"/>
        <v>$L$1:$L$92</v>
      </c>
      <c r="C730" s="159" t="str">
        <f t="shared" si="58"/>
        <v>December!$K$1:$K$92</v>
      </c>
      <c r="D730" s="159" t="str">
        <f t="shared" si="59"/>
        <v>December!$L$1:$L$92</v>
      </c>
      <c r="E730" t="s">
        <v>3</v>
      </c>
      <c r="F730" t="s">
        <v>131</v>
      </c>
      <c r="G730" t="s">
        <v>144</v>
      </c>
      <c r="H730" t="s">
        <v>180</v>
      </c>
      <c r="I730" t="e">
        <f t="shared" ca="1" si="55"/>
        <v>#REF!</v>
      </c>
      <c r="J730" t="str">
        <f>VLOOKUP($G730,DefinitionArrays!$I$6:$J$12,2,FALSE)</f>
        <v>Workweek</v>
      </c>
    </row>
    <row r="731" spans="1:10">
      <c r="A731" s="159" t="str">
        <f t="shared" si="56"/>
        <v>$K$1:$K$92</v>
      </c>
      <c r="B731" s="159" t="str">
        <f t="shared" si="57"/>
        <v>$L$1:$L$92</v>
      </c>
      <c r="C731" s="159" t="str">
        <f t="shared" si="58"/>
        <v>December!$K$1:$K$92</v>
      </c>
      <c r="D731" s="159" t="str">
        <f t="shared" si="59"/>
        <v>December!$L$1:$L$92</v>
      </c>
      <c r="E731" t="s">
        <v>3</v>
      </c>
      <c r="F731" t="s">
        <v>131</v>
      </c>
      <c r="G731" t="s">
        <v>144</v>
      </c>
      <c r="H731" t="s">
        <v>44</v>
      </c>
      <c r="I731" t="e">
        <f t="shared" ca="1" si="55"/>
        <v>#REF!</v>
      </c>
      <c r="J731" t="str">
        <f>VLOOKUP($G731,DefinitionArrays!$I$6:$J$12,2,FALSE)</f>
        <v>Workweek</v>
      </c>
    </row>
    <row r="732" spans="1:10">
      <c r="A732" s="159" t="str">
        <f t="shared" si="56"/>
        <v>$N$1:$N$92</v>
      </c>
      <c r="B732" s="159" t="str">
        <f t="shared" si="57"/>
        <v>$O$1:$O$92</v>
      </c>
      <c r="C732" s="159" t="str">
        <f t="shared" si="58"/>
        <v>December!$N$1:$N$92</v>
      </c>
      <c r="D732" s="159" t="str">
        <f t="shared" si="59"/>
        <v>December!$O$1:$O$92</v>
      </c>
      <c r="E732" t="s">
        <v>3</v>
      </c>
      <c r="F732" t="s">
        <v>131</v>
      </c>
      <c r="G732" t="s">
        <v>145</v>
      </c>
      <c r="H732" t="s">
        <v>159</v>
      </c>
      <c r="I732" t="e">
        <f t="shared" ca="1" si="55"/>
        <v>#REF!</v>
      </c>
      <c r="J732" t="str">
        <f>VLOOKUP($G732,DefinitionArrays!$I$6:$J$12,2,FALSE)</f>
        <v>Weekend</v>
      </c>
    </row>
    <row r="733" spans="1:10">
      <c r="A733" s="159" t="str">
        <f t="shared" si="56"/>
        <v>$N$1:$N$92</v>
      </c>
      <c r="B733" s="159" t="str">
        <f t="shared" si="57"/>
        <v>$O$1:$O$92</v>
      </c>
      <c r="C733" s="159" t="str">
        <f t="shared" si="58"/>
        <v>December!$N$1:$N$92</v>
      </c>
      <c r="D733" s="159" t="str">
        <f t="shared" si="59"/>
        <v>December!$O$1:$O$92</v>
      </c>
      <c r="E733" t="s">
        <v>3</v>
      </c>
      <c r="F733" t="s">
        <v>131</v>
      </c>
      <c r="G733" t="s">
        <v>145</v>
      </c>
      <c r="H733" t="s">
        <v>18</v>
      </c>
      <c r="I733" t="e">
        <f t="shared" ca="1" si="55"/>
        <v>#REF!</v>
      </c>
      <c r="J733" t="str">
        <f>VLOOKUP($G733,DefinitionArrays!$I$6:$J$12,2,FALSE)</f>
        <v>Weekend</v>
      </c>
    </row>
    <row r="734" spans="1:10">
      <c r="A734" s="159" t="str">
        <f t="shared" si="56"/>
        <v>$N$1:$N$92</v>
      </c>
      <c r="B734" s="159" t="str">
        <f t="shared" si="57"/>
        <v>$O$1:$O$92</v>
      </c>
      <c r="C734" s="159" t="str">
        <f t="shared" si="58"/>
        <v>December!$N$1:$N$92</v>
      </c>
      <c r="D734" s="159" t="str">
        <f t="shared" si="59"/>
        <v>December!$O$1:$O$92</v>
      </c>
      <c r="E734" t="s">
        <v>3</v>
      </c>
      <c r="F734" t="s">
        <v>131</v>
      </c>
      <c r="G734" t="s">
        <v>145</v>
      </c>
      <c r="H734" t="s">
        <v>153</v>
      </c>
      <c r="I734" t="e">
        <f t="shared" ca="1" si="55"/>
        <v>#REF!</v>
      </c>
      <c r="J734" t="str">
        <f>VLOOKUP($G734,DefinitionArrays!$I$6:$J$12,2,FALSE)</f>
        <v>Weekend</v>
      </c>
    </row>
    <row r="735" spans="1:10">
      <c r="A735" s="159" t="str">
        <f t="shared" si="56"/>
        <v>$N$1:$N$92</v>
      </c>
      <c r="B735" s="159" t="str">
        <f t="shared" si="57"/>
        <v>$O$1:$O$92</v>
      </c>
      <c r="C735" s="159" t="str">
        <f t="shared" si="58"/>
        <v>December!$N$1:$N$92</v>
      </c>
      <c r="D735" s="159" t="str">
        <f t="shared" si="59"/>
        <v>December!$O$1:$O$92</v>
      </c>
      <c r="E735" t="s">
        <v>3</v>
      </c>
      <c r="F735" t="s">
        <v>131</v>
      </c>
      <c r="G735" t="s">
        <v>145</v>
      </c>
      <c r="H735" t="s">
        <v>19</v>
      </c>
      <c r="I735" t="e">
        <f t="shared" ca="1" si="55"/>
        <v>#REF!</v>
      </c>
      <c r="J735" t="str">
        <f>VLOOKUP($G735,DefinitionArrays!$I$6:$J$12,2,FALSE)</f>
        <v>Weekend</v>
      </c>
    </row>
    <row r="736" spans="1:10">
      <c r="A736" s="159" t="str">
        <f t="shared" si="56"/>
        <v>$N$1:$N$92</v>
      </c>
      <c r="B736" s="159" t="str">
        <f t="shared" si="57"/>
        <v>$O$1:$O$92</v>
      </c>
      <c r="C736" s="159" t="str">
        <f t="shared" si="58"/>
        <v>December!$N$1:$N$92</v>
      </c>
      <c r="D736" s="159" t="str">
        <f t="shared" si="59"/>
        <v>December!$O$1:$O$92</v>
      </c>
      <c r="E736" t="s">
        <v>3</v>
      </c>
      <c r="F736" t="s">
        <v>131</v>
      </c>
      <c r="G736" t="s">
        <v>145</v>
      </c>
      <c r="H736" t="s">
        <v>20</v>
      </c>
      <c r="I736" t="e">
        <f t="shared" ca="1" si="55"/>
        <v>#REF!</v>
      </c>
      <c r="J736" t="str">
        <f>VLOOKUP($G736,DefinitionArrays!$I$6:$J$12,2,FALSE)</f>
        <v>Weekend</v>
      </c>
    </row>
    <row r="737" spans="1:10">
      <c r="A737" s="159" t="str">
        <f t="shared" si="56"/>
        <v>$N$1:$N$92</v>
      </c>
      <c r="B737" s="159" t="str">
        <f t="shared" si="57"/>
        <v>$O$1:$O$92</v>
      </c>
      <c r="C737" s="159" t="str">
        <f t="shared" si="58"/>
        <v>December!$N$1:$N$92</v>
      </c>
      <c r="D737" s="159" t="str">
        <f t="shared" si="59"/>
        <v>December!$O$1:$O$92</v>
      </c>
      <c r="E737" t="s">
        <v>3</v>
      </c>
      <c r="F737" t="s">
        <v>131</v>
      </c>
      <c r="G737" t="s">
        <v>145</v>
      </c>
      <c r="H737" t="s">
        <v>21</v>
      </c>
      <c r="I737" t="e">
        <f t="shared" ca="1" si="55"/>
        <v>#REF!</v>
      </c>
      <c r="J737" t="str">
        <f>VLOOKUP($G737,DefinitionArrays!$I$6:$J$12,2,FALSE)</f>
        <v>Weekend</v>
      </c>
    </row>
    <row r="738" spans="1:10">
      <c r="A738" s="159" t="str">
        <f t="shared" si="56"/>
        <v>$N$1:$N$92</v>
      </c>
      <c r="B738" s="159" t="str">
        <f t="shared" si="57"/>
        <v>$O$1:$O$92</v>
      </c>
      <c r="C738" s="159" t="str">
        <f t="shared" si="58"/>
        <v>December!$N$1:$N$92</v>
      </c>
      <c r="D738" s="159" t="str">
        <f t="shared" si="59"/>
        <v>December!$O$1:$O$92</v>
      </c>
      <c r="E738" t="s">
        <v>3</v>
      </c>
      <c r="F738" t="s">
        <v>131</v>
      </c>
      <c r="G738" t="s">
        <v>145</v>
      </c>
      <c r="H738" t="s">
        <v>22</v>
      </c>
      <c r="I738" t="e">
        <f t="shared" ca="1" si="55"/>
        <v>#REF!</v>
      </c>
      <c r="J738" t="str">
        <f>VLOOKUP($G738,DefinitionArrays!$I$6:$J$12,2,FALSE)</f>
        <v>Weekend</v>
      </c>
    </row>
    <row r="739" spans="1:10">
      <c r="A739" s="159" t="str">
        <f t="shared" si="56"/>
        <v>$N$1:$N$92</v>
      </c>
      <c r="B739" s="159" t="str">
        <f t="shared" si="57"/>
        <v>$O$1:$O$92</v>
      </c>
      <c r="C739" s="159" t="str">
        <f t="shared" si="58"/>
        <v>December!$N$1:$N$92</v>
      </c>
      <c r="D739" s="159" t="str">
        <f t="shared" si="59"/>
        <v>December!$O$1:$O$92</v>
      </c>
      <c r="E739" t="s">
        <v>3</v>
      </c>
      <c r="F739" t="s">
        <v>131</v>
      </c>
      <c r="G739" t="s">
        <v>145</v>
      </c>
      <c r="H739" t="s">
        <v>23</v>
      </c>
      <c r="I739" t="e">
        <f t="shared" ca="1" si="55"/>
        <v>#REF!</v>
      </c>
      <c r="J739" t="str">
        <f>VLOOKUP($G739,DefinitionArrays!$I$6:$J$12,2,FALSE)</f>
        <v>Weekend</v>
      </c>
    </row>
    <row r="740" spans="1:10">
      <c r="A740" s="159" t="str">
        <f t="shared" si="56"/>
        <v>$N$1:$N$92</v>
      </c>
      <c r="B740" s="159" t="str">
        <f t="shared" si="57"/>
        <v>$O$1:$O$92</v>
      </c>
      <c r="C740" s="159" t="str">
        <f t="shared" si="58"/>
        <v>December!$N$1:$N$92</v>
      </c>
      <c r="D740" s="159" t="str">
        <f t="shared" si="59"/>
        <v>December!$O$1:$O$92</v>
      </c>
      <c r="E740" t="s">
        <v>3</v>
      </c>
      <c r="F740" t="s">
        <v>131</v>
      </c>
      <c r="G740" t="s">
        <v>145</v>
      </c>
      <c r="H740" t="s">
        <v>24</v>
      </c>
      <c r="I740" t="e">
        <f t="shared" ca="1" si="55"/>
        <v>#REF!</v>
      </c>
      <c r="J740" t="str">
        <f>VLOOKUP($G740,DefinitionArrays!$I$6:$J$12,2,FALSE)</f>
        <v>Weekend</v>
      </c>
    </row>
    <row r="741" spans="1:10">
      <c r="A741" s="159" t="str">
        <f t="shared" si="56"/>
        <v>$N$1:$N$92</v>
      </c>
      <c r="B741" s="159" t="str">
        <f t="shared" si="57"/>
        <v>$O$1:$O$92</v>
      </c>
      <c r="C741" s="159" t="str">
        <f t="shared" si="58"/>
        <v>December!$N$1:$N$92</v>
      </c>
      <c r="D741" s="159" t="str">
        <f t="shared" si="59"/>
        <v>December!$O$1:$O$92</v>
      </c>
      <c r="E741" t="s">
        <v>3</v>
      </c>
      <c r="F741" t="s">
        <v>131</v>
      </c>
      <c r="G741" t="s">
        <v>145</v>
      </c>
      <c r="H741" t="s">
        <v>179</v>
      </c>
      <c r="I741" t="e">
        <f t="shared" ca="1" si="55"/>
        <v>#REF!</v>
      </c>
      <c r="J741" t="str">
        <f>VLOOKUP($G741,DefinitionArrays!$I$6:$J$12,2,FALSE)</f>
        <v>Weekend</v>
      </c>
    </row>
    <row r="742" spans="1:10">
      <c r="A742" s="159" t="str">
        <f t="shared" si="56"/>
        <v>$N$1:$N$92</v>
      </c>
      <c r="B742" s="159" t="str">
        <f t="shared" si="57"/>
        <v>$O$1:$O$92</v>
      </c>
      <c r="C742" s="159" t="str">
        <f t="shared" si="58"/>
        <v>December!$N$1:$N$92</v>
      </c>
      <c r="D742" s="159" t="str">
        <f t="shared" si="59"/>
        <v>December!$O$1:$O$92</v>
      </c>
      <c r="E742" t="s">
        <v>3</v>
      </c>
      <c r="F742" t="s">
        <v>131</v>
      </c>
      <c r="G742" t="s">
        <v>145</v>
      </c>
      <c r="H742" t="s">
        <v>180</v>
      </c>
      <c r="I742" t="e">
        <f t="shared" ca="1" si="55"/>
        <v>#REF!</v>
      </c>
      <c r="J742" t="str">
        <f>VLOOKUP($G742,DefinitionArrays!$I$6:$J$12,2,FALSE)</f>
        <v>Weekend</v>
      </c>
    </row>
    <row r="743" spans="1:10">
      <c r="A743" s="159" t="str">
        <f t="shared" si="56"/>
        <v>$N$1:$N$92</v>
      </c>
      <c r="B743" s="159" t="str">
        <f t="shared" si="57"/>
        <v>$O$1:$O$92</v>
      </c>
      <c r="C743" s="159" t="str">
        <f t="shared" si="58"/>
        <v>December!$N$1:$N$92</v>
      </c>
      <c r="D743" s="159" t="str">
        <f t="shared" si="59"/>
        <v>December!$O$1:$O$92</v>
      </c>
      <c r="E743" t="s">
        <v>3</v>
      </c>
      <c r="F743" t="s">
        <v>131</v>
      </c>
      <c r="G743" t="s">
        <v>145</v>
      </c>
      <c r="H743" t="s">
        <v>44</v>
      </c>
      <c r="I743" t="e">
        <f t="shared" ca="1" si="55"/>
        <v>#REF!</v>
      </c>
      <c r="J743" t="str">
        <f>VLOOKUP($G743,DefinitionArrays!$I$6:$J$12,2,FALSE)</f>
        <v>Weekend</v>
      </c>
    </row>
    <row r="744" spans="1:10">
      <c r="A744" s="159" t="str">
        <f t="shared" si="56"/>
        <v>$Q$1:$Q$92</v>
      </c>
      <c r="B744" s="159" t="str">
        <f t="shared" si="57"/>
        <v>$R$1:$R$92</v>
      </c>
      <c r="C744" s="159" t="str">
        <f t="shared" si="58"/>
        <v>December!$Q$1:$Q$92</v>
      </c>
      <c r="D744" s="159" t="str">
        <f t="shared" si="59"/>
        <v>December!$R$1:$R$92</v>
      </c>
      <c r="E744" t="s">
        <v>3</v>
      </c>
      <c r="F744" t="s">
        <v>131</v>
      </c>
      <c r="G744" t="s">
        <v>146</v>
      </c>
      <c r="H744" t="s">
        <v>159</v>
      </c>
      <c r="I744" t="e">
        <f t="shared" ca="1" si="55"/>
        <v>#REF!</v>
      </c>
      <c r="J744" t="str">
        <f>VLOOKUP($G744,DefinitionArrays!$I$6:$J$12,2,FALSE)</f>
        <v>Weekend</v>
      </c>
    </row>
    <row r="745" spans="1:10">
      <c r="A745" s="159" t="str">
        <f t="shared" si="56"/>
        <v>$T$1:$T$92</v>
      </c>
      <c r="B745" s="159" t="str">
        <f t="shared" si="57"/>
        <v>$U$1:$U$92</v>
      </c>
      <c r="C745" s="159" t="str">
        <f t="shared" si="58"/>
        <v>December!$T$1:$T$92</v>
      </c>
      <c r="D745" s="159" t="str">
        <f t="shared" si="59"/>
        <v>December!$U$1:$U$92</v>
      </c>
      <c r="E745" t="s">
        <v>3</v>
      </c>
      <c r="F745" t="s">
        <v>131</v>
      </c>
      <c r="G745" t="s">
        <v>141</v>
      </c>
      <c r="H745" t="s">
        <v>159</v>
      </c>
      <c r="I745" t="e">
        <f t="shared" ca="1" si="55"/>
        <v>#REF!</v>
      </c>
      <c r="J745" t="str">
        <f>VLOOKUP($G745,DefinitionArrays!$I$6:$J$12,2,FALSE)</f>
        <v>Weekend</v>
      </c>
    </row>
    <row r="746" spans="1:10">
      <c r="A746" s="159" t="str">
        <f t="shared" si="56"/>
        <v>$B$1:$B$92</v>
      </c>
      <c r="B746" s="159" t="str">
        <f t="shared" si="57"/>
        <v>$C$1:$C$92</v>
      </c>
      <c r="C746" s="159" t="str">
        <f t="shared" si="58"/>
        <v>January!$B$1:$B$92</v>
      </c>
      <c r="D746" s="159" t="str">
        <f t="shared" si="59"/>
        <v>January!$C$1:$C$92</v>
      </c>
      <c r="E746" t="s">
        <v>4</v>
      </c>
      <c r="F746" t="s">
        <v>48</v>
      </c>
      <c r="G746" t="s">
        <v>13</v>
      </c>
      <c r="H746" t="s">
        <v>159</v>
      </c>
      <c r="I746" t="e">
        <f ca="1">COUNTIFS(INDIRECT($C746),$E746,INDIRECT($D746),$H746)</f>
        <v>#REF!</v>
      </c>
      <c r="J746" t="str">
        <f>VLOOKUP($G746,DefinitionArrays!$I$6:$J$12,2,FALSE)</f>
        <v>Workweek</v>
      </c>
    </row>
    <row r="747" spans="1:10">
      <c r="A747" s="159" t="str">
        <f t="shared" si="56"/>
        <v>$B$1:$B$92</v>
      </c>
      <c r="B747" s="159" t="str">
        <f t="shared" si="57"/>
        <v>$C$1:$C$92</v>
      </c>
      <c r="C747" s="159" t="str">
        <f t="shared" si="58"/>
        <v>January!$B$1:$B$92</v>
      </c>
      <c r="D747" s="159" t="str">
        <f t="shared" si="59"/>
        <v>January!$C$1:$C$92</v>
      </c>
      <c r="E747" t="s">
        <v>4</v>
      </c>
      <c r="F747" t="s">
        <v>48</v>
      </c>
      <c r="G747" t="s">
        <v>13</v>
      </c>
      <c r="H747" t="s">
        <v>18</v>
      </c>
      <c r="I747" t="e">
        <f t="shared" ref="I747:I807" ca="1" si="60">COUNTIFS(INDIRECT($C747),$E747,INDIRECT($D747),$H747)</f>
        <v>#REF!</v>
      </c>
      <c r="J747" t="str">
        <f>VLOOKUP($G747,DefinitionArrays!$I$6:$J$12,2,FALSE)</f>
        <v>Workweek</v>
      </c>
    </row>
    <row r="748" spans="1:10">
      <c r="A748" s="159" t="str">
        <f t="shared" si="56"/>
        <v>$B$1:$B$92</v>
      </c>
      <c r="B748" s="159" t="str">
        <f t="shared" si="57"/>
        <v>$C$1:$C$92</v>
      </c>
      <c r="C748" s="159" t="str">
        <f t="shared" si="58"/>
        <v>January!$B$1:$B$92</v>
      </c>
      <c r="D748" s="159" t="str">
        <f t="shared" si="59"/>
        <v>January!$C$1:$C$92</v>
      </c>
      <c r="E748" t="s">
        <v>4</v>
      </c>
      <c r="F748" t="s">
        <v>48</v>
      </c>
      <c r="G748" t="s">
        <v>13</v>
      </c>
      <c r="H748" t="s">
        <v>153</v>
      </c>
      <c r="I748" t="e">
        <f t="shared" ca="1" si="60"/>
        <v>#REF!</v>
      </c>
      <c r="J748" t="str">
        <f>VLOOKUP($G748,DefinitionArrays!$I$6:$J$12,2,FALSE)</f>
        <v>Workweek</v>
      </c>
    </row>
    <row r="749" spans="1:10">
      <c r="A749" s="159" t="str">
        <f t="shared" si="56"/>
        <v>$B$1:$B$92</v>
      </c>
      <c r="B749" s="159" t="str">
        <f t="shared" si="57"/>
        <v>$C$1:$C$92</v>
      </c>
      <c r="C749" s="159" t="str">
        <f t="shared" si="58"/>
        <v>January!$B$1:$B$92</v>
      </c>
      <c r="D749" s="159" t="str">
        <f t="shared" si="59"/>
        <v>January!$C$1:$C$92</v>
      </c>
      <c r="E749" t="s">
        <v>4</v>
      </c>
      <c r="F749" t="s">
        <v>48</v>
      </c>
      <c r="G749" t="s">
        <v>13</v>
      </c>
      <c r="H749" t="s">
        <v>19</v>
      </c>
      <c r="I749" t="e">
        <f t="shared" ca="1" si="60"/>
        <v>#REF!</v>
      </c>
      <c r="J749" t="str">
        <f>VLOOKUP($G749,DefinitionArrays!$I$6:$J$12,2,FALSE)</f>
        <v>Workweek</v>
      </c>
    </row>
    <row r="750" spans="1:10">
      <c r="A750" s="159" t="str">
        <f t="shared" si="56"/>
        <v>$B$1:$B$92</v>
      </c>
      <c r="B750" s="159" t="str">
        <f t="shared" si="57"/>
        <v>$C$1:$C$92</v>
      </c>
      <c r="C750" s="159" t="str">
        <f t="shared" si="58"/>
        <v>January!$B$1:$B$92</v>
      </c>
      <c r="D750" s="159" t="str">
        <f t="shared" si="59"/>
        <v>January!$C$1:$C$92</v>
      </c>
      <c r="E750" t="s">
        <v>4</v>
      </c>
      <c r="F750" t="s">
        <v>48</v>
      </c>
      <c r="G750" t="s">
        <v>13</v>
      </c>
      <c r="H750" t="s">
        <v>20</v>
      </c>
      <c r="I750" t="e">
        <f t="shared" ca="1" si="60"/>
        <v>#REF!</v>
      </c>
      <c r="J750" t="str">
        <f>VLOOKUP($G750,DefinitionArrays!$I$6:$J$12,2,FALSE)</f>
        <v>Workweek</v>
      </c>
    </row>
    <row r="751" spans="1:10">
      <c r="A751" s="159" t="str">
        <f t="shared" si="56"/>
        <v>$B$1:$B$92</v>
      </c>
      <c r="B751" s="159" t="str">
        <f t="shared" si="57"/>
        <v>$C$1:$C$92</v>
      </c>
      <c r="C751" s="159" t="str">
        <f t="shared" si="58"/>
        <v>January!$B$1:$B$92</v>
      </c>
      <c r="D751" s="159" t="str">
        <f t="shared" si="59"/>
        <v>January!$C$1:$C$92</v>
      </c>
      <c r="E751" t="s">
        <v>4</v>
      </c>
      <c r="F751" t="s">
        <v>48</v>
      </c>
      <c r="G751" t="s">
        <v>13</v>
      </c>
      <c r="H751" t="s">
        <v>21</v>
      </c>
      <c r="I751" t="e">
        <f t="shared" ca="1" si="60"/>
        <v>#REF!</v>
      </c>
      <c r="J751" t="str">
        <f>VLOOKUP($G751,DefinitionArrays!$I$6:$J$12,2,FALSE)</f>
        <v>Workweek</v>
      </c>
    </row>
    <row r="752" spans="1:10">
      <c r="A752" s="159" t="str">
        <f t="shared" si="56"/>
        <v>$B$1:$B$92</v>
      </c>
      <c r="B752" s="159" t="str">
        <f t="shared" si="57"/>
        <v>$C$1:$C$92</v>
      </c>
      <c r="C752" s="159" t="str">
        <f t="shared" si="58"/>
        <v>January!$B$1:$B$92</v>
      </c>
      <c r="D752" s="159" t="str">
        <f t="shared" si="59"/>
        <v>January!$C$1:$C$92</v>
      </c>
      <c r="E752" t="s">
        <v>4</v>
      </c>
      <c r="F752" t="s">
        <v>48</v>
      </c>
      <c r="G752" t="s">
        <v>13</v>
      </c>
      <c r="H752" t="s">
        <v>22</v>
      </c>
      <c r="I752" t="e">
        <f t="shared" ca="1" si="60"/>
        <v>#REF!</v>
      </c>
      <c r="J752" t="str">
        <f>VLOOKUP($G752,DefinitionArrays!$I$6:$J$12,2,FALSE)</f>
        <v>Workweek</v>
      </c>
    </row>
    <row r="753" spans="1:10">
      <c r="A753" s="159" t="str">
        <f t="shared" si="56"/>
        <v>$B$1:$B$92</v>
      </c>
      <c r="B753" s="159" t="str">
        <f t="shared" si="57"/>
        <v>$C$1:$C$92</v>
      </c>
      <c r="C753" s="159" t="str">
        <f t="shared" si="58"/>
        <v>January!$B$1:$B$92</v>
      </c>
      <c r="D753" s="159" t="str">
        <f t="shared" si="59"/>
        <v>January!$C$1:$C$92</v>
      </c>
      <c r="E753" t="s">
        <v>4</v>
      </c>
      <c r="F753" t="s">
        <v>48</v>
      </c>
      <c r="G753" t="s">
        <v>13</v>
      </c>
      <c r="H753" t="s">
        <v>23</v>
      </c>
      <c r="I753" t="e">
        <f t="shared" ca="1" si="60"/>
        <v>#REF!</v>
      </c>
      <c r="J753" t="str">
        <f>VLOOKUP($G753,DefinitionArrays!$I$6:$J$12,2,FALSE)</f>
        <v>Workweek</v>
      </c>
    </row>
    <row r="754" spans="1:10">
      <c r="A754" s="159" t="str">
        <f t="shared" si="56"/>
        <v>$B$1:$B$92</v>
      </c>
      <c r="B754" s="159" t="str">
        <f t="shared" si="57"/>
        <v>$C$1:$C$92</v>
      </c>
      <c r="C754" s="159" t="str">
        <f t="shared" si="58"/>
        <v>January!$B$1:$B$92</v>
      </c>
      <c r="D754" s="159" t="str">
        <f t="shared" si="59"/>
        <v>January!$C$1:$C$92</v>
      </c>
      <c r="E754" t="s">
        <v>4</v>
      </c>
      <c r="F754" t="s">
        <v>48</v>
      </c>
      <c r="G754" t="s">
        <v>13</v>
      </c>
      <c r="H754" t="s">
        <v>24</v>
      </c>
      <c r="I754" t="e">
        <f t="shared" ca="1" si="60"/>
        <v>#REF!</v>
      </c>
      <c r="J754" t="str">
        <f>VLOOKUP($G754,DefinitionArrays!$I$6:$J$12,2,FALSE)</f>
        <v>Workweek</v>
      </c>
    </row>
    <row r="755" spans="1:10">
      <c r="A755" s="159" t="str">
        <f t="shared" si="56"/>
        <v>$B$1:$B$92</v>
      </c>
      <c r="B755" s="159" t="str">
        <f t="shared" si="57"/>
        <v>$C$1:$C$92</v>
      </c>
      <c r="C755" s="159" t="str">
        <f t="shared" si="58"/>
        <v>January!$B$1:$B$92</v>
      </c>
      <c r="D755" s="159" t="str">
        <f t="shared" si="59"/>
        <v>January!$C$1:$C$92</v>
      </c>
      <c r="E755" t="s">
        <v>4</v>
      </c>
      <c r="F755" t="s">
        <v>48</v>
      </c>
      <c r="G755" t="s">
        <v>13</v>
      </c>
      <c r="H755" t="s">
        <v>179</v>
      </c>
      <c r="I755" t="e">
        <f t="shared" ca="1" si="60"/>
        <v>#REF!</v>
      </c>
      <c r="J755" t="str">
        <f>VLOOKUP($G755,DefinitionArrays!$I$6:$J$12,2,FALSE)</f>
        <v>Workweek</v>
      </c>
    </row>
    <row r="756" spans="1:10">
      <c r="A756" s="159" t="str">
        <f t="shared" si="56"/>
        <v>$B$1:$B$92</v>
      </c>
      <c r="B756" s="159" t="str">
        <f t="shared" si="57"/>
        <v>$C$1:$C$92</v>
      </c>
      <c r="C756" s="159" t="str">
        <f t="shared" si="58"/>
        <v>January!$B$1:$B$92</v>
      </c>
      <c r="D756" s="159" t="str">
        <f t="shared" si="59"/>
        <v>January!$C$1:$C$92</v>
      </c>
      <c r="E756" t="s">
        <v>4</v>
      </c>
      <c r="F756" t="s">
        <v>48</v>
      </c>
      <c r="G756" t="s">
        <v>13</v>
      </c>
      <c r="H756" t="s">
        <v>180</v>
      </c>
      <c r="I756" t="e">
        <f t="shared" ca="1" si="60"/>
        <v>#REF!</v>
      </c>
      <c r="J756" t="str">
        <f>VLOOKUP($G756,DefinitionArrays!$I$6:$J$12,2,FALSE)</f>
        <v>Workweek</v>
      </c>
    </row>
    <row r="757" spans="1:10">
      <c r="A757" s="159" t="str">
        <f t="shared" si="56"/>
        <v>$B$1:$B$92</v>
      </c>
      <c r="B757" s="159" t="str">
        <f t="shared" si="57"/>
        <v>$C$1:$C$92</v>
      </c>
      <c r="C757" s="159" t="str">
        <f t="shared" si="58"/>
        <v>January!$B$1:$B$92</v>
      </c>
      <c r="D757" s="159" t="str">
        <f t="shared" si="59"/>
        <v>January!$C$1:$C$92</v>
      </c>
      <c r="E757" t="s">
        <v>4</v>
      </c>
      <c r="F757" t="s">
        <v>48</v>
      </c>
      <c r="G757" t="s">
        <v>13</v>
      </c>
      <c r="H757" t="s">
        <v>44</v>
      </c>
      <c r="I757" t="e">
        <f t="shared" ca="1" si="60"/>
        <v>#REF!</v>
      </c>
      <c r="J757" t="str">
        <f>VLOOKUP($G757,DefinitionArrays!$I$6:$J$12,2,FALSE)</f>
        <v>Workweek</v>
      </c>
    </row>
    <row r="758" spans="1:10">
      <c r="A758" s="159" t="str">
        <f t="shared" si="56"/>
        <v>$E$1:$E$92</v>
      </c>
      <c r="B758" s="159" t="str">
        <f t="shared" si="57"/>
        <v>$F$1:$F$92</v>
      </c>
      <c r="C758" s="159" t="str">
        <f t="shared" si="58"/>
        <v>January!$E$1:$E$92</v>
      </c>
      <c r="D758" s="159" t="str">
        <f t="shared" si="59"/>
        <v>January!$F$1:$F$92</v>
      </c>
      <c r="E758" t="s">
        <v>4</v>
      </c>
      <c r="F758" t="s">
        <v>48</v>
      </c>
      <c r="G758" t="s">
        <v>142</v>
      </c>
      <c r="H758" t="s">
        <v>159</v>
      </c>
      <c r="I758" t="e">
        <f t="shared" ca="1" si="60"/>
        <v>#REF!</v>
      </c>
      <c r="J758" t="str">
        <f>VLOOKUP($G758,DefinitionArrays!$I$6:$J$12,2,FALSE)</f>
        <v>Workweek</v>
      </c>
    </row>
    <row r="759" spans="1:10">
      <c r="A759" s="159" t="str">
        <f t="shared" si="56"/>
        <v>$E$1:$E$92</v>
      </c>
      <c r="B759" s="159" t="str">
        <f t="shared" si="57"/>
        <v>$F$1:$F$92</v>
      </c>
      <c r="C759" s="159" t="str">
        <f t="shared" si="58"/>
        <v>January!$E$1:$E$92</v>
      </c>
      <c r="D759" s="159" t="str">
        <f t="shared" si="59"/>
        <v>January!$F$1:$F$92</v>
      </c>
      <c r="E759" t="s">
        <v>4</v>
      </c>
      <c r="F759" t="s">
        <v>48</v>
      </c>
      <c r="G759" t="s">
        <v>142</v>
      </c>
      <c r="H759" t="s">
        <v>18</v>
      </c>
      <c r="I759" t="e">
        <f t="shared" ca="1" si="60"/>
        <v>#REF!</v>
      </c>
      <c r="J759" t="str">
        <f>VLOOKUP($G759,DefinitionArrays!$I$6:$J$12,2,FALSE)</f>
        <v>Workweek</v>
      </c>
    </row>
    <row r="760" spans="1:10">
      <c r="A760" s="159" t="str">
        <f t="shared" si="56"/>
        <v>$E$1:$E$92</v>
      </c>
      <c r="B760" s="159" t="str">
        <f t="shared" si="57"/>
        <v>$F$1:$F$92</v>
      </c>
      <c r="C760" s="159" t="str">
        <f t="shared" si="58"/>
        <v>January!$E$1:$E$92</v>
      </c>
      <c r="D760" s="159" t="str">
        <f t="shared" si="59"/>
        <v>January!$F$1:$F$92</v>
      </c>
      <c r="E760" t="s">
        <v>4</v>
      </c>
      <c r="F760" t="s">
        <v>48</v>
      </c>
      <c r="G760" t="s">
        <v>142</v>
      </c>
      <c r="H760" t="s">
        <v>153</v>
      </c>
      <c r="I760" t="e">
        <f t="shared" ca="1" si="60"/>
        <v>#REF!</v>
      </c>
      <c r="J760" t="str">
        <f>VLOOKUP($G760,DefinitionArrays!$I$6:$J$12,2,FALSE)</f>
        <v>Workweek</v>
      </c>
    </row>
    <row r="761" spans="1:10">
      <c r="A761" s="159" t="str">
        <f t="shared" si="56"/>
        <v>$E$1:$E$92</v>
      </c>
      <c r="B761" s="159" t="str">
        <f t="shared" si="57"/>
        <v>$F$1:$F$92</v>
      </c>
      <c r="C761" s="159" t="str">
        <f t="shared" si="58"/>
        <v>January!$E$1:$E$92</v>
      </c>
      <c r="D761" s="159" t="str">
        <f t="shared" si="59"/>
        <v>January!$F$1:$F$92</v>
      </c>
      <c r="E761" t="s">
        <v>4</v>
      </c>
      <c r="F761" t="s">
        <v>48</v>
      </c>
      <c r="G761" t="s">
        <v>142</v>
      </c>
      <c r="H761" t="s">
        <v>19</v>
      </c>
      <c r="I761" t="e">
        <f t="shared" ca="1" si="60"/>
        <v>#REF!</v>
      </c>
      <c r="J761" t="str">
        <f>VLOOKUP($G761,DefinitionArrays!$I$6:$J$12,2,FALSE)</f>
        <v>Workweek</v>
      </c>
    </row>
    <row r="762" spans="1:10">
      <c r="A762" s="159" t="str">
        <f t="shared" si="56"/>
        <v>$E$1:$E$92</v>
      </c>
      <c r="B762" s="159" t="str">
        <f t="shared" si="57"/>
        <v>$F$1:$F$92</v>
      </c>
      <c r="C762" s="159" t="str">
        <f t="shared" si="58"/>
        <v>January!$E$1:$E$92</v>
      </c>
      <c r="D762" s="159" t="str">
        <f t="shared" si="59"/>
        <v>January!$F$1:$F$92</v>
      </c>
      <c r="E762" t="s">
        <v>4</v>
      </c>
      <c r="F762" t="s">
        <v>48</v>
      </c>
      <c r="G762" t="s">
        <v>142</v>
      </c>
      <c r="H762" t="s">
        <v>20</v>
      </c>
      <c r="I762" t="e">
        <f t="shared" ca="1" si="60"/>
        <v>#REF!</v>
      </c>
      <c r="J762" t="str">
        <f>VLOOKUP($G762,DefinitionArrays!$I$6:$J$12,2,FALSE)</f>
        <v>Workweek</v>
      </c>
    </row>
    <row r="763" spans="1:10">
      <c r="A763" s="159" t="str">
        <f t="shared" si="56"/>
        <v>$E$1:$E$92</v>
      </c>
      <c r="B763" s="159" t="str">
        <f t="shared" si="57"/>
        <v>$F$1:$F$92</v>
      </c>
      <c r="C763" s="159" t="str">
        <f t="shared" si="58"/>
        <v>January!$E$1:$E$92</v>
      </c>
      <c r="D763" s="159" t="str">
        <f t="shared" si="59"/>
        <v>January!$F$1:$F$92</v>
      </c>
      <c r="E763" t="s">
        <v>4</v>
      </c>
      <c r="F763" t="s">
        <v>48</v>
      </c>
      <c r="G763" t="s">
        <v>142</v>
      </c>
      <c r="H763" t="s">
        <v>21</v>
      </c>
      <c r="I763" t="e">
        <f t="shared" ca="1" si="60"/>
        <v>#REF!</v>
      </c>
      <c r="J763" t="str">
        <f>VLOOKUP($G763,DefinitionArrays!$I$6:$J$12,2,FALSE)</f>
        <v>Workweek</v>
      </c>
    </row>
    <row r="764" spans="1:10">
      <c r="A764" s="159" t="str">
        <f t="shared" si="56"/>
        <v>$E$1:$E$92</v>
      </c>
      <c r="B764" s="159" t="str">
        <f t="shared" si="57"/>
        <v>$F$1:$F$92</v>
      </c>
      <c r="C764" s="159" t="str">
        <f t="shared" si="58"/>
        <v>January!$E$1:$E$92</v>
      </c>
      <c r="D764" s="159" t="str">
        <f t="shared" si="59"/>
        <v>January!$F$1:$F$92</v>
      </c>
      <c r="E764" t="s">
        <v>4</v>
      </c>
      <c r="F764" t="s">
        <v>48</v>
      </c>
      <c r="G764" t="s">
        <v>142</v>
      </c>
      <c r="H764" t="s">
        <v>22</v>
      </c>
      <c r="I764" t="e">
        <f t="shared" ca="1" si="60"/>
        <v>#REF!</v>
      </c>
      <c r="J764" t="str">
        <f>VLOOKUP($G764,DefinitionArrays!$I$6:$J$12,2,FALSE)</f>
        <v>Workweek</v>
      </c>
    </row>
    <row r="765" spans="1:10">
      <c r="A765" s="159" t="str">
        <f t="shared" si="56"/>
        <v>$E$1:$E$92</v>
      </c>
      <c r="B765" s="159" t="str">
        <f t="shared" si="57"/>
        <v>$F$1:$F$92</v>
      </c>
      <c r="C765" s="159" t="str">
        <f t="shared" si="58"/>
        <v>January!$E$1:$E$92</v>
      </c>
      <c r="D765" s="159" t="str">
        <f t="shared" si="59"/>
        <v>January!$F$1:$F$92</v>
      </c>
      <c r="E765" t="s">
        <v>4</v>
      </c>
      <c r="F765" t="s">
        <v>48</v>
      </c>
      <c r="G765" t="s">
        <v>142</v>
      </c>
      <c r="H765" t="s">
        <v>23</v>
      </c>
      <c r="I765" t="e">
        <f t="shared" ca="1" si="60"/>
        <v>#REF!</v>
      </c>
      <c r="J765" t="str">
        <f>VLOOKUP($G765,DefinitionArrays!$I$6:$J$12,2,FALSE)</f>
        <v>Workweek</v>
      </c>
    </row>
    <row r="766" spans="1:10">
      <c r="A766" s="159" t="str">
        <f t="shared" si="56"/>
        <v>$E$1:$E$92</v>
      </c>
      <c r="B766" s="159" t="str">
        <f t="shared" si="57"/>
        <v>$F$1:$F$92</v>
      </c>
      <c r="C766" s="159" t="str">
        <f t="shared" si="58"/>
        <v>January!$E$1:$E$92</v>
      </c>
      <c r="D766" s="159" t="str">
        <f t="shared" si="59"/>
        <v>January!$F$1:$F$92</v>
      </c>
      <c r="E766" t="s">
        <v>4</v>
      </c>
      <c r="F766" t="s">
        <v>48</v>
      </c>
      <c r="G766" t="s">
        <v>142</v>
      </c>
      <c r="H766" t="s">
        <v>24</v>
      </c>
      <c r="I766" t="e">
        <f t="shared" ca="1" si="60"/>
        <v>#REF!</v>
      </c>
      <c r="J766" t="str">
        <f>VLOOKUP($G766,DefinitionArrays!$I$6:$J$12,2,FALSE)</f>
        <v>Workweek</v>
      </c>
    </row>
    <row r="767" spans="1:10">
      <c r="A767" s="159" t="str">
        <f t="shared" si="56"/>
        <v>$E$1:$E$92</v>
      </c>
      <c r="B767" s="159" t="str">
        <f t="shared" si="57"/>
        <v>$F$1:$F$92</v>
      </c>
      <c r="C767" s="159" t="str">
        <f t="shared" si="58"/>
        <v>January!$E$1:$E$92</v>
      </c>
      <c r="D767" s="159" t="str">
        <f t="shared" si="59"/>
        <v>January!$F$1:$F$92</v>
      </c>
      <c r="E767" t="s">
        <v>4</v>
      </c>
      <c r="F767" t="s">
        <v>48</v>
      </c>
      <c r="G767" t="s">
        <v>142</v>
      </c>
      <c r="H767" t="s">
        <v>179</v>
      </c>
      <c r="I767" t="e">
        <f t="shared" ca="1" si="60"/>
        <v>#REF!</v>
      </c>
      <c r="J767" t="str">
        <f>VLOOKUP($G767,DefinitionArrays!$I$6:$J$12,2,FALSE)</f>
        <v>Workweek</v>
      </c>
    </row>
    <row r="768" spans="1:10">
      <c r="A768" s="159" t="str">
        <f t="shared" si="56"/>
        <v>$E$1:$E$92</v>
      </c>
      <c r="B768" s="159" t="str">
        <f t="shared" si="57"/>
        <v>$F$1:$F$92</v>
      </c>
      <c r="C768" s="159" t="str">
        <f t="shared" si="58"/>
        <v>January!$E$1:$E$92</v>
      </c>
      <c r="D768" s="159" t="str">
        <f t="shared" si="59"/>
        <v>January!$F$1:$F$92</v>
      </c>
      <c r="E768" t="s">
        <v>4</v>
      </c>
      <c r="F768" t="s">
        <v>48</v>
      </c>
      <c r="G768" t="s">
        <v>142</v>
      </c>
      <c r="H768" t="s">
        <v>180</v>
      </c>
      <c r="I768" t="e">
        <f t="shared" ca="1" si="60"/>
        <v>#REF!</v>
      </c>
      <c r="J768" t="str">
        <f>VLOOKUP($G768,DefinitionArrays!$I$6:$J$12,2,FALSE)</f>
        <v>Workweek</v>
      </c>
    </row>
    <row r="769" spans="1:10">
      <c r="A769" s="159" t="str">
        <f t="shared" si="56"/>
        <v>$E$1:$E$92</v>
      </c>
      <c r="B769" s="159" t="str">
        <f t="shared" si="57"/>
        <v>$F$1:$F$92</v>
      </c>
      <c r="C769" s="159" t="str">
        <f t="shared" si="58"/>
        <v>January!$E$1:$E$92</v>
      </c>
      <c r="D769" s="159" t="str">
        <f t="shared" si="59"/>
        <v>January!$F$1:$F$92</v>
      </c>
      <c r="E769" t="s">
        <v>4</v>
      </c>
      <c r="F769" t="s">
        <v>48</v>
      </c>
      <c r="G769" t="s">
        <v>142</v>
      </c>
      <c r="H769" t="s">
        <v>44</v>
      </c>
      <c r="I769" t="e">
        <f t="shared" ca="1" si="60"/>
        <v>#REF!</v>
      </c>
      <c r="J769" t="str">
        <f>VLOOKUP($G769,DefinitionArrays!$I$6:$J$12,2,FALSE)</f>
        <v>Workweek</v>
      </c>
    </row>
    <row r="770" spans="1:10">
      <c r="A770" s="159" t="str">
        <f t="shared" ref="A770:A833" si="61">VLOOKUP($G770,Fx_Code,2,FALSE)</f>
        <v>$H$1:$H$92</v>
      </c>
      <c r="B770" s="159" t="str">
        <f t="shared" ref="B770:B833" si="62">VLOOKUP($G770,Fx_Code,3,FALSE)</f>
        <v>$I$1:$I$92</v>
      </c>
      <c r="C770" s="159" t="str">
        <f t="shared" ref="C770:C833" si="63">CONCATENATE($F770,$K$1,A770)</f>
        <v>January!$H$1:$H$92</v>
      </c>
      <c r="D770" s="159" t="str">
        <f t="shared" ref="D770:D833" si="64">CONCATENATE($F770,$K$1,B770)</f>
        <v>January!$I$1:$I$92</v>
      </c>
      <c r="E770" t="s">
        <v>4</v>
      </c>
      <c r="F770" t="s">
        <v>48</v>
      </c>
      <c r="G770" t="s">
        <v>143</v>
      </c>
      <c r="H770" t="s">
        <v>159</v>
      </c>
      <c r="I770" t="e">
        <f t="shared" ca="1" si="60"/>
        <v>#REF!</v>
      </c>
      <c r="J770" t="str">
        <f>VLOOKUP($G770,DefinitionArrays!$I$6:$J$12,2,FALSE)</f>
        <v>Workweek</v>
      </c>
    </row>
    <row r="771" spans="1:10">
      <c r="A771" s="159" t="str">
        <f t="shared" si="61"/>
        <v>$H$1:$H$92</v>
      </c>
      <c r="B771" s="159" t="str">
        <f t="shared" si="62"/>
        <v>$I$1:$I$92</v>
      </c>
      <c r="C771" s="159" t="str">
        <f t="shared" si="63"/>
        <v>January!$H$1:$H$92</v>
      </c>
      <c r="D771" s="159" t="str">
        <f t="shared" si="64"/>
        <v>January!$I$1:$I$92</v>
      </c>
      <c r="E771" t="s">
        <v>4</v>
      </c>
      <c r="F771" t="s">
        <v>48</v>
      </c>
      <c r="G771" t="s">
        <v>143</v>
      </c>
      <c r="H771" t="s">
        <v>18</v>
      </c>
      <c r="I771" t="e">
        <f t="shared" ca="1" si="60"/>
        <v>#REF!</v>
      </c>
      <c r="J771" t="str">
        <f>VLOOKUP($G771,DefinitionArrays!$I$6:$J$12,2,FALSE)</f>
        <v>Workweek</v>
      </c>
    </row>
    <row r="772" spans="1:10">
      <c r="A772" s="159" t="str">
        <f t="shared" si="61"/>
        <v>$H$1:$H$92</v>
      </c>
      <c r="B772" s="159" t="str">
        <f t="shared" si="62"/>
        <v>$I$1:$I$92</v>
      </c>
      <c r="C772" s="159" t="str">
        <f t="shared" si="63"/>
        <v>January!$H$1:$H$92</v>
      </c>
      <c r="D772" s="159" t="str">
        <f t="shared" si="64"/>
        <v>January!$I$1:$I$92</v>
      </c>
      <c r="E772" t="s">
        <v>4</v>
      </c>
      <c r="F772" t="s">
        <v>48</v>
      </c>
      <c r="G772" t="s">
        <v>143</v>
      </c>
      <c r="H772" t="s">
        <v>153</v>
      </c>
      <c r="I772" t="e">
        <f t="shared" ca="1" si="60"/>
        <v>#REF!</v>
      </c>
      <c r="J772" t="str">
        <f>VLOOKUP($G772,DefinitionArrays!$I$6:$J$12,2,FALSE)</f>
        <v>Workweek</v>
      </c>
    </row>
    <row r="773" spans="1:10">
      <c r="A773" s="159" t="str">
        <f t="shared" si="61"/>
        <v>$H$1:$H$92</v>
      </c>
      <c r="B773" s="159" t="str">
        <f t="shared" si="62"/>
        <v>$I$1:$I$92</v>
      </c>
      <c r="C773" s="159" t="str">
        <f t="shared" si="63"/>
        <v>January!$H$1:$H$92</v>
      </c>
      <c r="D773" s="159" t="str">
        <f t="shared" si="64"/>
        <v>January!$I$1:$I$92</v>
      </c>
      <c r="E773" t="s">
        <v>4</v>
      </c>
      <c r="F773" t="s">
        <v>48</v>
      </c>
      <c r="G773" t="s">
        <v>143</v>
      </c>
      <c r="H773" t="s">
        <v>19</v>
      </c>
      <c r="I773" t="e">
        <f t="shared" ca="1" si="60"/>
        <v>#REF!</v>
      </c>
      <c r="J773" t="str">
        <f>VLOOKUP($G773,DefinitionArrays!$I$6:$J$12,2,FALSE)</f>
        <v>Workweek</v>
      </c>
    </row>
    <row r="774" spans="1:10">
      <c r="A774" s="159" t="str">
        <f t="shared" si="61"/>
        <v>$H$1:$H$92</v>
      </c>
      <c r="B774" s="159" t="str">
        <f t="shared" si="62"/>
        <v>$I$1:$I$92</v>
      </c>
      <c r="C774" s="159" t="str">
        <f t="shared" si="63"/>
        <v>January!$H$1:$H$92</v>
      </c>
      <c r="D774" s="159" t="str">
        <f t="shared" si="64"/>
        <v>January!$I$1:$I$92</v>
      </c>
      <c r="E774" t="s">
        <v>4</v>
      </c>
      <c r="F774" t="s">
        <v>48</v>
      </c>
      <c r="G774" t="s">
        <v>143</v>
      </c>
      <c r="H774" t="s">
        <v>20</v>
      </c>
      <c r="I774" t="e">
        <f t="shared" ca="1" si="60"/>
        <v>#REF!</v>
      </c>
      <c r="J774" t="str">
        <f>VLOOKUP($G774,DefinitionArrays!$I$6:$J$12,2,FALSE)</f>
        <v>Workweek</v>
      </c>
    </row>
    <row r="775" spans="1:10">
      <c r="A775" s="159" t="str">
        <f t="shared" si="61"/>
        <v>$H$1:$H$92</v>
      </c>
      <c r="B775" s="159" t="str">
        <f t="shared" si="62"/>
        <v>$I$1:$I$92</v>
      </c>
      <c r="C775" s="159" t="str">
        <f t="shared" si="63"/>
        <v>January!$H$1:$H$92</v>
      </c>
      <c r="D775" s="159" t="str">
        <f t="shared" si="64"/>
        <v>January!$I$1:$I$92</v>
      </c>
      <c r="E775" t="s">
        <v>4</v>
      </c>
      <c r="F775" t="s">
        <v>48</v>
      </c>
      <c r="G775" t="s">
        <v>143</v>
      </c>
      <c r="H775" t="s">
        <v>21</v>
      </c>
      <c r="I775" t="e">
        <f t="shared" ca="1" si="60"/>
        <v>#REF!</v>
      </c>
      <c r="J775" t="str">
        <f>VLOOKUP($G775,DefinitionArrays!$I$6:$J$12,2,FALSE)</f>
        <v>Workweek</v>
      </c>
    </row>
    <row r="776" spans="1:10">
      <c r="A776" s="159" t="str">
        <f t="shared" si="61"/>
        <v>$H$1:$H$92</v>
      </c>
      <c r="B776" s="159" t="str">
        <f t="shared" si="62"/>
        <v>$I$1:$I$92</v>
      </c>
      <c r="C776" s="159" t="str">
        <f t="shared" si="63"/>
        <v>January!$H$1:$H$92</v>
      </c>
      <c r="D776" s="159" t="str">
        <f t="shared" si="64"/>
        <v>January!$I$1:$I$92</v>
      </c>
      <c r="E776" t="s">
        <v>4</v>
      </c>
      <c r="F776" t="s">
        <v>48</v>
      </c>
      <c r="G776" t="s">
        <v>143</v>
      </c>
      <c r="H776" t="s">
        <v>22</v>
      </c>
      <c r="I776" t="e">
        <f t="shared" ca="1" si="60"/>
        <v>#REF!</v>
      </c>
      <c r="J776" t="str">
        <f>VLOOKUP($G776,DefinitionArrays!$I$6:$J$12,2,FALSE)</f>
        <v>Workweek</v>
      </c>
    </row>
    <row r="777" spans="1:10">
      <c r="A777" s="159" t="str">
        <f t="shared" si="61"/>
        <v>$H$1:$H$92</v>
      </c>
      <c r="B777" s="159" t="str">
        <f t="shared" si="62"/>
        <v>$I$1:$I$92</v>
      </c>
      <c r="C777" s="159" t="str">
        <f t="shared" si="63"/>
        <v>January!$H$1:$H$92</v>
      </c>
      <c r="D777" s="159" t="str">
        <f t="shared" si="64"/>
        <v>January!$I$1:$I$92</v>
      </c>
      <c r="E777" t="s">
        <v>4</v>
      </c>
      <c r="F777" t="s">
        <v>48</v>
      </c>
      <c r="G777" t="s">
        <v>143</v>
      </c>
      <c r="H777" t="s">
        <v>23</v>
      </c>
      <c r="I777" t="e">
        <f t="shared" ca="1" si="60"/>
        <v>#REF!</v>
      </c>
      <c r="J777" t="str">
        <f>VLOOKUP($G777,DefinitionArrays!$I$6:$J$12,2,FALSE)</f>
        <v>Workweek</v>
      </c>
    </row>
    <row r="778" spans="1:10">
      <c r="A778" s="159" t="str">
        <f t="shared" si="61"/>
        <v>$H$1:$H$92</v>
      </c>
      <c r="B778" s="159" t="str">
        <f t="shared" si="62"/>
        <v>$I$1:$I$92</v>
      </c>
      <c r="C778" s="159" t="str">
        <f t="shared" si="63"/>
        <v>January!$H$1:$H$92</v>
      </c>
      <c r="D778" s="159" t="str">
        <f t="shared" si="64"/>
        <v>January!$I$1:$I$92</v>
      </c>
      <c r="E778" t="s">
        <v>4</v>
      </c>
      <c r="F778" t="s">
        <v>48</v>
      </c>
      <c r="G778" t="s">
        <v>143</v>
      </c>
      <c r="H778" t="s">
        <v>24</v>
      </c>
      <c r="I778" t="e">
        <f t="shared" ca="1" si="60"/>
        <v>#REF!</v>
      </c>
      <c r="J778" t="str">
        <f>VLOOKUP($G778,DefinitionArrays!$I$6:$J$12,2,FALSE)</f>
        <v>Workweek</v>
      </c>
    </row>
    <row r="779" spans="1:10">
      <c r="A779" s="159" t="str">
        <f t="shared" si="61"/>
        <v>$H$1:$H$92</v>
      </c>
      <c r="B779" s="159" t="str">
        <f t="shared" si="62"/>
        <v>$I$1:$I$92</v>
      </c>
      <c r="C779" s="159" t="str">
        <f t="shared" si="63"/>
        <v>January!$H$1:$H$92</v>
      </c>
      <c r="D779" s="159" t="str">
        <f t="shared" si="64"/>
        <v>January!$I$1:$I$92</v>
      </c>
      <c r="E779" t="s">
        <v>4</v>
      </c>
      <c r="F779" t="s">
        <v>48</v>
      </c>
      <c r="G779" t="s">
        <v>143</v>
      </c>
      <c r="H779" t="s">
        <v>179</v>
      </c>
      <c r="I779" t="e">
        <f t="shared" ca="1" si="60"/>
        <v>#REF!</v>
      </c>
      <c r="J779" t="str">
        <f>VLOOKUP($G779,DefinitionArrays!$I$6:$J$12,2,FALSE)</f>
        <v>Workweek</v>
      </c>
    </row>
    <row r="780" spans="1:10">
      <c r="A780" s="159" t="str">
        <f t="shared" si="61"/>
        <v>$H$1:$H$92</v>
      </c>
      <c r="B780" s="159" t="str">
        <f t="shared" si="62"/>
        <v>$I$1:$I$92</v>
      </c>
      <c r="C780" s="159" t="str">
        <f t="shared" si="63"/>
        <v>January!$H$1:$H$92</v>
      </c>
      <c r="D780" s="159" t="str">
        <f t="shared" si="64"/>
        <v>January!$I$1:$I$92</v>
      </c>
      <c r="E780" t="s">
        <v>4</v>
      </c>
      <c r="F780" t="s">
        <v>48</v>
      </c>
      <c r="G780" t="s">
        <v>143</v>
      </c>
      <c r="H780" t="s">
        <v>180</v>
      </c>
      <c r="I780" t="e">
        <f t="shared" ca="1" si="60"/>
        <v>#REF!</v>
      </c>
      <c r="J780" t="str">
        <f>VLOOKUP($G780,DefinitionArrays!$I$6:$J$12,2,FALSE)</f>
        <v>Workweek</v>
      </c>
    </row>
    <row r="781" spans="1:10">
      <c r="A781" s="159" t="str">
        <f t="shared" si="61"/>
        <v>$H$1:$H$92</v>
      </c>
      <c r="B781" s="159" t="str">
        <f t="shared" si="62"/>
        <v>$I$1:$I$92</v>
      </c>
      <c r="C781" s="159" t="str">
        <f t="shared" si="63"/>
        <v>January!$H$1:$H$92</v>
      </c>
      <c r="D781" s="159" t="str">
        <f t="shared" si="64"/>
        <v>January!$I$1:$I$92</v>
      </c>
      <c r="E781" t="s">
        <v>4</v>
      </c>
      <c r="F781" t="s">
        <v>48</v>
      </c>
      <c r="G781" t="s">
        <v>143</v>
      </c>
      <c r="H781" t="s">
        <v>44</v>
      </c>
      <c r="I781" t="e">
        <f t="shared" ca="1" si="60"/>
        <v>#REF!</v>
      </c>
      <c r="J781" t="str">
        <f>VLOOKUP($G781,DefinitionArrays!$I$6:$J$12,2,FALSE)</f>
        <v>Workweek</v>
      </c>
    </row>
    <row r="782" spans="1:10">
      <c r="A782" s="159" t="str">
        <f t="shared" si="61"/>
        <v>$K$1:$K$92</v>
      </c>
      <c r="B782" s="159" t="str">
        <f t="shared" si="62"/>
        <v>$L$1:$L$92</v>
      </c>
      <c r="C782" s="159" t="str">
        <f t="shared" si="63"/>
        <v>January!$K$1:$K$92</v>
      </c>
      <c r="D782" s="159" t="str">
        <f t="shared" si="64"/>
        <v>January!$L$1:$L$92</v>
      </c>
      <c r="E782" t="s">
        <v>4</v>
      </c>
      <c r="F782" t="s">
        <v>48</v>
      </c>
      <c r="G782" t="s">
        <v>144</v>
      </c>
      <c r="H782" t="s">
        <v>159</v>
      </c>
      <c r="I782" t="e">
        <f t="shared" ca="1" si="60"/>
        <v>#REF!</v>
      </c>
      <c r="J782" t="str">
        <f>VLOOKUP($G782,DefinitionArrays!$I$6:$J$12,2,FALSE)</f>
        <v>Workweek</v>
      </c>
    </row>
    <row r="783" spans="1:10">
      <c r="A783" s="159" t="str">
        <f t="shared" si="61"/>
        <v>$K$1:$K$92</v>
      </c>
      <c r="B783" s="159" t="str">
        <f t="shared" si="62"/>
        <v>$L$1:$L$92</v>
      </c>
      <c r="C783" s="159" t="str">
        <f t="shared" si="63"/>
        <v>January!$K$1:$K$92</v>
      </c>
      <c r="D783" s="159" t="str">
        <f t="shared" si="64"/>
        <v>January!$L$1:$L$92</v>
      </c>
      <c r="E783" t="s">
        <v>4</v>
      </c>
      <c r="F783" t="s">
        <v>48</v>
      </c>
      <c r="G783" t="s">
        <v>144</v>
      </c>
      <c r="H783" t="s">
        <v>18</v>
      </c>
      <c r="I783" t="e">
        <f t="shared" ca="1" si="60"/>
        <v>#REF!</v>
      </c>
      <c r="J783" t="str">
        <f>VLOOKUP($G783,DefinitionArrays!$I$6:$J$12,2,FALSE)</f>
        <v>Workweek</v>
      </c>
    </row>
    <row r="784" spans="1:10">
      <c r="A784" s="159" t="str">
        <f t="shared" si="61"/>
        <v>$K$1:$K$92</v>
      </c>
      <c r="B784" s="159" t="str">
        <f t="shared" si="62"/>
        <v>$L$1:$L$92</v>
      </c>
      <c r="C784" s="159" t="str">
        <f t="shared" si="63"/>
        <v>January!$K$1:$K$92</v>
      </c>
      <c r="D784" s="159" t="str">
        <f t="shared" si="64"/>
        <v>January!$L$1:$L$92</v>
      </c>
      <c r="E784" t="s">
        <v>4</v>
      </c>
      <c r="F784" t="s">
        <v>48</v>
      </c>
      <c r="G784" t="s">
        <v>144</v>
      </c>
      <c r="H784" t="s">
        <v>153</v>
      </c>
      <c r="I784" t="e">
        <f t="shared" ca="1" si="60"/>
        <v>#REF!</v>
      </c>
      <c r="J784" t="str">
        <f>VLOOKUP($G784,DefinitionArrays!$I$6:$J$12,2,FALSE)</f>
        <v>Workweek</v>
      </c>
    </row>
    <row r="785" spans="1:10">
      <c r="A785" s="159" t="str">
        <f t="shared" si="61"/>
        <v>$K$1:$K$92</v>
      </c>
      <c r="B785" s="159" t="str">
        <f t="shared" si="62"/>
        <v>$L$1:$L$92</v>
      </c>
      <c r="C785" s="159" t="str">
        <f t="shared" si="63"/>
        <v>January!$K$1:$K$92</v>
      </c>
      <c r="D785" s="159" t="str">
        <f t="shared" si="64"/>
        <v>January!$L$1:$L$92</v>
      </c>
      <c r="E785" t="s">
        <v>4</v>
      </c>
      <c r="F785" t="s">
        <v>48</v>
      </c>
      <c r="G785" t="s">
        <v>144</v>
      </c>
      <c r="H785" t="s">
        <v>19</v>
      </c>
      <c r="I785" t="e">
        <f t="shared" ca="1" si="60"/>
        <v>#REF!</v>
      </c>
      <c r="J785" t="str">
        <f>VLOOKUP($G785,DefinitionArrays!$I$6:$J$12,2,FALSE)</f>
        <v>Workweek</v>
      </c>
    </row>
    <row r="786" spans="1:10">
      <c r="A786" s="159" t="str">
        <f t="shared" si="61"/>
        <v>$K$1:$K$92</v>
      </c>
      <c r="B786" s="159" t="str">
        <f t="shared" si="62"/>
        <v>$L$1:$L$92</v>
      </c>
      <c r="C786" s="159" t="str">
        <f t="shared" si="63"/>
        <v>January!$K$1:$K$92</v>
      </c>
      <c r="D786" s="159" t="str">
        <f t="shared" si="64"/>
        <v>January!$L$1:$L$92</v>
      </c>
      <c r="E786" t="s">
        <v>4</v>
      </c>
      <c r="F786" t="s">
        <v>48</v>
      </c>
      <c r="G786" t="s">
        <v>144</v>
      </c>
      <c r="H786" t="s">
        <v>20</v>
      </c>
      <c r="I786" t="e">
        <f t="shared" ca="1" si="60"/>
        <v>#REF!</v>
      </c>
      <c r="J786" t="str">
        <f>VLOOKUP($G786,DefinitionArrays!$I$6:$J$12,2,FALSE)</f>
        <v>Workweek</v>
      </c>
    </row>
    <row r="787" spans="1:10">
      <c r="A787" s="159" t="str">
        <f t="shared" si="61"/>
        <v>$K$1:$K$92</v>
      </c>
      <c r="B787" s="159" t="str">
        <f t="shared" si="62"/>
        <v>$L$1:$L$92</v>
      </c>
      <c r="C787" s="159" t="str">
        <f t="shared" si="63"/>
        <v>January!$K$1:$K$92</v>
      </c>
      <c r="D787" s="159" t="str">
        <f t="shared" si="64"/>
        <v>January!$L$1:$L$92</v>
      </c>
      <c r="E787" t="s">
        <v>4</v>
      </c>
      <c r="F787" t="s">
        <v>48</v>
      </c>
      <c r="G787" t="s">
        <v>144</v>
      </c>
      <c r="H787" t="s">
        <v>21</v>
      </c>
      <c r="I787" t="e">
        <f t="shared" ca="1" si="60"/>
        <v>#REF!</v>
      </c>
      <c r="J787" t="str">
        <f>VLOOKUP($G787,DefinitionArrays!$I$6:$J$12,2,FALSE)</f>
        <v>Workweek</v>
      </c>
    </row>
    <row r="788" spans="1:10">
      <c r="A788" s="159" t="str">
        <f t="shared" si="61"/>
        <v>$K$1:$K$92</v>
      </c>
      <c r="B788" s="159" t="str">
        <f t="shared" si="62"/>
        <v>$L$1:$L$92</v>
      </c>
      <c r="C788" s="159" t="str">
        <f t="shared" si="63"/>
        <v>January!$K$1:$K$92</v>
      </c>
      <c r="D788" s="159" t="str">
        <f t="shared" si="64"/>
        <v>January!$L$1:$L$92</v>
      </c>
      <c r="E788" t="s">
        <v>4</v>
      </c>
      <c r="F788" t="s">
        <v>48</v>
      </c>
      <c r="G788" t="s">
        <v>144</v>
      </c>
      <c r="H788" t="s">
        <v>22</v>
      </c>
      <c r="I788" t="e">
        <f t="shared" ca="1" si="60"/>
        <v>#REF!</v>
      </c>
      <c r="J788" t="str">
        <f>VLOOKUP($G788,DefinitionArrays!$I$6:$J$12,2,FALSE)</f>
        <v>Workweek</v>
      </c>
    </row>
    <row r="789" spans="1:10">
      <c r="A789" s="159" t="str">
        <f t="shared" si="61"/>
        <v>$K$1:$K$92</v>
      </c>
      <c r="B789" s="159" t="str">
        <f t="shared" si="62"/>
        <v>$L$1:$L$92</v>
      </c>
      <c r="C789" s="159" t="str">
        <f t="shared" si="63"/>
        <v>January!$K$1:$K$92</v>
      </c>
      <c r="D789" s="159" t="str">
        <f t="shared" si="64"/>
        <v>January!$L$1:$L$92</v>
      </c>
      <c r="E789" t="s">
        <v>4</v>
      </c>
      <c r="F789" t="s">
        <v>48</v>
      </c>
      <c r="G789" t="s">
        <v>144</v>
      </c>
      <c r="H789" t="s">
        <v>23</v>
      </c>
      <c r="I789" t="e">
        <f t="shared" ca="1" si="60"/>
        <v>#REF!</v>
      </c>
      <c r="J789" t="str">
        <f>VLOOKUP($G789,DefinitionArrays!$I$6:$J$12,2,FALSE)</f>
        <v>Workweek</v>
      </c>
    </row>
    <row r="790" spans="1:10">
      <c r="A790" s="159" t="str">
        <f t="shared" si="61"/>
        <v>$K$1:$K$92</v>
      </c>
      <c r="B790" s="159" t="str">
        <f t="shared" si="62"/>
        <v>$L$1:$L$92</v>
      </c>
      <c r="C790" s="159" t="str">
        <f t="shared" si="63"/>
        <v>January!$K$1:$K$92</v>
      </c>
      <c r="D790" s="159" t="str">
        <f t="shared" si="64"/>
        <v>January!$L$1:$L$92</v>
      </c>
      <c r="E790" t="s">
        <v>4</v>
      </c>
      <c r="F790" t="s">
        <v>48</v>
      </c>
      <c r="G790" t="s">
        <v>144</v>
      </c>
      <c r="H790" t="s">
        <v>24</v>
      </c>
      <c r="I790" t="e">
        <f t="shared" ca="1" si="60"/>
        <v>#REF!</v>
      </c>
      <c r="J790" t="str">
        <f>VLOOKUP($G790,DefinitionArrays!$I$6:$J$12,2,FALSE)</f>
        <v>Workweek</v>
      </c>
    </row>
    <row r="791" spans="1:10">
      <c r="A791" s="159" t="str">
        <f t="shared" si="61"/>
        <v>$K$1:$K$92</v>
      </c>
      <c r="B791" s="159" t="str">
        <f t="shared" si="62"/>
        <v>$L$1:$L$92</v>
      </c>
      <c r="C791" s="159" t="str">
        <f t="shared" si="63"/>
        <v>January!$K$1:$K$92</v>
      </c>
      <c r="D791" s="159" t="str">
        <f t="shared" si="64"/>
        <v>January!$L$1:$L$92</v>
      </c>
      <c r="E791" t="s">
        <v>4</v>
      </c>
      <c r="F791" t="s">
        <v>48</v>
      </c>
      <c r="G791" t="s">
        <v>144</v>
      </c>
      <c r="H791" t="s">
        <v>179</v>
      </c>
      <c r="I791" t="e">
        <f t="shared" ca="1" si="60"/>
        <v>#REF!</v>
      </c>
      <c r="J791" t="str">
        <f>VLOOKUP($G791,DefinitionArrays!$I$6:$J$12,2,FALSE)</f>
        <v>Workweek</v>
      </c>
    </row>
    <row r="792" spans="1:10">
      <c r="A792" s="159" t="str">
        <f t="shared" si="61"/>
        <v>$K$1:$K$92</v>
      </c>
      <c r="B792" s="159" t="str">
        <f t="shared" si="62"/>
        <v>$L$1:$L$92</v>
      </c>
      <c r="C792" s="159" t="str">
        <f t="shared" si="63"/>
        <v>January!$K$1:$K$92</v>
      </c>
      <c r="D792" s="159" t="str">
        <f t="shared" si="64"/>
        <v>January!$L$1:$L$92</v>
      </c>
      <c r="E792" t="s">
        <v>4</v>
      </c>
      <c r="F792" t="s">
        <v>48</v>
      </c>
      <c r="G792" t="s">
        <v>144</v>
      </c>
      <c r="H792" t="s">
        <v>180</v>
      </c>
      <c r="I792" t="e">
        <f t="shared" ca="1" si="60"/>
        <v>#REF!</v>
      </c>
      <c r="J792" t="str">
        <f>VLOOKUP($G792,DefinitionArrays!$I$6:$J$12,2,FALSE)</f>
        <v>Workweek</v>
      </c>
    </row>
    <row r="793" spans="1:10">
      <c r="A793" s="159" t="str">
        <f t="shared" si="61"/>
        <v>$K$1:$K$92</v>
      </c>
      <c r="B793" s="159" t="str">
        <f t="shared" si="62"/>
        <v>$L$1:$L$92</v>
      </c>
      <c r="C793" s="159" t="str">
        <f t="shared" si="63"/>
        <v>January!$K$1:$K$92</v>
      </c>
      <c r="D793" s="159" t="str">
        <f t="shared" si="64"/>
        <v>January!$L$1:$L$92</v>
      </c>
      <c r="E793" t="s">
        <v>4</v>
      </c>
      <c r="F793" t="s">
        <v>48</v>
      </c>
      <c r="G793" t="s">
        <v>144</v>
      </c>
      <c r="H793" t="s">
        <v>44</v>
      </c>
      <c r="I793" t="e">
        <f t="shared" ca="1" si="60"/>
        <v>#REF!</v>
      </c>
      <c r="J793" t="str">
        <f>VLOOKUP($G793,DefinitionArrays!$I$6:$J$12,2,FALSE)</f>
        <v>Workweek</v>
      </c>
    </row>
    <row r="794" spans="1:10">
      <c r="A794" s="159" t="str">
        <f t="shared" si="61"/>
        <v>$N$1:$N$92</v>
      </c>
      <c r="B794" s="159" t="str">
        <f t="shared" si="62"/>
        <v>$O$1:$O$92</v>
      </c>
      <c r="C794" s="159" t="str">
        <f t="shared" si="63"/>
        <v>January!$N$1:$N$92</v>
      </c>
      <c r="D794" s="159" t="str">
        <f t="shared" si="64"/>
        <v>January!$O$1:$O$92</v>
      </c>
      <c r="E794" t="s">
        <v>4</v>
      </c>
      <c r="F794" t="s">
        <v>48</v>
      </c>
      <c r="G794" t="s">
        <v>145</v>
      </c>
      <c r="H794" t="s">
        <v>159</v>
      </c>
      <c r="I794" t="e">
        <f t="shared" ca="1" si="60"/>
        <v>#REF!</v>
      </c>
      <c r="J794" t="str">
        <f>VLOOKUP($G794,DefinitionArrays!$I$6:$J$12,2,FALSE)</f>
        <v>Weekend</v>
      </c>
    </row>
    <row r="795" spans="1:10">
      <c r="A795" s="159" t="str">
        <f t="shared" si="61"/>
        <v>$N$1:$N$92</v>
      </c>
      <c r="B795" s="159" t="str">
        <f t="shared" si="62"/>
        <v>$O$1:$O$92</v>
      </c>
      <c r="C795" s="159" t="str">
        <f t="shared" si="63"/>
        <v>January!$N$1:$N$92</v>
      </c>
      <c r="D795" s="159" t="str">
        <f t="shared" si="64"/>
        <v>January!$O$1:$O$92</v>
      </c>
      <c r="E795" t="s">
        <v>4</v>
      </c>
      <c r="F795" t="s">
        <v>48</v>
      </c>
      <c r="G795" t="s">
        <v>145</v>
      </c>
      <c r="H795" t="s">
        <v>18</v>
      </c>
      <c r="I795" t="e">
        <f t="shared" ca="1" si="60"/>
        <v>#REF!</v>
      </c>
      <c r="J795" t="str">
        <f>VLOOKUP($G795,DefinitionArrays!$I$6:$J$12,2,FALSE)</f>
        <v>Weekend</v>
      </c>
    </row>
    <row r="796" spans="1:10">
      <c r="A796" s="159" t="str">
        <f t="shared" si="61"/>
        <v>$N$1:$N$92</v>
      </c>
      <c r="B796" s="159" t="str">
        <f t="shared" si="62"/>
        <v>$O$1:$O$92</v>
      </c>
      <c r="C796" s="159" t="str">
        <f t="shared" si="63"/>
        <v>January!$N$1:$N$92</v>
      </c>
      <c r="D796" s="159" t="str">
        <f t="shared" si="64"/>
        <v>January!$O$1:$O$92</v>
      </c>
      <c r="E796" t="s">
        <v>4</v>
      </c>
      <c r="F796" t="s">
        <v>48</v>
      </c>
      <c r="G796" t="s">
        <v>145</v>
      </c>
      <c r="H796" t="s">
        <v>153</v>
      </c>
      <c r="I796" t="e">
        <f t="shared" ca="1" si="60"/>
        <v>#REF!</v>
      </c>
      <c r="J796" t="str">
        <f>VLOOKUP($G796,DefinitionArrays!$I$6:$J$12,2,FALSE)</f>
        <v>Weekend</v>
      </c>
    </row>
    <row r="797" spans="1:10">
      <c r="A797" s="159" t="str">
        <f t="shared" si="61"/>
        <v>$N$1:$N$92</v>
      </c>
      <c r="B797" s="159" t="str">
        <f t="shared" si="62"/>
        <v>$O$1:$O$92</v>
      </c>
      <c r="C797" s="159" t="str">
        <f t="shared" si="63"/>
        <v>January!$N$1:$N$92</v>
      </c>
      <c r="D797" s="159" t="str">
        <f t="shared" si="64"/>
        <v>January!$O$1:$O$92</v>
      </c>
      <c r="E797" t="s">
        <v>4</v>
      </c>
      <c r="F797" t="s">
        <v>48</v>
      </c>
      <c r="G797" t="s">
        <v>145</v>
      </c>
      <c r="H797" t="s">
        <v>19</v>
      </c>
      <c r="I797" t="e">
        <f t="shared" ca="1" si="60"/>
        <v>#REF!</v>
      </c>
      <c r="J797" t="str">
        <f>VLOOKUP($G797,DefinitionArrays!$I$6:$J$12,2,FALSE)</f>
        <v>Weekend</v>
      </c>
    </row>
    <row r="798" spans="1:10">
      <c r="A798" s="159" t="str">
        <f t="shared" si="61"/>
        <v>$N$1:$N$92</v>
      </c>
      <c r="B798" s="159" t="str">
        <f t="shared" si="62"/>
        <v>$O$1:$O$92</v>
      </c>
      <c r="C798" s="159" t="str">
        <f t="shared" si="63"/>
        <v>January!$N$1:$N$92</v>
      </c>
      <c r="D798" s="159" t="str">
        <f t="shared" si="64"/>
        <v>January!$O$1:$O$92</v>
      </c>
      <c r="E798" t="s">
        <v>4</v>
      </c>
      <c r="F798" t="s">
        <v>48</v>
      </c>
      <c r="G798" t="s">
        <v>145</v>
      </c>
      <c r="H798" t="s">
        <v>20</v>
      </c>
      <c r="I798" t="e">
        <f t="shared" ca="1" si="60"/>
        <v>#REF!</v>
      </c>
      <c r="J798" t="str">
        <f>VLOOKUP($G798,DefinitionArrays!$I$6:$J$12,2,FALSE)</f>
        <v>Weekend</v>
      </c>
    </row>
    <row r="799" spans="1:10">
      <c r="A799" s="159" t="str">
        <f t="shared" si="61"/>
        <v>$N$1:$N$92</v>
      </c>
      <c r="B799" s="159" t="str">
        <f t="shared" si="62"/>
        <v>$O$1:$O$92</v>
      </c>
      <c r="C799" s="159" t="str">
        <f t="shared" si="63"/>
        <v>January!$N$1:$N$92</v>
      </c>
      <c r="D799" s="159" t="str">
        <f t="shared" si="64"/>
        <v>January!$O$1:$O$92</v>
      </c>
      <c r="E799" t="s">
        <v>4</v>
      </c>
      <c r="F799" t="s">
        <v>48</v>
      </c>
      <c r="G799" t="s">
        <v>145</v>
      </c>
      <c r="H799" t="s">
        <v>21</v>
      </c>
      <c r="I799" t="e">
        <f t="shared" ca="1" si="60"/>
        <v>#REF!</v>
      </c>
      <c r="J799" t="str">
        <f>VLOOKUP($G799,DefinitionArrays!$I$6:$J$12,2,FALSE)</f>
        <v>Weekend</v>
      </c>
    </row>
    <row r="800" spans="1:10">
      <c r="A800" s="159" t="str">
        <f t="shared" si="61"/>
        <v>$N$1:$N$92</v>
      </c>
      <c r="B800" s="159" t="str">
        <f t="shared" si="62"/>
        <v>$O$1:$O$92</v>
      </c>
      <c r="C800" s="159" t="str">
        <f t="shared" si="63"/>
        <v>January!$N$1:$N$92</v>
      </c>
      <c r="D800" s="159" t="str">
        <f t="shared" si="64"/>
        <v>January!$O$1:$O$92</v>
      </c>
      <c r="E800" t="s">
        <v>4</v>
      </c>
      <c r="F800" t="s">
        <v>48</v>
      </c>
      <c r="G800" t="s">
        <v>145</v>
      </c>
      <c r="H800" t="s">
        <v>22</v>
      </c>
      <c r="I800" t="e">
        <f t="shared" ca="1" si="60"/>
        <v>#REF!</v>
      </c>
      <c r="J800" t="str">
        <f>VLOOKUP($G800,DefinitionArrays!$I$6:$J$12,2,FALSE)</f>
        <v>Weekend</v>
      </c>
    </row>
    <row r="801" spans="1:10">
      <c r="A801" s="159" t="str">
        <f t="shared" si="61"/>
        <v>$N$1:$N$92</v>
      </c>
      <c r="B801" s="159" t="str">
        <f t="shared" si="62"/>
        <v>$O$1:$O$92</v>
      </c>
      <c r="C801" s="159" t="str">
        <f t="shared" si="63"/>
        <v>January!$N$1:$N$92</v>
      </c>
      <c r="D801" s="159" t="str">
        <f t="shared" si="64"/>
        <v>January!$O$1:$O$92</v>
      </c>
      <c r="E801" t="s">
        <v>4</v>
      </c>
      <c r="F801" t="s">
        <v>48</v>
      </c>
      <c r="G801" t="s">
        <v>145</v>
      </c>
      <c r="H801" t="s">
        <v>23</v>
      </c>
      <c r="I801" t="e">
        <f t="shared" ca="1" si="60"/>
        <v>#REF!</v>
      </c>
      <c r="J801" t="str">
        <f>VLOOKUP($G801,DefinitionArrays!$I$6:$J$12,2,FALSE)</f>
        <v>Weekend</v>
      </c>
    </row>
    <row r="802" spans="1:10">
      <c r="A802" s="159" t="str">
        <f t="shared" si="61"/>
        <v>$N$1:$N$92</v>
      </c>
      <c r="B802" s="159" t="str">
        <f t="shared" si="62"/>
        <v>$O$1:$O$92</v>
      </c>
      <c r="C802" s="159" t="str">
        <f t="shared" si="63"/>
        <v>January!$N$1:$N$92</v>
      </c>
      <c r="D802" s="159" t="str">
        <f t="shared" si="64"/>
        <v>January!$O$1:$O$92</v>
      </c>
      <c r="E802" t="s">
        <v>4</v>
      </c>
      <c r="F802" t="s">
        <v>48</v>
      </c>
      <c r="G802" t="s">
        <v>145</v>
      </c>
      <c r="H802" t="s">
        <v>24</v>
      </c>
      <c r="I802" t="e">
        <f t="shared" ca="1" si="60"/>
        <v>#REF!</v>
      </c>
      <c r="J802" t="str">
        <f>VLOOKUP($G802,DefinitionArrays!$I$6:$J$12,2,FALSE)</f>
        <v>Weekend</v>
      </c>
    </row>
    <row r="803" spans="1:10">
      <c r="A803" s="159" t="str">
        <f t="shared" si="61"/>
        <v>$N$1:$N$92</v>
      </c>
      <c r="B803" s="159" t="str">
        <f t="shared" si="62"/>
        <v>$O$1:$O$92</v>
      </c>
      <c r="C803" s="159" t="str">
        <f t="shared" si="63"/>
        <v>January!$N$1:$N$92</v>
      </c>
      <c r="D803" s="159" t="str">
        <f t="shared" si="64"/>
        <v>January!$O$1:$O$92</v>
      </c>
      <c r="E803" t="s">
        <v>4</v>
      </c>
      <c r="F803" t="s">
        <v>48</v>
      </c>
      <c r="G803" t="s">
        <v>145</v>
      </c>
      <c r="H803" t="s">
        <v>179</v>
      </c>
      <c r="I803" t="e">
        <f t="shared" ca="1" si="60"/>
        <v>#REF!</v>
      </c>
      <c r="J803" t="str">
        <f>VLOOKUP($G803,DefinitionArrays!$I$6:$J$12,2,FALSE)</f>
        <v>Weekend</v>
      </c>
    </row>
    <row r="804" spans="1:10">
      <c r="A804" s="159" t="str">
        <f t="shared" si="61"/>
        <v>$N$1:$N$92</v>
      </c>
      <c r="B804" s="159" t="str">
        <f t="shared" si="62"/>
        <v>$O$1:$O$92</v>
      </c>
      <c r="C804" s="159" t="str">
        <f t="shared" si="63"/>
        <v>January!$N$1:$N$92</v>
      </c>
      <c r="D804" s="159" t="str">
        <f t="shared" si="64"/>
        <v>January!$O$1:$O$92</v>
      </c>
      <c r="E804" t="s">
        <v>4</v>
      </c>
      <c r="F804" t="s">
        <v>48</v>
      </c>
      <c r="G804" t="s">
        <v>145</v>
      </c>
      <c r="H804" t="s">
        <v>180</v>
      </c>
      <c r="I804" t="e">
        <f t="shared" ca="1" si="60"/>
        <v>#REF!</v>
      </c>
      <c r="J804" t="str">
        <f>VLOOKUP($G804,DefinitionArrays!$I$6:$J$12,2,FALSE)</f>
        <v>Weekend</v>
      </c>
    </row>
    <row r="805" spans="1:10">
      <c r="A805" s="159" t="str">
        <f t="shared" si="61"/>
        <v>$N$1:$N$92</v>
      </c>
      <c r="B805" s="159" t="str">
        <f t="shared" si="62"/>
        <v>$O$1:$O$92</v>
      </c>
      <c r="C805" s="159" t="str">
        <f t="shared" si="63"/>
        <v>January!$N$1:$N$92</v>
      </c>
      <c r="D805" s="159" t="str">
        <f t="shared" si="64"/>
        <v>January!$O$1:$O$92</v>
      </c>
      <c r="E805" t="s">
        <v>4</v>
      </c>
      <c r="F805" t="s">
        <v>48</v>
      </c>
      <c r="G805" t="s">
        <v>145</v>
      </c>
      <c r="H805" t="s">
        <v>44</v>
      </c>
      <c r="I805" t="e">
        <f t="shared" ca="1" si="60"/>
        <v>#REF!</v>
      </c>
      <c r="J805" t="str">
        <f>VLOOKUP($G805,DefinitionArrays!$I$6:$J$12,2,FALSE)</f>
        <v>Weekend</v>
      </c>
    </row>
    <row r="806" spans="1:10">
      <c r="A806" s="159" t="str">
        <f t="shared" si="61"/>
        <v>$Q$1:$Q$92</v>
      </c>
      <c r="B806" s="159" t="str">
        <f t="shared" si="62"/>
        <v>$R$1:$R$92</v>
      </c>
      <c r="C806" s="159" t="str">
        <f t="shared" si="63"/>
        <v>January!$Q$1:$Q$92</v>
      </c>
      <c r="D806" s="159" t="str">
        <f t="shared" si="64"/>
        <v>January!$R$1:$R$92</v>
      </c>
      <c r="E806" t="s">
        <v>4</v>
      </c>
      <c r="F806" t="s">
        <v>48</v>
      </c>
      <c r="G806" t="s">
        <v>146</v>
      </c>
      <c r="H806" t="s">
        <v>159</v>
      </c>
      <c r="I806" t="e">
        <f t="shared" ca="1" si="60"/>
        <v>#REF!</v>
      </c>
      <c r="J806" t="str">
        <f>VLOOKUP($G806,DefinitionArrays!$I$6:$J$12,2,FALSE)</f>
        <v>Weekend</v>
      </c>
    </row>
    <row r="807" spans="1:10">
      <c r="A807" s="159" t="str">
        <f t="shared" si="61"/>
        <v>$T$1:$T$92</v>
      </c>
      <c r="B807" s="159" t="str">
        <f t="shared" si="62"/>
        <v>$U$1:$U$92</v>
      </c>
      <c r="C807" s="159" t="str">
        <f t="shared" si="63"/>
        <v>January!$T$1:$T$92</v>
      </c>
      <c r="D807" s="159" t="str">
        <f t="shared" si="64"/>
        <v>January!$U$1:$U$92</v>
      </c>
      <c r="E807" t="s">
        <v>4</v>
      </c>
      <c r="F807" t="s">
        <v>48</v>
      </c>
      <c r="G807" t="s">
        <v>141</v>
      </c>
      <c r="H807" t="s">
        <v>159</v>
      </c>
      <c r="I807" t="e">
        <f t="shared" ca="1" si="60"/>
        <v>#REF!</v>
      </c>
      <c r="J807" t="str">
        <f>VLOOKUP($G807,DefinitionArrays!$I$6:$J$12,2,FALSE)</f>
        <v>Weekend</v>
      </c>
    </row>
    <row r="808" spans="1:10">
      <c r="A808" s="159" t="str">
        <f t="shared" si="61"/>
        <v>$B$1:$B$92</v>
      </c>
      <c r="B808" s="159" t="str">
        <f t="shared" si="62"/>
        <v>$C$1:$C$92</v>
      </c>
      <c r="C808" s="159" t="str">
        <f t="shared" si="63"/>
        <v>February!$B$1:$B$92</v>
      </c>
      <c r="D808" s="159" t="str">
        <f t="shared" si="64"/>
        <v>February!$C$1:$C$92</v>
      </c>
      <c r="E808" t="s">
        <v>4</v>
      </c>
      <c r="F808" t="s">
        <v>121</v>
      </c>
      <c r="G808" t="s">
        <v>13</v>
      </c>
      <c r="H808" t="s">
        <v>159</v>
      </c>
      <c r="I808" t="e">
        <f ca="1">COUNTIFS(INDIRECT($C808),$E808,INDIRECT($D808),$H808)</f>
        <v>#REF!</v>
      </c>
      <c r="J808" t="str">
        <f>VLOOKUP($G808,DefinitionArrays!$I$6:$J$12,2,FALSE)</f>
        <v>Workweek</v>
      </c>
    </row>
    <row r="809" spans="1:10">
      <c r="A809" s="159" t="str">
        <f t="shared" si="61"/>
        <v>$B$1:$B$92</v>
      </c>
      <c r="B809" s="159" t="str">
        <f t="shared" si="62"/>
        <v>$C$1:$C$92</v>
      </c>
      <c r="C809" s="159" t="str">
        <f t="shared" si="63"/>
        <v>February!$B$1:$B$92</v>
      </c>
      <c r="D809" s="159" t="str">
        <f t="shared" si="64"/>
        <v>February!$C$1:$C$92</v>
      </c>
      <c r="E809" t="s">
        <v>4</v>
      </c>
      <c r="F809" t="s">
        <v>121</v>
      </c>
      <c r="G809" t="s">
        <v>13</v>
      </c>
      <c r="H809" t="s">
        <v>18</v>
      </c>
      <c r="I809" t="e">
        <f t="shared" ref="I809:I869" ca="1" si="65">COUNTIFS(INDIRECT($C809),$E809,INDIRECT($D809),$H809)</f>
        <v>#REF!</v>
      </c>
      <c r="J809" t="str">
        <f>VLOOKUP($G809,DefinitionArrays!$I$6:$J$12,2,FALSE)</f>
        <v>Workweek</v>
      </c>
    </row>
    <row r="810" spans="1:10">
      <c r="A810" s="159" t="str">
        <f t="shared" si="61"/>
        <v>$B$1:$B$92</v>
      </c>
      <c r="B810" s="159" t="str">
        <f t="shared" si="62"/>
        <v>$C$1:$C$92</v>
      </c>
      <c r="C810" s="159" t="str">
        <f t="shared" si="63"/>
        <v>February!$B$1:$B$92</v>
      </c>
      <c r="D810" s="159" t="str">
        <f t="shared" si="64"/>
        <v>February!$C$1:$C$92</v>
      </c>
      <c r="E810" t="s">
        <v>4</v>
      </c>
      <c r="F810" t="s">
        <v>121</v>
      </c>
      <c r="G810" t="s">
        <v>13</v>
      </c>
      <c r="H810" t="s">
        <v>153</v>
      </c>
      <c r="I810" t="e">
        <f t="shared" ca="1" si="65"/>
        <v>#REF!</v>
      </c>
      <c r="J810" t="str">
        <f>VLOOKUP($G810,DefinitionArrays!$I$6:$J$12,2,FALSE)</f>
        <v>Workweek</v>
      </c>
    </row>
    <row r="811" spans="1:10">
      <c r="A811" s="159" t="str">
        <f t="shared" si="61"/>
        <v>$B$1:$B$92</v>
      </c>
      <c r="B811" s="159" t="str">
        <f t="shared" si="62"/>
        <v>$C$1:$C$92</v>
      </c>
      <c r="C811" s="159" t="str">
        <f t="shared" si="63"/>
        <v>February!$B$1:$B$92</v>
      </c>
      <c r="D811" s="159" t="str">
        <f t="shared" si="64"/>
        <v>February!$C$1:$C$92</v>
      </c>
      <c r="E811" t="s">
        <v>4</v>
      </c>
      <c r="F811" t="s">
        <v>121</v>
      </c>
      <c r="G811" t="s">
        <v>13</v>
      </c>
      <c r="H811" t="s">
        <v>19</v>
      </c>
      <c r="I811" t="e">
        <f t="shared" ca="1" si="65"/>
        <v>#REF!</v>
      </c>
      <c r="J811" t="str">
        <f>VLOOKUP($G811,DefinitionArrays!$I$6:$J$12,2,FALSE)</f>
        <v>Workweek</v>
      </c>
    </row>
    <row r="812" spans="1:10">
      <c r="A812" s="159" t="str">
        <f t="shared" si="61"/>
        <v>$B$1:$B$92</v>
      </c>
      <c r="B812" s="159" t="str">
        <f t="shared" si="62"/>
        <v>$C$1:$C$92</v>
      </c>
      <c r="C812" s="159" t="str">
        <f t="shared" si="63"/>
        <v>February!$B$1:$B$92</v>
      </c>
      <c r="D812" s="159" t="str">
        <f t="shared" si="64"/>
        <v>February!$C$1:$C$92</v>
      </c>
      <c r="E812" t="s">
        <v>4</v>
      </c>
      <c r="F812" t="s">
        <v>121</v>
      </c>
      <c r="G812" t="s">
        <v>13</v>
      </c>
      <c r="H812" t="s">
        <v>20</v>
      </c>
      <c r="I812" t="e">
        <f t="shared" ca="1" si="65"/>
        <v>#REF!</v>
      </c>
      <c r="J812" t="str">
        <f>VLOOKUP($G812,DefinitionArrays!$I$6:$J$12,2,FALSE)</f>
        <v>Workweek</v>
      </c>
    </row>
    <row r="813" spans="1:10">
      <c r="A813" s="159" t="str">
        <f t="shared" si="61"/>
        <v>$B$1:$B$92</v>
      </c>
      <c r="B813" s="159" t="str">
        <f t="shared" si="62"/>
        <v>$C$1:$C$92</v>
      </c>
      <c r="C813" s="159" t="str">
        <f t="shared" si="63"/>
        <v>February!$B$1:$B$92</v>
      </c>
      <c r="D813" s="159" t="str">
        <f t="shared" si="64"/>
        <v>February!$C$1:$C$92</v>
      </c>
      <c r="E813" t="s">
        <v>4</v>
      </c>
      <c r="F813" t="s">
        <v>121</v>
      </c>
      <c r="G813" t="s">
        <v>13</v>
      </c>
      <c r="H813" t="s">
        <v>21</v>
      </c>
      <c r="I813" t="e">
        <f t="shared" ca="1" si="65"/>
        <v>#REF!</v>
      </c>
      <c r="J813" t="str">
        <f>VLOOKUP($G813,DefinitionArrays!$I$6:$J$12,2,FALSE)</f>
        <v>Workweek</v>
      </c>
    </row>
    <row r="814" spans="1:10">
      <c r="A814" s="159" t="str">
        <f t="shared" si="61"/>
        <v>$B$1:$B$92</v>
      </c>
      <c r="B814" s="159" t="str">
        <f t="shared" si="62"/>
        <v>$C$1:$C$92</v>
      </c>
      <c r="C814" s="159" t="str">
        <f t="shared" si="63"/>
        <v>February!$B$1:$B$92</v>
      </c>
      <c r="D814" s="159" t="str">
        <f t="shared" si="64"/>
        <v>February!$C$1:$C$92</v>
      </c>
      <c r="E814" t="s">
        <v>4</v>
      </c>
      <c r="F814" t="s">
        <v>121</v>
      </c>
      <c r="G814" t="s">
        <v>13</v>
      </c>
      <c r="H814" t="s">
        <v>22</v>
      </c>
      <c r="I814" t="e">
        <f t="shared" ca="1" si="65"/>
        <v>#REF!</v>
      </c>
      <c r="J814" t="str">
        <f>VLOOKUP($G814,DefinitionArrays!$I$6:$J$12,2,FALSE)</f>
        <v>Workweek</v>
      </c>
    </row>
    <row r="815" spans="1:10">
      <c r="A815" s="159" t="str">
        <f t="shared" si="61"/>
        <v>$B$1:$B$92</v>
      </c>
      <c r="B815" s="159" t="str">
        <f t="shared" si="62"/>
        <v>$C$1:$C$92</v>
      </c>
      <c r="C815" s="159" t="str">
        <f t="shared" si="63"/>
        <v>February!$B$1:$B$92</v>
      </c>
      <c r="D815" s="159" t="str">
        <f t="shared" si="64"/>
        <v>February!$C$1:$C$92</v>
      </c>
      <c r="E815" t="s">
        <v>4</v>
      </c>
      <c r="F815" t="s">
        <v>121</v>
      </c>
      <c r="G815" t="s">
        <v>13</v>
      </c>
      <c r="H815" t="s">
        <v>23</v>
      </c>
      <c r="I815" t="e">
        <f t="shared" ca="1" si="65"/>
        <v>#REF!</v>
      </c>
      <c r="J815" t="str">
        <f>VLOOKUP($G815,DefinitionArrays!$I$6:$J$12,2,FALSE)</f>
        <v>Workweek</v>
      </c>
    </row>
    <row r="816" spans="1:10">
      <c r="A816" s="159" t="str">
        <f t="shared" si="61"/>
        <v>$B$1:$B$92</v>
      </c>
      <c r="B816" s="159" t="str">
        <f t="shared" si="62"/>
        <v>$C$1:$C$92</v>
      </c>
      <c r="C816" s="159" t="str">
        <f t="shared" si="63"/>
        <v>February!$B$1:$B$92</v>
      </c>
      <c r="D816" s="159" t="str">
        <f t="shared" si="64"/>
        <v>February!$C$1:$C$92</v>
      </c>
      <c r="E816" t="s">
        <v>4</v>
      </c>
      <c r="F816" t="s">
        <v>121</v>
      </c>
      <c r="G816" t="s">
        <v>13</v>
      </c>
      <c r="H816" t="s">
        <v>24</v>
      </c>
      <c r="I816" t="e">
        <f t="shared" ca="1" si="65"/>
        <v>#REF!</v>
      </c>
      <c r="J816" t="str">
        <f>VLOOKUP($G816,DefinitionArrays!$I$6:$J$12,2,FALSE)</f>
        <v>Workweek</v>
      </c>
    </row>
    <row r="817" spans="1:10">
      <c r="A817" s="159" t="str">
        <f t="shared" si="61"/>
        <v>$B$1:$B$92</v>
      </c>
      <c r="B817" s="159" t="str">
        <f t="shared" si="62"/>
        <v>$C$1:$C$92</v>
      </c>
      <c r="C817" s="159" t="str">
        <f t="shared" si="63"/>
        <v>February!$B$1:$B$92</v>
      </c>
      <c r="D817" s="159" t="str">
        <f t="shared" si="64"/>
        <v>February!$C$1:$C$92</v>
      </c>
      <c r="E817" t="s">
        <v>4</v>
      </c>
      <c r="F817" t="s">
        <v>121</v>
      </c>
      <c r="G817" t="s">
        <v>13</v>
      </c>
      <c r="H817" t="s">
        <v>179</v>
      </c>
      <c r="I817" t="e">
        <f t="shared" ca="1" si="65"/>
        <v>#REF!</v>
      </c>
      <c r="J817" t="str">
        <f>VLOOKUP($G817,DefinitionArrays!$I$6:$J$12,2,FALSE)</f>
        <v>Workweek</v>
      </c>
    </row>
    <row r="818" spans="1:10">
      <c r="A818" s="159" t="str">
        <f t="shared" si="61"/>
        <v>$B$1:$B$92</v>
      </c>
      <c r="B818" s="159" t="str">
        <f t="shared" si="62"/>
        <v>$C$1:$C$92</v>
      </c>
      <c r="C818" s="159" t="str">
        <f t="shared" si="63"/>
        <v>February!$B$1:$B$92</v>
      </c>
      <c r="D818" s="159" t="str">
        <f t="shared" si="64"/>
        <v>February!$C$1:$C$92</v>
      </c>
      <c r="E818" t="s">
        <v>4</v>
      </c>
      <c r="F818" t="s">
        <v>121</v>
      </c>
      <c r="G818" t="s">
        <v>13</v>
      </c>
      <c r="H818" t="s">
        <v>180</v>
      </c>
      <c r="I818" t="e">
        <f t="shared" ca="1" si="65"/>
        <v>#REF!</v>
      </c>
      <c r="J818" t="str">
        <f>VLOOKUP($G818,DefinitionArrays!$I$6:$J$12,2,FALSE)</f>
        <v>Workweek</v>
      </c>
    </row>
    <row r="819" spans="1:10">
      <c r="A819" s="159" t="str">
        <f t="shared" si="61"/>
        <v>$B$1:$B$92</v>
      </c>
      <c r="B819" s="159" t="str">
        <f t="shared" si="62"/>
        <v>$C$1:$C$92</v>
      </c>
      <c r="C819" s="159" t="str">
        <f t="shared" si="63"/>
        <v>February!$B$1:$B$92</v>
      </c>
      <c r="D819" s="159" t="str">
        <f t="shared" si="64"/>
        <v>February!$C$1:$C$92</v>
      </c>
      <c r="E819" t="s">
        <v>4</v>
      </c>
      <c r="F819" t="s">
        <v>121</v>
      </c>
      <c r="G819" t="s">
        <v>13</v>
      </c>
      <c r="H819" t="s">
        <v>44</v>
      </c>
      <c r="I819" t="e">
        <f t="shared" ca="1" si="65"/>
        <v>#REF!</v>
      </c>
      <c r="J819" t="str">
        <f>VLOOKUP($G819,DefinitionArrays!$I$6:$J$12,2,FALSE)</f>
        <v>Workweek</v>
      </c>
    </row>
    <row r="820" spans="1:10">
      <c r="A820" s="159" t="str">
        <f t="shared" si="61"/>
        <v>$E$1:$E$92</v>
      </c>
      <c r="B820" s="159" t="str">
        <f t="shared" si="62"/>
        <v>$F$1:$F$92</v>
      </c>
      <c r="C820" s="159" t="str">
        <f t="shared" si="63"/>
        <v>February!$E$1:$E$92</v>
      </c>
      <c r="D820" s="159" t="str">
        <f t="shared" si="64"/>
        <v>February!$F$1:$F$92</v>
      </c>
      <c r="E820" t="s">
        <v>4</v>
      </c>
      <c r="F820" t="s">
        <v>121</v>
      </c>
      <c r="G820" t="s">
        <v>142</v>
      </c>
      <c r="H820" t="s">
        <v>159</v>
      </c>
      <c r="I820" t="e">
        <f t="shared" ca="1" si="65"/>
        <v>#REF!</v>
      </c>
      <c r="J820" t="str">
        <f>VLOOKUP($G820,DefinitionArrays!$I$6:$J$12,2,FALSE)</f>
        <v>Workweek</v>
      </c>
    </row>
    <row r="821" spans="1:10">
      <c r="A821" s="159" t="str">
        <f t="shared" si="61"/>
        <v>$E$1:$E$92</v>
      </c>
      <c r="B821" s="159" t="str">
        <f t="shared" si="62"/>
        <v>$F$1:$F$92</v>
      </c>
      <c r="C821" s="159" t="str">
        <f t="shared" si="63"/>
        <v>February!$E$1:$E$92</v>
      </c>
      <c r="D821" s="159" t="str">
        <f t="shared" si="64"/>
        <v>February!$F$1:$F$92</v>
      </c>
      <c r="E821" t="s">
        <v>4</v>
      </c>
      <c r="F821" t="s">
        <v>121</v>
      </c>
      <c r="G821" t="s">
        <v>142</v>
      </c>
      <c r="H821" t="s">
        <v>18</v>
      </c>
      <c r="I821" t="e">
        <f t="shared" ca="1" si="65"/>
        <v>#REF!</v>
      </c>
      <c r="J821" t="str">
        <f>VLOOKUP($G821,DefinitionArrays!$I$6:$J$12,2,FALSE)</f>
        <v>Workweek</v>
      </c>
    </row>
    <row r="822" spans="1:10">
      <c r="A822" s="159" t="str">
        <f t="shared" si="61"/>
        <v>$E$1:$E$92</v>
      </c>
      <c r="B822" s="159" t="str">
        <f t="shared" si="62"/>
        <v>$F$1:$F$92</v>
      </c>
      <c r="C822" s="159" t="str">
        <f t="shared" si="63"/>
        <v>February!$E$1:$E$92</v>
      </c>
      <c r="D822" s="159" t="str">
        <f t="shared" si="64"/>
        <v>February!$F$1:$F$92</v>
      </c>
      <c r="E822" t="s">
        <v>4</v>
      </c>
      <c r="F822" t="s">
        <v>121</v>
      </c>
      <c r="G822" t="s">
        <v>142</v>
      </c>
      <c r="H822" t="s">
        <v>153</v>
      </c>
      <c r="I822" t="e">
        <f t="shared" ca="1" si="65"/>
        <v>#REF!</v>
      </c>
      <c r="J822" t="str">
        <f>VLOOKUP($G822,DefinitionArrays!$I$6:$J$12,2,FALSE)</f>
        <v>Workweek</v>
      </c>
    </row>
    <row r="823" spans="1:10">
      <c r="A823" s="159" t="str">
        <f t="shared" si="61"/>
        <v>$E$1:$E$92</v>
      </c>
      <c r="B823" s="159" t="str">
        <f t="shared" si="62"/>
        <v>$F$1:$F$92</v>
      </c>
      <c r="C823" s="159" t="str">
        <f t="shared" si="63"/>
        <v>February!$E$1:$E$92</v>
      </c>
      <c r="D823" s="159" t="str">
        <f t="shared" si="64"/>
        <v>February!$F$1:$F$92</v>
      </c>
      <c r="E823" t="s">
        <v>4</v>
      </c>
      <c r="F823" t="s">
        <v>121</v>
      </c>
      <c r="G823" t="s">
        <v>142</v>
      </c>
      <c r="H823" t="s">
        <v>19</v>
      </c>
      <c r="I823" t="e">
        <f t="shared" ca="1" si="65"/>
        <v>#REF!</v>
      </c>
      <c r="J823" t="str">
        <f>VLOOKUP($G823,DefinitionArrays!$I$6:$J$12,2,FALSE)</f>
        <v>Workweek</v>
      </c>
    </row>
    <row r="824" spans="1:10">
      <c r="A824" s="159" t="str">
        <f t="shared" si="61"/>
        <v>$E$1:$E$92</v>
      </c>
      <c r="B824" s="159" t="str">
        <f t="shared" si="62"/>
        <v>$F$1:$F$92</v>
      </c>
      <c r="C824" s="159" t="str">
        <f t="shared" si="63"/>
        <v>February!$E$1:$E$92</v>
      </c>
      <c r="D824" s="159" t="str">
        <f t="shared" si="64"/>
        <v>February!$F$1:$F$92</v>
      </c>
      <c r="E824" t="s">
        <v>4</v>
      </c>
      <c r="F824" t="s">
        <v>121</v>
      </c>
      <c r="G824" t="s">
        <v>142</v>
      </c>
      <c r="H824" t="s">
        <v>20</v>
      </c>
      <c r="I824" t="e">
        <f t="shared" ca="1" si="65"/>
        <v>#REF!</v>
      </c>
      <c r="J824" t="str">
        <f>VLOOKUP($G824,DefinitionArrays!$I$6:$J$12,2,FALSE)</f>
        <v>Workweek</v>
      </c>
    </row>
    <row r="825" spans="1:10">
      <c r="A825" s="159" t="str">
        <f t="shared" si="61"/>
        <v>$E$1:$E$92</v>
      </c>
      <c r="B825" s="159" t="str">
        <f t="shared" si="62"/>
        <v>$F$1:$F$92</v>
      </c>
      <c r="C825" s="159" t="str">
        <f t="shared" si="63"/>
        <v>February!$E$1:$E$92</v>
      </c>
      <c r="D825" s="159" t="str">
        <f t="shared" si="64"/>
        <v>February!$F$1:$F$92</v>
      </c>
      <c r="E825" t="s">
        <v>4</v>
      </c>
      <c r="F825" t="s">
        <v>121</v>
      </c>
      <c r="G825" t="s">
        <v>142</v>
      </c>
      <c r="H825" t="s">
        <v>21</v>
      </c>
      <c r="I825" t="e">
        <f t="shared" ca="1" si="65"/>
        <v>#REF!</v>
      </c>
      <c r="J825" t="str">
        <f>VLOOKUP($G825,DefinitionArrays!$I$6:$J$12,2,FALSE)</f>
        <v>Workweek</v>
      </c>
    </row>
    <row r="826" spans="1:10">
      <c r="A826" s="159" t="str">
        <f t="shared" si="61"/>
        <v>$E$1:$E$92</v>
      </c>
      <c r="B826" s="159" t="str">
        <f t="shared" si="62"/>
        <v>$F$1:$F$92</v>
      </c>
      <c r="C826" s="159" t="str">
        <f t="shared" si="63"/>
        <v>February!$E$1:$E$92</v>
      </c>
      <c r="D826" s="159" t="str">
        <f t="shared" si="64"/>
        <v>February!$F$1:$F$92</v>
      </c>
      <c r="E826" t="s">
        <v>4</v>
      </c>
      <c r="F826" t="s">
        <v>121</v>
      </c>
      <c r="G826" t="s">
        <v>142</v>
      </c>
      <c r="H826" t="s">
        <v>22</v>
      </c>
      <c r="I826" t="e">
        <f t="shared" ca="1" si="65"/>
        <v>#REF!</v>
      </c>
      <c r="J826" t="str">
        <f>VLOOKUP($G826,DefinitionArrays!$I$6:$J$12,2,FALSE)</f>
        <v>Workweek</v>
      </c>
    </row>
    <row r="827" spans="1:10">
      <c r="A827" s="159" t="str">
        <f t="shared" si="61"/>
        <v>$E$1:$E$92</v>
      </c>
      <c r="B827" s="159" t="str">
        <f t="shared" si="62"/>
        <v>$F$1:$F$92</v>
      </c>
      <c r="C827" s="159" t="str">
        <f t="shared" si="63"/>
        <v>February!$E$1:$E$92</v>
      </c>
      <c r="D827" s="159" t="str">
        <f t="shared" si="64"/>
        <v>February!$F$1:$F$92</v>
      </c>
      <c r="E827" t="s">
        <v>4</v>
      </c>
      <c r="F827" t="s">
        <v>121</v>
      </c>
      <c r="G827" t="s">
        <v>142</v>
      </c>
      <c r="H827" t="s">
        <v>23</v>
      </c>
      <c r="I827" t="e">
        <f t="shared" ca="1" si="65"/>
        <v>#REF!</v>
      </c>
      <c r="J827" t="str">
        <f>VLOOKUP($G827,DefinitionArrays!$I$6:$J$12,2,FALSE)</f>
        <v>Workweek</v>
      </c>
    </row>
    <row r="828" spans="1:10">
      <c r="A828" s="159" t="str">
        <f t="shared" si="61"/>
        <v>$E$1:$E$92</v>
      </c>
      <c r="B828" s="159" t="str">
        <f t="shared" si="62"/>
        <v>$F$1:$F$92</v>
      </c>
      <c r="C828" s="159" t="str">
        <f t="shared" si="63"/>
        <v>February!$E$1:$E$92</v>
      </c>
      <c r="D828" s="159" t="str">
        <f t="shared" si="64"/>
        <v>February!$F$1:$F$92</v>
      </c>
      <c r="E828" t="s">
        <v>4</v>
      </c>
      <c r="F828" t="s">
        <v>121</v>
      </c>
      <c r="G828" t="s">
        <v>142</v>
      </c>
      <c r="H828" t="s">
        <v>24</v>
      </c>
      <c r="I828" t="e">
        <f t="shared" ca="1" si="65"/>
        <v>#REF!</v>
      </c>
      <c r="J828" t="str">
        <f>VLOOKUP($G828,DefinitionArrays!$I$6:$J$12,2,FALSE)</f>
        <v>Workweek</v>
      </c>
    </row>
    <row r="829" spans="1:10">
      <c r="A829" s="159" t="str">
        <f t="shared" si="61"/>
        <v>$E$1:$E$92</v>
      </c>
      <c r="B829" s="159" t="str">
        <f t="shared" si="62"/>
        <v>$F$1:$F$92</v>
      </c>
      <c r="C829" s="159" t="str">
        <f t="shared" si="63"/>
        <v>February!$E$1:$E$92</v>
      </c>
      <c r="D829" s="159" t="str">
        <f t="shared" si="64"/>
        <v>February!$F$1:$F$92</v>
      </c>
      <c r="E829" t="s">
        <v>4</v>
      </c>
      <c r="F829" t="s">
        <v>121</v>
      </c>
      <c r="G829" t="s">
        <v>142</v>
      </c>
      <c r="H829" t="s">
        <v>179</v>
      </c>
      <c r="I829" t="e">
        <f t="shared" ca="1" si="65"/>
        <v>#REF!</v>
      </c>
      <c r="J829" t="str">
        <f>VLOOKUP($G829,DefinitionArrays!$I$6:$J$12,2,FALSE)</f>
        <v>Workweek</v>
      </c>
    </row>
    <row r="830" spans="1:10">
      <c r="A830" s="159" t="str">
        <f t="shared" si="61"/>
        <v>$E$1:$E$92</v>
      </c>
      <c r="B830" s="159" t="str">
        <f t="shared" si="62"/>
        <v>$F$1:$F$92</v>
      </c>
      <c r="C830" s="159" t="str">
        <f t="shared" si="63"/>
        <v>February!$E$1:$E$92</v>
      </c>
      <c r="D830" s="159" t="str">
        <f t="shared" si="64"/>
        <v>February!$F$1:$F$92</v>
      </c>
      <c r="E830" t="s">
        <v>4</v>
      </c>
      <c r="F830" t="s">
        <v>121</v>
      </c>
      <c r="G830" t="s">
        <v>142</v>
      </c>
      <c r="H830" t="s">
        <v>180</v>
      </c>
      <c r="I830" t="e">
        <f t="shared" ca="1" si="65"/>
        <v>#REF!</v>
      </c>
      <c r="J830" t="str">
        <f>VLOOKUP($G830,DefinitionArrays!$I$6:$J$12,2,FALSE)</f>
        <v>Workweek</v>
      </c>
    </row>
    <row r="831" spans="1:10">
      <c r="A831" s="159" t="str">
        <f t="shared" si="61"/>
        <v>$E$1:$E$92</v>
      </c>
      <c r="B831" s="159" t="str">
        <f t="shared" si="62"/>
        <v>$F$1:$F$92</v>
      </c>
      <c r="C831" s="159" t="str">
        <f t="shared" si="63"/>
        <v>February!$E$1:$E$92</v>
      </c>
      <c r="D831" s="159" t="str">
        <f t="shared" si="64"/>
        <v>February!$F$1:$F$92</v>
      </c>
      <c r="E831" t="s">
        <v>4</v>
      </c>
      <c r="F831" t="s">
        <v>121</v>
      </c>
      <c r="G831" t="s">
        <v>142</v>
      </c>
      <c r="H831" t="s">
        <v>44</v>
      </c>
      <c r="I831" t="e">
        <f t="shared" ca="1" si="65"/>
        <v>#REF!</v>
      </c>
      <c r="J831" t="str">
        <f>VLOOKUP($G831,DefinitionArrays!$I$6:$J$12,2,FALSE)</f>
        <v>Workweek</v>
      </c>
    </row>
    <row r="832" spans="1:10">
      <c r="A832" s="159" t="str">
        <f t="shared" si="61"/>
        <v>$H$1:$H$92</v>
      </c>
      <c r="B832" s="159" t="str">
        <f t="shared" si="62"/>
        <v>$I$1:$I$92</v>
      </c>
      <c r="C832" s="159" t="str">
        <f t="shared" si="63"/>
        <v>February!$H$1:$H$92</v>
      </c>
      <c r="D832" s="159" t="str">
        <f t="shared" si="64"/>
        <v>February!$I$1:$I$92</v>
      </c>
      <c r="E832" t="s">
        <v>4</v>
      </c>
      <c r="F832" t="s">
        <v>121</v>
      </c>
      <c r="G832" t="s">
        <v>143</v>
      </c>
      <c r="H832" t="s">
        <v>159</v>
      </c>
      <c r="I832" t="e">
        <f t="shared" ca="1" si="65"/>
        <v>#REF!</v>
      </c>
      <c r="J832" t="str">
        <f>VLOOKUP($G832,DefinitionArrays!$I$6:$J$12,2,FALSE)</f>
        <v>Workweek</v>
      </c>
    </row>
    <row r="833" spans="1:10">
      <c r="A833" s="159" t="str">
        <f t="shared" si="61"/>
        <v>$H$1:$H$92</v>
      </c>
      <c r="B833" s="159" t="str">
        <f t="shared" si="62"/>
        <v>$I$1:$I$92</v>
      </c>
      <c r="C833" s="159" t="str">
        <f t="shared" si="63"/>
        <v>February!$H$1:$H$92</v>
      </c>
      <c r="D833" s="159" t="str">
        <f t="shared" si="64"/>
        <v>February!$I$1:$I$92</v>
      </c>
      <c r="E833" t="s">
        <v>4</v>
      </c>
      <c r="F833" t="s">
        <v>121</v>
      </c>
      <c r="G833" t="s">
        <v>143</v>
      </c>
      <c r="H833" t="s">
        <v>18</v>
      </c>
      <c r="I833" t="e">
        <f t="shared" ca="1" si="65"/>
        <v>#REF!</v>
      </c>
      <c r="J833" t="str">
        <f>VLOOKUP($G833,DefinitionArrays!$I$6:$J$12,2,FALSE)</f>
        <v>Workweek</v>
      </c>
    </row>
    <row r="834" spans="1:10">
      <c r="A834" s="159" t="str">
        <f t="shared" ref="A834:A897" si="66">VLOOKUP($G834,Fx_Code,2,FALSE)</f>
        <v>$H$1:$H$92</v>
      </c>
      <c r="B834" s="159" t="str">
        <f t="shared" ref="B834:B897" si="67">VLOOKUP($G834,Fx_Code,3,FALSE)</f>
        <v>$I$1:$I$92</v>
      </c>
      <c r="C834" s="159" t="str">
        <f t="shared" ref="C834:C897" si="68">CONCATENATE($F834,$K$1,A834)</f>
        <v>February!$H$1:$H$92</v>
      </c>
      <c r="D834" s="159" t="str">
        <f t="shared" ref="D834:D897" si="69">CONCATENATE($F834,$K$1,B834)</f>
        <v>February!$I$1:$I$92</v>
      </c>
      <c r="E834" t="s">
        <v>4</v>
      </c>
      <c r="F834" t="s">
        <v>121</v>
      </c>
      <c r="G834" t="s">
        <v>143</v>
      </c>
      <c r="H834" t="s">
        <v>153</v>
      </c>
      <c r="I834" t="e">
        <f t="shared" ca="1" si="65"/>
        <v>#REF!</v>
      </c>
      <c r="J834" t="str">
        <f>VLOOKUP($G834,DefinitionArrays!$I$6:$J$12,2,FALSE)</f>
        <v>Workweek</v>
      </c>
    </row>
    <row r="835" spans="1:10">
      <c r="A835" s="159" t="str">
        <f t="shared" si="66"/>
        <v>$H$1:$H$92</v>
      </c>
      <c r="B835" s="159" t="str">
        <f t="shared" si="67"/>
        <v>$I$1:$I$92</v>
      </c>
      <c r="C835" s="159" t="str">
        <f t="shared" si="68"/>
        <v>February!$H$1:$H$92</v>
      </c>
      <c r="D835" s="159" t="str">
        <f t="shared" si="69"/>
        <v>February!$I$1:$I$92</v>
      </c>
      <c r="E835" t="s">
        <v>4</v>
      </c>
      <c r="F835" t="s">
        <v>121</v>
      </c>
      <c r="G835" t="s">
        <v>143</v>
      </c>
      <c r="H835" t="s">
        <v>19</v>
      </c>
      <c r="I835" t="e">
        <f t="shared" ca="1" si="65"/>
        <v>#REF!</v>
      </c>
      <c r="J835" t="str">
        <f>VLOOKUP($G835,DefinitionArrays!$I$6:$J$12,2,FALSE)</f>
        <v>Workweek</v>
      </c>
    </row>
    <row r="836" spans="1:10">
      <c r="A836" s="159" t="str">
        <f t="shared" si="66"/>
        <v>$H$1:$H$92</v>
      </c>
      <c r="B836" s="159" t="str">
        <f t="shared" si="67"/>
        <v>$I$1:$I$92</v>
      </c>
      <c r="C836" s="159" t="str">
        <f t="shared" si="68"/>
        <v>February!$H$1:$H$92</v>
      </c>
      <c r="D836" s="159" t="str">
        <f t="shared" si="69"/>
        <v>February!$I$1:$I$92</v>
      </c>
      <c r="E836" t="s">
        <v>4</v>
      </c>
      <c r="F836" t="s">
        <v>121</v>
      </c>
      <c r="G836" t="s">
        <v>143</v>
      </c>
      <c r="H836" t="s">
        <v>20</v>
      </c>
      <c r="I836" t="e">
        <f t="shared" ca="1" si="65"/>
        <v>#REF!</v>
      </c>
      <c r="J836" t="str">
        <f>VLOOKUP($G836,DefinitionArrays!$I$6:$J$12,2,FALSE)</f>
        <v>Workweek</v>
      </c>
    </row>
    <row r="837" spans="1:10">
      <c r="A837" s="159" t="str">
        <f t="shared" si="66"/>
        <v>$H$1:$H$92</v>
      </c>
      <c r="B837" s="159" t="str">
        <f t="shared" si="67"/>
        <v>$I$1:$I$92</v>
      </c>
      <c r="C837" s="159" t="str">
        <f t="shared" si="68"/>
        <v>February!$H$1:$H$92</v>
      </c>
      <c r="D837" s="159" t="str">
        <f t="shared" si="69"/>
        <v>February!$I$1:$I$92</v>
      </c>
      <c r="E837" t="s">
        <v>4</v>
      </c>
      <c r="F837" t="s">
        <v>121</v>
      </c>
      <c r="G837" t="s">
        <v>143</v>
      </c>
      <c r="H837" t="s">
        <v>21</v>
      </c>
      <c r="I837" t="e">
        <f t="shared" ca="1" si="65"/>
        <v>#REF!</v>
      </c>
      <c r="J837" t="str">
        <f>VLOOKUP($G837,DefinitionArrays!$I$6:$J$12,2,FALSE)</f>
        <v>Workweek</v>
      </c>
    </row>
    <row r="838" spans="1:10">
      <c r="A838" s="159" t="str">
        <f t="shared" si="66"/>
        <v>$H$1:$H$92</v>
      </c>
      <c r="B838" s="159" t="str">
        <f t="shared" si="67"/>
        <v>$I$1:$I$92</v>
      </c>
      <c r="C838" s="159" t="str">
        <f t="shared" si="68"/>
        <v>February!$H$1:$H$92</v>
      </c>
      <c r="D838" s="159" t="str">
        <f t="shared" si="69"/>
        <v>February!$I$1:$I$92</v>
      </c>
      <c r="E838" t="s">
        <v>4</v>
      </c>
      <c r="F838" t="s">
        <v>121</v>
      </c>
      <c r="G838" t="s">
        <v>143</v>
      </c>
      <c r="H838" t="s">
        <v>22</v>
      </c>
      <c r="I838" t="e">
        <f t="shared" ca="1" si="65"/>
        <v>#REF!</v>
      </c>
      <c r="J838" t="str">
        <f>VLOOKUP($G838,DefinitionArrays!$I$6:$J$12,2,FALSE)</f>
        <v>Workweek</v>
      </c>
    </row>
    <row r="839" spans="1:10">
      <c r="A839" s="159" t="str">
        <f t="shared" si="66"/>
        <v>$H$1:$H$92</v>
      </c>
      <c r="B839" s="159" t="str">
        <f t="shared" si="67"/>
        <v>$I$1:$I$92</v>
      </c>
      <c r="C839" s="159" t="str">
        <f t="shared" si="68"/>
        <v>February!$H$1:$H$92</v>
      </c>
      <c r="D839" s="159" t="str">
        <f t="shared" si="69"/>
        <v>February!$I$1:$I$92</v>
      </c>
      <c r="E839" t="s">
        <v>4</v>
      </c>
      <c r="F839" t="s">
        <v>121</v>
      </c>
      <c r="G839" t="s">
        <v>143</v>
      </c>
      <c r="H839" t="s">
        <v>23</v>
      </c>
      <c r="I839" t="e">
        <f t="shared" ca="1" si="65"/>
        <v>#REF!</v>
      </c>
      <c r="J839" t="str">
        <f>VLOOKUP($G839,DefinitionArrays!$I$6:$J$12,2,FALSE)</f>
        <v>Workweek</v>
      </c>
    </row>
    <row r="840" spans="1:10">
      <c r="A840" s="159" t="str">
        <f t="shared" si="66"/>
        <v>$H$1:$H$92</v>
      </c>
      <c r="B840" s="159" t="str">
        <f t="shared" si="67"/>
        <v>$I$1:$I$92</v>
      </c>
      <c r="C840" s="159" t="str">
        <f t="shared" si="68"/>
        <v>February!$H$1:$H$92</v>
      </c>
      <c r="D840" s="159" t="str">
        <f t="shared" si="69"/>
        <v>February!$I$1:$I$92</v>
      </c>
      <c r="E840" t="s">
        <v>4</v>
      </c>
      <c r="F840" t="s">
        <v>121</v>
      </c>
      <c r="G840" t="s">
        <v>143</v>
      </c>
      <c r="H840" t="s">
        <v>24</v>
      </c>
      <c r="I840" t="e">
        <f t="shared" ca="1" si="65"/>
        <v>#REF!</v>
      </c>
      <c r="J840" t="str">
        <f>VLOOKUP($G840,DefinitionArrays!$I$6:$J$12,2,FALSE)</f>
        <v>Workweek</v>
      </c>
    </row>
    <row r="841" spans="1:10">
      <c r="A841" s="159" t="str">
        <f t="shared" si="66"/>
        <v>$H$1:$H$92</v>
      </c>
      <c r="B841" s="159" t="str">
        <f t="shared" si="67"/>
        <v>$I$1:$I$92</v>
      </c>
      <c r="C841" s="159" t="str">
        <f t="shared" si="68"/>
        <v>February!$H$1:$H$92</v>
      </c>
      <c r="D841" s="159" t="str">
        <f t="shared" si="69"/>
        <v>February!$I$1:$I$92</v>
      </c>
      <c r="E841" t="s">
        <v>4</v>
      </c>
      <c r="F841" t="s">
        <v>121</v>
      </c>
      <c r="G841" t="s">
        <v>143</v>
      </c>
      <c r="H841" t="s">
        <v>179</v>
      </c>
      <c r="I841" t="e">
        <f t="shared" ca="1" si="65"/>
        <v>#REF!</v>
      </c>
      <c r="J841" t="str">
        <f>VLOOKUP($G841,DefinitionArrays!$I$6:$J$12,2,FALSE)</f>
        <v>Workweek</v>
      </c>
    </row>
    <row r="842" spans="1:10">
      <c r="A842" s="159" t="str">
        <f t="shared" si="66"/>
        <v>$H$1:$H$92</v>
      </c>
      <c r="B842" s="159" t="str">
        <f t="shared" si="67"/>
        <v>$I$1:$I$92</v>
      </c>
      <c r="C842" s="159" t="str">
        <f t="shared" si="68"/>
        <v>February!$H$1:$H$92</v>
      </c>
      <c r="D842" s="159" t="str">
        <f t="shared" si="69"/>
        <v>February!$I$1:$I$92</v>
      </c>
      <c r="E842" t="s">
        <v>4</v>
      </c>
      <c r="F842" t="s">
        <v>121</v>
      </c>
      <c r="G842" t="s">
        <v>143</v>
      </c>
      <c r="H842" t="s">
        <v>180</v>
      </c>
      <c r="I842" t="e">
        <f t="shared" ca="1" si="65"/>
        <v>#REF!</v>
      </c>
      <c r="J842" t="str">
        <f>VLOOKUP($G842,DefinitionArrays!$I$6:$J$12,2,FALSE)</f>
        <v>Workweek</v>
      </c>
    </row>
    <row r="843" spans="1:10">
      <c r="A843" s="159" t="str">
        <f t="shared" si="66"/>
        <v>$H$1:$H$92</v>
      </c>
      <c r="B843" s="159" t="str">
        <f t="shared" si="67"/>
        <v>$I$1:$I$92</v>
      </c>
      <c r="C843" s="159" t="str">
        <f t="shared" si="68"/>
        <v>February!$H$1:$H$92</v>
      </c>
      <c r="D843" s="159" t="str">
        <f t="shared" si="69"/>
        <v>February!$I$1:$I$92</v>
      </c>
      <c r="E843" t="s">
        <v>4</v>
      </c>
      <c r="F843" t="s">
        <v>121</v>
      </c>
      <c r="G843" t="s">
        <v>143</v>
      </c>
      <c r="H843" t="s">
        <v>44</v>
      </c>
      <c r="I843" t="e">
        <f t="shared" ca="1" si="65"/>
        <v>#REF!</v>
      </c>
      <c r="J843" t="str">
        <f>VLOOKUP($G843,DefinitionArrays!$I$6:$J$12,2,FALSE)</f>
        <v>Workweek</v>
      </c>
    </row>
    <row r="844" spans="1:10">
      <c r="A844" s="159" t="str">
        <f t="shared" si="66"/>
        <v>$K$1:$K$92</v>
      </c>
      <c r="B844" s="159" t="str">
        <f t="shared" si="67"/>
        <v>$L$1:$L$92</v>
      </c>
      <c r="C844" s="159" t="str">
        <f t="shared" si="68"/>
        <v>February!$K$1:$K$92</v>
      </c>
      <c r="D844" s="159" t="str">
        <f t="shared" si="69"/>
        <v>February!$L$1:$L$92</v>
      </c>
      <c r="E844" t="s">
        <v>4</v>
      </c>
      <c r="F844" t="s">
        <v>121</v>
      </c>
      <c r="G844" t="s">
        <v>144</v>
      </c>
      <c r="H844" t="s">
        <v>159</v>
      </c>
      <c r="I844" t="e">
        <f t="shared" ca="1" si="65"/>
        <v>#REF!</v>
      </c>
      <c r="J844" t="str">
        <f>VLOOKUP($G844,DefinitionArrays!$I$6:$J$12,2,FALSE)</f>
        <v>Workweek</v>
      </c>
    </row>
    <row r="845" spans="1:10">
      <c r="A845" s="159" t="str">
        <f t="shared" si="66"/>
        <v>$K$1:$K$92</v>
      </c>
      <c r="B845" s="159" t="str">
        <f t="shared" si="67"/>
        <v>$L$1:$L$92</v>
      </c>
      <c r="C845" s="159" t="str">
        <f t="shared" si="68"/>
        <v>February!$K$1:$K$92</v>
      </c>
      <c r="D845" s="159" t="str">
        <f t="shared" si="69"/>
        <v>February!$L$1:$L$92</v>
      </c>
      <c r="E845" t="s">
        <v>4</v>
      </c>
      <c r="F845" t="s">
        <v>121</v>
      </c>
      <c r="G845" t="s">
        <v>144</v>
      </c>
      <c r="H845" t="s">
        <v>18</v>
      </c>
      <c r="I845" t="e">
        <f t="shared" ca="1" si="65"/>
        <v>#REF!</v>
      </c>
      <c r="J845" t="str">
        <f>VLOOKUP($G845,DefinitionArrays!$I$6:$J$12,2,FALSE)</f>
        <v>Workweek</v>
      </c>
    </row>
    <row r="846" spans="1:10">
      <c r="A846" s="159" t="str">
        <f t="shared" si="66"/>
        <v>$K$1:$K$92</v>
      </c>
      <c r="B846" s="159" t="str">
        <f t="shared" si="67"/>
        <v>$L$1:$L$92</v>
      </c>
      <c r="C846" s="159" t="str">
        <f t="shared" si="68"/>
        <v>February!$K$1:$K$92</v>
      </c>
      <c r="D846" s="159" t="str">
        <f t="shared" si="69"/>
        <v>February!$L$1:$L$92</v>
      </c>
      <c r="E846" t="s">
        <v>4</v>
      </c>
      <c r="F846" t="s">
        <v>121</v>
      </c>
      <c r="G846" t="s">
        <v>144</v>
      </c>
      <c r="H846" t="s">
        <v>153</v>
      </c>
      <c r="I846" t="e">
        <f t="shared" ca="1" si="65"/>
        <v>#REF!</v>
      </c>
      <c r="J846" t="str">
        <f>VLOOKUP($G846,DefinitionArrays!$I$6:$J$12,2,FALSE)</f>
        <v>Workweek</v>
      </c>
    </row>
    <row r="847" spans="1:10">
      <c r="A847" s="159" t="str">
        <f t="shared" si="66"/>
        <v>$K$1:$K$92</v>
      </c>
      <c r="B847" s="159" t="str">
        <f t="shared" si="67"/>
        <v>$L$1:$L$92</v>
      </c>
      <c r="C847" s="159" t="str">
        <f t="shared" si="68"/>
        <v>February!$K$1:$K$92</v>
      </c>
      <c r="D847" s="159" t="str">
        <f t="shared" si="69"/>
        <v>February!$L$1:$L$92</v>
      </c>
      <c r="E847" t="s">
        <v>4</v>
      </c>
      <c r="F847" t="s">
        <v>121</v>
      </c>
      <c r="G847" t="s">
        <v>144</v>
      </c>
      <c r="H847" t="s">
        <v>19</v>
      </c>
      <c r="I847" t="e">
        <f t="shared" ca="1" si="65"/>
        <v>#REF!</v>
      </c>
      <c r="J847" t="str">
        <f>VLOOKUP($G847,DefinitionArrays!$I$6:$J$12,2,FALSE)</f>
        <v>Workweek</v>
      </c>
    </row>
    <row r="848" spans="1:10">
      <c r="A848" s="159" t="str">
        <f t="shared" si="66"/>
        <v>$K$1:$K$92</v>
      </c>
      <c r="B848" s="159" t="str">
        <f t="shared" si="67"/>
        <v>$L$1:$L$92</v>
      </c>
      <c r="C848" s="159" t="str">
        <f t="shared" si="68"/>
        <v>February!$K$1:$K$92</v>
      </c>
      <c r="D848" s="159" t="str">
        <f t="shared" si="69"/>
        <v>February!$L$1:$L$92</v>
      </c>
      <c r="E848" t="s">
        <v>4</v>
      </c>
      <c r="F848" t="s">
        <v>121</v>
      </c>
      <c r="G848" t="s">
        <v>144</v>
      </c>
      <c r="H848" t="s">
        <v>20</v>
      </c>
      <c r="I848" t="e">
        <f t="shared" ca="1" si="65"/>
        <v>#REF!</v>
      </c>
      <c r="J848" t="str">
        <f>VLOOKUP($G848,DefinitionArrays!$I$6:$J$12,2,FALSE)</f>
        <v>Workweek</v>
      </c>
    </row>
    <row r="849" spans="1:10">
      <c r="A849" s="159" t="str">
        <f t="shared" si="66"/>
        <v>$K$1:$K$92</v>
      </c>
      <c r="B849" s="159" t="str">
        <f t="shared" si="67"/>
        <v>$L$1:$L$92</v>
      </c>
      <c r="C849" s="159" t="str">
        <f t="shared" si="68"/>
        <v>February!$K$1:$K$92</v>
      </c>
      <c r="D849" s="159" t="str">
        <f t="shared" si="69"/>
        <v>February!$L$1:$L$92</v>
      </c>
      <c r="E849" t="s">
        <v>4</v>
      </c>
      <c r="F849" t="s">
        <v>121</v>
      </c>
      <c r="G849" t="s">
        <v>144</v>
      </c>
      <c r="H849" t="s">
        <v>21</v>
      </c>
      <c r="I849" t="e">
        <f t="shared" ca="1" si="65"/>
        <v>#REF!</v>
      </c>
      <c r="J849" t="str">
        <f>VLOOKUP($G849,DefinitionArrays!$I$6:$J$12,2,FALSE)</f>
        <v>Workweek</v>
      </c>
    </row>
    <row r="850" spans="1:10">
      <c r="A850" s="159" t="str">
        <f t="shared" si="66"/>
        <v>$K$1:$K$92</v>
      </c>
      <c r="B850" s="159" t="str">
        <f t="shared" si="67"/>
        <v>$L$1:$L$92</v>
      </c>
      <c r="C850" s="159" t="str">
        <f t="shared" si="68"/>
        <v>February!$K$1:$K$92</v>
      </c>
      <c r="D850" s="159" t="str">
        <f t="shared" si="69"/>
        <v>February!$L$1:$L$92</v>
      </c>
      <c r="E850" t="s">
        <v>4</v>
      </c>
      <c r="F850" t="s">
        <v>121</v>
      </c>
      <c r="G850" t="s">
        <v>144</v>
      </c>
      <c r="H850" t="s">
        <v>22</v>
      </c>
      <c r="I850" t="e">
        <f t="shared" ca="1" si="65"/>
        <v>#REF!</v>
      </c>
      <c r="J850" t="str">
        <f>VLOOKUP($G850,DefinitionArrays!$I$6:$J$12,2,FALSE)</f>
        <v>Workweek</v>
      </c>
    </row>
    <row r="851" spans="1:10">
      <c r="A851" s="159" t="str">
        <f t="shared" si="66"/>
        <v>$K$1:$K$92</v>
      </c>
      <c r="B851" s="159" t="str">
        <f t="shared" si="67"/>
        <v>$L$1:$L$92</v>
      </c>
      <c r="C851" s="159" t="str">
        <f t="shared" si="68"/>
        <v>February!$K$1:$K$92</v>
      </c>
      <c r="D851" s="159" t="str">
        <f t="shared" si="69"/>
        <v>February!$L$1:$L$92</v>
      </c>
      <c r="E851" t="s">
        <v>4</v>
      </c>
      <c r="F851" t="s">
        <v>121</v>
      </c>
      <c r="G851" t="s">
        <v>144</v>
      </c>
      <c r="H851" t="s">
        <v>23</v>
      </c>
      <c r="I851" t="e">
        <f t="shared" ca="1" si="65"/>
        <v>#REF!</v>
      </c>
      <c r="J851" t="str">
        <f>VLOOKUP($G851,DefinitionArrays!$I$6:$J$12,2,FALSE)</f>
        <v>Workweek</v>
      </c>
    </row>
    <row r="852" spans="1:10">
      <c r="A852" s="159" t="str">
        <f t="shared" si="66"/>
        <v>$K$1:$K$92</v>
      </c>
      <c r="B852" s="159" t="str">
        <f t="shared" si="67"/>
        <v>$L$1:$L$92</v>
      </c>
      <c r="C852" s="159" t="str">
        <f t="shared" si="68"/>
        <v>February!$K$1:$K$92</v>
      </c>
      <c r="D852" s="159" t="str">
        <f t="shared" si="69"/>
        <v>February!$L$1:$L$92</v>
      </c>
      <c r="E852" t="s">
        <v>4</v>
      </c>
      <c r="F852" t="s">
        <v>121</v>
      </c>
      <c r="G852" t="s">
        <v>144</v>
      </c>
      <c r="H852" t="s">
        <v>24</v>
      </c>
      <c r="I852" t="e">
        <f t="shared" ca="1" si="65"/>
        <v>#REF!</v>
      </c>
      <c r="J852" t="str">
        <f>VLOOKUP($G852,DefinitionArrays!$I$6:$J$12,2,FALSE)</f>
        <v>Workweek</v>
      </c>
    </row>
    <row r="853" spans="1:10">
      <c r="A853" s="159" t="str">
        <f t="shared" si="66"/>
        <v>$K$1:$K$92</v>
      </c>
      <c r="B853" s="159" t="str">
        <f t="shared" si="67"/>
        <v>$L$1:$L$92</v>
      </c>
      <c r="C853" s="159" t="str">
        <f t="shared" si="68"/>
        <v>February!$K$1:$K$92</v>
      </c>
      <c r="D853" s="159" t="str">
        <f t="shared" si="69"/>
        <v>February!$L$1:$L$92</v>
      </c>
      <c r="E853" t="s">
        <v>4</v>
      </c>
      <c r="F853" t="s">
        <v>121</v>
      </c>
      <c r="G853" t="s">
        <v>144</v>
      </c>
      <c r="H853" t="s">
        <v>179</v>
      </c>
      <c r="I853" t="e">
        <f t="shared" ca="1" si="65"/>
        <v>#REF!</v>
      </c>
      <c r="J853" t="str">
        <f>VLOOKUP($G853,DefinitionArrays!$I$6:$J$12,2,FALSE)</f>
        <v>Workweek</v>
      </c>
    </row>
    <row r="854" spans="1:10">
      <c r="A854" s="159" t="str">
        <f t="shared" si="66"/>
        <v>$K$1:$K$92</v>
      </c>
      <c r="B854" s="159" t="str">
        <f t="shared" si="67"/>
        <v>$L$1:$L$92</v>
      </c>
      <c r="C854" s="159" t="str">
        <f t="shared" si="68"/>
        <v>February!$K$1:$K$92</v>
      </c>
      <c r="D854" s="159" t="str">
        <f t="shared" si="69"/>
        <v>February!$L$1:$L$92</v>
      </c>
      <c r="E854" t="s">
        <v>4</v>
      </c>
      <c r="F854" t="s">
        <v>121</v>
      </c>
      <c r="G854" t="s">
        <v>144</v>
      </c>
      <c r="H854" t="s">
        <v>180</v>
      </c>
      <c r="I854" t="e">
        <f t="shared" ca="1" si="65"/>
        <v>#REF!</v>
      </c>
      <c r="J854" t="str">
        <f>VLOOKUP($G854,DefinitionArrays!$I$6:$J$12,2,FALSE)</f>
        <v>Workweek</v>
      </c>
    </row>
    <row r="855" spans="1:10">
      <c r="A855" s="159" t="str">
        <f t="shared" si="66"/>
        <v>$K$1:$K$92</v>
      </c>
      <c r="B855" s="159" t="str">
        <f t="shared" si="67"/>
        <v>$L$1:$L$92</v>
      </c>
      <c r="C855" s="159" t="str">
        <f t="shared" si="68"/>
        <v>February!$K$1:$K$92</v>
      </c>
      <c r="D855" s="159" t="str">
        <f t="shared" si="69"/>
        <v>February!$L$1:$L$92</v>
      </c>
      <c r="E855" t="s">
        <v>4</v>
      </c>
      <c r="F855" t="s">
        <v>121</v>
      </c>
      <c r="G855" t="s">
        <v>144</v>
      </c>
      <c r="H855" t="s">
        <v>44</v>
      </c>
      <c r="I855" t="e">
        <f t="shared" ca="1" si="65"/>
        <v>#REF!</v>
      </c>
      <c r="J855" t="str">
        <f>VLOOKUP($G855,DefinitionArrays!$I$6:$J$12,2,FALSE)</f>
        <v>Workweek</v>
      </c>
    </row>
    <row r="856" spans="1:10">
      <c r="A856" s="159" t="str">
        <f t="shared" si="66"/>
        <v>$N$1:$N$92</v>
      </c>
      <c r="B856" s="159" t="str">
        <f t="shared" si="67"/>
        <v>$O$1:$O$92</v>
      </c>
      <c r="C856" s="159" t="str">
        <f t="shared" si="68"/>
        <v>February!$N$1:$N$92</v>
      </c>
      <c r="D856" s="159" t="str">
        <f t="shared" si="69"/>
        <v>February!$O$1:$O$92</v>
      </c>
      <c r="E856" t="s">
        <v>4</v>
      </c>
      <c r="F856" t="s">
        <v>121</v>
      </c>
      <c r="G856" t="s">
        <v>145</v>
      </c>
      <c r="H856" t="s">
        <v>159</v>
      </c>
      <c r="I856" t="e">
        <f t="shared" ca="1" si="65"/>
        <v>#REF!</v>
      </c>
      <c r="J856" t="str">
        <f>VLOOKUP($G856,DefinitionArrays!$I$6:$J$12,2,FALSE)</f>
        <v>Weekend</v>
      </c>
    </row>
    <row r="857" spans="1:10">
      <c r="A857" s="159" t="str">
        <f t="shared" si="66"/>
        <v>$N$1:$N$92</v>
      </c>
      <c r="B857" s="159" t="str">
        <f t="shared" si="67"/>
        <v>$O$1:$O$92</v>
      </c>
      <c r="C857" s="159" t="str">
        <f t="shared" si="68"/>
        <v>February!$N$1:$N$92</v>
      </c>
      <c r="D857" s="159" t="str">
        <f t="shared" si="69"/>
        <v>February!$O$1:$O$92</v>
      </c>
      <c r="E857" t="s">
        <v>4</v>
      </c>
      <c r="F857" t="s">
        <v>121</v>
      </c>
      <c r="G857" t="s">
        <v>145</v>
      </c>
      <c r="H857" t="s">
        <v>18</v>
      </c>
      <c r="I857" t="e">
        <f t="shared" ca="1" si="65"/>
        <v>#REF!</v>
      </c>
      <c r="J857" t="str">
        <f>VLOOKUP($G857,DefinitionArrays!$I$6:$J$12,2,FALSE)</f>
        <v>Weekend</v>
      </c>
    </row>
    <row r="858" spans="1:10">
      <c r="A858" s="159" t="str">
        <f t="shared" si="66"/>
        <v>$N$1:$N$92</v>
      </c>
      <c r="B858" s="159" t="str">
        <f t="shared" si="67"/>
        <v>$O$1:$O$92</v>
      </c>
      <c r="C858" s="159" t="str">
        <f t="shared" si="68"/>
        <v>February!$N$1:$N$92</v>
      </c>
      <c r="D858" s="159" t="str">
        <f t="shared" si="69"/>
        <v>February!$O$1:$O$92</v>
      </c>
      <c r="E858" t="s">
        <v>4</v>
      </c>
      <c r="F858" t="s">
        <v>121</v>
      </c>
      <c r="G858" t="s">
        <v>145</v>
      </c>
      <c r="H858" t="s">
        <v>153</v>
      </c>
      <c r="I858" t="e">
        <f t="shared" ca="1" si="65"/>
        <v>#REF!</v>
      </c>
      <c r="J858" t="str">
        <f>VLOOKUP($G858,DefinitionArrays!$I$6:$J$12,2,FALSE)</f>
        <v>Weekend</v>
      </c>
    </row>
    <row r="859" spans="1:10">
      <c r="A859" s="159" t="str">
        <f t="shared" si="66"/>
        <v>$N$1:$N$92</v>
      </c>
      <c r="B859" s="159" t="str">
        <f t="shared" si="67"/>
        <v>$O$1:$O$92</v>
      </c>
      <c r="C859" s="159" t="str">
        <f t="shared" si="68"/>
        <v>February!$N$1:$N$92</v>
      </c>
      <c r="D859" s="159" t="str">
        <f t="shared" si="69"/>
        <v>February!$O$1:$O$92</v>
      </c>
      <c r="E859" t="s">
        <v>4</v>
      </c>
      <c r="F859" t="s">
        <v>121</v>
      </c>
      <c r="G859" t="s">
        <v>145</v>
      </c>
      <c r="H859" t="s">
        <v>19</v>
      </c>
      <c r="I859" t="e">
        <f t="shared" ca="1" si="65"/>
        <v>#REF!</v>
      </c>
      <c r="J859" t="str">
        <f>VLOOKUP($G859,DefinitionArrays!$I$6:$J$12,2,FALSE)</f>
        <v>Weekend</v>
      </c>
    </row>
    <row r="860" spans="1:10">
      <c r="A860" s="159" t="str">
        <f t="shared" si="66"/>
        <v>$N$1:$N$92</v>
      </c>
      <c r="B860" s="159" t="str">
        <f t="shared" si="67"/>
        <v>$O$1:$O$92</v>
      </c>
      <c r="C860" s="159" t="str">
        <f t="shared" si="68"/>
        <v>February!$N$1:$N$92</v>
      </c>
      <c r="D860" s="159" t="str">
        <f t="shared" si="69"/>
        <v>February!$O$1:$O$92</v>
      </c>
      <c r="E860" t="s">
        <v>4</v>
      </c>
      <c r="F860" t="s">
        <v>121</v>
      </c>
      <c r="G860" t="s">
        <v>145</v>
      </c>
      <c r="H860" t="s">
        <v>20</v>
      </c>
      <c r="I860" t="e">
        <f t="shared" ca="1" si="65"/>
        <v>#REF!</v>
      </c>
      <c r="J860" t="str">
        <f>VLOOKUP($G860,DefinitionArrays!$I$6:$J$12,2,FALSE)</f>
        <v>Weekend</v>
      </c>
    </row>
    <row r="861" spans="1:10">
      <c r="A861" s="159" t="str">
        <f t="shared" si="66"/>
        <v>$N$1:$N$92</v>
      </c>
      <c r="B861" s="159" t="str">
        <f t="shared" si="67"/>
        <v>$O$1:$O$92</v>
      </c>
      <c r="C861" s="159" t="str">
        <f t="shared" si="68"/>
        <v>February!$N$1:$N$92</v>
      </c>
      <c r="D861" s="159" t="str">
        <f t="shared" si="69"/>
        <v>February!$O$1:$O$92</v>
      </c>
      <c r="E861" t="s">
        <v>4</v>
      </c>
      <c r="F861" t="s">
        <v>121</v>
      </c>
      <c r="G861" t="s">
        <v>145</v>
      </c>
      <c r="H861" t="s">
        <v>21</v>
      </c>
      <c r="I861" t="e">
        <f t="shared" ca="1" si="65"/>
        <v>#REF!</v>
      </c>
      <c r="J861" t="str">
        <f>VLOOKUP($G861,DefinitionArrays!$I$6:$J$12,2,FALSE)</f>
        <v>Weekend</v>
      </c>
    </row>
    <row r="862" spans="1:10">
      <c r="A862" s="159" t="str">
        <f t="shared" si="66"/>
        <v>$N$1:$N$92</v>
      </c>
      <c r="B862" s="159" t="str">
        <f t="shared" si="67"/>
        <v>$O$1:$O$92</v>
      </c>
      <c r="C862" s="159" t="str">
        <f t="shared" si="68"/>
        <v>February!$N$1:$N$92</v>
      </c>
      <c r="D862" s="159" t="str">
        <f t="shared" si="69"/>
        <v>February!$O$1:$O$92</v>
      </c>
      <c r="E862" t="s">
        <v>4</v>
      </c>
      <c r="F862" t="s">
        <v>121</v>
      </c>
      <c r="G862" t="s">
        <v>145</v>
      </c>
      <c r="H862" t="s">
        <v>22</v>
      </c>
      <c r="I862" t="e">
        <f t="shared" ca="1" si="65"/>
        <v>#REF!</v>
      </c>
      <c r="J862" t="str">
        <f>VLOOKUP($G862,DefinitionArrays!$I$6:$J$12,2,FALSE)</f>
        <v>Weekend</v>
      </c>
    </row>
    <row r="863" spans="1:10">
      <c r="A863" s="159" t="str">
        <f t="shared" si="66"/>
        <v>$N$1:$N$92</v>
      </c>
      <c r="B863" s="159" t="str">
        <f t="shared" si="67"/>
        <v>$O$1:$O$92</v>
      </c>
      <c r="C863" s="159" t="str">
        <f t="shared" si="68"/>
        <v>February!$N$1:$N$92</v>
      </c>
      <c r="D863" s="159" t="str">
        <f t="shared" si="69"/>
        <v>February!$O$1:$O$92</v>
      </c>
      <c r="E863" t="s">
        <v>4</v>
      </c>
      <c r="F863" t="s">
        <v>121</v>
      </c>
      <c r="G863" t="s">
        <v>145</v>
      </c>
      <c r="H863" t="s">
        <v>23</v>
      </c>
      <c r="I863" t="e">
        <f t="shared" ca="1" si="65"/>
        <v>#REF!</v>
      </c>
      <c r="J863" t="str">
        <f>VLOOKUP($G863,DefinitionArrays!$I$6:$J$12,2,FALSE)</f>
        <v>Weekend</v>
      </c>
    </row>
    <row r="864" spans="1:10">
      <c r="A864" s="159" t="str">
        <f t="shared" si="66"/>
        <v>$N$1:$N$92</v>
      </c>
      <c r="B864" s="159" t="str">
        <f t="shared" si="67"/>
        <v>$O$1:$O$92</v>
      </c>
      <c r="C864" s="159" t="str">
        <f t="shared" si="68"/>
        <v>February!$N$1:$N$92</v>
      </c>
      <c r="D864" s="159" t="str">
        <f t="shared" si="69"/>
        <v>February!$O$1:$O$92</v>
      </c>
      <c r="E864" t="s">
        <v>4</v>
      </c>
      <c r="F864" t="s">
        <v>121</v>
      </c>
      <c r="G864" t="s">
        <v>145</v>
      </c>
      <c r="H864" t="s">
        <v>24</v>
      </c>
      <c r="I864" t="e">
        <f t="shared" ca="1" si="65"/>
        <v>#REF!</v>
      </c>
      <c r="J864" t="str">
        <f>VLOOKUP($G864,DefinitionArrays!$I$6:$J$12,2,FALSE)</f>
        <v>Weekend</v>
      </c>
    </row>
    <row r="865" spans="1:10">
      <c r="A865" s="159" t="str">
        <f t="shared" si="66"/>
        <v>$N$1:$N$92</v>
      </c>
      <c r="B865" s="159" t="str">
        <f t="shared" si="67"/>
        <v>$O$1:$O$92</v>
      </c>
      <c r="C865" s="159" t="str">
        <f t="shared" si="68"/>
        <v>February!$N$1:$N$92</v>
      </c>
      <c r="D865" s="159" t="str">
        <f t="shared" si="69"/>
        <v>February!$O$1:$O$92</v>
      </c>
      <c r="E865" t="s">
        <v>4</v>
      </c>
      <c r="F865" t="s">
        <v>121</v>
      </c>
      <c r="G865" t="s">
        <v>145</v>
      </c>
      <c r="H865" t="s">
        <v>179</v>
      </c>
      <c r="I865" t="e">
        <f t="shared" ca="1" si="65"/>
        <v>#REF!</v>
      </c>
      <c r="J865" t="str">
        <f>VLOOKUP($G865,DefinitionArrays!$I$6:$J$12,2,FALSE)</f>
        <v>Weekend</v>
      </c>
    </row>
    <row r="866" spans="1:10">
      <c r="A866" s="159" t="str">
        <f t="shared" si="66"/>
        <v>$N$1:$N$92</v>
      </c>
      <c r="B866" s="159" t="str">
        <f t="shared" si="67"/>
        <v>$O$1:$O$92</v>
      </c>
      <c r="C866" s="159" t="str">
        <f t="shared" si="68"/>
        <v>February!$N$1:$N$92</v>
      </c>
      <c r="D866" s="159" t="str">
        <f t="shared" si="69"/>
        <v>February!$O$1:$O$92</v>
      </c>
      <c r="E866" t="s">
        <v>4</v>
      </c>
      <c r="F866" t="s">
        <v>121</v>
      </c>
      <c r="G866" t="s">
        <v>145</v>
      </c>
      <c r="H866" t="s">
        <v>180</v>
      </c>
      <c r="I866" t="e">
        <f t="shared" ca="1" si="65"/>
        <v>#REF!</v>
      </c>
      <c r="J866" t="str">
        <f>VLOOKUP($G866,DefinitionArrays!$I$6:$J$12,2,FALSE)</f>
        <v>Weekend</v>
      </c>
    </row>
    <row r="867" spans="1:10">
      <c r="A867" s="159" t="str">
        <f t="shared" si="66"/>
        <v>$N$1:$N$92</v>
      </c>
      <c r="B867" s="159" t="str">
        <f t="shared" si="67"/>
        <v>$O$1:$O$92</v>
      </c>
      <c r="C867" s="159" t="str">
        <f t="shared" si="68"/>
        <v>February!$N$1:$N$92</v>
      </c>
      <c r="D867" s="159" t="str">
        <f t="shared" si="69"/>
        <v>February!$O$1:$O$92</v>
      </c>
      <c r="E867" t="s">
        <v>4</v>
      </c>
      <c r="F867" t="s">
        <v>121</v>
      </c>
      <c r="G867" t="s">
        <v>145</v>
      </c>
      <c r="H867" t="s">
        <v>44</v>
      </c>
      <c r="I867" t="e">
        <f t="shared" ca="1" si="65"/>
        <v>#REF!</v>
      </c>
      <c r="J867" t="str">
        <f>VLOOKUP($G867,DefinitionArrays!$I$6:$J$12,2,FALSE)</f>
        <v>Weekend</v>
      </c>
    </row>
    <row r="868" spans="1:10">
      <c r="A868" s="159" t="str">
        <f t="shared" si="66"/>
        <v>$Q$1:$Q$92</v>
      </c>
      <c r="B868" s="159" t="str">
        <f t="shared" si="67"/>
        <v>$R$1:$R$92</v>
      </c>
      <c r="C868" s="159" t="str">
        <f t="shared" si="68"/>
        <v>February!$Q$1:$Q$92</v>
      </c>
      <c r="D868" s="159" t="str">
        <f t="shared" si="69"/>
        <v>February!$R$1:$R$92</v>
      </c>
      <c r="E868" t="s">
        <v>4</v>
      </c>
      <c r="F868" t="s">
        <v>121</v>
      </c>
      <c r="G868" t="s">
        <v>146</v>
      </c>
      <c r="H868" t="s">
        <v>159</v>
      </c>
      <c r="I868" t="e">
        <f t="shared" ca="1" si="65"/>
        <v>#REF!</v>
      </c>
      <c r="J868" t="str">
        <f>VLOOKUP($G868,DefinitionArrays!$I$6:$J$12,2,FALSE)</f>
        <v>Weekend</v>
      </c>
    </row>
    <row r="869" spans="1:10">
      <c r="A869" s="159" t="str">
        <f t="shared" si="66"/>
        <v>$T$1:$T$92</v>
      </c>
      <c r="B869" s="159" t="str">
        <f t="shared" si="67"/>
        <v>$U$1:$U$92</v>
      </c>
      <c r="C869" s="159" t="str">
        <f t="shared" si="68"/>
        <v>February!$T$1:$T$92</v>
      </c>
      <c r="D869" s="159" t="str">
        <f t="shared" si="69"/>
        <v>February!$U$1:$U$92</v>
      </c>
      <c r="E869" t="s">
        <v>4</v>
      </c>
      <c r="F869" t="s">
        <v>121</v>
      </c>
      <c r="G869" t="s">
        <v>141</v>
      </c>
      <c r="H869" t="s">
        <v>159</v>
      </c>
      <c r="I869" t="e">
        <f t="shared" ca="1" si="65"/>
        <v>#REF!</v>
      </c>
      <c r="J869" t="str">
        <f>VLOOKUP($G869,DefinitionArrays!$I$6:$J$12,2,FALSE)</f>
        <v>Weekend</v>
      </c>
    </row>
    <row r="870" spans="1:10">
      <c r="A870" s="159" t="str">
        <f t="shared" si="66"/>
        <v>$B$1:$B$92</v>
      </c>
      <c r="B870" s="159" t="str">
        <f t="shared" si="67"/>
        <v>$C$1:$C$92</v>
      </c>
      <c r="C870" s="159" t="str">
        <f t="shared" si="68"/>
        <v>March!$B$1:$B$92</v>
      </c>
      <c r="D870" s="159" t="str">
        <f t="shared" si="69"/>
        <v>March!$C$1:$C$92</v>
      </c>
      <c r="E870" t="s">
        <v>4</v>
      </c>
      <c r="F870" t="s">
        <v>122</v>
      </c>
      <c r="G870" t="s">
        <v>13</v>
      </c>
      <c r="H870" t="s">
        <v>159</v>
      </c>
      <c r="I870" t="e">
        <f ca="1">COUNTIFS(INDIRECT($C870),$E870,INDIRECT($D870),$H870)</f>
        <v>#REF!</v>
      </c>
      <c r="J870" t="str">
        <f>VLOOKUP($G870,DefinitionArrays!$I$6:$J$12,2,FALSE)</f>
        <v>Workweek</v>
      </c>
    </row>
    <row r="871" spans="1:10">
      <c r="A871" s="159" t="str">
        <f t="shared" si="66"/>
        <v>$B$1:$B$92</v>
      </c>
      <c r="B871" s="159" t="str">
        <f t="shared" si="67"/>
        <v>$C$1:$C$92</v>
      </c>
      <c r="C871" s="159" t="str">
        <f t="shared" si="68"/>
        <v>March!$B$1:$B$92</v>
      </c>
      <c r="D871" s="159" t="str">
        <f t="shared" si="69"/>
        <v>March!$C$1:$C$92</v>
      </c>
      <c r="E871" t="s">
        <v>4</v>
      </c>
      <c r="F871" t="s">
        <v>122</v>
      </c>
      <c r="G871" t="s">
        <v>13</v>
      </c>
      <c r="H871" t="s">
        <v>18</v>
      </c>
      <c r="I871" t="e">
        <f t="shared" ref="I871:I931" ca="1" si="70">COUNTIFS(INDIRECT($C871),$E871,INDIRECT($D871),$H871)</f>
        <v>#REF!</v>
      </c>
      <c r="J871" t="str">
        <f>VLOOKUP($G871,DefinitionArrays!$I$6:$J$12,2,FALSE)</f>
        <v>Workweek</v>
      </c>
    </row>
    <row r="872" spans="1:10">
      <c r="A872" s="159" t="str">
        <f t="shared" si="66"/>
        <v>$B$1:$B$92</v>
      </c>
      <c r="B872" s="159" t="str">
        <f t="shared" si="67"/>
        <v>$C$1:$C$92</v>
      </c>
      <c r="C872" s="159" t="str">
        <f t="shared" si="68"/>
        <v>March!$B$1:$B$92</v>
      </c>
      <c r="D872" s="159" t="str">
        <f t="shared" si="69"/>
        <v>March!$C$1:$C$92</v>
      </c>
      <c r="E872" t="s">
        <v>4</v>
      </c>
      <c r="F872" t="s">
        <v>122</v>
      </c>
      <c r="G872" t="s">
        <v>13</v>
      </c>
      <c r="H872" t="s">
        <v>153</v>
      </c>
      <c r="I872" t="e">
        <f t="shared" ca="1" si="70"/>
        <v>#REF!</v>
      </c>
      <c r="J872" t="str">
        <f>VLOOKUP($G872,DefinitionArrays!$I$6:$J$12,2,FALSE)</f>
        <v>Workweek</v>
      </c>
    </row>
    <row r="873" spans="1:10">
      <c r="A873" s="159" t="str">
        <f t="shared" si="66"/>
        <v>$B$1:$B$92</v>
      </c>
      <c r="B873" s="159" t="str">
        <f t="shared" si="67"/>
        <v>$C$1:$C$92</v>
      </c>
      <c r="C873" s="159" t="str">
        <f t="shared" si="68"/>
        <v>March!$B$1:$B$92</v>
      </c>
      <c r="D873" s="159" t="str">
        <f t="shared" si="69"/>
        <v>March!$C$1:$C$92</v>
      </c>
      <c r="E873" t="s">
        <v>4</v>
      </c>
      <c r="F873" t="s">
        <v>122</v>
      </c>
      <c r="G873" t="s">
        <v>13</v>
      </c>
      <c r="H873" t="s">
        <v>19</v>
      </c>
      <c r="I873" t="e">
        <f t="shared" ca="1" si="70"/>
        <v>#REF!</v>
      </c>
      <c r="J873" t="str">
        <f>VLOOKUP($G873,DefinitionArrays!$I$6:$J$12,2,FALSE)</f>
        <v>Workweek</v>
      </c>
    </row>
    <row r="874" spans="1:10">
      <c r="A874" s="159" t="str">
        <f t="shared" si="66"/>
        <v>$B$1:$B$92</v>
      </c>
      <c r="B874" s="159" t="str">
        <f t="shared" si="67"/>
        <v>$C$1:$C$92</v>
      </c>
      <c r="C874" s="159" t="str">
        <f t="shared" si="68"/>
        <v>March!$B$1:$B$92</v>
      </c>
      <c r="D874" s="159" t="str">
        <f t="shared" si="69"/>
        <v>March!$C$1:$C$92</v>
      </c>
      <c r="E874" t="s">
        <v>4</v>
      </c>
      <c r="F874" t="s">
        <v>122</v>
      </c>
      <c r="G874" t="s">
        <v>13</v>
      </c>
      <c r="H874" t="s">
        <v>20</v>
      </c>
      <c r="I874" t="e">
        <f t="shared" ca="1" si="70"/>
        <v>#REF!</v>
      </c>
      <c r="J874" t="str">
        <f>VLOOKUP($G874,DefinitionArrays!$I$6:$J$12,2,FALSE)</f>
        <v>Workweek</v>
      </c>
    </row>
    <row r="875" spans="1:10">
      <c r="A875" s="159" t="str">
        <f t="shared" si="66"/>
        <v>$B$1:$B$92</v>
      </c>
      <c r="B875" s="159" t="str">
        <f t="shared" si="67"/>
        <v>$C$1:$C$92</v>
      </c>
      <c r="C875" s="159" t="str">
        <f t="shared" si="68"/>
        <v>March!$B$1:$B$92</v>
      </c>
      <c r="D875" s="159" t="str">
        <f t="shared" si="69"/>
        <v>March!$C$1:$C$92</v>
      </c>
      <c r="E875" t="s">
        <v>4</v>
      </c>
      <c r="F875" t="s">
        <v>122</v>
      </c>
      <c r="G875" t="s">
        <v>13</v>
      </c>
      <c r="H875" t="s">
        <v>21</v>
      </c>
      <c r="I875" t="e">
        <f t="shared" ca="1" si="70"/>
        <v>#REF!</v>
      </c>
      <c r="J875" t="str">
        <f>VLOOKUP($G875,DefinitionArrays!$I$6:$J$12,2,FALSE)</f>
        <v>Workweek</v>
      </c>
    </row>
    <row r="876" spans="1:10">
      <c r="A876" s="159" t="str">
        <f t="shared" si="66"/>
        <v>$B$1:$B$92</v>
      </c>
      <c r="B876" s="159" t="str">
        <f t="shared" si="67"/>
        <v>$C$1:$C$92</v>
      </c>
      <c r="C876" s="159" t="str">
        <f t="shared" si="68"/>
        <v>March!$B$1:$B$92</v>
      </c>
      <c r="D876" s="159" t="str">
        <f t="shared" si="69"/>
        <v>March!$C$1:$C$92</v>
      </c>
      <c r="E876" t="s">
        <v>4</v>
      </c>
      <c r="F876" t="s">
        <v>122</v>
      </c>
      <c r="G876" t="s">
        <v>13</v>
      </c>
      <c r="H876" t="s">
        <v>22</v>
      </c>
      <c r="I876" t="e">
        <f t="shared" ca="1" si="70"/>
        <v>#REF!</v>
      </c>
      <c r="J876" t="str">
        <f>VLOOKUP($G876,DefinitionArrays!$I$6:$J$12,2,FALSE)</f>
        <v>Workweek</v>
      </c>
    </row>
    <row r="877" spans="1:10">
      <c r="A877" s="159" t="str">
        <f t="shared" si="66"/>
        <v>$B$1:$B$92</v>
      </c>
      <c r="B877" s="159" t="str">
        <f t="shared" si="67"/>
        <v>$C$1:$C$92</v>
      </c>
      <c r="C877" s="159" t="str">
        <f t="shared" si="68"/>
        <v>March!$B$1:$B$92</v>
      </c>
      <c r="D877" s="159" t="str">
        <f t="shared" si="69"/>
        <v>March!$C$1:$C$92</v>
      </c>
      <c r="E877" t="s">
        <v>4</v>
      </c>
      <c r="F877" t="s">
        <v>122</v>
      </c>
      <c r="G877" t="s">
        <v>13</v>
      </c>
      <c r="H877" t="s">
        <v>23</v>
      </c>
      <c r="I877" t="e">
        <f t="shared" ca="1" si="70"/>
        <v>#REF!</v>
      </c>
      <c r="J877" t="str">
        <f>VLOOKUP($G877,DefinitionArrays!$I$6:$J$12,2,FALSE)</f>
        <v>Workweek</v>
      </c>
    </row>
    <row r="878" spans="1:10">
      <c r="A878" s="159" t="str">
        <f t="shared" si="66"/>
        <v>$B$1:$B$92</v>
      </c>
      <c r="B878" s="159" t="str">
        <f t="shared" si="67"/>
        <v>$C$1:$C$92</v>
      </c>
      <c r="C878" s="159" t="str">
        <f t="shared" si="68"/>
        <v>March!$B$1:$B$92</v>
      </c>
      <c r="D878" s="159" t="str">
        <f t="shared" si="69"/>
        <v>March!$C$1:$C$92</v>
      </c>
      <c r="E878" t="s">
        <v>4</v>
      </c>
      <c r="F878" t="s">
        <v>122</v>
      </c>
      <c r="G878" t="s">
        <v>13</v>
      </c>
      <c r="H878" t="s">
        <v>24</v>
      </c>
      <c r="I878" t="e">
        <f t="shared" ca="1" si="70"/>
        <v>#REF!</v>
      </c>
      <c r="J878" t="str">
        <f>VLOOKUP($G878,DefinitionArrays!$I$6:$J$12,2,FALSE)</f>
        <v>Workweek</v>
      </c>
    </row>
    <row r="879" spans="1:10">
      <c r="A879" s="159" t="str">
        <f t="shared" si="66"/>
        <v>$B$1:$B$92</v>
      </c>
      <c r="B879" s="159" t="str">
        <f t="shared" si="67"/>
        <v>$C$1:$C$92</v>
      </c>
      <c r="C879" s="159" t="str">
        <f t="shared" si="68"/>
        <v>March!$B$1:$B$92</v>
      </c>
      <c r="D879" s="159" t="str">
        <f t="shared" si="69"/>
        <v>March!$C$1:$C$92</v>
      </c>
      <c r="E879" t="s">
        <v>4</v>
      </c>
      <c r="F879" t="s">
        <v>122</v>
      </c>
      <c r="G879" t="s">
        <v>13</v>
      </c>
      <c r="H879" t="s">
        <v>179</v>
      </c>
      <c r="I879" t="e">
        <f t="shared" ca="1" si="70"/>
        <v>#REF!</v>
      </c>
      <c r="J879" t="str">
        <f>VLOOKUP($G879,DefinitionArrays!$I$6:$J$12,2,FALSE)</f>
        <v>Workweek</v>
      </c>
    </row>
    <row r="880" spans="1:10">
      <c r="A880" s="159" t="str">
        <f t="shared" si="66"/>
        <v>$B$1:$B$92</v>
      </c>
      <c r="B880" s="159" t="str">
        <f t="shared" si="67"/>
        <v>$C$1:$C$92</v>
      </c>
      <c r="C880" s="159" t="str">
        <f t="shared" si="68"/>
        <v>March!$B$1:$B$92</v>
      </c>
      <c r="D880" s="159" t="str">
        <f t="shared" si="69"/>
        <v>March!$C$1:$C$92</v>
      </c>
      <c r="E880" t="s">
        <v>4</v>
      </c>
      <c r="F880" t="s">
        <v>122</v>
      </c>
      <c r="G880" t="s">
        <v>13</v>
      </c>
      <c r="H880" t="s">
        <v>180</v>
      </c>
      <c r="I880" t="e">
        <f t="shared" ca="1" si="70"/>
        <v>#REF!</v>
      </c>
      <c r="J880" t="str">
        <f>VLOOKUP($G880,DefinitionArrays!$I$6:$J$12,2,FALSE)</f>
        <v>Workweek</v>
      </c>
    </row>
    <row r="881" spans="1:10">
      <c r="A881" s="159" t="str">
        <f t="shared" si="66"/>
        <v>$B$1:$B$92</v>
      </c>
      <c r="B881" s="159" t="str">
        <f t="shared" si="67"/>
        <v>$C$1:$C$92</v>
      </c>
      <c r="C881" s="159" t="str">
        <f t="shared" si="68"/>
        <v>March!$B$1:$B$92</v>
      </c>
      <c r="D881" s="159" t="str">
        <f t="shared" si="69"/>
        <v>March!$C$1:$C$92</v>
      </c>
      <c r="E881" t="s">
        <v>4</v>
      </c>
      <c r="F881" t="s">
        <v>122</v>
      </c>
      <c r="G881" t="s">
        <v>13</v>
      </c>
      <c r="H881" t="s">
        <v>44</v>
      </c>
      <c r="I881" t="e">
        <f t="shared" ca="1" si="70"/>
        <v>#REF!</v>
      </c>
      <c r="J881" t="str">
        <f>VLOOKUP($G881,DefinitionArrays!$I$6:$J$12,2,FALSE)</f>
        <v>Workweek</v>
      </c>
    </row>
    <row r="882" spans="1:10">
      <c r="A882" s="159" t="str">
        <f t="shared" si="66"/>
        <v>$E$1:$E$92</v>
      </c>
      <c r="B882" s="159" t="str">
        <f t="shared" si="67"/>
        <v>$F$1:$F$92</v>
      </c>
      <c r="C882" s="159" t="str">
        <f t="shared" si="68"/>
        <v>March!$E$1:$E$92</v>
      </c>
      <c r="D882" s="159" t="str">
        <f t="shared" si="69"/>
        <v>March!$F$1:$F$92</v>
      </c>
      <c r="E882" t="s">
        <v>4</v>
      </c>
      <c r="F882" t="s">
        <v>122</v>
      </c>
      <c r="G882" t="s">
        <v>142</v>
      </c>
      <c r="H882" t="s">
        <v>159</v>
      </c>
      <c r="I882" t="e">
        <f t="shared" ca="1" si="70"/>
        <v>#REF!</v>
      </c>
      <c r="J882" t="str">
        <f>VLOOKUP($G882,DefinitionArrays!$I$6:$J$12,2,FALSE)</f>
        <v>Workweek</v>
      </c>
    </row>
    <row r="883" spans="1:10">
      <c r="A883" s="159" t="str">
        <f t="shared" si="66"/>
        <v>$E$1:$E$92</v>
      </c>
      <c r="B883" s="159" t="str">
        <f t="shared" si="67"/>
        <v>$F$1:$F$92</v>
      </c>
      <c r="C883" s="159" t="str">
        <f t="shared" si="68"/>
        <v>March!$E$1:$E$92</v>
      </c>
      <c r="D883" s="159" t="str">
        <f t="shared" si="69"/>
        <v>March!$F$1:$F$92</v>
      </c>
      <c r="E883" t="s">
        <v>4</v>
      </c>
      <c r="F883" t="s">
        <v>122</v>
      </c>
      <c r="G883" t="s">
        <v>142</v>
      </c>
      <c r="H883" t="s">
        <v>18</v>
      </c>
      <c r="I883" t="e">
        <f t="shared" ca="1" si="70"/>
        <v>#REF!</v>
      </c>
      <c r="J883" t="str">
        <f>VLOOKUP($G883,DefinitionArrays!$I$6:$J$12,2,FALSE)</f>
        <v>Workweek</v>
      </c>
    </row>
    <row r="884" spans="1:10">
      <c r="A884" s="159" t="str">
        <f t="shared" si="66"/>
        <v>$E$1:$E$92</v>
      </c>
      <c r="B884" s="159" t="str">
        <f t="shared" si="67"/>
        <v>$F$1:$F$92</v>
      </c>
      <c r="C884" s="159" t="str">
        <f t="shared" si="68"/>
        <v>March!$E$1:$E$92</v>
      </c>
      <c r="D884" s="159" t="str">
        <f t="shared" si="69"/>
        <v>March!$F$1:$F$92</v>
      </c>
      <c r="E884" t="s">
        <v>4</v>
      </c>
      <c r="F884" t="s">
        <v>122</v>
      </c>
      <c r="G884" t="s">
        <v>142</v>
      </c>
      <c r="H884" t="s">
        <v>153</v>
      </c>
      <c r="I884" t="e">
        <f t="shared" ca="1" si="70"/>
        <v>#REF!</v>
      </c>
      <c r="J884" t="str">
        <f>VLOOKUP($G884,DefinitionArrays!$I$6:$J$12,2,FALSE)</f>
        <v>Workweek</v>
      </c>
    </row>
    <row r="885" spans="1:10">
      <c r="A885" s="159" t="str">
        <f t="shared" si="66"/>
        <v>$E$1:$E$92</v>
      </c>
      <c r="B885" s="159" t="str">
        <f t="shared" si="67"/>
        <v>$F$1:$F$92</v>
      </c>
      <c r="C885" s="159" t="str">
        <f t="shared" si="68"/>
        <v>March!$E$1:$E$92</v>
      </c>
      <c r="D885" s="159" t="str">
        <f t="shared" si="69"/>
        <v>March!$F$1:$F$92</v>
      </c>
      <c r="E885" t="s">
        <v>4</v>
      </c>
      <c r="F885" t="s">
        <v>122</v>
      </c>
      <c r="G885" t="s">
        <v>142</v>
      </c>
      <c r="H885" t="s">
        <v>19</v>
      </c>
      <c r="I885" t="e">
        <f t="shared" ca="1" si="70"/>
        <v>#REF!</v>
      </c>
      <c r="J885" t="str">
        <f>VLOOKUP($G885,DefinitionArrays!$I$6:$J$12,2,FALSE)</f>
        <v>Workweek</v>
      </c>
    </row>
    <row r="886" spans="1:10">
      <c r="A886" s="159" t="str">
        <f t="shared" si="66"/>
        <v>$E$1:$E$92</v>
      </c>
      <c r="B886" s="159" t="str">
        <f t="shared" si="67"/>
        <v>$F$1:$F$92</v>
      </c>
      <c r="C886" s="159" t="str">
        <f t="shared" si="68"/>
        <v>March!$E$1:$E$92</v>
      </c>
      <c r="D886" s="159" t="str">
        <f t="shared" si="69"/>
        <v>March!$F$1:$F$92</v>
      </c>
      <c r="E886" t="s">
        <v>4</v>
      </c>
      <c r="F886" t="s">
        <v>122</v>
      </c>
      <c r="G886" t="s">
        <v>142</v>
      </c>
      <c r="H886" t="s">
        <v>20</v>
      </c>
      <c r="I886" t="e">
        <f t="shared" ca="1" si="70"/>
        <v>#REF!</v>
      </c>
      <c r="J886" t="str">
        <f>VLOOKUP($G886,DefinitionArrays!$I$6:$J$12,2,FALSE)</f>
        <v>Workweek</v>
      </c>
    </row>
    <row r="887" spans="1:10">
      <c r="A887" s="159" t="str">
        <f t="shared" si="66"/>
        <v>$E$1:$E$92</v>
      </c>
      <c r="B887" s="159" t="str">
        <f t="shared" si="67"/>
        <v>$F$1:$F$92</v>
      </c>
      <c r="C887" s="159" t="str">
        <f t="shared" si="68"/>
        <v>March!$E$1:$E$92</v>
      </c>
      <c r="D887" s="159" t="str">
        <f t="shared" si="69"/>
        <v>March!$F$1:$F$92</v>
      </c>
      <c r="E887" t="s">
        <v>4</v>
      </c>
      <c r="F887" t="s">
        <v>122</v>
      </c>
      <c r="G887" t="s">
        <v>142</v>
      </c>
      <c r="H887" t="s">
        <v>21</v>
      </c>
      <c r="I887" t="e">
        <f t="shared" ca="1" si="70"/>
        <v>#REF!</v>
      </c>
      <c r="J887" t="str">
        <f>VLOOKUP($G887,DefinitionArrays!$I$6:$J$12,2,FALSE)</f>
        <v>Workweek</v>
      </c>
    </row>
    <row r="888" spans="1:10">
      <c r="A888" s="159" t="str">
        <f t="shared" si="66"/>
        <v>$E$1:$E$92</v>
      </c>
      <c r="B888" s="159" t="str">
        <f t="shared" si="67"/>
        <v>$F$1:$F$92</v>
      </c>
      <c r="C888" s="159" t="str">
        <f t="shared" si="68"/>
        <v>March!$E$1:$E$92</v>
      </c>
      <c r="D888" s="159" t="str">
        <f t="shared" si="69"/>
        <v>March!$F$1:$F$92</v>
      </c>
      <c r="E888" t="s">
        <v>4</v>
      </c>
      <c r="F888" t="s">
        <v>122</v>
      </c>
      <c r="G888" t="s">
        <v>142</v>
      </c>
      <c r="H888" t="s">
        <v>22</v>
      </c>
      <c r="I888" t="e">
        <f t="shared" ca="1" si="70"/>
        <v>#REF!</v>
      </c>
      <c r="J888" t="str">
        <f>VLOOKUP($G888,DefinitionArrays!$I$6:$J$12,2,FALSE)</f>
        <v>Workweek</v>
      </c>
    </row>
    <row r="889" spans="1:10">
      <c r="A889" s="159" t="str">
        <f t="shared" si="66"/>
        <v>$E$1:$E$92</v>
      </c>
      <c r="B889" s="159" t="str">
        <f t="shared" si="67"/>
        <v>$F$1:$F$92</v>
      </c>
      <c r="C889" s="159" t="str">
        <f t="shared" si="68"/>
        <v>March!$E$1:$E$92</v>
      </c>
      <c r="D889" s="159" t="str">
        <f t="shared" si="69"/>
        <v>March!$F$1:$F$92</v>
      </c>
      <c r="E889" t="s">
        <v>4</v>
      </c>
      <c r="F889" t="s">
        <v>122</v>
      </c>
      <c r="G889" t="s">
        <v>142</v>
      </c>
      <c r="H889" t="s">
        <v>23</v>
      </c>
      <c r="I889" t="e">
        <f t="shared" ca="1" si="70"/>
        <v>#REF!</v>
      </c>
      <c r="J889" t="str">
        <f>VLOOKUP($G889,DefinitionArrays!$I$6:$J$12,2,FALSE)</f>
        <v>Workweek</v>
      </c>
    </row>
    <row r="890" spans="1:10">
      <c r="A890" s="159" t="str">
        <f t="shared" si="66"/>
        <v>$E$1:$E$92</v>
      </c>
      <c r="B890" s="159" t="str">
        <f t="shared" si="67"/>
        <v>$F$1:$F$92</v>
      </c>
      <c r="C890" s="159" t="str">
        <f t="shared" si="68"/>
        <v>March!$E$1:$E$92</v>
      </c>
      <c r="D890" s="159" t="str">
        <f t="shared" si="69"/>
        <v>March!$F$1:$F$92</v>
      </c>
      <c r="E890" t="s">
        <v>4</v>
      </c>
      <c r="F890" t="s">
        <v>122</v>
      </c>
      <c r="G890" t="s">
        <v>142</v>
      </c>
      <c r="H890" t="s">
        <v>24</v>
      </c>
      <c r="I890" t="e">
        <f t="shared" ca="1" si="70"/>
        <v>#REF!</v>
      </c>
      <c r="J890" t="str">
        <f>VLOOKUP($G890,DefinitionArrays!$I$6:$J$12,2,FALSE)</f>
        <v>Workweek</v>
      </c>
    </row>
    <row r="891" spans="1:10">
      <c r="A891" s="159" t="str">
        <f t="shared" si="66"/>
        <v>$E$1:$E$92</v>
      </c>
      <c r="B891" s="159" t="str">
        <f t="shared" si="67"/>
        <v>$F$1:$F$92</v>
      </c>
      <c r="C891" s="159" t="str">
        <f t="shared" si="68"/>
        <v>March!$E$1:$E$92</v>
      </c>
      <c r="D891" s="159" t="str">
        <f t="shared" si="69"/>
        <v>March!$F$1:$F$92</v>
      </c>
      <c r="E891" t="s">
        <v>4</v>
      </c>
      <c r="F891" t="s">
        <v>122</v>
      </c>
      <c r="G891" t="s">
        <v>142</v>
      </c>
      <c r="H891" t="s">
        <v>179</v>
      </c>
      <c r="I891" t="e">
        <f t="shared" ca="1" si="70"/>
        <v>#REF!</v>
      </c>
      <c r="J891" t="str">
        <f>VLOOKUP($G891,DefinitionArrays!$I$6:$J$12,2,FALSE)</f>
        <v>Workweek</v>
      </c>
    </row>
    <row r="892" spans="1:10">
      <c r="A892" s="159" t="str">
        <f t="shared" si="66"/>
        <v>$E$1:$E$92</v>
      </c>
      <c r="B892" s="159" t="str">
        <f t="shared" si="67"/>
        <v>$F$1:$F$92</v>
      </c>
      <c r="C892" s="159" t="str">
        <f t="shared" si="68"/>
        <v>March!$E$1:$E$92</v>
      </c>
      <c r="D892" s="159" t="str">
        <f t="shared" si="69"/>
        <v>March!$F$1:$F$92</v>
      </c>
      <c r="E892" t="s">
        <v>4</v>
      </c>
      <c r="F892" t="s">
        <v>122</v>
      </c>
      <c r="G892" t="s">
        <v>142</v>
      </c>
      <c r="H892" t="s">
        <v>180</v>
      </c>
      <c r="I892" t="e">
        <f t="shared" ca="1" si="70"/>
        <v>#REF!</v>
      </c>
      <c r="J892" t="str">
        <f>VLOOKUP($G892,DefinitionArrays!$I$6:$J$12,2,FALSE)</f>
        <v>Workweek</v>
      </c>
    </row>
    <row r="893" spans="1:10">
      <c r="A893" s="159" t="str">
        <f t="shared" si="66"/>
        <v>$E$1:$E$92</v>
      </c>
      <c r="B893" s="159" t="str">
        <f t="shared" si="67"/>
        <v>$F$1:$F$92</v>
      </c>
      <c r="C893" s="159" t="str">
        <f t="shared" si="68"/>
        <v>March!$E$1:$E$92</v>
      </c>
      <c r="D893" s="159" t="str">
        <f t="shared" si="69"/>
        <v>March!$F$1:$F$92</v>
      </c>
      <c r="E893" t="s">
        <v>4</v>
      </c>
      <c r="F893" t="s">
        <v>122</v>
      </c>
      <c r="G893" t="s">
        <v>142</v>
      </c>
      <c r="H893" t="s">
        <v>44</v>
      </c>
      <c r="I893" t="e">
        <f t="shared" ca="1" si="70"/>
        <v>#REF!</v>
      </c>
      <c r="J893" t="str">
        <f>VLOOKUP($G893,DefinitionArrays!$I$6:$J$12,2,FALSE)</f>
        <v>Workweek</v>
      </c>
    </row>
    <row r="894" spans="1:10">
      <c r="A894" s="159" t="str">
        <f t="shared" si="66"/>
        <v>$H$1:$H$92</v>
      </c>
      <c r="B894" s="159" t="str">
        <f t="shared" si="67"/>
        <v>$I$1:$I$92</v>
      </c>
      <c r="C894" s="159" t="str">
        <f t="shared" si="68"/>
        <v>March!$H$1:$H$92</v>
      </c>
      <c r="D894" s="159" t="str">
        <f t="shared" si="69"/>
        <v>March!$I$1:$I$92</v>
      </c>
      <c r="E894" t="s">
        <v>4</v>
      </c>
      <c r="F894" t="s">
        <v>122</v>
      </c>
      <c r="G894" t="s">
        <v>143</v>
      </c>
      <c r="H894" t="s">
        <v>159</v>
      </c>
      <c r="I894" t="e">
        <f t="shared" ca="1" si="70"/>
        <v>#REF!</v>
      </c>
      <c r="J894" t="str">
        <f>VLOOKUP($G894,DefinitionArrays!$I$6:$J$12,2,FALSE)</f>
        <v>Workweek</v>
      </c>
    </row>
    <row r="895" spans="1:10">
      <c r="A895" s="159" t="str">
        <f t="shared" si="66"/>
        <v>$H$1:$H$92</v>
      </c>
      <c r="B895" s="159" t="str">
        <f t="shared" si="67"/>
        <v>$I$1:$I$92</v>
      </c>
      <c r="C895" s="159" t="str">
        <f t="shared" si="68"/>
        <v>March!$H$1:$H$92</v>
      </c>
      <c r="D895" s="159" t="str">
        <f t="shared" si="69"/>
        <v>March!$I$1:$I$92</v>
      </c>
      <c r="E895" t="s">
        <v>4</v>
      </c>
      <c r="F895" t="s">
        <v>122</v>
      </c>
      <c r="G895" t="s">
        <v>143</v>
      </c>
      <c r="H895" t="s">
        <v>18</v>
      </c>
      <c r="I895" t="e">
        <f t="shared" ca="1" si="70"/>
        <v>#REF!</v>
      </c>
      <c r="J895" t="str">
        <f>VLOOKUP($G895,DefinitionArrays!$I$6:$J$12,2,FALSE)</f>
        <v>Workweek</v>
      </c>
    </row>
    <row r="896" spans="1:10">
      <c r="A896" s="159" t="str">
        <f t="shared" si="66"/>
        <v>$H$1:$H$92</v>
      </c>
      <c r="B896" s="159" t="str">
        <f t="shared" si="67"/>
        <v>$I$1:$I$92</v>
      </c>
      <c r="C896" s="159" t="str">
        <f t="shared" si="68"/>
        <v>March!$H$1:$H$92</v>
      </c>
      <c r="D896" s="159" t="str">
        <f t="shared" si="69"/>
        <v>March!$I$1:$I$92</v>
      </c>
      <c r="E896" t="s">
        <v>4</v>
      </c>
      <c r="F896" t="s">
        <v>122</v>
      </c>
      <c r="G896" t="s">
        <v>143</v>
      </c>
      <c r="H896" t="s">
        <v>153</v>
      </c>
      <c r="I896" t="e">
        <f t="shared" ca="1" si="70"/>
        <v>#REF!</v>
      </c>
      <c r="J896" t="str">
        <f>VLOOKUP($G896,DefinitionArrays!$I$6:$J$12,2,FALSE)</f>
        <v>Workweek</v>
      </c>
    </row>
    <row r="897" spans="1:10">
      <c r="A897" s="159" t="str">
        <f t="shared" si="66"/>
        <v>$H$1:$H$92</v>
      </c>
      <c r="B897" s="159" t="str">
        <f t="shared" si="67"/>
        <v>$I$1:$I$92</v>
      </c>
      <c r="C897" s="159" t="str">
        <f t="shared" si="68"/>
        <v>March!$H$1:$H$92</v>
      </c>
      <c r="D897" s="159" t="str">
        <f t="shared" si="69"/>
        <v>March!$I$1:$I$92</v>
      </c>
      <c r="E897" t="s">
        <v>4</v>
      </c>
      <c r="F897" t="s">
        <v>122</v>
      </c>
      <c r="G897" t="s">
        <v>143</v>
      </c>
      <c r="H897" t="s">
        <v>19</v>
      </c>
      <c r="I897" t="e">
        <f t="shared" ca="1" si="70"/>
        <v>#REF!</v>
      </c>
      <c r="J897" t="str">
        <f>VLOOKUP($G897,DefinitionArrays!$I$6:$J$12,2,FALSE)</f>
        <v>Workweek</v>
      </c>
    </row>
    <row r="898" spans="1:10">
      <c r="A898" s="159" t="str">
        <f t="shared" ref="A898:A961" si="71">VLOOKUP($G898,Fx_Code,2,FALSE)</f>
        <v>$H$1:$H$92</v>
      </c>
      <c r="B898" s="159" t="str">
        <f t="shared" ref="B898:B961" si="72">VLOOKUP($G898,Fx_Code,3,FALSE)</f>
        <v>$I$1:$I$92</v>
      </c>
      <c r="C898" s="159" t="str">
        <f t="shared" ref="C898:C961" si="73">CONCATENATE($F898,$K$1,A898)</f>
        <v>March!$H$1:$H$92</v>
      </c>
      <c r="D898" s="159" t="str">
        <f t="shared" ref="D898:D961" si="74">CONCATENATE($F898,$K$1,B898)</f>
        <v>March!$I$1:$I$92</v>
      </c>
      <c r="E898" t="s">
        <v>4</v>
      </c>
      <c r="F898" t="s">
        <v>122</v>
      </c>
      <c r="G898" t="s">
        <v>143</v>
      </c>
      <c r="H898" t="s">
        <v>20</v>
      </c>
      <c r="I898" t="e">
        <f t="shared" ca="1" si="70"/>
        <v>#REF!</v>
      </c>
      <c r="J898" t="str">
        <f>VLOOKUP($G898,DefinitionArrays!$I$6:$J$12,2,FALSE)</f>
        <v>Workweek</v>
      </c>
    </row>
    <row r="899" spans="1:10">
      <c r="A899" s="159" t="str">
        <f t="shared" si="71"/>
        <v>$H$1:$H$92</v>
      </c>
      <c r="B899" s="159" t="str">
        <f t="shared" si="72"/>
        <v>$I$1:$I$92</v>
      </c>
      <c r="C899" s="159" t="str">
        <f t="shared" si="73"/>
        <v>March!$H$1:$H$92</v>
      </c>
      <c r="D899" s="159" t="str">
        <f t="shared" si="74"/>
        <v>March!$I$1:$I$92</v>
      </c>
      <c r="E899" t="s">
        <v>4</v>
      </c>
      <c r="F899" t="s">
        <v>122</v>
      </c>
      <c r="G899" t="s">
        <v>143</v>
      </c>
      <c r="H899" t="s">
        <v>21</v>
      </c>
      <c r="I899" t="e">
        <f t="shared" ca="1" si="70"/>
        <v>#REF!</v>
      </c>
      <c r="J899" t="str">
        <f>VLOOKUP($G899,DefinitionArrays!$I$6:$J$12,2,FALSE)</f>
        <v>Workweek</v>
      </c>
    </row>
    <row r="900" spans="1:10">
      <c r="A900" s="159" t="str">
        <f t="shared" si="71"/>
        <v>$H$1:$H$92</v>
      </c>
      <c r="B900" s="159" t="str">
        <f t="shared" si="72"/>
        <v>$I$1:$I$92</v>
      </c>
      <c r="C900" s="159" t="str">
        <f t="shared" si="73"/>
        <v>March!$H$1:$H$92</v>
      </c>
      <c r="D900" s="159" t="str">
        <f t="shared" si="74"/>
        <v>March!$I$1:$I$92</v>
      </c>
      <c r="E900" t="s">
        <v>4</v>
      </c>
      <c r="F900" t="s">
        <v>122</v>
      </c>
      <c r="G900" t="s">
        <v>143</v>
      </c>
      <c r="H900" t="s">
        <v>22</v>
      </c>
      <c r="I900" t="e">
        <f t="shared" ca="1" si="70"/>
        <v>#REF!</v>
      </c>
      <c r="J900" t="str">
        <f>VLOOKUP($G900,DefinitionArrays!$I$6:$J$12,2,FALSE)</f>
        <v>Workweek</v>
      </c>
    </row>
    <row r="901" spans="1:10">
      <c r="A901" s="159" t="str">
        <f t="shared" si="71"/>
        <v>$H$1:$H$92</v>
      </c>
      <c r="B901" s="159" t="str">
        <f t="shared" si="72"/>
        <v>$I$1:$I$92</v>
      </c>
      <c r="C901" s="159" t="str">
        <f t="shared" si="73"/>
        <v>March!$H$1:$H$92</v>
      </c>
      <c r="D901" s="159" t="str">
        <f t="shared" si="74"/>
        <v>March!$I$1:$I$92</v>
      </c>
      <c r="E901" t="s">
        <v>4</v>
      </c>
      <c r="F901" t="s">
        <v>122</v>
      </c>
      <c r="G901" t="s">
        <v>143</v>
      </c>
      <c r="H901" t="s">
        <v>23</v>
      </c>
      <c r="I901" t="e">
        <f t="shared" ca="1" si="70"/>
        <v>#REF!</v>
      </c>
      <c r="J901" t="str">
        <f>VLOOKUP($G901,DefinitionArrays!$I$6:$J$12,2,FALSE)</f>
        <v>Workweek</v>
      </c>
    </row>
    <row r="902" spans="1:10">
      <c r="A902" s="159" t="str">
        <f t="shared" si="71"/>
        <v>$H$1:$H$92</v>
      </c>
      <c r="B902" s="159" t="str">
        <f t="shared" si="72"/>
        <v>$I$1:$I$92</v>
      </c>
      <c r="C902" s="159" t="str">
        <f t="shared" si="73"/>
        <v>March!$H$1:$H$92</v>
      </c>
      <c r="D902" s="159" t="str">
        <f t="shared" si="74"/>
        <v>March!$I$1:$I$92</v>
      </c>
      <c r="E902" t="s">
        <v>4</v>
      </c>
      <c r="F902" t="s">
        <v>122</v>
      </c>
      <c r="G902" t="s">
        <v>143</v>
      </c>
      <c r="H902" t="s">
        <v>24</v>
      </c>
      <c r="I902" t="e">
        <f t="shared" ca="1" si="70"/>
        <v>#REF!</v>
      </c>
      <c r="J902" t="str">
        <f>VLOOKUP($G902,DefinitionArrays!$I$6:$J$12,2,FALSE)</f>
        <v>Workweek</v>
      </c>
    </row>
    <row r="903" spans="1:10">
      <c r="A903" s="159" t="str">
        <f t="shared" si="71"/>
        <v>$H$1:$H$92</v>
      </c>
      <c r="B903" s="159" t="str">
        <f t="shared" si="72"/>
        <v>$I$1:$I$92</v>
      </c>
      <c r="C903" s="159" t="str">
        <f t="shared" si="73"/>
        <v>March!$H$1:$H$92</v>
      </c>
      <c r="D903" s="159" t="str">
        <f t="shared" si="74"/>
        <v>March!$I$1:$I$92</v>
      </c>
      <c r="E903" t="s">
        <v>4</v>
      </c>
      <c r="F903" t="s">
        <v>122</v>
      </c>
      <c r="G903" t="s">
        <v>143</v>
      </c>
      <c r="H903" t="s">
        <v>179</v>
      </c>
      <c r="I903" t="e">
        <f t="shared" ca="1" si="70"/>
        <v>#REF!</v>
      </c>
      <c r="J903" t="str">
        <f>VLOOKUP($G903,DefinitionArrays!$I$6:$J$12,2,FALSE)</f>
        <v>Workweek</v>
      </c>
    </row>
    <row r="904" spans="1:10">
      <c r="A904" s="159" t="str">
        <f t="shared" si="71"/>
        <v>$H$1:$H$92</v>
      </c>
      <c r="B904" s="159" t="str">
        <f t="shared" si="72"/>
        <v>$I$1:$I$92</v>
      </c>
      <c r="C904" s="159" t="str">
        <f t="shared" si="73"/>
        <v>March!$H$1:$H$92</v>
      </c>
      <c r="D904" s="159" t="str">
        <f t="shared" si="74"/>
        <v>March!$I$1:$I$92</v>
      </c>
      <c r="E904" t="s">
        <v>4</v>
      </c>
      <c r="F904" t="s">
        <v>122</v>
      </c>
      <c r="G904" t="s">
        <v>143</v>
      </c>
      <c r="H904" t="s">
        <v>180</v>
      </c>
      <c r="I904" t="e">
        <f t="shared" ca="1" si="70"/>
        <v>#REF!</v>
      </c>
      <c r="J904" t="str">
        <f>VLOOKUP($G904,DefinitionArrays!$I$6:$J$12,2,FALSE)</f>
        <v>Workweek</v>
      </c>
    </row>
    <row r="905" spans="1:10">
      <c r="A905" s="159" t="str">
        <f t="shared" si="71"/>
        <v>$H$1:$H$92</v>
      </c>
      <c r="B905" s="159" t="str">
        <f t="shared" si="72"/>
        <v>$I$1:$I$92</v>
      </c>
      <c r="C905" s="159" t="str">
        <f t="shared" si="73"/>
        <v>March!$H$1:$H$92</v>
      </c>
      <c r="D905" s="159" t="str">
        <f t="shared" si="74"/>
        <v>March!$I$1:$I$92</v>
      </c>
      <c r="E905" t="s">
        <v>4</v>
      </c>
      <c r="F905" t="s">
        <v>122</v>
      </c>
      <c r="G905" t="s">
        <v>143</v>
      </c>
      <c r="H905" t="s">
        <v>44</v>
      </c>
      <c r="I905" t="e">
        <f t="shared" ca="1" si="70"/>
        <v>#REF!</v>
      </c>
      <c r="J905" t="str">
        <f>VLOOKUP($G905,DefinitionArrays!$I$6:$J$12,2,FALSE)</f>
        <v>Workweek</v>
      </c>
    </row>
    <row r="906" spans="1:10">
      <c r="A906" s="159" t="str">
        <f t="shared" si="71"/>
        <v>$K$1:$K$92</v>
      </c>
      <c r="B906" s="159" t="str">
        <f t="shared" si="72"/>
        <v>$L$1:$L$92</v>
      </c>
      <c r="C906" s="159" t="str">
        <f t="shared" si="73"/>
        <v>March!$K$1:$K$92</v>
      </c>
      <c r="D906" s="159" t="str">
        <f t="shared" si="74"/>
        <v>March!$L$1:$L$92</v>
      </c>
      <c r="E906" t="s">
        <v>4</v>
      </c>
      <c r="F906" t="s">
        <v>122</v>
      </c>
      <c r="G906" t="s">
        <v>144</v>
      </c>
      <c r="H906" t="s">
        <v>159</v>
      </c>
      <c r="I906" t="e">
        <f t="shared" ca="1" si="70"/>
        <v>#REF!</v>
      </c>
      <c r="J906" t="str">
        <f>VLOOKUP($G906,DefinitionArrays!$I$6:$J$12,2,FALSE)</f>
        <v>Workweek</v>
      </c>
    </row>
    <row r="907" spans="1:10">
      <c r="A907" s="159" t="str">
        <f t="shared" si="71"/>
        <v>$K$1:$K$92</v>
      </c>
      <c r="B907" s="159" t="str">
        <f t="shared" si="72"/>
        <v>$L$1:$L$92</v>
      </c>
      <c r="C907" s="159" t="str">
        <f t="shared" si="73"/>
        <v>March!$K$1:$K$92</v>
      </c>
      <c r="D907" s="159" t="str">
        <f t="shared" si="74"/>
        <v>March!$L$1:$L$92</v>
      </c>
      <c r="E907" t="s">
        <v>4</v>
      </c>
      <c r="F907" t="s">
        <v>122</v>
      </c>
      <c r="G907" t="s">
        <v>144</v>
      </c>
      <c r="H907" t="s">
        <v>18</v>
      </c>
      <c r="I907" t="e">
        <f t="shared" ca="1" si="70"/>
        <v>#REF!</v>
      </c>
      <c r="J907" t="str">
        <f>VLOOKUP($G907,DefinitionArrays!$I$6:$J$12,2,FALSE)</f>
        <v>Workweek</v>
      </c>
    </row>
    <row r="908" spans="1:10">
      <c r="A908" s="159" t="str">
        <f t="shared" si="71"/>
        <v>$K$1:$K$92</v>
      </c>
      <c r="B908" s="159" t="str">
        <f t="shared" si="72"/>
        <v>$L$1:$L$92</v>
      </c>
      <c r="C908" s="159" t="str">
        <f t="shared" si="73"/>
        <v>March!$K$1:$K$92</v>
      </c>
      <c r="D908" s="159" t="str">
        <f t="shared" si="74"/>
        <v>March!$L$1:$L$92</v>
      </c>
      <c r="E908" t="s">
        <v>4</v>
      </c>
      <c r="F908" t="s">
        <v>122</v>
      </c>
      <c r="G908" t="s">
        <v>144</v>
      </c>
      <c r="H908" t="s">
        <v>153</v>
      </c>
      <c r="I908" t="e">
        <f t="shared" ca="1" si="70"/>
        <v>#REF!</v>
      </c>
      <c r="J908" t="str">
        <f>VLOOKUP($G908,DefinitionArrays!$I$6:$J$12,2,FALSE)</f>
        <v>Workweek</v>
      </c>
    </row>
    <row r="909" spans="1:10">
      <c r="A909" s="159" t="str">
        <f t="shared" si="71"/>
        <v>$K$1:$K$92</v>
      </c>
      <c r="B909" s="159" t="str">
        <f t="shared" si="72"/>
        <v>$L$1:$L$92</v>
      </c>
      <c r="C909" s="159" t="str">
        <f t="shared" si="73"/>
        <v>March!$K$1:$K$92</v>
      </c>
      <c r="D909" s="159" t="str">
        <f t="shared" si="74"/>
        <v>March!$L$1:$L$92</v>
      </c>
      <c r="E909" t="s">
        <v>4</v>
      </c>
      <c r="F909" t="s">
        <v>122</v>
      </c>
      <c r="G909" t="s">
        <v>144</v>
      </c>
      <c r="H909" t="s">
        <v>19</v>
      </c>
      <c r="I909" t="e">
        <f t="shared" ca="1" si="70"/>
        <v>#REF!</v>
      </c>
      <c r="J909" t="str">
        <f>VLOOKUP($G909,DefinitionArrays!$I$6:$J$12,2,FALSE)</f>
        <v>Workweek</v>
      </c>
    </row>
    <row r="910" spans="1:10">
      <c r="A910" s="159" t="str">
        <f t="shared" si="71"/>
        <v>$K$1:$K$92</v>
      </c>
      <c r="B910" s="159" t="str">
        <f t="shared" si="72"/>
        <v>$L$1:$L$92</v>
      </c>
      <c r="C910" s="159" t="str">
        <f t="shared" si="73"/>
        <v>March!$K$1:$K$92</v>
      </c>
      <c r="D910" s="159" t="str">
        <f t="shared" si="74"/>
        <v>March!$L$1:$L$92</v>
      </c>
      <c r="E910" t="s">
        <v>4</v>
      </c>
      <c r="F910" t="s">
        <v>122</v>
      </c>
      <c r="G910" t="s">
        <v>144</v>
      </c>
      <c r="H910" t="s">
        <v>20</v>
      </c>
      <c r="I910" t="e">
        <f t="shared" ca="1" si="70"/>
        <v>#REF!</v>
      </c>
      <c r="J910" t="str">
        <f>VLOOKUP($G910,DefinitionArrays!$I$6:$J$12,2,FALSE)</f>
        <v>Workweek</v>
      </c>
    </row>
    <row r="911" spans="1:10">
      <c r="A911" s="159" t="str">
        <f t="shared" si="71"/>
        <v>$K$1:$K$92</v>
      </c>
      <c r="B911" s="159" t="str">
        <f t="shared" si="72"/>
        <v>$L$1:$L$92</v>
      </c>
      <c r="C911" s="159" t="str">
        <f t="shared" si="73"/>
        <v>March!$K$1:$K$92</v>
      </c>
      <c r="D911" s="159" t="str">
        <f t="shared" si="74"/>
        <v>March!$L$1:$L$92</v>
      </c>
      <c r="E911" t="s">
        <v>4</v>
      </c>
      <c r="F911" t="s">
        <v>122</v>
      </c>
      <c r="G911" t="s">
        <v>144</v>
      </c>
      <c r="H911" t="s">
        <v>21</v>
      </c>
      <c r="I911" t="e">
        <f t="shared" ca="1" si="70"/>
        <v>#REF!</v>
      </c>
      <c r="J911" t="str">
        <f>VLOOKUP($G911,DefinitionArrays!$I$6:$J$12,2,FALSE)</f>
        <v>Workweek</v>
      </c>
    </row>
    <row r="912" spans="1:10">
      <c r="A912" s="159" t="str">
        <f t="shared" si="71"/>
        <v>$K$1:$K$92</v>
      </c>
      <c r="B912" s="159" t="str">
        <f t="shared" si="72"/>
        <v>$L$1:$L$92</v>
      </c>
      <c r="C912" s="159" t="str">
        <f t="shared" si="73"/>
        <v>March!$K$1:$K$92</v>
      </c>
      <c r="D912" s="159" t="str">
        <f t="shared" si="74"/>
        <v>March!$L$1:$L$92</v>
      </c>
      <c r="E912" t="s">
        <v>4</v>
      </c>
      <c r="F912" t="s">
        <v>122</v>
      </c>
      <c r="G912" t="s">
        <v>144</v>
      </c>
      <c r="H912" t="s">
        <v>22</v>
      </c>
      <c r="I912" t="e">
        <f t="shared" ca="1" si="70"/>
        <v>#REF!</v>
      </c>
      <c r="J912" t="str">
        <f>VLOOKUP($G912,DefinitionArrays!$I$6:$J$12,2,FALSE)</f>
        <v>Workweek</v>
      </c>
    </row>
    <row r="913" spans="1:10">
      <c r="A913" s="159" t="str">
        <f t="shared" si="71"/>
        <v>$K$1:$K$92</v>
      </c>
      <c r="B913" s="159" t="str">
        <f t="shared" si="72"/>
        <v>$L$1:$L$92</v>
      </c>
      <c r="C913" s="159" t="str">
        <f t="shared" si="73"/>
        <v>March!$K$1:$K$92</v>
      </c>
      <c r="D913" s="159" t="str">
        <f t="shared" si="74"/>
        <v>March!$L$1:$L$92</v>
      </c>
      <c r="E913" t="s">
        <v>4</v>
      </c>
      <c r="F913" t="s">
        <v>122</v>
      </c>
      <c r="G913" t="s">
        <v>144</v>
      </c>
      <c r="H913" t="s">
        <v>23</v>
      </c>
      <c r="I913" t="e">
        <f t="shared" ca="1" si="70"/>
        <v>#REF!</v>
      </c>
      <c r="J913" t="str">
        <f>VLOOKUP($G913,DefinitionArrays!$I$6:$J$12,2,FALSE)</f>
        <v>Workweek</v>
      </c>
    </row>
    <row r="914" spans="1:10">
      <c r="A914" s="159" t="str">
        <f t="shared" si="71"/>
        <v>$K$1:$K$92</v>
      </c>
      <c r="B914" s="159" t="str">
        <f t="shared" si="72"/>
        <v>$L$1:$L$92</v>
      </c>
      <c r="C914" s="159" t="str">
        <f t="shared" si="73"/>
        <v>March!$K$1:$K$92</v>
      </c>
      <c r="D914" s="159" t="str">
        <f t="shared" si="74"/>
        <v>March!$L$1:$L$92</v>
      </c>
      <c r="E914" t="s">
        <v>4</v>
      </c>
      <c r="F914" t="s">
        <v>122</v>
      </c>
      <c r="G914" t="s">
        <v>144</v>
      </c>
      <c r="H914" t="s">
        <v>24</v>
      </c>
      <c r="I914" t="e">
        <f t="shared" ca="1" si="70"/>
        <v>#REF!</v>
      </c>
      <c r="J914" t="str">
        <f>VLOOKUP($G914,DefinitionArrays!$I$6:$J$12,2,FALSE)</f>
        <v>Workweek</v>
      </c>
    </row>
    <row r="915" spans="1:10">
      <c r="A915" s="159" t="str">
        <f t="shared" si="71"/>
        <v>$K$1:$K$92</v>
      </c>
      <c r="B915" s="159" t="str">
        <f t="shared" si="72"/>
        <v>$L$1:$L$92</v>
      </c>
      <c r="C915" s="159" t="str">
        <f t="shared" si="73"/>
        <v>March!$K$1:$K$92</v>
      </c>
      <c r="D915" s="159" t="str">
        <f t="shared" si="74"/>
        <v>March!$L$1:$L$92</v>
      </c>
      <c r="E915" t="s">
        <v>4</v>
      </c>
      <c r="F915" t="s">
        <v>122</v>
      </c>
      <c r="G915" t="s">
        <v>144</v>
      </c>
      <c r="H915" t="s">
        <v>179</v>
      </c>
      <c r="I915" t="e">
        <f t="shared" ca="1" si="70"/>
        <v>#REF!</v>
      </c>
      <c r="J915" t="str">
        <f>VLOOKUP($G915,DefinitionArrays!$I$6:$J$12,2,FALSE)</f>
        <v>Workweek</v>
      </c>
    </row>
    <row r="916" spans="1:10">
      <c r="A916" s="159" t="str">
        <f t="shared" si="71"/>
        <v>$K$1:$K$92</v>
      </c>
      <c r="B916" s="159" t="str">
        <f t="shared" si="72"/>
        <v>$L$1:$L$92</v>
      </c>
      <c r="C916" s="159" t="str">
        <f t="shared" si="73"/>
        <v>March!$K$1:$K$92</v>
      </c>
      <c r="D916" s="159" t="str">
        <f t="shared" si="74"/>
        <v>March!$L$1:$L$92</v>
      </c>
      <c r="E916" t="s">
        <v>4</v>
      </c>
      <c r="F916" t="s">
        <v>122</v>
      </c>
      <c r="G916" t="s">
        <v>144</v>
      </c>
      <c r="H916" t="s">
        <v>180</v>
      </c>
      <c r="I916" t="e">
        <f t="shared" ca="1" si="70"/>
        <v>#REF!</v>
      </c>
      <c r="J916" t="str">
        <f>VLOOKUP($G916,DefinitionArrays!$I$6:$J$12,2,FALSE)</f>
        <v>Workweek</v>
      </c>
    </row>
    <row r="917" spans="1:10">
      <c r="A917" s="159" t="str">
        <f t="shared" si="71"/>
        <v>$K$1:$K$92</v>
      </c>
      <c r="B917" s="159" t="str">
        <f t="shared" si="72"/>
        <v>$L$1:$L$92</v>
      </c>
      <c r="C917" s="159" t="str">
        <f t="shared" si="73"/>
        <v>March!$K$1:$K$92</v>
      </c>
      <c r="D917" s="159" t="str">
        <f t="shared" si="74"/>
        <v>March!$L$1:$L$92</v>
      </c>
      <c r="E917" t="s">
        <v>4</v>
      </c>
      <c r="F917" t="s">
        <v>122</v>
      </c>
      <c r="G917" t="s">
        <v>144</v>
      </c>
      <c r="H917" t="s">
        <v>44</v>
      </c>
      <c r="I917" t="e">
        <f t="shared" ca="1" si="70"/>
        <v>#REF!</v>
      </c>
      <c r="J917" t="str">
        <f>VLOOKUP($G917,DefinitionArrays!$I$6:$J$12,2,FALSE)</f>
        <v>Workweek</v>
      </c>
    </row>
    <row r="918" spans="1:10">
      <c r="A918" s="159" t="str">
        <f t="shared" si="71"/>
        <v>$N$1:$N$92</v>
      </c>
      <c r="B918" s="159" t="str">
        <f t="shared" si="72"/>
        <v>$O$1:$O$92</v>
      </c>
      <c r="C918" s="159" t="str">
        <f t="shared" si="73"/>
        <v>March!$N$1:$N$92</v>
      </c>
      <c r="D918" s="159" t="str">
        <f t="shared" si="74"/>
        <v>March!$O$1:$O$92</v>
      </c>
      <c r="E918" t="s">
        <v>4</v>
      </c>
      <c r="F918" t="s">
        <v>122</v>
      </c>
      <c r="G918" t="s">
        <v>145</v>
      </c>
      <c r="H918" t="s">
        <v>159</v>
      </c>
      <c r="I918" t="e">
        <f t="shared" ca="1" si="70"/>
        <v>#REF!</v>
      </c>
      <c r="J918" t="str">
        <f>VLOOKUP($G918,DefinitionArrays!$I$6:$J$12,2,FALSE)</f>
        <v>Weekend</v>
      </c>
    </row>
    <row r="919" spans="1:10">
      <c r="A919" s="159" t="str">
        <f t="shared" si="71"/>
        <v>$N$1:$N$92</v>
      </c>
      <c r="B919" s="159" t="str">
        <f t="shared" si="72"/>
        <v>$O$1:$O$92</v>
      </c>
      <c r="C919" s="159" t="str">
        <f t="shared" si="73"/>
        <v>March!$N$1:$N$92</v>
      </c>
      <c r="D919" s="159" t="str">
        <f t="shared" si="74"/>
        <v>March!$O$1:$O$92</v>
      </c>
      <c r="E919" t="s">
        <v>4</v>
      </c>
      <c r="F919" t="s">
        <v>122</v>
      </c>
      <c r="G919" t="s">
        <v>145</v>
      </c>
      <c r="H919" t="s">
        <v>18</v>
      </c>
      <c r="I919" t="e">
        <f t="shared" ca="1" si="70"/>
        <v>#REF!</v>
      </c>
      <c r="J919" t="str">
        <f>VLOOKUP($G919,DefinitionArrays!$I$6:$J$12,2,FALSE)</f>
        <v>Weekend</v>
      </c>
    </row>
    <row r="920" spans="1:10">
      <c r="A920" s="159" t="str">
        <f t="shared" si="71"/>
        <v>$N$1:$N$92</v>
      </c>
      <c r="B920" s="159" t="str">
        <f t="shared" si="72"/>
        <v>$O$1:$O$92</v>
      </c>
      <c r="C920" s="159" t="str">
        <f t="shared" si="73"/>
        <v>March!$N$1:$N$92</v>
      </c>
      <c r="D920" s="159" t="str">
        <f t="shared" si="74"/>
        <v>March!$O$1:$O$92</v>
      </c>
      <c r="E920" t="s">
        <v>4</v>
      </c>
      <c r="F920" t="s">
        <v>122</v>
      </c>
      <c r="G920" t="s">
        <v>145</v>
      </c>
      <c r="H920" t="s">
        <v>153</v>
      </c>
      <c r="I920" t="e">
        <f t="shared" ca="1" si="70"/>
        <v>#REF!</v>
      </c>
      <c r="J920" t="str">
        <f>VLOOKUP($G920,DefinitionArrays!$I$6:$J$12,2,FALSE)</f>
        <v>Weekend</v>
      </c>
    </row>
    <row r="921" spans="1:10">
      <c r="A921" s="159" t="str">
        <f t="shared" si="71"/>
        <v>$N$1:$N$92</v>
      </c>
      <c r="B921" s="159" t="str">
        <f t="shared" si="72"/>
        <v>$O$1:$O$92</v>
      </c>
      <c r="C921" s="159" t="str">
        <f t="shared" si="73"/>
        <v>March!$N$1:$N$92</v>
      </c>
      <c r="D921" s="159" t="str">
        <f t="shared" si="74"/>
        <v>March!$O$1:$O$92</v>
      </c>
      <c r="E921" t="s">
        <v>4</v>
      </c>
      <c r="F921" t="s">
        <v>122</v>
      </c>
      <c r="G921" t="s">
        <v>145</v>
      </c>
      <c r="H921" t="s">
        <v>19</v>
      </c>
      <c r="I921" t="e">
        <f t="shared" ca="1" si="70"/>
        <v>#REF!</v>
      </c>
      <c r="J921" t="str">
        <f>VLOOKUP($G921,DefinitionArrays!$I$6:$J$12,2,FALSE)</f>
        <v>Weekend</v>
      </c>
    </row>
    <row r="922" spans="1:10">
      <c r="A922" s="159" t="str">
        <f t="shared" si="71"/>
        <v>$N$1:$N$92</v>
      </c>
      <c r="B922" s="159" t="str">
        <f t="shared" si="72"/>
        <v>$O$1:$O$92</v>
      </c>
      <c r="C922" s="159" t="str">
        <f t="shared" si="73"/>
        <v>March!$N$1:$N$92</v>
      </c>
      <c r="D922" s="159" t="str">
        <f t="shared" si="74"/>
        <v>March!$O$1:$O$92</v>
      </c>
      <c r="E922" t="s">
        <v>4</v>
      </c>
      <c r="F922" t="s">
        <v>122</v>
      </c>
      <c r="G922" t="s">
        <v>145</v>
      </c>
      <c r="H922" t="s">
        <v>20</v>
      </c>
      <c r="I922" t="e">
        <f t="shared" ca="1" si="70"/>
        <v>#REF!</v>
      </c>
      <c r="J922" t="str">
        <f>VLOOKUP($G922,DefinitionArrays!$I$6:$J$12,2,FALSE)</f>
        <v>Weekend</v>
      </c>
    </row>
    <row r="923" spans="1:10">
      <c r="A923" s="159" t="str">
        <f t="shared" si="71"/>
        <v>$N$1:$N$92</v>
      </c>
      <c r="B923" s="159" t="str">
        <f t="shared" si="72"/>
        <v>$O$1:$O$92</v>
      </c>
      <c r="C923" s="159" t="str">
        <f t="shared" si="73"/>
        <v>March!$N$1:$N$92</v>
      </c>
      <c r="D923" s="159" t="str">
        <f t="shared" si="74"/>
        <v>March!$O$1:$O$92</v>
      </c>
      <c r="E923" t="s">
        <v>4</v>
      </c>
      <c r="F923" t="s">
        <v>122</v>
      </c>
      <c r="G923" t="s">
        <v>145</v>
      </c>
      <c r="H923" t="s">
        <v>21</v>
      </c>
      <c r="I923" t="e">
        <f t="shared" ca="1" si="70"/>
        <v>#REF!</v>
      </c>
      <c r="J923" t="str">
        <f>VLOOKUP($G923,DefinitionArrays!$I$6:$J$12,2,FALSE)</f>
        <v>Weekend</v>
      </c>
    </row>
    <row r="924" spans="1:10">
      <c r="A924" s="159" t="str">
        <f t="shared" si="71"/>
        <v>$N$1:$N$92</v>
      </c>
      <c r="B924" s="159" t="str">
        <f t="shared" si="72"/>
        <v>$O$1:$O$92</v>
      </c>
      <c r="C924" s="159" t="str">
        <f t="shared" si="73"/>
        <v>March!$N$1:$N$92</v>
      </c>
      <c r="D924" s="159" t="str">
        <f t="shared" si="74"/>
        <v>March!$O$1:$O$92</v>
      </c>
      <c r="E924" t="s">
        <v>4</v>
      </c>
      <c r="F924" t="s">
        <v>122</v>
      </c>
      <c r="G924" t="s">
        <v>145</v>
      </c>
      <c r="H924" t="s">
        <v>22</v>
      </c>
      <c r="I924" t="e">
        <f t="shared" ca="1" si="70"/>
        <v>#REF!</v>
      </c>
      <c r="J924" t="str">
        <f>VLOOKUP($G924,DefinitionArrays!$I$6:$J$12,2,FALSE)</f>
        <v>Weekend</v>
      </c>
    </row>
    <row r="925" spans="1:10">
      <c r="A925" s="159" t="str">
        <f t="shared" si="71"/>
        <v>$N$1:$N$92</v>
      </c>
      <c r="B925" s="159" t="str">
        <f t="shared" si="72"/>
        <v>$O$1:$O$92</v>
      </c>
      <c r="C925" s="159" t="str">
        <f t="shared" si="73"/>
        <v>March!$N$1:$N$92</v>
      </c>
      <c r="D925" s="159" t="str">
        <f t="shared" si="74"/>
        <v>March!$O$1:$O$92</v>
      </c>
      <c r="E925" t="s">
        <v>4</v>
      </c>
      <c r="F925" t="s">
        <v>122</v>
      </c>
      <c r="G925" t="s">
        <v>145</v>
      </c>
      <c r="H925" t="s">
        <v>23</v>
      </c>
      <c r="I925" t="e">
        <f t="shared" ca="1" si="70"/>
        <v>#REF!</v>
      </c>
      <c r="J925" t="str">
        <f>VLOOKUP($G925,DefinitionArrays!$I$6:$J$12,2,FALSE)</f>
        <v>Weekend</v>
      </c>
    </row>
    <row r="926" spans="1:10">
      <c r="A926" s="159" t="str">
        <f t="shared" si="71"/>
        <v>$N$1:$N$92</v>
      </c>
      <c r="B926" s="159" t="str">
        <f t="shared" si="72"/>
        <v>$O$1:$O$92</v>
      </c>
      <c r="C926" s="159" t="str">
        <f t="shared" si="73"/>
        <v>March!$N$1:$N$92</v>
      </c>
      <c r="D926" s="159" t="str">
        <f t="shared" si="74"/>
        <v>March!$O$1:$O$92</v>
      </c>
      <c r="E926" t="s">
        <v>4</v>
      </c>
      <c r="F926" t="s">
        <v>122</v>
      </c>
      <c r="G926" t="s">
        <v>145</v>
      </c>
      <c r="H926" t="s">
        <v>24</v>
      </c>
      <c r="I926" t="e">
        <f t="shared" ca="1" si="70"/>
        <v>#REF!</v>
      </c>
      <c r="J926" t="str">
        <f>VLOOKUP($G926,DefinitionArrays!$I$6:$J$12,2,FALSE)</f>
        <v>Weekend</v>
      </c>
    </row>
    <row r="927" spans="1:10">
      <c r="A927" s="159" t="str">
        <f t="shared" si="71"/>
        <v>$N$1:$N$92</v>
      </c>
      <c r="B927" s="159" t="str">
        <f t="shared" si="72"/>
        <v>$O$1:$O$92</v>
      </c>
      <c r="C927" s="159" t="str">
        <f t="shared" si="73"/>
        <v>March!$N$1:$N$92</v>
      </c>
      <c r="D927" s="159" t="str">
        <f t="shared" si="74"/>
        <v>March!$O$1:$O$92</v>
      </c>
      <c r="E927" t="s">
        <v>4</v>
      </c>
      <c r="F927" t="s">
        <v>122</v>
      </c>
      <c r="G927" t="s">
        <v>145</v>
      </c>
      <c r="H927" t="s">
        <v>179</v>
      </c>
      <c r="I927" t="e">
        <f t="shared" ca="1" si="70"/>
        <v>#REF!</v>
      </c>
      <c r="J927" t="str">
        <f>VLOOKUP($G927,DefinitionArrays!$I$6:$J$12,2,FALSE)</f>
        <v>Weekend</v>
      </c>
    </row>
    <row r="928" spans="1:10">
      <c r="A928" s="159" t="str">
        <f t="shared" si="71"/>
        <v>$N$1:$N$92</v>
      </c>
      <c r="B928" s="159" t="str">
        <f t="shared" si="72"/>
        <v>$O$1:$O$92</v>
      </c>
      <c r="C928" s="159" t="str">
        <f t="shared" si="73"/>
        <v>March!$N$1:$N$92</v>
      </c>
      <c r="D928" s="159" t="str">
        <f t="shared" si="74"/>
        <v>March!$O$1:$O$92</v>
      </c>
      <c r="E928" t="s">
        <v>4</v>
      </c>
      <c r="F928" t="s">
        <v>122</v>
      </c>
      <c r="G928" t="s">
        <v>145</v>
      </c>
      <c r="H928" t="s">
        <v>180</v>
      </c>
      <c r="I928" t="e">
        <f t="shared" ca="1" si="70"/>
        <v>#REF!</v>
      </c>
      <c r="J928" t="str">
        <f>VLOOKUP($G928,DefinitionArrays!$I$6:$J$12,2,FALSE)</f>
        <v>Weekend</v>
      </c>
    </row>
    <row r="929" spans="1:10">
      <c r="A929" s="159" t="str">
        <f t="shared" si="71"/>
        <v>$N$1:$N$92</v>
      </c>
      <c r="B929" s="159" t="str">
        <f t="shared" si="72"/>
        <v>$O$1:$O$92</v>
      </c>
      <c r="C929" s="159" t="str">
        <f t="shared" si="73"/>
        <v>March!$N$1:$N$92</v>
      </c>
      <c r="D929" s="159" t="str">
        <f t="shared" si="74"/>
        <v>March!$O$1:$O$92</v>
      </c>
      <c r="E929" t="s">
        <v>4</v>
      </c>
      <c r="F929" t="s">
        <v>122</v>
      </c>
      <c r="G929" t="s">
        <v>145</v>
      </c>
      <c r="H929" t="s">
        <v>44</v>
      </c>
      <c r="I929" t="e">
        <f t="shared" ca="1" si="70"/>
        <v>#REF!</v>
      </c>
      <c r="J929" t="str">
        <f>VLOOKUP($G929,DefinitionArrays!$I$6:$J$12,2,FALSE)</f>
        <v>Weekend</v>
      </c>
    </row>
    <row r="930" spans="1:10">
      <c r="A930" s="159" t="str">
        <f t="shared" si="71"/>
        <v>$Q$1:$Q$92</v>
      </c>
      <c r="B930" s="159" t="str">
        <f t="shared" si="72"/>
        <v>$R$1:$R$92</v>
      </c>
      <c r="C930" s="159" t="str">
        <f t="shared" si="73"/>
        <v>March!$Q$1:$Q$92</v>
      </c>
      <c r="D930" s="159" t="str">
        <f t="shared" si="74"/>
        <v>March!$R$1:$R$92</v>
      </c>
      <c r="E930" t="s">
        <v>4</v>
      </c>
      <c r="F930" t="s">
        <v>122</v>
      </c>
      <c r="G930" t="s">
        <v>146</v>
      </c>
      <c r="H930" t="s">
        <v>159</v>
      </c>
      <c r="I930" t="e">
        <f t="shared" ca="1" si="70"/>
        <v>#REF!</v>
      </c>
      <c r="J930" t="str">
        <f>VLOOKUP($G930,DefinitionArrays!$I$6:$J$12,2,FALSE)</f>
        <v>Weekend</v>
      </c>
    </row>
    <row r="931" spans="1:10">
      <c r="A931" s="159" t="str">
        <f t="shared" si="71"/>
        <v>$T$1:$T$92</v>
      </c>
      <c r="B931" s="159" t="str">
        <f t="shared" si="72"/>
        <v>$U$1:$U$92</v>
      </c>
      <c r="C931" s="159" t="str">
        <f t="shared" si="73"/>
        <v>March!$T$1:$T$92</v>
      </c>
      <c r="D931" s="159" t="str">
        <f t="shared" si="74"/>
        <v>March!$U$1:$U$92</v>
      </c>
      <c r="E931" t="s">
        <v>4</v>
      </c>
      <c r="F931" t="s">
        <v>122</v>
      </c>
      <c r="G931" t="s">
        <v>141</v>
      </c>
      <c r="H931" t="s">
        <v>159</v>
      </c>
      <c r="I931" t="e">
        <f t="shared" ca="1" si="70"/>
        <v>#REF!</v>
      </c>
      <c r="J931" t="str">
        <f>VLOOKUP($G931,DefinitionArrays!$I$6:$J$12,2,FALSE)</f>
        <v>Weekend</v>
      </c>
    </row>
    <row r="932" spans="1:10">
      <c r="A932" s="159" t="str">
        <f t="shared" si="71"/>
        <v>$B$1:$B$92</v>
      </c>
      <c r="B932" s="159" t="str">
        <f t="shared" si="72"/>
        <v>$C$1:$C$92</v>
      </c>
      <c r="C932" s="159" t="str">
        <f t="shared" si="73"/>
        <v>April!$B$1:$B$92</v>
      </c>
      <c r="D932" s="159" t="str">
        <f t="shared" si="74"/>
        <v>April!$C$1:$C$92</v>
      </c>
      <c r="E932" t="s">
        <v>4</v>
      </c>
      <c r="F932" t="s">
        <v>123</v>
      </c>
      <c r="G932" t="s">
        <v>13</v>
      </c>
      <c r="H932" t="s">
        <v>159</v>
      </c>
      <c r="I932" t="e">
        <f ca="1">COUNTIFS(INDIRECT($C932),$E932,INDIRECT($D932),$H932)</f>
        <v>#REF!</v>
      </c>
      <c r="J932" t="str">
        <f>VLOOKUP($G932,DefinitionArrays!$I$6:$J$12,2,FALSE)</f>
        <v>Workweek</v>
      </c>
    </row>
    <row r="933" spans="1:10">
      <c r="A933" s="159" t="str">
        <f t="shared" si="71"/>
        <v>$B$1:$B$92</v>
      </c>
      <c r="B933" s="159" t="str">
        <f t="shared" si="72"/>
        <v>$C$1:$C$92</v>
      </c>
      <c r="C933" s="159" t="str">
        <f t="shared" si="73"/>
        <v>April!$B$1:$B$92</v>
      </c>
      <c r="D933" s="159" t="str">
        <f t="shared" si="74"/>
        <v>April!$C$1:$C$92</v>
      </c>
      <c r="E933" t="s">
        <v>4</v>
      </c>
      <c r="F933" t="s">
        <v>123</v>
      </c>
      <c r="G933" t="s">
        <v>13</v>
      </c>
      <c r="H933" t="s">
        <v>18</v>
      </c>
      <c r="I933" t="e">
        <f t="shared" ref="I933:I993" ca="1" si="75">COUNTIFS(INDIRECT($C933),$E933,INDIRECT($D933),$H933)</f>
        <v>#REF!</v>
      </c>
      <c r="J933" t="str">
        <f>VLOOKUP($G933,DefinitionArrays!$I$6:$J$12,2,FALSE)</f>
        <v>Workweek</v>
      </c>
    </row>
    <row r="934" spans="1:10">
      <c r="A934" s="159" t="str">
        <f t="shared" si="71"/>
        <v>$B$1:$B$92</v>
      </c>
      <c r="B934" s="159" t="str">
        <f t="shared" si="72"/>
        <v>$C$1:$C$92</v>
      </c>
      <c r="C934" s="159" t="str">
        <f t="shared" si="73"/>
        <v>April!$B$1:$B$92</v>
      </c>
      <c r="D934" s="159" t="str">
        <f t="shared" si="74"/>
        <v>April!$C$1:$C$92</v>
      </c>
      <c r="E934" t="s">
        <v>4</v>
      </c>
      <c r="F934" t="s">
        <v>123</v>
      </c>
      <c r="G934" t="s">
        <v>13</v>
      </c>
      <c r="H934" t="s">
        <v>153</v>
      </c>
      <c r="I934" t="e">
        <f t="shared" ca="1" si="75"/>
        <v>#REF!</v>
      </c>
      <c r="J934" t="str">
        <f>VLOOKUP($G934,DefinitionArrays!$I$6:$J$12,2,FALSE)</f>
        <v>Workweek</v>
      </c>
    </row>
    <row r="935" spans="1:10">
      <c r="A935" s="159" t="str">
        <f t="shared" si="71"/>
        <v>$B$1:$B$92</v>
      </c>
      <c r="B935" s="159" t="str">
        <f t="shared" si="72"/>
        <v>$C$1:$C$92</v>
      </c>
      <c r="C935" s="159" t="str">
        <f t="shared" si="73"/>
        <v>April!$B$1:$B$92</v>
      </c>
      <c r="D935" s="159" t="str">
        <f t="shared" si="74"/>
        <v>April!$C$1:$C$92</v>
      </c>
      <c r="E935" t="s">
        <v>4</v>
      </c>
      <c r="F935" t="s">
        <v>123</v>
      </c>
      <c r="G935" t="s">
        <v>13</v>
      </c>
      <c r="H935" t="s">
        <v>19</v>
      </c>
      <c r="I935" t="e">
        <f t="shared" ca="1" si="75"/>
        <v>#REF!</v>
      </c>
      <c r="J935" t="str">
        <f>VLOOKUP($G935,DefinitionArrays!$I$6:$J$12,2,FALSE)</f>
        <v>Workweek</v>
      </c>
    </row>
    <row r="936" spans="1:10">
      <c r="A936" s="159" t="str">
        <f t="shared" si="71"/>
        <v>$B$1:$B$92</v>
      </c>
      <c r="B936" s="159" t="str">
        <f t="shared" si="72"/>
        <v>$C$1:$C$92</v>
      </c>
      <c r="C936" s="159" t="str">
        <f t="shared" si="73"/>
        <v>April!$B$1:$B$92</v>
      </c>
      <c r="D936" s="159" t="str">
        <f t="shared" si="74"/>
        <v>April!$C$1:$C$92</v>
      </c>
      <c r="E936" t="s">
        <v>4</v>
      </c>
      <c r="F936" t="s">
        <v>123</v>
      </c>
      <c r="G936" t="s">
        <v>13</v>
      </c>
      <c r="H936" t="s">
        <v>20</v>
      </c>
      <c r="I936" t="e">
        <f t="shared" ca="1" si="75"/>
        <v>#REF!</v>
      </c>
      <c r="J936" t="str">
        <f>VLOOKUP($G936,DefinitionArrays!$I$6:$J$12,2,FALSE)</f>
        <v>Workweek</v>
      </c>
    </row>
    <row r="937" spans="1:10">
      <c r="A937" s="159" t="str">
        <f t="shared" si="71"/>
        <v>$B$1:$B$92</v>
      </c>
      <c r="B937" s="159" t="str">
        <f t="shared" si="72"/>
        <v>$C$1:$C$92</v>
      </c>
      <c r="C937" s="159" t="str">
        <f t="shared" si="73"/>
        <v>April!$B$1:$B$92</v>
      </c>
      <c r="D937" s="159" t="str">
        <f t="shared" si="74"/>
        <v>April!$C$1:$C$92</v>
      </c>
      <c r="E937" t="s">
        <v>4</v>
      </c>
      <c r="F937" t="s">
        <v>123</v>
      </c>
      <c r="G937" t="s">
        <v>13</v>
      </c>
      <c r="H937" t="s">
        <v>21</v>
      </c>
      <c r="I937" t="e">
        <f t="shared" ca="1" si="75"/>
        <v>#REF!</v>
      </c>
      <c r="J937" t="str">
        <f>VLOOKUP($G937,DefinitionArrays!$I$6:$J$12,2,FALSE)</f>
        <v>Workweek</v>
      </c>
    </row>
    <row r="938" spans="1:10">
      <c r="A938" s="159" t="str">
        <f t="shared" si="71"/>
        <v>$B$1:$B$92</v>
      </c>
      <c r="B938" s="159" t="str">
        <f t="shared" si="72"/>
        <v>$C$1:$C$92</v>
      </c>
      <c r="C938" s="159" t="str">
        <f t="shared" si="73"/>
        <v>April!$B$1:$B$92</v>
      </c>
      <c r="D938" s="159" t="str">
        <f t="shared" si="74"/>
        <v>April!$C$1:$C$92</v>
      </c>
      <c r="E938" t="s">
        <v>4</v>
      </c>
      <c r="F938" t="s">
        <v>123</v>
      </c>
      <c r="G938" t="s">
        <v>13</v>
      </c>
      <c r="H938" t="s">
        <v>22</v>
      </c>
      <c r="I938" t="e">
        <f t="shared" ca="1" si="75"/>
        <v>#REF!</v>
      </c>
      <c r="J938" t="str">
        <f>VLOOKUP($G938,DefinitionArrays!$I$6:$J$12,2,FALSE)</f>
        <v>Workweek</v>
      </c>
    </row>
    <row r="939" spans="1:10">
      <c r="A939" s="159" t="str">
        <f t="shared" si="71"/>
        <v>$B$1:$B$92</v>
      </c>
      <c r="B939" s="159" t="str">
        <f t="shared" si="72"/>
        <v>$C$1:$C$92</v>
      </c>
      <c r="C939" s="159" t="str">
        <f t="shared" si="73"/>
        <v>April!$B$1:$B$92</v>
      </c>
      <c r="D939" s="159" t="str">
        <f t="shared" si="74"/>
        <v>April!$C$1:$C$92</v>
      </c>
      <c r="E939" t="s">
        <v>4</v>
      </c>
      <c r="F939" t="s">
        <v>123</v>
      </c>
      <c r="G939" t="s">
        <v>13</v>
      </c>
      <c r="H939" t="s">
        <v>23</v>
      </c>
      <c r="I939" t="e">
        <f t="shared" ca="1" si="75"/>
        <v>#REF!</v>
      </c>
      <c r="J939" t="str">
        <f>VLOOKUP($G939,DefinitionArrays!$I$6:$J$12,2,FALSE)</f>
        <v>Workweek</v>
      </c>
    </row>
    <row r="940" spans="1:10">
      <c r="A940" s="159" t="str">
        <f t="shared" si="71"/>
        <v>$B$1:$B$92</v>
      </c>
      <c r="B940" s="159" t="str">
        <f t="shared" si="72"/>
        <v>$C$1:$C$92</v>
      </c>
      <c r="C940" s="159" t="str">
        <f t="shared" si="73"/>
        <v>April!$B$1:$B$92</v>
      </c>
      <c r="D940" s="159" t="str">
        <f t="shared" si="74"/>
        <v>April!$C$1:$C$92</v>
      </c>
      <c r="E940" t="s">
        <v>4</v>
      </c>
      <c r="F940" t="s">
        <v>123</v>
      </c>
      <c r="G940" t="s">
        <v>13</v>
      </c>
      <c r="H940" t="s">
        <v>24</v>
      </c>
      <c r="I940" t="e">
        <f t="shared" ca="1" si="75"/>
        <v>#REF!</v>
      </c>
      <c r="J940" t="str">
        <f>VLOOKUP($G940,DefinitionArrays!$I$6:$J$12,2,FALSE)</f>
        <v>Workweek</v>
      </c>
    </row>
    <row r="941" spans="1:10">
      <c r="A941" s="159" t="str">
        <f t="shared" si="71"/>
        <v>$B$1:$B$92</v>
      </c>
      <c r="B941" s="159" t="str">
        <f t="shared" si="72"/>
        <v>$C$1:$C$92</v>
      </c>
      <c r="C941" s="159" t="str">
        <f t="shared" si="73"/>
        <v>April!$B$1:$B$92</v>
      </c>
      <c r="D941" s="159" t="str">
        <f t="shared" si="74"/>
        <v>April!$C$1:$C$92</v>
      </c>
      <c r="E941" t="s">
        <v>4</v>
      </c>
      <c r="F941" t="s">
        <v>123</v>
      </c>
      <c r="G941" t="s">
        <v>13</v>
      </c>
      <c r="H941" t="s">
        <v>179</v>
      </c>
      <c r="I941" t="e">
        <f t="shared" ca="1" si="75"/>
        <v>#REF!</v>
      </c>
      <c r="J941" t="str">
        <f>VLOOKUP($G941,DefinitionArrays!$I$6:$J$12,2,FALSE)</f>
        <v>Workweek</v>
      </c>
    </row>
    <row r="942" spans="1:10">
      <c r="A942" s="159" t="str">
        <f t="shared" si="71"/>
        <v>$B$1:$B$92</v>
      </c>
      <c r="B942" s="159" t="str">
        <f t="shared" si="72"/>
        <v>$C$1:$C$92</v>
      </c>
      <c r="C942" s="159" t="str">
        <f t="shared" si="73"/>
        <v>April!$B$1:$B$92</v>
      </c>
      <c r="D942" s="159" t="str">
        <f t="shared" si="74"/>
        <v>April!$C$1:$C$92</v>
      </c>
      <c r="E942" t="s">
        <v>4</v>
      </c>
      <c r="F942" t="s">
        <v>123</v>
      </c>
      <c r="G942" t="s">
        <v>13</v>
      </c>
      <c r="H942" t="s">
        <v>180</v>
      </c>
      <c r="I942" t="e">
        <f t="shared" ca="1" si="75"/>
        <v>#REF!</v>
      </c>
      <c r="J942" t="str">
        <f>VLOOKUP($G942,DefinitionArrays!$I$6:$J$12,2,FALSE)</f>
        <v>Workweek</v>
      </c>
    </row>
    <row r="943" spans="1:10">
      <c r="A943" s="159" t="str">
        <f t="shared" si="71"/>
        <v>$B$1:$B$92</v>
      </c>
      <c r="B943" s="159" t="str">
        <f t="shared" si="72"/>
        <v>$C$1:$C$92</v>
      </c>
      <c r="C943" s="159" t="str">
        <f t="shared" si="73"/>
        <v>April!$B$1:$B$92</v>
      </c>
      <c r="D943" s="159" t="str">
        <f t="shared" si="74"/>
        <v>April!$C$1:$C$92</v>
      </c>
      <c r="E943" t="s">
        <v>4</v>
      </c>
      <c r="F943" t="s">
        <v>123</v>
      </c>
      <c r="G943" t="s">
        <v>13</v>
      </c>
      <c r="H943" t="s">
        <v>44</v>
      </c>
      <c r="I943" t="e">
        <f t="shared" ca="1" si="75"/>
        <v>#REF!</v>
      </c>
      <c r="J943" t="str">
        <f>VLOOKUP($G943,DefinitionArrays!$I$6:$J$12,2,FALSE)</f>
        <v>Workweek</v>
      </c>
    </row>
    <row r="944" spans="1:10">
      <c r="A944" s="159" t="str">
        <f t="shared" si="71"/>
        <v>$E$1:$E$92</v>
      </c>
      <c r="B944" s="159" t="str">
        <f t="shared" si="72"/>
        <v>$F$1:$F$92</v>
      </c>
      <c r="C944" s="159" t="str">
        <f t="shared" si="73"/>
        <v>April!$E$1:$E$92</v>
      </c>
      <c r="D944" s="159" t="str">
        <f t="shared" si="74"/>
        <v>April!$F$1:$F$92</v>
      </c>
      <c r="E944" t="s">
        <v>4</v>
      </c>
      <c r="F944" t="s">
        <v>123</v>
      </c>
      <c r="G944" t="s">
        <v>142</v>
      </c>
      <c r="H944" t="s">
        <v>159</v>
      </c>
      <c r="I944" t="e">
        <f t="shared" ca="1" si="75"/>
        <v>#REF!</v>
      </c>
      <c r="J944" t="str">
        <f>VLOOKUP($G944,DefinitionArrays!$I$6:$J$12,2,FALSE)</f>
        <v>Workweek</v>
      </c>
    </row>
    <row r="945" spans="1:10">
      <c r="A945" s="159" t="str">
        <f t="shared" si="71"/>
        <v>$E$1:$E$92</v>
      </c>
      <c r="B945" s="159" t="str">
        <f t="shared" si="72"/>
        <v>$F$1:$F$92</v>
      </c>
      <c r="C945" s="159" t="str">
        <f t="shared" si="73"/>
        <v>April!$E$1:$E$92</v>
      </c>
      <c r="D945" s="159" t="str">
        <f t="shared" si="74"/>
        <v>April!$F$1:$F$92</v>
      </c>
      <c r="E945" t="s">
        <v>4</v>
      </c>
      <c r="F945" t="s">
        <v>123</v>
      </c>
      <c r="G945" t="s">
        <v>142</v>
      </c>
      <c r="H945" t="s">
        <v>18</v>
      </c>
      <c r="I945" t="e">
        <f t="shared" ca="1" si="75"/>
        <v>#REF!</v>
      </c>
      <c r="J945" t="str">
        <f>VLOOKUP($G945,DefinitionArrays!$I$6:$J$12,2,FALSE)</f>
        <v>Workweek</v>
      </c>
    </row>
    <row r="946" spans="1:10">
      <c r="A946" s="159" t="str">
        <f t="shared" si="71"/>
        <v>$E$1:$E$92</v>
      </c>
      <c r="B946" s="159" t="str">
        <f t="shared" si="72"/>
        <v>$F$1:$F$92</v>
      </c>
      <c r="C946" s="159" t="str">
        <f t="shared" si="73"/>
        <v>April!$E$1:$E$92</v>
      </c>
      <c r="D946" s="159" t="str">
        <f t="shared" si="74"/>
        <v>April!$F$1:$F$92</v>
      </c>
      <c r="E946" t="s">
        <v>4</v>
      </c>
      <c r="F946" t="s">
        <v>123</v>
      </c>
      <c r="G946" t="s">
        <v>142</v>
      </c>
      <c r="H946" t="s">
        <v>153</v>
      </c>
      <c r="I946" t="e">
        <f t="shared" ca="1" si="75"/>
        <v>#REF!</v>
      </c>
      <c r="J946" t="str">
        <f>VLOOKUP($G946,DefinitionArrays!$I$6:$J$12,2,FALSE)</f>
        <v>Workweek</v>
      </c>
    </row>
    <row r="947" spans="1:10">
      <c r="A947" s="159" t="str">
        <f t="shared" si="71"/>
        <v>$E$1:$E$92</v>
      </c>
      <c r="B947" s="159" t="str">
        <f t="shared" si="72"/>
        <v>$F$1:$F$92</v>
      </c>
      <c r="C947" s="159" t="str">
        <f t="shared" si="73"/>
        <v>April!$E$1:$E$92</v>
      </c>
      <c r="D947" s="159" t="str">
        <f t="shared" si="74"/>
        <v>April!$F$1:$F$92</v>
      </c>
      <c r="E947" t="s">
        <v>4</v>
      </c>
      <c r="F947" t="s">
        <v>123</v>
      </c>
      <c r="G947" t="s">
        <v>142</v>
      </c>
      <c r="H947" t="s">
        <v>19</v>
      </c>
      <c r="I947" t="e">
        <f t="shared" ca="1" si="75"/>
        <v>#REF!</v>
      </c>
      <c r="J947" t="str">
        <f>VLOOKUP($G947,DefinitionArrays!$I$6:$J$12,2,FALSE)</f>
        <v>Workweek</v>
      </c>
    </row>
    <row r="948" spans="1:10">
      <c r="A948" s="159" t="str">
        <f t="shared" si="71"/>
        <v>$E$1:$E$92</v>
      </c>
      <c r="B948" s="159" t="str">
        <f t="shared" si="72"/>
        <v>$F$1:$F$92</v>
      </c>
      <c r="C948" s="159" t="str">
        <f t="shared" si="73"/>
        <v>April!$E$1:$E$92</v>
      </c>
      <c r="D948" s="159" t="str">
        <f t="shared" si="74"/>
        <v>April!$F$1:$F$92</v>
      </c>
      <c r="E948" t="s">
        <v>4</v>
      </c>
      <c r="F948" t="s">
        <v>123</v>
      </c>
      <c r="G948" t="s">
        <v>142</v>
      </c>
      <c r="H948" t="s">
        <v>20</v>
      </c>
      <c r="I948" t="e">
        <f t="shared" ca="1" si="75"/>
        <v>#REF!</v>
      </c>
      <c r="J948" t="str">
        <f>VLOOKUP($G948,DefinitionArrays!$I$6:$J$12,2,FALSE)</f>
        <v>Workweek</v>
      </c>
    </row>
    <row r="949" spans="1:10">
      <c r="A949" s="159" t="str">
        <f t="shared" si="71"/>
        <v>$E$1:$E$92</v>
      </c>
      <c r="B949" s="159" t="str">
        <f t="shared" si="72"/>
        <v>$F$1:$F$92</v>
      </c>
      <c r="C949" s="159" t="str">
        <f t="shared" si="73"/>
        <v>April!$E$1:$E$92</v>
      </c>
      <c r="D949" s="159" t="str">
        <f t="shared" si="74"/>
        <v>April!$F$1:$F$92</v>
      </c>
      <c r="E949" t="s">
        <v>4</v>
      </c>
      <c r="F949" t="s">
        <v>123</v>
      </c>
      <c r="G949" t="s">
        <v>142</v>
      </c>
      <c r="H949" t="s">
        <v>21</v>
      </c>
      <c r="I949" t="e">
        <f t="shared" ca="1" si="75"/>
        <v>#REF!</v>
      </c>
      <c r="J949" t="str">
        <f>VLOOKUP($G949,DefinitionArrays!$I$6:$J$12,2,FALSE)</f>
        <v>Workweek</v>
      </c>
    </row>
    <row r="950" spans="1:10">
      <c r="A950" s="159" t="str">
        <f t="shared" si="71"/>
        <v>$E$1:$E$92</v>
      </c>
      <c r="B950" s="159" t="str">
        <f t="shared" si="72"/>
        <v>$F$1:$F$92</v>
      </c>
      <c r="C950" s="159" t="str">
        <f t="shared" si="73"/>
        <v>April!$E$1:$E$92</v>
      </c>
      <c r="D950" s="159" t="str">
        <f t="shared" si="74"/>
        <v>April!$F$1:$F$92</v>
      </c>
      <c r="E950" t="s">
        <v>4</v>
      </c>
      <c r="F950" t="s">
        <v>123</v>
      </c>
      <c r="G950" t="s">
        <v>142</v>
      </c>
      <c r="H950" t="s">
        <v>22</v>
      </c>
      <c r="I950" t="e">
        <f t="shared" ca="1" si="75"/>
        <v>#REF!</v>
      </c>
      <c r="J950" t="str">
        <f>VLOOKUP($G950,DefinitionArrays!$I$6:$J$12,2,FALSE)</f>
        <v>Workweek</v>
      </c>
    </row>
    <row r="951" spans="1:10">
      <c r="A951" s="159" t="str">
        <f t="shared" si="71"/>
        <v>$E$1:$E$92</v>
      </c>
      <c r="B951" s="159" t="str">
        <f t="shared" si="72"/>
        <v>$F$1:$F$92</v>
      </c>
      <c r="C951" s="159" t="str">
        <f t="shared" si="73"/>
        <v>April!$E$1:$E$92</v>
      </c>
      <c r="D951" s="159" t="str">
        <f t="shared" si="74"/>
        <v>April!$F$1:$F$92</v>
      </c>
      <c r="E951" t="s">
        <v>4</v>
      </c>
      <c r="F951" t="s">
        <v>123</v>
      </c>
      <c r="G951" t="s">
        <v>142</v>
      </c>
      <c r="H951" t="s">
        <v>23</v>
      </c>
      <c r="I951" t="e">
        <f t="shared" ca="1" si="75"/>
        <v>#REF!</v>
      </c>
      <c r="J951" t="str">
        <f>VLOOKUP($G951,DefinitionArrays!$I$6:$J$12,2,FALSE)</f>
        <v>Workweek</v>
      </c>
    </row>
    <row r="952" spans="1:10">
      <c r="A952" s="159" t="str">
        <f t="shared" si="71"/>
        <v>$E$1:$E$92</v>
      </c>
      <c r="B952" s="159" t="str">
        <f t="shared" si="72"/>
        <v>$F$1:$F$92</v>
      </c>
      <c r="C952" s="159" t="str">
        <f t="shared" si="73"/>
        <v>April!$E$1:$E$92</v>
      </c>
      <c r="D952" s="159" t="str">
        <f t="shared" si="74"/>
        <v>April!$F$1:$F$92</v>
      </c>
      <c r="E952" t="s">
        <v>4</v>
      </c>
      <c r="F952" t="s">
        <v>123</v>
      </c>
      <c r="G952" t="s">
        <v>142</v>
      </c>
      <c r="H952" t="s">
        <v>24</v>
      </c>
      <c r="I952" t="e">
        <f t="shared" ca="1" si="75"/>
        <v>#REF!</v>
      </c>
      <c r="J952" t="str">
        <f>VLOOKUP($G952,DefinitionArrays!$I$6:$J$12,2,FALSE)</f>
        <v>Workweek</v>
      </c>
    </row>
    <row r="953" spans="1:10">
      <c r="A953" s="159" t="str">
        <f t="shared" si="71"/>
        <v>$E$1:$E$92</v>
      </c>
      <c r="B953" s="159" t="str">
        <f t="shared" si="72"/>
        <v>$F$1:$F$92</v>
      </c>
      <c r="C953" s="159" t="str">
        <f t="shared" si="73"/>
        <v>April!$E$1:$E$92</v>
      </c>
      <c r="D953" s="159" t="str">
        <f t="shared" si="74"/>
        <v>April!$F$1:$F$92</v>
      </c>
      <c r="E953" t="s">
        <v>4</v>
      </c>
      <c r="F953" t="s">
        <v>123</v>
      </c>
      <c r="G953" t="s">
        <v>142</v>
      </c>
      <c r="H953" t="s">
        <v>179</v>
      </c>
      <c r="I953" t="e">
        <f t="shared" ca="1" si="75"/>
        <v>#REF!</v>
      </c>
      <c r="J953" t="str">
        <f>VLOOKUP($G953,DefinitionArrays!$I$6:$J$12,2,FALSE)</f>
        <v>Workweek</v>
      </c>
    </row>
    <row r="954" spans="1:10">
      <c r="A954" s="159" t="str">
        <f t="shared" si="71"/>
        <v>$E$1:$E$92</v>
      </c>
      <c r="B954" s="159" t="str">
        <f t="shared" si="72"/>
        <v>$F$1:$F$92</v>
      </c>
      <c r="C954" s="159" t="str">
        <f t="shared" si="73"/>
        <v>April!$E$1:$E$92</v>
      </c>
      <c r="D954" s="159" t="str">
        <f t="shared" si="74"/>
        <v>April!$F$1:$F$92</v>
      </c>
      <c r="E954" t="s">
        <v>4</v>
      </c>
      <c r="F954" t="s">
        <v>123</v>
      </c>
      <c r="G954" t="s">
        <v>142</v>
      </c>
      <c r="H954" t="s">
        <v>180</v>
      </c>
      <c r="I954" t="e">
        <f t="shared" ca="1" si="75"/>
        <v>#REF!</v>
      </c>
      <c r="J954" t="str">
        <f>VLOOKUP($G954,DefinitionArrays!$I$6:$J$12,2,FALSE)</f>
        <v>Workweek</v>
      </c>
    </row>
    <row r="955" spans="1:10">
      <c r="A955" s="159" t="str">
        <f t="shared" si="71"/>
        <v>$E$1:$E$92</v>
      </c>
      <c r="B955" s="159" t="str">
        <f t="shared" si="72"/>
        <v>$F$1:$F$92</v>
      </c>
      <c r="C955" s="159" t="str">
        <f t="shared" si="73"/>
        <v>April!$E$1:$E$92</v>
      </c>
      <c r="D955" s="159" t="str">
        <f t="shared" si="74"/>
        <v>April!$F$1:$F$92</v>
      </c>
      <c r="E955" t="s">
        <v>4</v>
      </c>
      <c r="F955" t="s">
        <v>123</v>
      </c>
      <c r="G955" t="s">
        <v>142</v>
      </c>
      <c r="H955" t="s">
        <v>44</v>
      </c>
      <c r="I955" t="e">
        <f t="shared" ca="1" si="75"/>
        <v>#REF!</v>
      </c>
      <c r="J955" t="str">
        <f>VLOOKUP($G955,DefinitionArrays!$I$6:$J$12,2,FALSE)</f>
        <v>Workweek</v>
      </c>
    </row>
    <row r="956" spans="1:10">
      <c r="A956" s="159" t="str">
        <f t="shared" si="71"/>
        <v>$H$1:$H$92</v>
      </c>
      <c r="B956" s="159" t="str">
        <f t="shared" si="72"/>
        <v>$I$1:$I$92</v>
      </c>
      <c r="C956" s="159" t="str">
        <f t="shared" si="73"/>
        <v>April!$H$1:$H$92</v>
      </c>
      <c r="D956" s="159" t="str">
        <f t="shared" si="74"/>
        <v>April!$I$1:$I$92</v>
      </c>
      <c r="E956" t="s">
        <v>4</v>
      </c>
      <c r="F956" t="s">
        <v>123</v>
      </c>
      <c r="G956" t="s">
        <v>143</v>
      </c>
      <c r="H956" t="s">
        <v>159</v>
      </c>
      <c r="I956" t="e">
        <f t="shared" ca="1" si="75"/>
        <v>#REF!</v>
      </c>
      <c r="J956" t="str">
        <f>VLOOKUP($G956,DefinitionArrays!$I$6:$J$12,2,FALSE)</f>
        <v>Workweek</v>
      </c>
    </row>
    <row r="957" spans="1:10">
      <c r="A957" s="159" t="str">
        <f t="shared" si="71"/>
        <v>$H$1:$H$92</v>
      </c>
      <c r="B957" s="159" t="str">
        <f t="shared" si="72"/>
        <v>$I$1:$I$92</v>
      </c>
      <c r="C957" s="159" t="str">
        <f t="shared" si="73"/>
        <v>April!$H$1:$H$92</v>
      </c>
      <c r="D957" s="159" t="str">
        <f t="shared" si="74"/>
        <v>April!$I$1:$I$92</v>
      </c>
      <c r="E957" t="s">
        <v>4</v>
      </c>
      <c r="F957" t="s">
        <v>123</v>
      </c>
      <c r="G957" t="s">
        <v>143</v>
      </c>
      <c r="H957" t="s">
        <v>18</v>
      </c>
      <c r="I957" t="e">
        <f t="shared" ca="1" si="75"/>
        <v>#REF!</v>
      </c>
      <c r="J957" t="str">
        <f>VLOOKUP($G957,DefinitionArrays!$I$6:$J$12,2,FALSE)</f>
        <v>Workweek</v>
      </c>
    </row>
    <row r="958" spans="1:10">
      <c r="A958" s="159" t="str">
        <f t="shared" si="71"/>
        <v>$H$1:$H$92</v>
      </c>
      <c r="B958" s="159" t="str">
        <f t="shared" si="72"/>
        <v>$I$1:$I$92</v>
      </c>
      <c r="C958" s="159" t="str">
        <f t="shared" si="73"/>
        <v>April!$H$1:$H$92</v>
      </c>
      <c r="D958" s="159" t="str">
        <f t="shared" si="74"/>
        <v>April!$I$1:$I$92</v>
      </c>
      <c r="E958" t="s">
        <v>4</v>
      </c>
      <c r="F958" t="s">
        <v>123</v>
      </c>
      <c r="G958" t="s">
        <v>143</v>
      </c>
      <c r="H958" t="s">
        <v>153</v>
      </c>
      <c r="I958" t="e">
        <f t="shared" ca="1" si="75"/>
        <v>#REF!</v>
      </c>
      <c r="J958" t="str">
        <f>VLOOKUP($G958,DefinitionArrays!$I$6:$J$12,2,FALSE)</f>
        <v>Workweek</v>
      </c>
    </row>
    <row r="959" spans="1:10">
      <c r="A959" s="159" t="str">
        <f t="shared" si="71"/>
        <v>$H$1:$H$92</v>
      </c>
      <c r="B959" s="159" t="str">
        <f t="shared" si="72"/>
        <v>$I$1:$I$92</v>
      </c>
      <c r="C959" s="159" t="str">
        <f t="shared" si="73"/>
        <v>April!$H$1:$H$92</v>
      </c>
      <c r="D959" s="159" t="str">
        <f t="shared" si="74"/>
        <v>April!$I$1:$I$92</v>
      </c>
      <c r="E959" t="s">
        <v>4</v>
      </c>
      <c r="F959" t="s">
        <v>123</v>
      </c>
      <c r="G959" t="s">
        <v>143</v>
      </c>
      <c r="H959" t="s">
        <v>19</v>
      </c>
      <c r="I959" t="e">
        <f t="shared" ca="1" si="75"/>
        <v>#REF!</v>
      </c>
      <c r="J959" t="str">
        <f>VLOOKUP($G959,DefinitionArrays!$I$6:$J$12,2,FALSE)</f>
        <v>Workweek</v>
      </c>
    </row>
    <row r="960" spans="1:10">
      <c r="A960" s="159" t="str">
        <f t="shared" si="71"/>
        <v>$H$1:$H$92</v>
      </c>
      <c r="B960" s="159" t="str">
        <f t="shared" si="72"/>
        <v>$I$1:$I$92</v>
      </c>
      <c r="C960" s="159" t="str">
        <f t="shared" si="73"/>
        <v>April!$H$1:$H$92</v>
      </c>
      <c r="D960" s="159" t="str">
        <f t="shared" si="74"/>
        <v>April!$I$1:$I$92</v>
      </c>
      <c r="E960" t="s">
        <v>4</v>
      </c>
      <c r="F960" t="s">
        <v>123</v>
      </c>
      <c r="G960" t="s">
        <v>143</v>
      </c>
      <c r="H960" t="s">
        <v>20</v>
      </c>
      <c r="I960" t="e">
        <f t="shared" ca="1" si="75"/>
        <v>#REF!</v>
      </c>
      <c r="J960" t="str">
        <f>VLOOKUP($G960,DefinitionArrays!$I$6:$J$12,2,FALSE)</f>
        <v>Workweek</v>
      </c>
    </row>
    <row r="961" spans="1:10">
      <c r="A961" s="159" t="str">
        <f t="shared" si="71"/>
        <v>$H$1:$H$92</v>
      </c>
      <c r="B961" s="159" t="str">
        <f t="shared" si="72"/>
        <v>$I$1:$I$92</v>
      </c>
      <c r="C961" s="159" t="str">
        <f t="shared" si="73"/>
        <v>April!$H$1:$H$92</v>
      </c>
      <c r="D961" s="159" t="str">
        <f t="shared" si="74"/>
        <v>April!$I$1:$I$92</v>
      </c>
      <c r="E961" t="s">
        <v>4</v>
      </c>
      <c r="F961" t="s">
        <v>123</v>
      </c>
      <c r="G961" t="s">
        <v>143</v>
      </c>
      <c r="H961" t="s">
        <v>21</v>
      </c>
      <c r="I961" t="e">
        <f t="shared" ca="1" si="75"/>
        <v>#REF!</v>
      </c>
      <c r="J961" t="str">
        <f>VLOOKUP($G961,DefinitionArrays!$I$6:$J$12,2,FALSE)</f>
        <v>Workweek</v>
      </c>
    </row>
    <row r="962" spans="1:10">
      <c r="A962" s="159" t="str">
        <f t="shared" ref="A962:A1025" si="76">VLOOKUP($G962,Fx_Code,2,FALSE)</f>
        <v>$H$1:$H$92</v>
      </c>
      <c r="B962" s="159" t="str">
        <f t="shared" ref="B962:B1025" si="77">VLOOKUP($G962,Fx_Code,3,FALSE)</f>
        <v>$I$1:$I$92</v>
      </c>
      <c r="C962" s="159" t="str">
        <f t="shared" ref="C962:C1025" si="78">CONCATENATE($F962,$K$1,A962)</f>
        <v>April!$H$1:$H$92</v>
      </c>
      <c r="D962" s="159" t="str">
        <f t="shared" ref="D962:D1025" si="79">CONCATENATE($F962,$K$1,B962)</f>
        <v>April!$I$1:$I$92</v>
      </c>
      <c r="E962" t="s">
        <v>4</v>
      </c>
      <c r="F962" t="s">
        <v>123</v>
      </c>
      <c r="G962" t="s">
        <v>143</v>
      </c>
      <c r="H962" t="s">
        <v>22</v>
      </c>
      <c r="I962" t="e">
        <f t="shared" ca="1" si="75"/>
        <v>#REF!</v>
      </c>
      <c r="J962" t="str">
        <f>VLOOKUP($G962,DefinitionArrays!$I$6:$J$12,2,FALSE)</f>
        <v>Workweek</v>
      </c>
    </row>
    <row r="963" spans="1:10">
      <c r="A963" s="159" t="str">
        <f t="shared" si="76"/>
        <v>$H$1:$H$92</v>
      </c>
      <c r="B963" s="159" t="str">
        <f t="shared" si="77"/>
        <v>$I$1:$I$92</v>
      </c>
      <c r="C963" s="159" t="str">
        <f t="shared" si="78"/>
        <v>April!$H$1:$H$92</v>
      </c>
      <c r="D963" s="159" t="str">
        <f t="shared" si="79"/>
        <v>April!$I$1:$I$92</v>
      </c>
      <c r="E963" t="s">
        <v>4</v>
      </c>
      <c r="F963" t="s">
        <v>123</v>
      </c>
      <c r="G963" t="s">
        <v>143</v>
      </c>
      <c r="H963" t="s">
        <v>23</v>
      </c>
      <c r="I963" t="e">
        <f t="shared" ca="1" si="75"/>
        <v>#REF!</v>
      </c>
      <c r="J963" t="str">
        <f>VLOOKUP($G963,DefinitionArrays!$I$6:$J$12,2,FALSE)</f>
        <v>Workweek</v>
      </c>
    </row>
    <row r="964" spans="1:10">
      <c r="A964" s="159" t="str">
        <f t="shared" si="76"/>
        <v>$H$1:$H$92</v>
      </c>
      <c r="B964" s="159" t="str">
        <f t="shared" si="77"/>
        <v>$I$1:$I$92</v>
      </c>
      <c r="C964" s="159" t="str">
        <f t="shared" si="78"/>
        <v>April!$H$1:$H$92</v>
      </c>
      <c r="D964" s="159" t="str">
        <f t="shared" si="79"/>
        <v>April!$I$1:$I$92</v>
      </c>
      <c r="E964" t="s">
        <v>4</v>
      </c>
      <c r="F964" t="s">
        <v>123</v>
      </c>
      <c r="G964" t="s">
        <v>143</v>
      </c>
      <c r="H964" t="s">
        <v>24</v>
      </c>
      <c r="I964" t="e">
        <f t="shared" ca="1" si="75"/>
        <v>#REF!</v>
      </c>
      <c r="J964" t="str">
        <f>VLOOKUP($G964,DefinitionArrays!$I$6:$J$12,2,FALSE)</f>
        <v>Workweek</v>
      </c>
    </row>
    <row r="965" spans="1:10">
      <c r="A965" s="159" t="str">
        <f t="shared" si="76"/>
        <v>$H$1:$H$92</v>
      </c>
      <c r="B965" s="159" t="str">
        <f t="shared" si="77"/>
        <v>$I$1:$I$92</v>
      </c>
      <c r="C965" s="159" t="str">
        <f t="shared" si="78"/>
        <v>April!$H$1:$H$92</v>
      </c>
      <c r="D965" s="159" t="str">
        <f t="shared" si="79"/>
        <v>April!$I$1:$I$92</v>
      </c>
      <c r="E965" t="s">
        <v>4</v>
      </c>
      <c r="F965" t="s">
        <v>123</v>
      </c>
      <c r="G965" t="s">
        <v>143</v>
      </c>
      <c r="H965" t="s">
        <v>179</v>
      </c>
      <c r="I965" t="e">
        <f t="shared" ca="1" si="75"/>
        <v>#REF!</v>
      </c>
      <c r="J965" t="str">
        <f>VLOOKUP($G965,DefinitionArrays!$I$6:$J$12,2,FALSE)</f>
        <v>Workweek</v>
      </c>
    </row>
    <row r="966" spans="1:10">
      <c r="A966" s="159" t="str">
        <f t="shared" si="76"/>
        <v>$H$1:$H$92</v>
      </c>
      <c r="B966" s="159" t="str">
        <f t="shared" si="77"/>
        <v>$I$1:$I$92</v>
      </c>
      <c r="C966" s="159" t="str">
        <f t="shared" si="78"/>
        <v>April!$H$1:$H$92</v>
      </c>
      <c r="D966" s="159" t="str">
        <f t="shared" si="79"/>
        <v>April!$I$1:$I$92</v>
      </c>
      <c r="E966" t="s">
        <v>4</v>
      </c>
      <c r="F966" t="s">
        <v>123</v>
      </c>
      <c r="G966" t="s">
        <v>143</v>
      </c>
      <c r="H966" t="s">
        <v>180</v>
      </c>
      <c r="I966" t="e">
        <f t="shared" ca="1" si="75"/>
        <v>#REF!</v>
      </c>
      <c r="J966" t="str">
        <f>VLOOKUP($G966,DefinitionArrays!$I$6:$J$12,2,FALSE)</f>
        <v>Workweek</v>
      </c>
    </row>
    <row r="967" spans="1:10">
      <c r="A967" s="159" t="str">
        <f t="shared" si="76"/>
        <v>$H$1:$H$92</v>
      </c>
      <c r="B967" s="159" t="str">
        <f t="shared" si="77"/>
        <v>$I$1:$I$92</v>
      </c>
      <c r="C967" s="159" t="str">
        <f t="shared" si="78"/>
        <v>April!$H$1:$H$92</v>
      </c>
      <c r="D967" s="159" t="str">
        <f t="shared" si="79"/>
        <v>April!$I$1:$I$92</v>
      </c>
      <c r="E967" t="s">
        <v>4</v>
      </c>
      <c r="F967" t="s">
        <v>123</v>
      </c>
      <c r="G967" t="s">
        <v>143</v>
      </c>
      <c r="H967" t="s">
        <v>44</v>
      </c>
      <c r="I967" t="e">
        <f t="shared" ca="1" si="75"/>
        <v>#REF!</v>
      </c>
      <c r="J967" t="str">
        <f>VLOOKUP($G967,DefinitionArrays!$I$6:$J$12,2,FALSE)</f>
        <v>Workweek</v>
      </c>
    </row>
    <row r="968" spans="1:10">
      <c r="A968" s="159" t="str">
        <f t="shared" si="76"/>
        <v>$K$1:$K$92</v>
      </c>
      <c r="B968" s="159" t="str">
        <f t="shared" si="77"/>
        <v>$L$1:$L$92</v>
      </c>
      <c r="C968" s="159" t="str">
        <f t="shared" si="78"/>
        <v>April!$K$1:$K$92</v>
      </c>
      <c r="D968" s="159" t="str">
        <f t="shared" si="79"/>
        <v>April!$L$1:$L$92</v>
      </c>
      <c r="E968" t="s">
        <v>4</v>
      </c>
      <c r="F968" t="s">
        <v>123</v>
      </c>
      <c r="G968" t="s">
        <v>144</v>
      </c>
      <c r="H968" t="s">
        <v>159</v>
      </c>
      <c r="I968" t="e">
        <f t="shared" ca="1" si="75"/>
        <v>#REF!</v>
      </c>
      <c r="J968" t="str">
        <f>VLOOKUP($G968,DefinitionArrays!$I$6:$J$12,2,FALSE)</f>
        <v>Workweek</v>
      </c>
    </row>
    <row r="969" spans="1:10">
      <c r="A969" s="159" t="str">
        <f t="shared" si="76"/>
        <v>$K$1:$K$92</v>
      </c>
      <c r="B969" s="159" t="str">
        <f t="shared" si="77"/>
        <v>$L$1:$L$92</v>
      </c>
      <c r="C969" s="159" t="str">
        <f t="shared" si="78"/>
        <v>April!$K$1:$K$92</v>
      </c>
      <c r="D969" s="159" t="str">
        <f t="shared" si="79"/>
        <v>April!$L$1:$L$92</v>
      </c>
      <c r="E969" t="s">
        <v>4</v>
      </c>
      <c r="F969" t="s">
        <v>123</v>
      </c>
      <c r="G969" t="s">
        <v>144</v>
      </c>
      <c r="H969" t="s">
        <v>18</v>
      </c>
      <c r="I969" t="e">
        <f t="shared" ca="1" si="75"/>
        <v>#REF!</v>
      </c>
      <c r="J969" t="str">
        <f>VLOOKUP($G969,DefinitionArrays!$I$6:$J$12,2,FALSE)</f>
        <v>Workweek</v>
      </c>
    </row>
    <row r="970" spans="1:10">
      <c r="A970" s="159" t="str">
        <f t="shared" si="76"/>
        <v>$K$1:$K$92</v>
      </c>
      <c r="B970" s="159" t="str">
        <f t="shared" si="77"/>
        <v>$L$1:$L$92</v>
      </c>
      <c r="C970" s="159" t="str">
        <f t="shared" si="78"/>
        <v>April!$K$1:$K$92</v>
      </c>
      <c r="D970" s="159" t="str">
        <f t="shared" si="79"/>
        <v>April!$L$1:$L$92</v>
      </c>
      <c r="E970" t="s">
        <v>4</v>
      </c>
      <c r="F970" t="s">
        <v>123</v>
      </c>
      <c r="G970" t="s">
        <v>144</v>
      </c>
      <c r="H970" t="s">
        <v>153</v>
      </c>
      <c r="I970" t="e">
        <f t="shared" ca="1" si="75"/>
        <v>#REF!</v>
      </c>
      <c r="J970" t="str">
        <f>VLOOKUP($G970,DefinitionArrays!$I$6:$J$12,2,FALSE)</f>
        <v>Workweek</v>
      </c>
    </row>
    <row r="971" spans="1:10">
      <c r="A971" s="159" t="str">
        <f t="shared" si="76"/>
        <v>$K$1:$K$92</v>
      </c>
      <c r="B971" s="159" t="str">
        <f t="shared" si="77"/>
        <v>$L$1:$L$92</v>
      </c>
      <c r="C971" s="159" t="str">
        <f t="shared" si="78"/>
        <v>April!$K$1:$K$92</v>
      </c>
      <c r="D971" s="159" t="str">
        <f t="shared" si="79"/>
        <v>April!$L$1:$L$92</v>
      </c>
      <c r="E971" t="s">
        <v>4</v>
      </c>
      <c r="F971" t="s">
        <v>123</v>
      </c>
      <c r="G971" t="s">
        <v>144</v>
      </c>
      <c r="H971" t="s">
        <v>19</v>
      </c>
      <c r="I971" t="e">
        <f t="shared" ca="1" si="75"/>
        <v>#REF!</v>
      </c>
      <c r="J971" t="str">
        <f>VLOOKUP($G971,DefinitionArrays!$I$6:$J$12,2,FALSE)</f>
        <v>Workweek</v>
      </c>
    </row>
    <row r="972" spans="1:10">
      <c r="A972" s="159" t="str">
        <f t="shared" si="76"/>
        <v>$K$1:$K$92</v>
      </c>
      <c r="B972" s="159" t="str">
        <f t="shared" si="77"/>
        <v>$L$1:$L$92</v>
      </c>
      <c r="C972" s="159" t="str">
        <f t="shared" si="78"/>
        <v>April!$K$1:$K$92</v>
      </c>
      <c r="D972" s="159" t="str">
        <f t="shared" si="79"/>
        <v>April!$L$1:$L$92</v>
      </c>
      <c r="E972" t="s">
        <v>4</v>
      </c>
      <c r="F972" t="s">
        <v>123</v>
      </c>
      <c r="G972" t="s">
        <v>144</v>
      </c>
      <c r="H972" t="s">
        <v>20</v>
      </c>
      <c r="I972" t="e">
        <f t="shared" ca="1" si="75"/>
        <v>#REF!</v>
      </c>
      <c r="J972" t="str">
        <f>VLOOKUP($G972,DefinitionArrays!$I$6:$J$12,2,FALSE)</f>
        <v>Workweek</v>
      </c>
    </row>
    <row r="973" spans="1:10">
      <c r="A973" s="159" t="str">
        <f t="shared" si="76"/>
        <v>$K$1:$K$92</v>
      </c>
      <c r="B973" s="159" t="str">
        <f t="shared" si="77"/>
        <v>$L$1:$L$92</v>
      </c>
      <c r="C973" s="159" t="str">
        <f t="shared" si="78"/>
        <v>April!$K$1:$K$92</v>
      </c>
      <c r="D973" s="159" t="str">
        <f t="shared" si="79"/>
        <v>April!$L$1:$L$92</v>
      </c>
      <c r="E973" t="s">
        <v>4</v>
      </c>
      <c r="F973" t="s">
        <v>123</v>
      </c>
      <c r="G973" t="s">
        <v>144</v>
      </c>
      <c r="H973" t="s">
        <v>21</v>
      </c>
      <c r="I973" t="e">
        <f t="shared" ca="1" si="75"/>
        <v>#REF!</v>
      </c>
      <c r="J973" t="str">
        <f>VLOOKUP($G973,DefinitionArrays!$I$6:$J$12,2,FALSE)</f>
        <v>Workweek</v>
      </c>
    </row>
    <row r="974" spans="1:10">
      <c r="A974" s="159" t="str">
        <f t="shared" si="76"/>
        <v>$K$1:$K$92</v>
      </c>
      <c r="B974" s="159" t="str">
        <f t="shared" si="77"/>
        <v>$L$1:$L$92</v>
      </c>
      <c r="C974" s="159" t="str">
        <f t="shared" si="78"/>
        <v>April!$K$1:$K$92</v>
      </c>
      <c r="D974" s="159" t="str">
        <f t="shared" si="79"/>
        <v>April!$L$1:$L$92</v>
      </c>
      <c r="E974" t="s">
        <v>4</v>
      </c>
      <c r="F974" t="s">
        <v>123</v>
      </c>
      <c r="G974" t="s">
        <v>144</v>
      </c>
      <c r="H974" t="s">
        <v>22</v>
      </c>
      <c r="I974" t="e">
        <f t="shared" ca="1" si="75"/>
        <v>#REF!</v>
      </c>
      <c r="J974" t="str">
        <f>VLOOKUP($G974,DefinitionArrays!$I$6:$J$12,2,FALSE)</f>
        <v>Workweek</v>
      </c>
    </row>
    <row r="975" spans="1:10">
      <c r="A975" s="159" t="str">
        <f t="shared" si="76"/>
        <v>$K$1:$K$92</v>
      </c>
      <c r="B975" s="159" t="str">
        <f t="shared" si="77"/>
        <v>$L$1:$L$92</v>
      </c>
      <c r="C975" s="159" t="str">
        <f t="shared" si="78"/>
        <v>April!$K$1:$K$92</v>
      </c>
      <c r="D975" s="159" t="str">
        <f t="shared" si="79"/>
        <v>April!$L$1:$L$92</v>
      </c>
      <c r="E975" t="s">
        <v>4</v>
      </c>
      <c r="F975" t="s">
        <v>123</v>
      </c>
      <c r="G975" t="s">
        <v>144</v>
      </c>
      <c r="H975" t="s">
        <v>23</v>
      </c>
      <c r="I975" t="e">
        <f t="shared" ca="1" si="75"/>
        <v>#REF!</v>
      </c>
      <c r="J975" t="str">
        <f>VLOOKUP($G975,DefinitionArrays!$I$6:$J$12,2,FALSE)</f>
        <v>Workweek</v>
      </c>
    </row>
    <row r="976" spans="1:10">
      <c r="A976" s="159" t="str">
        <f t="shared" si="76"/>
        <v>$K$1:$K$92</v>
      </c>
      <c r="B976" s="159" t="str">
        <f t="shared" si="77"/>
        <v>$L$1:$L$92</v>
      </c>
      <c r="C976" s="159" t="str">
        <f t="shared" si="78"/>
        <v>April!$K$1:$K$92</v>
      </c>
      <c r="D976" s="159" t="str">
        <f t="shared" si="79"/>
        <v>April!$L$1:$L$92</v>
      </c>
      <c r="E976" t="s">
        <v>4</v>
      </c>
      <c r="F976" t="s">
        <v>123</v>
      </c>
      <c r="G976" t="s">
        <v>144</v>
      </c>
      <c r="H976" t="s">
        <v>24</v>
      </c>
      <c r="I976" t="e">
        <f t="shared" ca="1" si="75"/>
        <v>#REF!</v>
      </c>
      <c r="J976" t="str">
        <f>VLOOKUP($G976,DefinitionArrays!$I$6:$J$12,2,FALSE)</f>
        <v>Workweek</v>
      </c>
    </row>
    <row r="977" spans="1:10">
      <c r="A977" s="159" t="str">
        <f t="shared" si="76"/>
        <v>$K$1:$K$92</v>
      </c>
      <c r="B977" s="159" t="str">
        <f t="shared" si="77"/>
        <v>$L$1:$L$92</v>
      </c>
      <c r="C977" s="159" t="str">
        <f t="shared" si="78"/>
        <v>April!$K$1:$K$92</v>
      </c>
      <c r="D977" s="159" t="str">
        <f t="shared" si="79"/>
        <v>April!$L$1:$L$92</v>
      </c>
      <c r="E977" t="s">
        <v>4</v>
      </c>
      <c r="F977" t="s">
        <v>123</v>
      </c>
      <c r="G977" t="s">
        <v>144</v>
      </c>
      <c r="H977" t="s">
        <v>179</v>
      </c>
      <c r="I977" t="e">
        <f t="shared" ca="1" si="75"/>
        <v>#REF!</v>
      </c>
      <c r="J977" t="str">
        <f>VLOOKUP($G977,DefinitionArrays!$I$6:$J$12,2,FALSE)</f>
        <v>Workweek</v>
      </c>
    </row>
    <row r="978" spans="1:10">
      <c r="A978" s="159" t="str">
        <f t="shared" si="76"/>
        <v>$K$1:$K$92</v>
      </c>
      <c r="B978" s="159" t="str">
        <f t="shared" si="77"/>
        <v>$L$1:$L$92</v>
      </c>
      <c r="C978" s="159" t="str">
        <f t="shared" si="78"/>
        <v>April!$K$1:$K$92</v>
      </c>
      <c r="D978" s="159" t="str">
        <f t="shared" si="79"/>
        <v>April!$L$1:$L$92</v>
      </c>
      <c r="E978" t="s">
        <v>4</v>
      </c>
      <c r="F978" t="s">
        <v>123</v>
      </c>
      <c r="G978" t="s">
        <v>144</v>
      </c>
      <c r="H978" t="s">
        <v>180</v>
      </c>
      <c r="I978" t="e">
        <f t="shared" ca="1" si="75"/>
        <v>#REF!</v>
      </c>
      <c r="J978" t="str">
        <f>VLOOKUP($G978,DefinitionArrays!$I$6:$J$12,2,FALSE)</f>
        <v>Workweek</v>
      </c>
    </row>
    <row r="979" spans="1:10">
      <c r="A979" s="159" t="str">
        <f t="shared" si="76"/>
        <v>$K$1:$K$92</v>
      </c>
      <c r="B979" s="159" t="str">
        <f t="shared" si="77"/>
        <v>$L$1:$L$92</v>
      </c>
      <c r="C979" s="159" t="str">
        <f t="shared" si="78"/>
        <v>April!$K$1:$K$92</v>
      </c>
      <c r="D979" s="159" t="str">
        <f t="shared" si="79"/>
        <v>April!$L$1:$L$92</v>
      </c>
      <c r="E979" t="s">
        <v>4</v>
      </c>
      <c r="F979" t="s">
        <v>123</v>
      </c>
      <c r="G979" t="s">
        <v>144</v>
      </c>
      <c r="H979" t="s">
        <v>44</v>
      </c>
      <c r="I979" t="e">
        <f t="shared" ca="1" si="75"/>
        <v>#REF!</v>
      </c>
      <c r="J979" t="str">
        <f>VLOOKUP($G979,DefinitionArrays!$I$6:$J$12,2,FALSE)</f>
        <v>Workweek</v>
      </c>
    </row>
    <row r="980" spans="1:10">
      <c r="A980" s="159" t="str">
        <f t="shared" si="76"/>
        <v>$N$1:$N$92</v>
      </c>
      <c r="B980" s="159" t="str">
        <f t="shared" si="77"/>
        <v>$O$1:$O$92</v>
      </c>
      <c r="C980" s="159" t="str">
        <f t="shared" si="78"/>
        <v>April!$N$1:$N$92</v>
      </c>
      <c r="D980" s="159" t="str">
        <f t="shared" si="79"/>
        <v>April!$O$1:$O$92</v>
      </c>
      <c r="E980" t="s">
        <v>4</v>
      </c>
      <c r="F980" t="s">
        <v>123</v>
      </c>
      <c r="G980" t="s">
        <v>145</v>
      </c>
      <c r="H980" t="s">
        <v>159</v>
      </c>
      <c r="I980" t="e">
        <f t="shared" ca="1" si="75"/>
        <v>#REF!</v>
      </c>
      <c r="J980" t="str">
        <f>VLOOKUP($G980,DefinitionArrays!$I$6:$J$12,2,FALSE)</f>
        <v>Weekend</v>
      </c>
    </row>
    <row r="981" spans="1:10">
      <c r="A981" s="159" t="str">
        <f t="shared" si="76"/>
        <v>$N$1:$N$92</v>
      </c>
      <c r="B981" s="159" t="str">
        <f t="shared" si="77"/>
        <v>$O$1:$O$92</v>
      </c>
      <c r="C981" s="159" t="str">
        <f t="shared" si="78"/>
        <v>April!$N$1:$N$92</v>
      </c>
      <c r="D981" s="159" t="str">
        <f t="shared" si="79"/>
        <v>April!$O$1:$O$92</v>
      </c>
      <c r="E981" t="s">
        <v>4</v>
      </c>
      <c r="F981" t="s">
        <v>123</v>
      </c>
      <c r="G981" t="s">
        <v>145</v>
      </c>
      <c r="H981" t="s">
        <v>18</v>
      </c>
      <c r="I981" t="e">
        <f t="shared" ca="1" si="75"/>
        <v>#REF!</v>
      </c>
      <c r="J981" t="str">
        <f>VLOOKUP($G981,DefinitionArrays!$I$6:$J$12,2,FALSE)</f>
        <v>Weekend</v>
      </c>
    </row>
    <row r="982" spans="1:10">
      <c r="A982" s="159" t="str">
        <f t="shared" si="76"/>
        <v>$N$1:$N$92</v>
      </c>
      <c r="B982" s="159" t="str">
        <f t="shared" si="77"/>
        <v>$O$1:$O$92</v>
      </c>
      <c r="C982" s="159" t="str">
        <f t="shared" si="78"/>
        <v>April!$N$1:$N$92</v>
      </c>
      <c r="D982" s="159" t="str">
        <f t="shared" si="79"/>
        <v>April!$O$1:$O$92</v>
      </c>
      <c r="E982" t="s">
        <v>4</v>
      </c>
      <c r="F982" t="s">
        <v>123</v>
      </c>
      <c r="G982" t="s">
        <v>145</v>
      </c>
      <c r="H982" t="s">
        <v>153</v>
      </c>
      <c r="I982" t="e">
        <f t="shared" ca="1" si="75"/>
        <v>#REF!</v>
      </c>
      <c r="J982" t="str">
        <f>VLOOKUP($G982,DefinitionArrays!$I$6:$J$12,2,FALSE)</f>
        <v>Weekend</v>
      </c>
    </row>
    <row r="983" spans="1:10">
      <c r="A983" s="159" t="str">
        <f t="shared" si="76"/>
        <v>$N$1:$N$92</v>
      </c>
      <c r="B983" s="159" t="str">
        <f t="shared" si="77"/>
        <v>$O$1:$O$92</v>
      </c>
      <c r="C983" s="159" t="str">
        <f t="shared" si="78"/>
        <v>April!$N$1:$N$92</v>
      </c>
      <c r="D983" s="159" t="str">
        <f t="shared" si="79"/>
        <v>April!$O$1:$O$92</v>
      </c>
      <c r="E983" t="s">
        <v>4</v>
      </c>
      <c r="F983" t="s">
        <v>123</v>
      </c>
      <c r="G983" t="s">
        <v>145</v>
      </c>
      <c r="H983" t="s">
        <v>19</v>
      </c>
      <c r="I983" t="e">
        <f t="shared" ca="1" si="75"/>
        <v>#REF!</v>
      </c>
      <c r="J983" t="str">
        <f>VLOOKUP($G983,DefinitionArrays!$I$6:$J$12,2,FALSE)</f>
        <v>Weekend</v>
      </c>
    </row>
    <row r="984" spans="1:10">
      <c r="A984" s="159" t="str">
        <f t="shared" si="76"/>
        <v>$N$1:$N$92</v>
      </c>
      <c r="B984" s="159" t="str">
        <f t="shared" si="77"/>
        <v>$O$1:$O$92</v>
      </c>
      <c r="C984" s="159" t="str">
        <f t="shared" si="78"/>
        <v>April!$N$1:$N$92</v>
      </c>
      <c r="D984" s="159" t="str">
        <f t="shared" si="79"/>
        <v>April!$O$1:$O$92</v>
      </c>
      <c r="E984" t="s">
        <v>4</v>
      </c>
      <c r="F984" t="s">
        <v>123</v>
      </c>
      <c r="G984" t="s">
        <v>145</v>
      </c>
      <c r="H984" t="s">
        <v>20</v>
      </c>
      <c r="I984" t="e">
        <f t="shared" ca="1" si="75"/>
        <v>#REF!</v>
      </c>
      <c r="J984" t="str">
        <f>VLOOKUP($G984,DefinitionArrays!$I$6:$J$12,2,FALSE)</f>
        <v>Weekend</v>
      </c>
    </row>
    <row r="985" spans="1:10">
      <c r="A985" s="159" t="str">
        <f t="shared" si="76"/>
        <v>$N$1:$N$92</v>
      </c>
      <c r="B985" s="159" t="str">
        <f t="shared" si="77"/>
        <v>$O$1:$O$92</v>
      </c>
      <c r="C985" s="159" t="str">
        <f t="shared" si="78"/>
        <v>April!$N$1:$N$92</v>
      </c>
      <c r="D985" s="159" t="str">
        <f t="shared" si="79"/>
        <v>April!$O$1:$O$92</v>
      </c>
      <c r="E985" t="s">
        <v>4</v>
      </c>
      <c r="F985" t="s">
        <v>123</v>
      </c>
      <c r="G985" t="s">
        <v>145</v>
      </c>
      <c r="H985" t="s">
        <v>21</v>
      </c>
      <c r="I985" t="e">
        <f t="shared" ca="1" si="75"/>
        <v>#REF!</v>
      </c>
      <c r="J985" t="str">
        <f>VLOOKUP($G985,DefinitionArrays!$I$6:$J$12,2,FALSE)</f>
        <v>Weekend</v>
      </c>
    </row>
    <row r="986" spans="1:10">
      <c r="A986" s="159" t="str">
        <f t="shared" si="76"/>
        <v>$N$1:$N$92</v>
      </c>
      <c r="B986" s="159" t="str">
        <f t="shared" si="77"/>
        <v>$O$1:$O$92</v>
      </c>
      <c r="C986" s="159" t="str">
        <f t="shared" si="78"/>
        <v>April!$N$1:$N$92</v>
      </c>
      <c r="D986" s="159" t="str">
        <f t="shared" si="79"/>
        <v>April!$O$1:$O$92</v>
      </c>
      <c r="E986" t="s">
        <v>4</v>
      </c>
      <c r="F986" t="s">
        <v>123</v>
      </c>
      <c r="G986" t="s">
        <v>145</v>
      </c>
      <c r="H986" t="s">
        <v>22</v>
      </c>
      <c r="I986" t="e">
        <f t="shared" ca="1" si="75"/>
        <v>#REF!</v>
      </c>
      <c r="J986" t="str">
        <f>VLOOKUP($G986,DefinitionArrays!$I$6:$J$12,2,FALSE)</f>
        <v>Weekend</v>
      </c>
    </row>
    <row r="987" spans="1:10">
      <c r="A987" s="159" t="str">
        <f t="shared" si="76"/>
        <v>$N$1:$N$92</v>
      </c>
      <c r="B987" s="159" t="str">
        <f t="shared" si="77"/>
        <v>$O$1:$O$92</v>
      </c>
      <c r="C987" s="159" t="str">
        <f t="shared" si="78"/>
        <v>April!$N$1:$N$92</v>
      </c>
      <c r="D987" s="159" t="str">
        <f t="shared" si="79"/>
        <v>April!$O$1:$O$92</v>
      </c>
      <c r="E987" t="s">
        <v>4</v>
      </c>
      <c r="F987" t="s">
        <v>123</v>
      </c>
      <c r="G987" t="s">
        <v>145</v>
      </c>
      <c r="H987" t="s">
        <v>23</v>
      </c>
      <c r="I987" t="e">
        <f t="shared" ca="1" si="75"/>
        <v>#REF!</v>
      </c>
      <c r="J987" t="str">
        <f>VLOOKUP($G987,DefinitionArrays!$I$6:$J$12,2,FALSE)</f>
        <v>Weekend</v>
      </c>
    </row>
    <row r="988" spans="1:10">
      <c r="A988" s="159" t="str">
        <f t="shared" si="76"/>
        <v>$N$1:$N$92</v>
      </c>
      <c r="B988" s="159" t="str">
        <f t="shared" si="77"/>
        <v>$O$1:$O$92</v>
      </c>
      <c r="C988" s="159" t="str">
        <f t="shared" si="78"/>
        <v>April!$N$1:$N$92</v>
      </c>
      <c r="D988" s="159" t="str">
        <f t="shared" si="79"/>
        <v>April!$O$1:$O$92</v>
      </c>
      <c r="E988" t="s">
        <v>4</v>
      </c>
      <c r="F988" t="s">
        <v>123</v>
      </c>
      <c r="G988" t="s">
        <v>145</v>
      </c>
      <c r="H988" t="s">
        <v>24</v>
      </c>
      <c r="I988" t="e">
        <f t="shared" ca="1" si="75"/>
        <v>#REF!</v>
      </c>
      <c r="J988" t="str">
        <f>VLOOKUP($G988,DefinitionArrays!$I$6:$J$12,2,FALSE)</f>
        <v>Weekend</v>
      </c>
    </row>
    <row r="989" spans="1:10">
      <c r="A989" s="159" t="str">
        <f t="shared" si="76"/>
        <v>$N$1:$N$92</v>
      </c>
      <c r="B989" s="159" t="str">
        <f t="shared" si="77"/>
        <v>$O$1:$O$92</v>
      </c>
      <c r="C989" s="159" t="str">
        <f t="shared" si="78"/>
        <v>April!$N$1:$N$92</v>
      </c>
      <c r="D989" s="159" t="str">
        <f t="shared" si="79"/>
        <v>April!$O$1:$O$92</v>
      </c>
      <c r="E989" t="s">
        <v>4</v>
      </c>
      <c r="F989" t="s">
        <v>123</v>
      </c>
      <c r="G989" t="s">
        <v>145</v>
      </c>
      <c r="H989" t="s">
        <v>179</v>
      </c>
      <c r="I989" t="e">
        <f t="shared" ca="1" si="75"/>
        <v>#REF!</v>
      </c>
      <c r="J989" t="str">
        <f>VLOOKUP($G989,DefinitionArrays!$I$6:$J$12,2,FALSE)</f>
        <v>Weekend</v>
      </c>
    </row>
    <row r="990" spans="1:10">
      <c r="A990" s="159" t="str">
        <f t="shared" si="76"/>
        <v>$N$1:$N$92</v>
      </c>
      <c r="B990" s="159" t="str">
        <f t="shared" si="77"/>
        <v>$O$1:$O$92</v>
      </c>
      <c r="C990" s="159" t="str">
        <f t="shared" si="78"/>
        <v>April!$N$1:$N$92</v>
      </c>
      <c r="D990" s="159" t="str">
        <f t="shared" si="79"/>
        <v>April!$O$1:$O$92</v>
      </c>
      <c r="E990" t="s">
        <v>4</v>
      </c>
      <c r="F990" t="s">
        <v>123</v>
      </c>
      <c r="G990" t="s">
        <v>145</v>
      </c>
      <c r="H990" t="s">
        <v>180</v>
      </c>
      <c r="I990" t="e">
        <f t="shared" ca="1" si="75"/>
        <v>#REF!</v>
      </c>
      <c r="J990" t="str">
        <f>VLOOKUP($G990,DefinitionArrays!$I$6:$J$12,2,FALSE)</f>
        <v>Weekend</v>
      </c>
    </row>
    <row r="991" spans="1:10">
      <c r="A991" s="159" t="str">
        <f t="shared" si="76"/>
        <v>$N$1:$N$92</v>
      </c>
      <c r="B991" s="159" t="str">
        <f t="shared" si="77"/>
        <v>$O$1:$O$92</v>
      </c>
      <c r="C991" s="159" t="str">
        <f t="shared" si="78"/>
        <v>April!$N$1:$N$92</v>
      </c>
      <c r="D991" s="159" t="str">
        <f t="shared" si="79"/>
        <v>April!$O$1:$O$92</v>
      </c>
      <c r="E991" t="s">
        <v>4</v>
      </c>
      <c r="F991" t="s">
        <v>123</v>
      </c>
      <c r="G991" t="s">
        <v>145</v>
      </c>
      <c r="H991" t="s">
        <v>44</v>
      </c>
      <c r="I991" t="e">
        <f t="shared" ca="1" si="75"/>
        <v>#REF!</v>
      </c>
      <c r="J991" t="str">
        <f>VLOOKUP($G991,DefinitionArrays!$I$6:$J$12,2,FALSE)</f>
        <v>Weekend</v>
      </c>
    </row>
    <row r="992" spans="1:10">
      <c r="A992" s="159" t="str">
        <f t="shared" si="76"/>
        <v>$Q$1:$Q$92</v>
      </c>
      <c r="B992" s="159" t="str">
        <f t="shared" si="77"/>
        <v>$R$1:$R$92</v>
      </c>
      <c r="C992" s="159" t="str">
        <f t="shared" si="78"/>
        <v>April!$Q$1:$Q$92</v>
      </c>
      <c r="D992" s="159" t="str">
        <f t="shared" si="79"/>
        <v>April!$R$1:$R$92</v>
      </c>
      <c r="E992" t="s">
        <v>4</v>
      </c>
      <c r="F992" t="s">
        <v>123</v>
      </c>
      <c r="G992" t="s">
        <v>146</v>
      </c>
      <c r="H992" t="s">
        <v>159</v>
      </c>
      <c r="I992" t="e">
        <f t="shared" ca="1" si="75"/>
        <v>#REF!</v>
      </c>
      <c r="J992" t="str">
        <f>VLOOKUP($G992,DefinitionArrays!$I$6:$J$12,2,FALSE)</f>
        <v>Weekend</v>
      </c>
    </row>
    <row r="993" spans="1:10">
      <c r="A993" s="159" t="str">
        <f t="shared" si="76"/>
        <v>$T$1:$T$92</v>
      </c>
      <c r="B993" s="159" t="str">
        <f t="shared" si="77"/>
        <v>$U$1:$U$92</v>
      </c>
      <c r="C993" s="159" t="str">
        <f t="shared" si="78"/>
        <v>April!$T$1:$T$92</v>
      </c>
      <c r="D993" s="159" t="str">
        <f t="shared" si="79"/>
        <v>April!$U$1:$U$92</v>
      </c>
      <c r="E993" t="s">
        <v>4</v>
      </c>
      <c r="F993" t="s">
        <v>123</v>
      </c>
      <c r="G993" t="s">
        <v>141</v>
      </c>
      <c r="H993" t="s">
        <v>159</v>
      </c>
      <c r="I993" t="e">
        <f t="shared" ca="1" si="75"/>
        <v>#REF!</v>
      </c>
      <c r="J993" t="str">
        <f>VLOOKUP($G993,DefinitionArrays!$I$6:$J$12,2,FALSE)</f>
        <v>Weekend</v>
      </c>
    </row>
    <row r="994" spans="1:10">
      <c r="A994" s="159" t="str">
        <f t="shared" si="76"/>
        <v>$B$1:$B$92</v>
      </c>
      <c r="B994" s="159" t="str">
        <f t="shared" si="77"/>
        <v>$C$1:$C$92</v>
      </c>
      <c r="C994" s="159" t="str">
        <f t="shared" si="78"/>
        <v>May!$B$1:$B$92</v>
      </c>
      <c r="D994" s="159" t="str">
        <f t="shared" si="79"/>
        <v>May!$C$1:$C$92</v>
      </c>
      <c r="E994" t="s">
        <v>4</v>
      </c>
      <c r="F994" t="s">
        <v>124</v>
      </c>
      <c r="G994" t="s">
        <v>13</v>
      </c>
      <c r="H994" t="s">
        <v>159</v>
      </c>
      <c r="I994" t="e">
        <f ca="1">COUNTIFS(INDIRECT($C994),$E994,INDIRECT($D994),$H994)</f>
        <v>#REF!</v>
      </c>
      <c r="J994" t="str">
        <f>VLOOKUP($G994,DefinitionArrays!$I$6:$J$12,2,FALSE)</f>
        <v>Workweek</v>
      </c>
    </row>
    <row r="995" spans="1:10">
      <c r="A995" s="159" t="str">
        <f t="shared" si="76"/>
        <v>$B$1:$B$92</v>
      </c>
      <c r="B995" s="159" t="str">
        <f t="shared" si="77"/>
        <v>$C$1:$C$92</v>
      </c>
      <c r="C995" s="159" t="str">
        <f t="shared" si="78"/>
        <v>May!$B$1:$B$92</v>
      </c>
      <c r="D995" s="159" t="str">
        <f t="shared" si="79"/>
        <v>May!$C$1:$C$92</v>
      </c>
      <c r="E995" t="s">
        <v>4</v>
      </c>
      <c r="F995" t="s">
        <v>124</v>
      </c>
      <c r="G995" t="s">
        <v>13</v>
      </c>
      <c r="H995" t="s">
        <v>18</v>
      </c>
      <c r="I995" t="e">
        <f t="shared" ref="I995:I1055" ca="1" si="80">COUNTIFS(INDIRECT($C995),$E995,INDIRECT($D995),$H995)</f>
        <v>#REF!</v>
      </c>
      <c r="J995" t="str">
        <f>VLOOKUP($G995,DefinitionArrays!$I$6:$J$12,2,FALSE)</f>
        <v>Workweek</v>
      </c>
    </row>
    <row r="996" spans="1:10">
      <c r="A996" s="159" t="str">
        <f t="shared" si="76"/>
        <v>$B$1:$B$92</v>
      </c>
      <c r="B996" s="159" t="str">
        <f t="shared" si="77"/>
        <v>$C$1:$C$92</v>
      </c>
      <c r="C996" s="159" t="str">
        <f t="shared" si="78"/>
        <v>May!$B$1:$B$92</v>
      </c>
      <c r="D996" s="159" t="str">
        <f t="shared" si="79"/>
        <v>May!$C$1:$C$92</v>
      </c>
      <c r="E996" t="s">
        <v>4</v>
      </c>
      <c r="F996" t="s">
        <v>124</v>
      </c>
      <c r="G996" t="s">
        <v>13</v>
      </c>
      <c r="H996" t="s">
        <v>153</v>
      </c>
      <c r="I996" t="e">
        <f t="shared" ca="1" si="80"/>
        <v>#REF!</v>
      </c>
      <c r="J996" t="str">
        <f>VLOOKUP($G996,DefinitionArrays!$I$6:$J$12,2,FALSE)</f>
        <v>Workweek</v>
      </c>
    </row>
    <row r="997" spans="1:10">
      <c r="A997" s="159" t="str">
        <f t="shared" si="76"/>
        <v>$B$1:$B$92</v>
      </c>
      <c r="B997" s="159" t="str">
        <f t="shared" si="77"/>
        <v>$C$1:$C$92</v>
      </c>
      <c r="C997" s="159" t="str">
        <f t="shared" si="78"/>
        <v>May!$B$1:$B$92</v>
      </c>
      <c r="D997" s="159" t="str">
        <f t="shared" si="79"/>
        <v>May!$C$1:$C$92</v>
      </c>
      <c r="E997" t="s">
        <v>4</v>
      </c>
      <c r="F997" t="s">
        <v>124</v>
      </c>
      <c r="G997" t="s">
        <v>13</v>
      </c>
      <c r="H997" t="s">
        <v>19</v>
      </c>
      <c r="I997" t="e">
        <f t="shared" ca="1" si="80"/>
        <v>#REF!</v>
      </c>
      <c r="J997" t="str">
        <f>VLOOKUP($G997,DefinitionArrays!$I$6:$J$12,2,FALSE)</f>
        <v>Workweek</v>
      </c>
    </row>
    <row r="998" spans="1:10">
      <c r="A998" s="159" t="str">
        <f t="shared" si="76"/>
        <v>$B$1:$B$92</v>
      </c>
      <c r="B998" s="159" t="str">
        <f t="shared" si="77"/>
        <v>$C$1:$C$92</v>
      </c>
      <c r="C998" s="159" t="str">
        <f t="shared" si="78"/>
        <v>May!$B$1:$B$92</v>
      </c>
      <c r="D998" s="159" t="str">
        <f t="shared" si="79"/>
        <v>May!$C$1:$C$92</v>
      </c>
      <c r="E998" t="s">
        <v>4</v>
      </c>
      <c r="F998" t="s">
        <v>124</v>
      </c>
      <c r="G998" t="s">
        <v>13</v>
      </c>
      <c r="H998" t="s">
        <v>20</v>
      </c>
      <c r="I998" t="e">
        <f t="shared" ca="1" si="80"/>
        <v>#REF!</v>
      </c>
      <c r="J998" t="str">
        <f>VLOOKUP($G998,DefinitionArrays!$I$6:$J$12,2,FALSE)</f>
        <v>Workweek</v>
      </c>
    </row>
    <row r="999" spans="1:10">
      <c r="A999" s="159" t="str">
        <f t="shared" si="76"/>
        <v>$B$1:$B$92</v>
      </c>
      <c r="B999" s="159" t="str">
        <f t="shared" si="77"/>
        <v>$C$1:$C$92</v>
      </c>
      <c r="C999" s="159" t="str">
        <f t="shared" si="78"/>
        <v>May!$B$1:$B$92</v>
      </c>
      <c r="D999" s="159" t="str">
        <f t="shared" si="79"/>
        <v>May!$C$1:$C$92</v>
      </c>
      <c r="E999" t="s">
        <v>4</v>
      </c>
      <c r="F999" t="s">
        <v>124</v>
      </c>
      <c r="G999" t="s">
        <v>13</v>
      </c>
      <c r="H999" t="s">
        <v>21</v>
      </c>
      <c r="I999" t="e">
        <f t="shared" ca="1" si="80"/>
        <v>#REF!</v>
      </c>
      <c r="J999" t="str">
        <f>VLOOKUP($G999,DefinitionArrays!$I$6:$J$12,2,FALSE)</f>
        <v>Workweek</v>
      </c>
    </row>
    <row r="1000" spans="1:10">
      <c r="A1000" s="159" t="str">
        <f t="shared" si="76"/>
        <v>$B$1:$B$92</v>
      </c>
      <c r="B1000" s="159" t="str">
        <f t="shared" si="77"/>
        <v>$C$1:$C$92</v>
      </c>
      <c r="C1000" s="159" t="str">
        <f t="shared" si="78"/>
        <v>May!$B$1:$B$92</v>
      </c>
      <c r="D1000" s="159" t="str">
        <f t="shared" si="79"/>
        <v>May!$C$1:$C$92</v>
      </c>
      <c r="E1000" t="s">
        <v>4</v>
      </c>
      <c r="F1000" t="s">
        <v>124</v>
      </c>
      <c r="G1000" t="s">
        <v>13</v>
      </c>
      <c r="H1000" t="s">
        <v>22</v>
      </c>
      <c r="I1000" t="e">
        <f t="shared" ca="1" si="80"/>
        <v>#REF!</v>
      </c>
      <c r="J1000" t="str">
        <f>VLOOKUP($G1000,DefinitionArrays!$I$6:$J$12,2,FALSE)</f>
        <v>Workweek</v>
      </c>
    </row>
    <row r="1001" spans="1:10">
      <c r="A1001" s="159" t="str">
        <f t="shared" si="76"/>
        <v>$B$1:$B$92</v>
      </c>
      <c r="B1001" s="159" t="str">
        <f t="shared" si="77"/>
        <v>$C$1:$C$92</v>
      </c>
      <c r="C1001" s="159" t="str">
        <f t="shared" si="78"/>
        <v>May!$B$1:$B$92</v>
      </c>
      <c r="D1001" s="159" t="str">
        <f t="shared" si="79"/>
        <v>May!$C$1:$C$92</v>
      </c>
      <c r="E1001" t="s">
        <v>4</v>
      </c>
      <c r="F1001" t="s">
        <v>124</v>
      </c>
      <c r="G1001" t="s">
        <v>13</v>
      </c>
      <c r="H1001" t="s">
        <v>23</v>
      </c>
      <c r="I1001" t="e">
        <f t="shared" ca="1" si="80"/>
        <v>#REF!</v>
      </c>
      <c r="J1001" t="str">
        <f>VLOOKUP($G1001,DefinitionArrays!$I$6:$J$12,2,FALSE)</f>
        <v>Workweek</v>
      </c>
    </row>
    <row r="1002" spans="1:10">
      <c r="A1002" s="159" t="str">
        <f t="shared" si="76"/>
        <v>$B$1:$B$92</v>
      </c>
      <c r="B1002" s="159" t="str">
        <f t="shared" si="77"/>
        <v>$C$1:$C$92</v>
      </c>
      <c r="C1002" s="159" t="str">
        <f t="shared" si="78"/>
        <v>May!$B$1:$B$92</v>
      </c>
      <c r="D1002" s="159" t="str">
        <f t="shared" si="79"/>
        <v>May!$C$1:$C$92</v>
      </c>
      <c r="E1002" t="s">
        <v>4</v>
      </c>
      <c r="F1002" t="s">
        <v>124</v>
      </c>
      <c r="G1002" t="s">
        <v>13</v>
      </c>
      <c r="H1002" t="s">
        <v>24</v>
      </c>
      <c r="I1002" t="e">
        <f t="shared" ca="1" si="80"/>
        <v>#REF!</v>
      </c>
      <c r="J1002" t="str">
        <f>VLOOKUP($G1002,DefinitionArrays!$I$6:$J$12,2,FALSE)</f>
        <v>Workweek</v>
      </c>
    </row>
    <row r="1003" spans="1:10">
      <c r="A1003" s="159" t="str">
        <f t="shared" si="76"/>
        <v>$B$1:$B$92</v>
      </c>
      <c r="B1003" s="159" t="str">
        <f t="shared" si="77"/>
        <v>$C$1:$C$92</v>
      </c>
      <c r="C1003" s="159" t="str">
        <f t="shared" si="78"/>
        <v>May!$B$1:$B$92</v>
      </c>
      <c r="D1003" s="159" t="str">
        <f t="shared" si="79"/>
        <v>May!$C$1:$C$92</v>
      </c>
      <c r="E1003" t="s">
        <v>4</v>
      </c>
      <c r="F1003" t="s">
        <v>124</v>
      </c>
      <c r="G1003" t="s">
        <v>13</v>
      </c>
      <c r="H1003" t="s">
        <v>179</v>
      </c>
      <c r="I1003" t="e">
        <f t="shared" ca="1" si="80"/>
        <v>#REF!</v>
      </c>
      <c r="J1003" t="str">
        <f>VLOOKUP($G1003,DefinitionArrays!$I$6:$J$12,2,FALSE)</f>
        <v>Workweek</v>
      </c>
    </row>
    <row r="1004" spans="1:10">
      <c r="A1004" s="159" t="str">
        <f t="shared" si="76"/>
        <v>$B$1:$B$92</v>
      </c>
      <c r="B1004" s="159" t="str">
        <f t="shared" si="77"/>
        <v>$C$1:$C$92</v>
      </c>
      <c r="C1004" s="159" t="str">
        <f t="shared" si="78"/>
        <v>May!$B$1:$B$92</v>
      </c>
      <c r="D1004" s="159" t="str">
        <f t="shared" si="79"/>
        <v>May!$C$1:$C$92</v>
      </c>
      <c r="E1004" t="s">
        <v>4</v>
      </c>
      <c r="F1004" t="s">
        <v>124</v>
      </c>
      <c r="G1004" t="s">
        <v>13</v>
      </c>
      <c r="H1004" t="s">
        <v>180</v>
      </c>
      <c r="I1004" t="e">
        <f t="shared" ca="1" si="80"/>
        <v>#REF!</v>
      </c>
      <c r="J1004" t="str">
        <f>VLOOKUP($G1004,DefinitionArrays!$I$6:$J$12,2,FALSE)</f>
        <v>Workweek</v>
      </c>
    </row>
    <row r="1005" spans="1:10">
      <c r="A1005" s="159" t="str">
        <f t="shared" si="76"/>
        <v>$B$1:$B$92</v>
      </c>
      <c r="B1005" s="159" t="str">
        <f t="shared" si="77"/>
        <v>$C$1:$C$92</v>
      </c>
      <c r="C1005" s="159" t="str">
        <f t="shared" si="78"/>
        <v>May!$B$1:$B$92</v>
      </c>
      <c r="D1005" s="159" t="str">
        <f t="shared" si="79"/>
        <v>May!$C$1:$C$92</v>
      </c>
      <c r="E1005" t="s">
        <v>4</v>
      </c>
      <c r="F1005" t="s">
        <v>124</v>
      </c>
      <c r="G1005" t="s">
        <v>13</v>
      </c>
      <c r="H1005" t="s">
        <v>44</v>
      </c>
      <c r="I1005" t="e">
        <f t="shared" ca="1" si="80"/>
        <v>#REF!</v>
      </c>
      <c r="J1005" t="str">
        <f>VLOOKUP($G1005,DefinitionArrays!$I$6:$J$12,2,FALSE)</f>
        <v>Workweek</v>
      </c>
    </row>
    <row r="1006" spans="1:10">
      <c r="A1006" s="159" t="str">
        <f t="shared" si="76"/>
        <v>$E$1:$E$92</v>
      </c>
      <c r="B1006" s="159" t="str">
        <f t="shared" si="77"/>
        <v>$F$1:$F$92</v>
      </c>
      <c r="C1006" s="159" t="str">
        <f t="shared" si="78"/>
        <v>May!$E$1:$E$92</v>
      </c>
      <c r="D1006" s="159" t="str">
        <f t="shared" si="79"/>
        <v>May!$F$1:$F$92</v>
      </c>
      <c r="E1006" t="s">
        <v>4</v>
      </c>
      <c r="F1006" t="s">
        <v>124</v>
      </c>
      <c r="G1006" t="s">
        <v>142</v>
      </c>
      <c r="H1006" t="s">
        <v>159</v>
      </c>
      <c r="I1006" t="e">
        <f t="shared" ca="1" si="80"/>
        <v>#REF!</v>
      </c>
      <c r="J1006" t="str">
        <f>VLOOKUP($G1006,DefinitionArrays!$I$6:$J$12,2,FALSE)</f>
        <v>Workweek</v>
      </c>
    </row>
    <row r="1007" spans="1:10">
      <c r="A1007" s="159" t="str">
        <f t="shared" si="76"/>
        <v>$E$1:$E$92</v>
      </c>
      <c r="B1007" s="159" t="str">
        <f t="shared" si="77"/>
        <v>$F$1:$F$92</v>
      </c>
      <c r="C1007" s="159" t="str">
        <f t="shared" si="78"/>
        <v>May!$E$1:$E$92</v>
      </c>
      <c r="D1007" s="159" t="str">
        <f t="shared" si="79"/>
        <v>May!$F$1:$F$92</v>
      </c>
      <c r="E1007" t="s">
        <v>4</v>
      </c>
      <c r="F1007" t="s">
        <v>124</v>
      </c>
      <c r="G1007" t="s">
        <v>142</v>
      </c>
      <c r="H1007" t="s">
        <v>18</v>
      </c>
      <c r="I1007" t="e">
        <f t="shared" ca="1" si="80"/>
        <v>#REF!</v>
      </c>
      <c r="J1007" t="str">
        <f>VLOOKUP($G1007,DefinitionArrays!$I$6:$J$12,2,FALSE)</f>
        <v>Workweek</v>
      </c>
    </row>
    <row r="1008" spans="1:10">
      <c r="A1008" s="159" t="str">
        <f t="shared" si="76"/>
        <v>$E$1:$E$92</v>
      </c>
      <c r="B1008" s="159" t="str">
        <f t="shared" si="77"/>
        <v>$F$1:$F$92</v>
      </c>
      <c r="C1008" s="159" t="str">
        <f t="shared" si="78"/>
        <v>May!$E$1:$E$92</v>
      </c>
      <c r="D1008" s="159" t="str">
        <f t="shared" si="79"/>
        <v>May!$F$1:$F$92</v>
      </c>
      <c r="E1008" t="s">
        <v>4</v>
      </c>
      <c r="F1008" t="s">
        <v>124</v>
      </c>
      <c r="G1008" t="s">
        <v>142</v>
      </c>
      <c r="H1008" t="s">
        <v>153</v>
      </c>
      <c r="I1008" t="e">
        <f t="shared" ca="1" si="80"/>
        <v>#REF!</v>
      </c>
      <c r="J1008" t="str">
        <f>VLOOKUP($G1008,DefinitionArrays!$I$6:$J$12,2,FALSE)</f>
        <v>Workweek</v>
      </c>
    </row>
    <row r="1009" spans="1:10">
      <c r="A1009" s="159" t="str">
        <f t="shared" si="76"/>
        <v>$E$1:$E$92</v>
      </c>
      <c r="B1009" s="159" t="str">
        <f t="shared" si="77"/>
        <v>$F$1:$F$92</v>
      </c>
      <c r="C1009" s="159" t="str">
        <f t="shared" si="78"/>
        <v>May!$E$1:$E$92</v>
      </c>
      <c r="D1009" s="159" t="str">
        <f t="shared" si="79"/>
        <v>May!$F$1:$F$92</v>
      </c>
      <c r="E1009" t="s">
        <v>4</v>
      </c>
      <c r="F1009" t="s">
        <v>124</v>
      </c>
      <c r="G1009" t="s">
        <v>142</v>
      </c>
      <c r="H1009" t="s">
        <v>19</v>
      </c>
      <c r="I1009" t="e">
        <f t="shared" ca="1" si="80"/>
        <v>#REF!</v>
      </c>
      <c r="J1009" t="str">
        <f>VLOOKUP($G1009,DefinitionArrays!$I$6:$J$12,2,FALSE)</f>
        <v>Workweek</v>
      </c>
    </row>
    <row r="1010" spans="1:10">
      <c r="A1010" s="159" t="str">
        <f t="shared" si="76"/>
        <v>$E$1:$E$92</v>
      </c>
      <c r="B1010" s="159" t="str">
        <f t="shared" si="77"/>
        <v>$F$1:$F$92</v>
      </c>
      <c r="C1010" s="159" t="str">
        <f t="shared" si="78"/>
        <v>May!$E$1:$E$92</v>
      </c>
      <c r="D1010" s="159" t="str">
        <f t="shared" si="79"/>
        <v>May!$F$1:$F$92</v>
      </c>
      <c r="E1010" t="s">
        <v>4</v>
      </c>
      <c r="F1010" t="s">
        <v>124</v>
      </c>
      <c r="G1010" t="s">
        <v>142</v>
      </c>
      <c r="H1010" t="s">
        <v>20</v>
      </c>
      <c r="I1010" t="e">
        <f t="shared" ca="1" si="80"/>
        <v>#REF!</v>
      </c>
      <c r="J1010" t="str">
        <f>VLOOKUP($G1010,DefinitionArrays!$I$6:$J$12,2,FALSE)</f>
        <v>Workweek</v>
      </c>
    </row>
    <row r="1011" spans="1:10">
      <c r="A1011" s="159" t="str">
        <f t="shared" si="76"/>
        <v>$E$1:$E$92</v>
      </c>
      <c r="B1011" s="159" t="str">
        <f t="shared" si="77"/>
        <v>$F$1:$F$92</v>
      </c>
      <c r="C1011" s="159" t="str">
        <f t="shared" si="78"/>
        <v>May!$E$1:$E$92</v>
      </c>
      <c r="D1011" s="159" t="str">
        <f t="shared" si="79"/>
        <v>May!$F$1:$F$92</v>
      </c>
      <c r="E1011" t="s">
        <v>4</v>
      </c>
      <c r="F1011" t="s">
        <v>124</v>
      </c>
      <c r="G1011" t="s">
        <v>142</v>
      </c>
      <c r="H1011" t="s">
        <v>21</v>
      </c>
      <c r="I1011" t="e">
        <f t="shared" ca="1" si="80"/>
        <v>#REF!</v>
      </c>
      <c r="J1011" t="str">
        <f>VLOOKUP($G1011,DefinitionArrays!$I$6:$J$12,2,FALSE)</f>
        <v>Workweek</v>
      </c>
    </row>
    <row r="1012" spans="1:10">
      <c r="A1012" s="159" t="str">
        <f t="shared" si="76"/>
        <v>$E$1:$E$92</v>
      </c>
      <c r="B1012" s="159" t="str">
        <f t="shared" si="77"/>
        <v>$F$1:$F$92</v>
      </c>
      <c r="C1012" s="159" t="str">
        <f t="shared" si="78"/>
        <v>May!$E$1:$E$92</v>
      </c>
      <c r="D1012" s="159" t="str">
        <f t="shared" si="79"/>
        <v>May!$F$1:$F$92</v>
      </c>
      <c r="E1012" t="s">
        <v>4</v>
      </c>
      <c r="F1012" t="s">
        <v>124</v>
      </c>
      <c r="G1012" t="s">
        <v>142</v>
      </c>
      <c r="H1012" t="s">
        <v>22</v>
      </c>
      <c r="I1012" t="e">
        <f t="shared" ca="1" si="80"/>
        <v>#REF!</v>
      </c>
      <c r="J1012" t="str">
        <f>VLOOKUP($G1012,DefinitionArrays!$I$6:$J$12,2,FALSE)</f>
        <v>Workweek</v>
      </c>
    </row>
    <row r="1013" spans="1:10">
      <c r="A1013" s="159" t="str">
        <f t="shared" si="76"/>
        <v>$E$1:$E$92</v>
      </c>
      <c r="B1013" s="159" t="str">
        <f t="shared" si="77"/>
        <v>$F$1:$F$92</v>
      </c>
      <c r="C1013" s="159" t="str">
        <f t="shared" si="78"/>
        <v>May!$E$1:$E$92</v>
      </c>
      <c r="D1013" s="159" t="str">
        <f t="shared" si="79"/>
        <v>May!$F$1:$F$92</v>
      </c>
      <c r="E1013" t="s">
        <v>4</v>
      </c>
      <c r="F1013" t="s">
        <v>124</v>
      </c>
      <c r="G1013" t="s">
        <v>142</v>
      </c>
      <c r="H1013" t="s">
        <v>23</v>
      </c>
      <c r="I1013" t="e">
        <f t="shared" ca="1" si="80"/>
        <v>#REF!</v>
      </c>
      <c r="J1013" t="str">
        <f>VLOOKUP($G1013,DefinitionArrays!$I$6:$J$12,2,FALSE)</f>
        <v>Workweek</v>
      </c>
    </row>
    <row r="1014" spans="1:10">
      <c r="A1014" s="159" t="str">
        <f t="shared" si="76"/>
        <v>$E$1:$E$92</v>
      </c>
      <c r="B1014" s="159" t="str">
        <f t="shared" si="77"/>
        <v>$F$1:$F$92</v>
      </c>
      <c r="C1014" s="159" t="str">
        <f t="shared" si="78"/>
        <v>May!$E$1:$E$92</v>
      </c>
      <c r="D1014" s="159" t="str">
        <f t="shared" si="79"/>
        <v>May!$F$1:$F$92</v>
      </c>
      <c r="E1014" t="s">
        <v>4</v>
      </c>
      <c r="F1014" t="s">
        <v>124</v>
      </c>
      <c r="G1014" t="s">
        <v>142</v>
      </c>
      <c r="H1014" t="s">
        <v>24</v>
      </c>
      <c r="I1014" t="e">
        <f t="shared" ca="1" si="80"/>
        <v>#REF!</v>
      </c>
      <c r="J1014" t="str">
        <f>VLOOKUP($G1014,DefinitionArrays!$I$6:$J$12,2,FALSE)</f>
        <v>Workweek</v>
      </c>
    </row>
    <row r="1015" spans="1:10">
      <c r="A1015" s="159" t="str">
        <f t="shared" si="76"/>
        <v>$E$1:$E$92</v>
      </c>
      <c r="B1015" s="159" t="str">
        <f t="shared" si="77"/>
        <v>$F$1:$F$92</v>
      </c>
      <c r="C1015" s="159" t="str">
        <f t="shared" si="78"/>
        <v>May!$E$1:$E$92</v>
      </c>
      <c r="D1015" s="159" t="str">
        <f t="shared" si="79"/>
        <v>May!$F$1:$F$92</v>
      </c>
      <c r="E1015" t="s">
        <v>4</v>
      </c>
      <c r="F1015" t="s">
        <v>124</v>
      </c>
      <c r="G1015" t="s">
        <v>142</v>
      </c>
      <c r="H1015" t="s">
        <v>179</v>
      </c>
      <c r="I1015" t="e">
        <f t="shared" ca="1" si="80"/>
        <v>#REF!</v>
      </c>
      <c r="J1015" t="str">
        <f>VLOOKUP($G1015,DefinitionArrays!$I$6:$J$12,2,FALSE)</f>
        <v>Workweek</v>
      </c>
    </row>
    <row r="1016" spans="1:10">
      <c r="A1016" s="159" t="str">
        <f t="shared" si="76"/>
        <v>$E$1:$E$92</v>
      </c>
      <c r="B1016" s="159" t="str">
        <f t="shared" si="77"/>
        <v>$F$1:$F$92</v>
      </c>
      <c r="C1016" s="159" t="str">
        <f t="shared" si="78"/>
        <v>May!$E$1:$E$92</v>
      </c>
      <c r="D1016" s="159" t="str">
        <f t="shared" si="79"/>
        <v>May!$F$1:$F$92</v>
      </c>
      <c r="E1016" t="s">
        <v>4</v>
      </c>
      <c r="F1016" t="s">
        <v>124</v>
      </c>
      <c r="G1016" t="s">
        <v>142</v>
      </c>
      <c r="H1016" t="s">
        <v>180</v>
      </c>
      <c r="I1016" t="e">
        <f t="shared" ca="1" si="80"/>
        <v>#REF!</v>
      </c>
      <c r="J1016" t="str">
        <f>VLOOKUP($G1016,DefinitionArrays!$I$6:$J$12,2,FALSE)</f>
        <v>Workweek</v>
      </c>
    </row>
    <row r="1017" spans="1:10">
      <c r="A1017" s="159" t="str">
        <f t="shared" si="76"/>
        <v>$E$1:$E$92</v>
      </c>
      <c r="B1017" s="159" t="str">
        <f t="shared" si="77"/>
        <v>$F$1:$F$92</v>
      </c>
      <c r="C1017" s="159" t="str">
        <f t="shared" si="78"/>
        <v>May!$E$1:$E$92</v>
      </c>
      <c r="D1017" s="159" t="str">
        <f t="shared" si="79"/>
        <v>May!$F$1:$F$92</v>
      </c>
      <c r="E1017" t="s">
        <v>4</v>
      </c>
      <c r="F1017" t="s">
        <v>124</v>
      </c>
      <c r="G1017" t="s">
        <v>142</v>
      </c>
      <c r="H1017" t="s">
        <v>44</v>
      </c>
      <c r="I1017" t="e">
        <f t="shared" ca="1" si="80"/>
        <v>#REF!</v>
      </c>
      <c r="J1017" t="str">
        <f>VLOOKUP($G1017,DefinitionArrays!$I$6:$J$12,2,FALSE)</f>
        <v>Workweek</v>
      </c>
    </row>
    <row r="1018" spans="1:10">
      <c r="A1018" s="159" t="str">
        <f t="shared" si="76"/>
        <v>$H$1:$H$92</v>
      </c>
      <c r="B1018" s="159" t="str">
        <f t="shared" si="77"/>
        <v>$I$1:$I$92</v>
      </c>
      <c r="C1018" s="159" t="str">
        <f t="shared" si="78"/>
        <v>May!$H$1:$H$92</v>
      </c>
      <c r="D1018" s="159" t="str">
        <f t="shared" si="79"/>
        <v>May!$I$1:$I$92</v>
      </c>
      <c r="E1018" t="s">
        <v>4</v>
      </c>
      <c r="F1018" t="s">
        <v>124</v>
      </c>
      <c r="G1018" t="s">
        <v>143</v>
      </c>
      <c r="H1018" t="s">
        <v>159</v>
      </c>
      <c r="I1018" t="e">
        <f t="shared" ca="1" si="80"/>
        <v>#REF!</v>
      </c>
      <c r="J1018" t="str">
        <f>VLOOKUP($G1018,DefinitionArrays!$I$6:$J$12,2,FALSE)</f>
        <v>Workweek</v>
      </c>
    </row>
    <row r="1019" spans="1:10">
      <c r="A1019" s="159" t="str">
        <f t="shared" si="76"/>
        <v>$H$1:$H$92</v>
      </c>
      <c r="B1019" s="159" t="str">
        <f t="shared" si="77"/>
        <v>$I$1:$I$92</v>
      </c>
      <c r="C1019" s="159" t="str">
        <f t="shared" si="78"/>
        <v>May!$H$1:$H$92</v>
      </c>
      <c r="D1019" s="159" t="str">
        <f t="shared" si="79"/>
        <v>May!$I$1:$I$92</v>
      </c>
      <c r="E1019" t="s">
        <v>4</v>
      </c>
      <c r="F1019" t="s">
        <v>124</v>
      </c>
      <c r="G1019" t="s">
        <v>143</v>
      </c>
      <c r="H1019" t="s">
        <v>18</v>
      </c>
      <c r="I1019" t="e">
        <f t="shared" ca="1" si="80"/>
        <v>#REF!</v>
      </c>
      <c r="J1019" t="str">
        <f>VLOOKUP($G1019,DefinitionArrays!$I$6:$J$12,2,FALSE)</f>
        <v>Workweek</v>
      </c>
    </row>
    <row r="1020" spans="1:10">
      <c r="A1020" s="159" t="str">
        <f t="shared" si="76"/>
        <v>$H$1:$H$92</v>
      </c>
      <c r="B1020" s="159" t="str">
        <f t="shared" si="77"/>
        <v>$I$1:$I$92</v>
      </c>
      <c r="C1020" s="159" t="str">
        <f t="shared" si="78"/>
        <v>May!$H$1:$H$92</v>
      </c>
      <c r="D1020" s="159" t="str">
        <f t="shared" si="79"/>
        <v>May!$I$1:$I$92</v>
      </c>
      <c r="E1020" t="s">
        <v>4</v>
      </c>
      <c r="F1020" t="s">
        <v>124</v>
      </c>
      <c r="G1020" t="s">
        <v>143</v>
      </c>
      <c r="H1020" t="s">
        <v>153</v>
      </c>
      <c r="I1020" t="e">
        <f t="shared" ca="1" si="80"/>
        <v>#REF!</v>
      </c>
      <c r="J1020" t="str">
        <f>VLOOKUP($G1020,DefinitionArrays!$I$6:$J$12,2,FALSE)</f>
        <v>Workweek</v>
      </c>
    </row>
    <row r="1021" spans="1:10">
      <c r="A1021" s="159" t="str">
        <f t="shared" si="76"/>
        <v>$H$1:$H$92</v>
      </c>
      <c r="B1021" s="159" t="str">
        <f t="shared" si="77"/>
        <v>$I$1:$I$92</v>
      </c>
      <c r="C1021" s="159" t="str">
        <f t="shared" si="78"/>
        <v>May!$H$1:$H$92</v>
      </c>
      <c r="D1021" s="159" t="str">
        <f t="shared" si="79"/>
        <v>May!$I$1:$I$92</v>
      </c>
      <c r="E1021" t="s">
        <v>4</v>
      </c>
      <c r="F1021" t="s">
        <v>124</v>
      </c>
      <c r="G1021" t="s">
        <v>143</v>
      </c>
      <c r="H1021" t="s">
        <v>19</v>
      </c>
      <c r="I1021" t="e">
        <f t="shared" ca="1" si="80"/>
        <v>#REF!</v>
      </c>
      <c r="J1021" t="str">
        <f>VLOOKUP($G1021,DefinitionArrays!$I$6:$J$12,2,FALSE)</f>
        <v>Workweek</v>
      </c>
    </row>
    <row r="1022" spans="1:10">
      <c r="A1022" s="159" t="str">
        <f t="shared" si="76"/>
        <v>$H$1:$H$92</v>
      </c>
      <c r="B1022" s="159" t="str">
        <f t="shared" si="77"/>
        <v>$I$1:$I$92</v>
      </c>
      <c r="C1022" s="159" t="str">
        <f t="shared" si="78"/>
        <v>May!$H$1:$H$92</v>
      </c>
      <c r="D1022" s="159" t="str">
        <f t="shared" si="79"/>
        <v>May!$I$1:$I$92</v>
      </c>
      <c r="E1022" t="s">
        <v>4</v>
      </c>
      <c r="F1022" t="s">
        <v>124</v>
      </c>
      <c r="G1022" t="s">
        <v>143</v>
      </c>
      <c r="H1022" t="s">
        <v>20</v>
      </c>
      <c r="I1022" t="e">
        <f t="shared" ca="1" si="80"/>
        <v>#REF!</v>
      </c>
      <c r="J1022" t="str">
        <f>VLOOKUP($G1022,DefinitionArrays!$I$6:$J$12,2,FALSE)</f>
        <v>Workweek</v>
      </c>
    </row>
    <row r="1023" spans="1:10">
      <c r="A1023" s="159" t="str">
        <f t="shared" si="76"/>
        <v>$H$1:$H$92</v>
      </c>
      <c r="B1023" s="159" t="str">
        <f t="shared" si="77"/>
        <v>$I$1:$I$92</v>
      </c>
      <c r="C1023" s="159" t="str">
        <f t="shared" si="78"/>
        <v>May!$H$1:$H$92</v>
      </c>
      <c r="D1023" s="159" t="str">
        <f t="shared" si="79"/>
        <v>May!$I$1:$I$92</v>
      </c>
      <c r="E1023" t="s">
        <v>4</v>
      </c>
      <c r="F1023" t="s">
        <v>124</v>
      </c>
      <c r="G1023" t="s">
        <v>143</v>
      </c>
      <c r="H1023" t="s">
        <v>21</v>
      </c>
      <c r="I1023" t="e">
        <f t="shared" ca="1" si="80"/>
        <v>#REF!</v>
      </c>
      <c r="J1023" t="str">
        <f>VLOOKUP($G1023,DefinitionArrays!$I$6:$J$12,2,FALSE)</f>
        <v>Workweek</v>
      </c>
    </row>
    <row r="1024" spans="1:10">
      <c r="A1024" s="159" t="str">
        <f t="shared" si="76"/>
        <v>$H$1:$H$92</v>
      </c>
      <c r="B1024" s="159" t="str">
        <f t="shared" si="77"/>
        <v>$I$1:$I$92</v>
      </c>
      <c r="C1024" s="159" t="str">
        <f t="shared" si="78"/>
        <v>May!$H$1:$H$92</v>
      </c>
      <c r="D1024" s="159" t="str">
        <f t="shared" si="79"/>
        <v>May!$I$1:$I$92</v>
      </c>
      <c r="E1024" t="s">
        <v>4</v>
      </c>
      <c r="F1024" t="s">
        <v>124</v>
      </c>
      <c r="G1024" t="s">
        <v>143</v>
      </c>
      <c r="H1024" t="s">
        <v>22</v>
      </c>
      <c r="I1024" t="e">
        <f t="shared" ca="1" si="80"/>
        <v>#REF!</v>
      </c>
      <c r="J1024" t="str">
        <f>VLOOKUP($G1024,DefinitionArrays!$I$6:$J$12,2,FALSE)</f>
        <v>Workweek</v>
      </c>
    </row>
    <row r="1025" spans="1:10">
      <c r="A1025" s="159" t="str">
        <f t="shared" si="76"/>
        <v>$H$1:$H$92</v>
      </c>
      <c r="B1025" s="159" t="str">
        <f t="shared" si="77"/>
        <v>$I$1:$I$92</v>
      </c>
      <c r="C1025" s="159" t="str">
        <f t="shared" si="78"/>
        <v>May!$H$1:$H$92</v>
      </c>
      <c r="D1025" s="159" t="str">
        <f t="shared" si="79"/>
        <v>May!$I$1:$I$92</v>
      </c>
      <c r="E1025" t="s">
        <v>4</v>
      </c>
      <c r="F1025" t="s">
        <v>124</v>
      </c>
      <c r="G1025" t="s">
        <v>143</v>
      </c>
      <c r="H1025" t="s">
        <v>23</v>
      </c>
      <c r="I1025" t="e">
        <f t="shared" ca="1" si="80"/>
        <v>#REF!</v>
      </c>
      <c r="J1025" t="str">
        <f>VLOOKUP($G1025,DefinitionArrays!$I$6:$J$12,2,FALSE)</f>
        <v>Workweek</v>
      </c>
    </row>
    <row r="1026" spans="1:10">
      <c r="A1026" s="159" t="str">
        <f t="shared" ref="A1026:A1089" si="81">VLOOKUP($G1026,Fx_Code,2,FALSE)</f>
        <v>$H$1:$H$92</v>
      </c>
      <c r="B1026" s="159" t="str">
        <f t="shared" ref="B1026:B1089" si="82">VLOOKUP($G1026,Fx_Code,3,FALSE)</f>
        <v>$I$1:$I$92</v>
      </c>
      <c r="C1026" s="159" t="str">
        <f t="shared" ref="C1026:C1089" si="83">CONCATENATE($F1026,$K$1,A1026)</f>
        <v>May!$H$1:$H$92</v>
      </c>
      <c r="D1026" s="159" t="str">
        <f t="shared" ref="D1026:D1089" si="84">CONCATENATE($F1026,$K$1,B1026)</f>
        <v>May!$I$1:$I$92</v>
      </c>
      <c r="E1026" t="s">
        <v>4</v>
      </c>
      <c r="F1026" t="s">
        <v>124</v>
      </c>
      <c r="G1026" t="s">
        <v>143</v>
      </c>
      <c r="H1026" t="s">
        <v>24</v>
      </c>
      <c r="I1026" t="e">
        <f t="shared" ca="1" si="80"/>
        <v>#REF!</v>
      </c>
      <c r="J1026" t="str">
        <f>VLOOKUP($G1026,DefinitionArrays!$I$6:$J$12,2,FALSE)</f>
        <v>Workweek</v>
      </c>
    </row>
    <row r="1027" spans="1:10">
      <c r="A1027" s="159" t="str">
        <f t="shared" si="81"/>
        <v>$H$1:$H$92</v>
      </c>
      <c r="B1027" s="159" t="str">
        <f t="shared" si="82"/>
        <v>$I$1:$I$92</v>
      </c>
      <c r="C1027" s="159" t="str">
        <f t="shared" si="83"/>
        <v>May!$H$1:$H$92</v>
      </c>
      <c r="D1027" s="159" t="str">
        <f t="shared" si="84"/>
        <v>May!$I$1:$I$92</v>
      </c>
      <c r="E1027" t="s">
        <v>4</v>
      </c>
      <c r="F1027" t="s">
        <v>124</v>
      </c>
      <c r="G1027" t="s">
        <v>143</v>
      </c>
      <c r="H1027" t="s">
        <v>179</v>
      </c>
      <c r="I1027" t="e">
        <f t="shared" ca="1" si="80"/>
        <v>#REF!</v>
      </c>
      <c r="J1027" t="str">
        <f>VLOOKUP($G1027,DefinitionArrays!$I$6:$J$12,2,FALSE)</f>
        <v>Workweek</v>
      </c>
    </row>
    <row r="1028" spans="1:10">
      <c r="A1028" s="159" t="str">
        <f t="shared" si="81"/>
        <v>$H$1:$H$92</v>
      </c>
      <c r="B1028" s="159" t="str">
        <f t="shared" si="82"/>
        <v>$I$1:$I$92</v>
      </c>
      <c r="C1028" s="159" t="str">
        <f t="shared" si="83"/>
        <v>May!$H$1:$H$92</v>
      </c>
      <c r="D1028" s="159" t="str">
        <f t="shared" si="84"/>
        <v>May!$I$1:$I$92</v>
      </c>
      <c r="E1028" t="s">
        <v>4</v>
      </c>
      <c r="F1028" t="s">
        <v>124</v>
      </c>
      <c r="G1028" t="s">
        <v>143</v>
      </c>
      <c r="H1028" t="s">
        <v>180</v>
      </c>
      <c r="I1028" t="e">
        <f t="shared" ca="1" si="80"/>
        <v>#REF!</v>
      </c>
      <c r="J1028" t="str">
        <f>VLOOKUP($G1028,DefinitionArrays!$I$6:$J$12,2,FALSE)</f>
        <v>Workweek</v>
      </c>
    </row>
    <row r="1029" spans="1:10">
      <c r="A1029" s="159" t="str">
        <f t="shared" si="81"/>
        <v>$H$1:$H$92</v>
      </c>
      <c r="B1029" s="159" t="str">
        <f t="shared" si="82"/>
        <v>$I$1:$I$92</v>
      </c>
      <c r="C1029" s="159" t="str">
        <f t="shared" si="83"/>
        <v>May!$H$1:$H$92</v>
      </c>
      <c r="D1029" s="159" t="str">
        <f t="shared" si="84"/>
        <v>May!$I$1:$I$92</v>
      </c>
      <c r="E1029" t="s">
        <v>4</v>
      </c>
      <c r="F1029" t="s">
        <v>124</v>
      </c>
      <c r="G1029" t="s">
        <v>143</v>
      </c>
      <c r="H1029" t="s">
        <v>44</v>
      </c>
      <c r="I1029" t="e">
        <f t="shared" ca="1" si="80"/>
        <v>#REF!</v>
      </c>
      <c r="J1029" t="str">
        <f>VLOOKUP($G1029,DefinitionArrays!$I$6:$J$12,2,FALSE)</f>
        <v>Workweek</v>
      </c>
    </row>
    <row r="1030" spans="1:10">
      <c r="A1030" s="159" t="str">
        <f t="shared" si="81"/>
        <v>$K$1:$K$92</v>
      </c>
      <c r="B1030" s="159" t="str">
        <f t="shared" si="82"/>
        <v>$L$1:$L$92</v>
      </c>
      <c r="C1030" s="159" t="str">
        <f t="shared" si="83"/>
        <v>May!$K$1:$K$92</v>
      </c>
      <c r="D1030" s="159" t="str">
        <f t="shared" si="84"/>
        <v>May!$L$1:$L$92</v>
      </c>
      <c r="E1030" t="s">
        <v>4</v>
      </c>
      <c r="F1030" t="s">
        <v>124</v>
      </c>
      <c r="G1030" t="s">
        <v>144</v>
      </c>
      <c r="H1030" t="s">
        <v>159</v>
      </c>
      <c r="I1030" t="e">
        <f t="shared" ca="1" si="80"/>
        <v>#REF!</v>
      </c>
      <c r="J1030" t="str">
        <f>VLOOKUP($G1030,DefinitionArrays!$I$6:$J$12,2,FALSE)</f>
        <v>Workweek</v>
      </c>
    </row>
    <row r="1031" spans="1:10">
      <c r="A1031" s="159" t="str">
        <f t="shared" si="81"/>
        <v>$K$1:$K$92</v>
      </c>
      <c r="B1031" s="159" t="str">
        <f t="shared" si="82"/>
        <v>$L$1:$L$92</v>
      </c>
      <c r="C1031" s="159" t="str">
        <f t="shared" si="83"/>
        <v>May!$K$1:$K$92</v>
      </c>
      <c r="D1031" s="159" t="str">
        <f t="shared" si="84"/>
        <v>May!$L$1:$L$92</v>
      </c>
      <c r="E1031" t="s">
        <v>4</v>
      </c>
      <c r="F1031" t="s">
        <v>124</v>
      </c>
      <c r="G1031" t="s">
        <v>144</v>
      </c>
      <c r="H1031" t="s">
        <v>18</v>
      </c>
      <c r="I1031" t="e">
        <f t="shared" ca="1" si="80"/>
        <v>#REF!</v>
      </c>
      <c r="J1031" t="str">
        <f>VLOOKUP($G1031,DefinitionArrays!$I$6:$J$12,2,FALSE)</f>
        <v>Workweek</v>
      </c>
    </row>
    <row r="1032" spans="1:10">
      <c r="A1032" s="159" t="str">
        <f t="shared" si="81"/>
        <v>$K$1:$K$92</v>
      </c>
      <c r="B1032" s="159" t="str">
        <f t="shared" si="82"/>
        <v>$L$1:$L$92</v>
      </c>
      <c r="C1032" s="159" t="str">
        <f t="shared" si="83"/>
        <v>May!$K$1:$K$92</v>
      </c>
      <c r="D1032" s="159" t="str">
        <f t="shared" si="84"/>
        <v>May!$L$1:$L$92</v>
      </c>
      <c r="E1032" t="s">
        <v>4</v>
      </c>
      <c r="F1032" t="s">
        <v>124</v>
      </c>
      <c r="G1032" t="s">
        <v>144</v>
      </c>
      <c r="H1032" t="s">
        <v>153</v>
      </c>
      <c r="I1032" t="e">
        <f t="shared" ca="1" si="80"/>
        <v>#REF!</v>
      </c>
      <c r="J1032" t="str">
        <f>VLOOKUP($G1032,DefinitionArrays!$I$6:$J$12,2,FALSE)</f>
        <v>Workweek</v>
      </c>
    </row>
    <row r="1033" spans="1:10">
      <c r="A1033" s="159" t="str">
        <f t="shared" si="81"/>
        <v>$K$1:$K$92</v>
      </c>
      <c r="B1033" s="159" t="str">
        <f t="shared" si="82"/>
        <v>$L$1:$L$92</v>
      </c>
      <c r="C1033" s="159" t="str">
        <f t="shared" si="83"/>
        <v>May!$K$1:$K$92</v>
      </c>
      <c r="D1033" s="159" t="str">
        <f t="shared" si="84"/>
        <v>May!$L$1:$L$92</v>
      </c>
      <c r="E1033" t="s">
        <v>4</v>
      </c>
      <c r="F1033" t="s">
        <v>124</v>
      </c>
      <c r="G1033" t="s">
        <v>144</v>
      </c>
      <c r="H1033" t="s">
        <v>19</v>
      </c>
      <c r="I1033" t="e">
        <f t="shared" ca="1" si="80"/>
        <v>#REF!</v>
      </c>
      <c r="J1033" t="str">
        <f>VLOOKUP($G1033,DefinitionArrays!$I$6:$J$12,2,FALSE)</f>
        <v>Workweek</v>
      </c>
    </row>
    <row r="1034" spans="1:10">
      <c r="A1034" s="159" t="str">
        <f t="shared" si="81"/>
        <v>$K$1:$K$92</v>
      </c>
      <c r="B1034" s="159" t="str">
        <f t="shared" si="82"/>
        <v>$L$1:$L$92</v>
      </c>
      <c r="C1034" s="159" t="str">
        <f t="shared" si="83"/>
        <v>May!$K$1:$K$92</v>
      </c>
      <c r="D1034" s="159" t="str">
        <f t="shared" si="84"/>
        <v>May!$L$1:$L$92</v>
      </c>
      <c r="E1034" t="s">
        <v>4</v>
      </c>
      <c r="F1034" t="s">
        <v>124</v>
      </c>
      <c r="G1034" t="s">
        <v>144</v>
      </c>
      <c r="H1034" t="s">
        <v>20</v>
      </c>
      <c r="I1034" t="e">
        <f t="shared" ca="1" si="80"/>
        <v>#REF!</v>
      </c>
      <c r="J1034" t="str">
        <f>VLOOKUP($G1034,DefinitionArrays!$I$6:$J$12,2,FALSE)</f>
        <v>Workweek</v>
      </c>
    </row>
    <row r="1035" spans="1:10">
      <c r="A1035" s="159" t="str">
        <f t="shared" si="81"/>
        <v>$K$1:$K$92</v>
      </c>
      <c r="B1035" s="159" t="str">
        <f t="shared" si="82"/>
        <v>$L$1:$L$92</v>
      </c>
      <c r="C1035" s="159" t="str">
        <f t="shared" si="83"/>
        <v>May!$K$1:$K$92</v>
      </c>
      <c r="D1035" s="159" t="str">
        <f t="shared" si="84"/>
        <v>May!$L$1:$L$92</v>
      </c>
      <c r="E1035" t="s">
        <v>4</v>
      </c>
      <c r="F1035" t="s">
        <v>124</v>
      </c>
      <c r="G1035" t="s">
        <v>144</v>
      </c>
      <c r="H1035" t="s">
        <v>21</v>
      </c>
      <c r="I1035" t="e">
        <f t="shared" ca="1" si="80"/>
        <v>#REF!</v>
      </c>
      <c r="J1035" t="str">
        <f>VLOOKUP($G1035,DefinitionArrays!$I$6:$J$12,2,FALSE)</f>
        <v>Workweek</v>
      </c>
    </row>
    <row r="1036" spans="1:10">
      <c r="A1036" s="159" t="str">
        <f t="shared" si="81"/>
        <v>$K$1:$K$92</v>
      </c>
      <c r="B1036" s="159" t="str">
        <f t="shared" si="82"/>
        <v>$L$1:$L$92</v>
      </c>
      <c r="C1036" s="159" t="str">
        <f t="shared" si="83"/>
        <v>May!$K$1:$K$92</v>
      </c>
      <c r="D1036" s="159" t="str">
        <f t="shared" si="84"/>
        <v>May!$L$1:$L$92</v>
      </c>
      <c r="E1036" t="s">
        <v>4</v>
      </c>
      <c r="F1036" t="s">
        <v>124</v>
      </c>
      <c r="G1036" t="s">
        <v>144</v>
      </c>
      <c r="H1036" t="s">
        <v>22</v>
      </c>
      <c r="I1036" t="e">
        <f t="shared" ca="1" si="80"/>
        <v>#REF!</v>
      </c>
      <c r="J1036" t="str">
        <f>VLOOKUP($G1036,DefinitionArrays!$I$6:$J$12,2,FALSE)</f>
        <v>Workweek</v>
      </c>
    </row>
    <row r="1037" spans="1:10">
      <c r="A1037" s="159" t="str">
        <f t="shared" si="81"/>
        <v>$K$1:$K$92</v>
      </c>
      <c r="B1037" s="159" t="str">
        <f t="shared" si="82"/>
        <v>$L$1:$L$92</v>
      </c>
      <c r="C1037" s="159" t="str">
        <f t="shared" si="83"/>
        <v>May!$K$1:$K$92</v>
      </c>
      <c r="D1037" s="159" t="str">
        <f t="shared" si="84"/>
        <v>May!$L$1:$L$92</v>
      </c>
      <c r="E1037" t="s">
        <v>4</v>
      </c>
      <c r="F1037" t="s">
        <v>124</v>
      </c>
      <c r="G1037" t="s">
        <v>144</v>
      </c>
      <c r="H1037" t="s">
        <v>23</v>
      </c>
      <c r="I1037" t="e">
        <f t="shared" ca="1" si="80"/>
        <v>#REF!</v>
      </c>
      <c r="J1037" t="str">
        <f>VLOOKUP($G1037,DefinitionArrays!$I$6:$J$12,2,FALSE)</f>
        <v>Workweek</v>
      </c>
    </row>
    <row r="1038" spans="1:10">
      <c r="A1038" s="159" t="str">
        <f t="shared" si="81"/>
        <v>$K$1:$K$92</v>
      </c>
      <c r="B1038" s="159" t="str">
        <f t="shared" si="82"/>
        <v>$L$1:$L$92</v>
      </c>
      <c r="C1038" s="159" t="str">
        <f t="shared" si="83"/>
        <v>May!$K$1:$K$92</v>
      </c>
      <c r="D1038" s="159" t="str">
        <f t="shared" si="84"/>
        <v>May!$L$1:$L$92</v>
      </c>
      <c r="E1038" t="s">
        <v>4</v>
      </c>
      <c r="F1038" t="s">
        <v>124</v>
      </c>
      <c r="G1038" t="s">
        <v>144</v>
      </c>
      <c r="H1038" t="s">
        <v>24</v>
      </c>
      <c r="I1038" t="e">
        <f t="shared" ca="1" si="80"/>
        <v>#REF!</v>
      </c>
      <c r="J1038" t="str">
        <f>VLOOKUP($G1038,DefinitionArrays!$I$6:$J$12,2,FALSE)</f>
        <v>Workweek</v>
      </c>
    </row>
    <row r="1039" spans="1:10">
      <c r="A1039" s="159" t="str">
        <f t="shared" si="81"/>
        <v>$K$1:$K$92</v>
      </c>
      <c r="B1039" s="159" t="str">
        <f t="shared" si="82"/>
        <v>$L$1:$L$92</v>
      </c>
      <c r="C1039" s="159" t="str">
        <f t="shared" si="83"/>
        <v>May!$K$1:$K$92</v>
      </c>
      <c r="D1039" s="159" t="str">
        <f t="shared" si="84"/>
        <v>May!$L$1:$L$92</v>
      </c>
      <c r="E1039" t="s">
        <v>4</v>
      </c>
      <c r="F1039" t="s">
        <v>124</v>
      </c>
      <c r="G1039" t="s">
        <v>144</v>
      </c>
      <c r="H1039" t="s">
        <v>179</v>
      </c>
      <c r="I1039" t="e">
        <f t="shared" ca="1" si="80"/>
        <v>#REF!</v>
      </c>
      <c r="J1039" t="str">
        <f>VLOOKUP($G1039,DefinitionArrays!$I$6:$J$12,2,FALSE)</f>
        <v>Workweek</v>
      </c>
    </row>
    <row r="1040" spans="1:10">
      <c r="A1040" s="159" t="str">
        <f t="shared" si="81"/>
        <v>$K$1:$K$92</v>
      </c>
      <c r="B1040" s="159" t="str">
        <f t="shared" si="82"/>
        <v>$L$1:$L$92</v>
      </c>
      <c r="C1040" s="159" t="str">
        <f t="shared" si="83"/>
        <v>May!$K$1:$K$92</v>
      </c>
      <c r="D1040" s="159" t="str">
        <f t="shared" si="84"/>
        <v>May!$L$1:$L$92</v>
      </c>
      <c r="E1040" t="s">
        <v>4</v>
      </c>
      <c r="F1040" t="s">
        <v>124</v>
      </c>
      <c r="G1040" t="s">
        <v>144</v>
      </c>
      <c r="H1040" t="s">
        <v>180</v>
      </c>
      <c r="I1040" t="e">
        <f t="shared" ca="1" si="80"/>
        <v>#REF!</v>
      </c>
      <c r="J1040" t="str">
        <f>VLOOKUP($G1040,DefinitionArrays!$I$6:$J$12,2,FALSE)</f>
        <v>Workweek</v>
      </c>
    </row>
    <row r="1041" spans="1:10">
      <c r="A1041" s="159" t="str">
        <f t="shared" si="81"/>
        <v>$K$1:$K$92</v>
      </c>
      <c r="B1041" s="159" t="str">
        <f t="shared" si="82"/>
        <v>$L$1:$L$92</v>
      </c>
      <c r="C1041" s="159" t="str">
        <f t="shared" si="83"/>
        <v>May!$K$1:$K$92</v>
      </c>
      <c r="D1041" s="159" t="str">
        <f t="shared" si="84"/>
        <v>May!$L$1:$L$92</v>
      </c>
      <c r="E1041" t="s">
        <v>4</v>
      </c>
      <c r="F1041" t="s">
        <v>124</v>
      </c>
      <c r="G1041" t="s">
        <v>144</v>
      </c>
      <c r="H1041" t="s">
        <v>44</v>
      </c>
      <c r="I1041" t="e">
        <f t="shared" ca="1" si="80"/>
        <v>#REF!</v>
      </c>
      <c r="J1041" t="str">
        <f>VLOOKUP($G1041,DefinitionArrays!$I$6:$J$12,2,FALSE)</f>
        <v>Workweek</v>
      </c>
    </row>
    <row r="1042" spans="1:10">
      <c r="A1042" s="159" t="str">
        <f t="shared" si="81"/>
        <v>$N$1:$N$92</v>
      </c>
      <c r="B1042" s="159" t="str">
        <f t="shared" si="82"/>
        <v>$O$1:$O$92</v>
      </c>
      <c r="C1042" s="159" t="str">
        <f t="shared" si="83"/>
        <v>May!$N$1:$N$92</v>
      </c>
      <c r="D1042" s="159" t="str">
        <f t="shared" si="84"/>
        <v>May!$O$1:$O$92</v>
      </c>
      <c r="E1042" t="s">
        <v>4</v>
      </c>
      <c r="F1042" t="s">
        <v>124</v>
      </c>
      <c r="G1042" t="s">
        <v>145</v>
      </c>
      <c r="H1042" t="s">
        <v>159</v>
      </c>
      <c r="I1042" t="e">
        <f t="shared" ca="1" si="80"/>
        <v>#REF!</v>
      </c>
      <c r="J1042" t="str">
        <f>VLOOKUP($G1042,DefinitionArrays!$I$6:$J$12,2,FALSE)</f>
        <v>Weekend</v>
      </c>
    </row>
    <row r="1043" spans="1:10">
      <c r="A1043" s="159" t="str">
        <f t="shared" si="81"/>
        <v>$N$1:$N$92</v>
      </c>
      <c r="B1043" s="159" t="str">
        <f t="shared" si="82"/>
        <v>$O$1:$O$92</v>
      </c>
      <c r="C1043" s="159" t="str">
        <f t="shared" si="83"/>
        <v>May!$N$1:$N$92</v>
      </c>
      <c r="D1043" s="159" t="str">
        <f t="shared" si="84"/>
        <v>May!$O$1:$O$92</v>
      </c>
      <c r="E1043" t="s">
        <v>4</v>
      </c>
      <c r="F1043" t="s">
        <v>124</v>
      </c>
      <c r="G1043" t="s">
        <v>145</v>
      </c>
      <c r="H1043" t="s">
        <v>18</v>
      </c>
      <c r="I1043" t="e">
        <f t="shared" ca="1" si="80"/>
        <v>#REF!</v>
      </c>
      <c r="J1043" t="str">
        <f>VLOOKUP($G1043,DefinitionArrays!$I$6:$J$12,2,FALSE)</f>
        <v>Weekend</v>
      </c>
    </row>
    <row r="1044" spans="1:10">
      <c r="A1044" s="159" t="str">
        <f t="shared" si="81"/>
        <v>$N$1:$N$92</v>
      </c>
      <c r="B1044" s="159" t="str">
        <f t="shared" si="82"/>
        <v>$O$1:$O$92</v>
      </c>
      <c r="C1044" s="159" t="str">
        <f t="shared" si="83"/>
        <v>May!$N$1:$N$92</v>
      </c>
      <c r="D1044" s="159" t="str">
        <f t="shared" si="84"/>
        <v>May!$O$1:$O$92</v>
      </c>
      <c r="E1044" t="s">
        <v>4</v>
      </c>
      <c r="F1044" t="s">
        <v>124</v>
      </c>
      <c r="G1044" t="s">
        <v>145</v>
      </c>
      <c r="H1044" t="s">
        <v>153</v>
      </c>
      <c r="I1044" t="e">
        <f t="shared" ca="1" si="80"/>
        <v>#REF!</v>
      </c>
      <c r="J1044" t="str">
        <f>VLOOKUP($G1044,DefinitionArrays!$I$6:$J$12,2,FALSE)</f>
        <v>Weekend</v>
      </c>
    </row>
    <row r="1045" spans="1:10">
      <c r="A1045" s="159" t="str">
        <f t="shared" si="81"/>
        <v>$N$1:$N$92</v>
      </c>
      <c r="B1045" s="159" t="str">
        <f t="shared" si="82"/>
        <v>$O$1:$O$92</v>
      </c>
      <c r="C1045" s="159" t="str">
        <f t="shared" si="83"/>
        <v>May!$N$1:$N$92</v>
      </c>
      <c r="D1045" s="159" t="str">
        <f t="shared" si="84"/>
        <v>May!$O$1:$O$92</v>
      </c>
      <c r="E1045" t="s">
        <v>4</v>
      </c>
      <c r="F1045" t="s">
        <v>124</v>
      </c>
      <c r="G1045" t="s">
        <v>145</v>
      </c>
      <c r="H1045" t="s">
        <v>19</v>
      </c>
      <c r="I1045" t="e">
        <f t="shared" ca="1" si="80"/>
        <v>#REF!</v>
      </c>
      <c r="J1045" t="str">
        <f>VLOOKUP($G1045,DefinitionArrays!$I$6:$J$12,2,FALSE)</f>
        <v>Weekend</v>
      </c>
    </row>
    <row r="1046" spans="1:10">
      <c r="A1046" s="159" t="str">
        <f t="shared" si="81"/>
        <v>$N$1:$N$92</v>
      </c>
      <c r="B1046" s="159" t="str">
        <f t="shared" si="82"/>
        <v>$O$1:$O$92</v>
      </c>
      <c r="C1046" s="159" t="str">
        <f t="shared" si="83"/>
        <v>May!$N$1:$N$92</v>
      </c>
      <c r="D1046" s="159" t="str">
        <f t="shared" si="84"/>
        <v>May!$O$1:$O$92</v>
      </c>
      <c r="E1046" t="s">
        <v>4</v>
      </c>
      <c r="F1046" t="s">
        <v>124</v>
      </c>
      <c r="G1046" t="s">
        <v>145</v>
      </c>
      <c r="H1046" t="s">
        <v>20</v>
      </c>
      <c r="I1046" t="e">
        <f t="shared" ca="1" si="80"/>
        <v>#REF!</v>
      </c>
      <c r="J1046" t="str">
        <f>VLOOKUP($G1046,DefinitionArrays!$I$6:$J$12,2,FALSE)</f>
        <v>Weekend</v>
      </c>
    </row>
    <row r="1047" spans="1:10">
      <c r="A1047" s="159" t="str">
        <f t="shared" si="81"/>
        <v>$N$1:$N$92</v>
      </c>
      <c r="B1047" s="159" t="str">
        <f t="shared" si="82"/>
        <v>$O$1:$O$92</v>
      </c>
      <c r="C1047" s="159" t="str">
        <f t="shared" si="83"/>
        <v>May!$N$1:$N$92</v>
      </c>
      <c r="D1047" s="159" t="str">
        <f t="shared" si="84"/>
        <v>May!$O$1:$O$92</v>
      </c>
      <c r="E1047" t="s">
        <v>4</v>
      </c>
      <c r="F1047" t="s">
        <v>124</v>
      </c>
      <c r="G1047" t="s">
        <v>145</v>
      </c>
      <c r="H1047" t="s">
        <v>21</v>
      </c>
      <c r="I1047" t="e">
        <f t="shared" ca="1" si="80"/>
        <v>#REF!</v>
      </c>
      <c r="J1047" t="str">
        <f>VLOOKUP($G1047,DefinitionArrays!$I$6:$J$12,2,FALSE)</f>
        <v>Weekend</v>
      </c>
    </row>
    <row r="1048" spans="1:10">
      <c r="A1048" s="159" t="str">
        <f t="shared" si="81"/>
        <v>$N$1:$N$92</v>
      </c>
      <c r="B1048" s="159" t="str">
        <f t="shared" si="82"/>
        <v>$O$1:$O$92</v>
      </c>
      <c r="C1048" s="159" t="str">
        <f t="shared" si="83"/>
        <v>May!$N$1:$N$92</v>
      </c>
      <c r="D1048" s="159" t="str">
        <f t="shared" si="84"/>
        <v>May!$O$1:$O$92</v>
      </c>
      <c r="E1048" t="s">
        <v>4</v>
      </c>
      <c r="F1048" t="s">
        <v>124</v>
      </c>
      <c r="G1048" t="s">
        <v>145</v>
      </c>
      <c r="H1048" t="s">
        <v>22</v>
      </c>
      <c r="I1048" t="e">
        <f t="shared" ca="1" si="80"/>
        <v>#REF!</v>
      </c>
      <c r="J1048" t="str">
        <f>VLOOKUP($G1048,DefinitionArrays!$I$6:$J$12,2,FALSE)</f>
        <v>Weekend</v>
      </c>
    </row>
    <row r="1049" spans="1:10">
      <c r="A1049" s="159" t="str">
        <f t="shared" si="81"/>
        <v>$N$1:$N$92</v>
      </c>
      <c r="B1049" s="159" t="str">
        <f t="shared" si="82"/>
        <v>$O$1:$O$92</v>
      </c>
      <c r="C1049" s="159" t="str">
        <f t="shared" si="83"/>
        <v>May!$N$1:$N$92</v>
      </c>
      <c r="D1049" s="159" t="str">
        <f t="shared" si="84"/>
        <v>May!$O$1:$O$92</v>
      </c>
      <c r="E1049" t="s">
        <v>4</v>
      </c>
      <c r="F1049" t="s">
        <v>124</v>
      </c>
      <c r="G1049" t="s">
        <v>145</v>
      </c>
      <c r="H1049" t="s">
        <v>23</v>
      </c>
      <c r="I1049" t="e">
        <f t="shared" ca="1" si="80"/>
        <v>#REF!</v>
      </c>
      <c r="J1049" t="str">
        <f>VLOOKUP($G1049,DefinitionArrays!$I$6:$J$12,2,FALSE)</f>
        <v>Weekend</v>
      </c>
    </row>
    <row r="1050" spans="1:10">
      <c r="A1050" s="159" t="str">
        <f t="shared" si="81"/>
        <v>$N$1:$N$92</v>
      </c>
      <c r="B1050" s="159" t="str">
        <f t="shared" si="82"/>
        <v>$O$1:$O$92</v>
      </c>
      <c r="C1050" s="159" t="str">
        <f t="shared" si="83"/>
        <v>May!$N$1:$N$92</v>
      </c>
      <c r="D1050" s="159" t="str">
        <f t="shared" si="84"/>
        <v>May!$O$1:$O$92</v>
      </c>
      <c r="E1050" t="s">
        <v>4</v>
      </c>
      <c r="F1050" t="s">
        <v>124</v>
      </c>
      <c r="G1050" t="s">
        <v>145</v>
      </c>
      <c r="H1050" t="s">
        <v>24</v>
      </c>
      <c r="I1050" t="e">
        <f t="shared" ca="1" si="80"/>
        <v>#REF!</v>
      </c>
      <c r="J1050" t="str">
        <f>VLOOKUP($G1050,DefinitionArrays!$I$6:$J$12,2,FALSE)</f>
        <v>Weekend</v>
      </c>
    </row>
    <row r="1051" spans="1:10">
      <c r="A1051" s="159" t="str">
        <f t="shared" si="81"/>
        <v>$N$1:$N$92</v>
      </c>
      <c r="B1051" s="159" t="str">
        <f t="shared" si="82"/>
        <v>$O$1:$O$92</v>
      </c>
      <c r="C1051" s="159" t="str">
        <f t="shared" si="83"/>
        <v>May!$N$1:$N$92</v>
      </c>
      <c r="D1051" s="159" t="str">
        <f t="shared" si="84"/>
        <v>May!$O$1:$O$92</v>
      </c>
      <c r="E1051" t="s">
        <v>4</v>
      </c>
      <c r="F1051" t="s">
        <v>124</v>
      </c>
      <c r="G1051" t="s">
        <v>145</v>
      </c>
      <c r="H1051" t="s">
        <v>179</v>
      </c>
      <c r="I1051" t="e">
        <f t="shared" ca="1" si="80"/>
        <v>#REF!</v>
      </c>
      <c r="J1051" t="str">
        <f>VLOOKUP($G1051,DefinitionArrays!$I$6:$J$12,2,FALSE)</f>
        <v>Weekend</v>
      </c>
    </row>
    <row r="1052" spans="1:10">
      <c r="A1052" s="159" t="str">
        <f t="shared" si="81"/>
        <v>$N$1:$N$92</v>
      </c>
      <c r="B1052" s="159" t="str">
        <f t="shared" si="82"/>
        <v>$O$1:$O$92</v>
      </c>
      <c r="C1052" s="159" t="str">
        <f t="shared" si="83"/>
        <v>May!$N$1:$N$92</v>
      </c>
      <c r="D1052" s="159" t="str">
        <f t="shared" si="84"/>
        <v>May!$O$1:$O$92</v>
      </c>
      <c r="E1052" t="s">
        <v>4</v>
      </c>
      <c r="F1052" t="s">
        <v>124</v>
      </c>
      <c r="G1052" t="s">
        <v>145</v>
      </c>
      <c r="H1052" t="s">
        <v>180</v>
      </c>
      <c r="I1052" t="e">
        <f t="shared" ca="1" si="80"/>
        <v>#REF!</v>
      </c>
      <c r="J1052" t="str">
        <f>VLOOKUP($G1052,DefinitionArrays!$I$6:$J$12,2,FALSE)</f>
        <v>Weekend</v>
      </c>
    </row>
    <row r="1053" spans="1:10">
      <c r="A1053" s="159" t="str">
        <f t="shared" si="81"/>
        <v>$N$1:$N$92</v>
      </c>
      <c r="B1053" s="159" t="str">
        <f t="shared" si="82"/>
        <v>$O$1:$O$92</v>
      </c>
      <c r="C1053" s="159" t="str">
        <f t="shared" si="83"/>
        <v>May!$N$1:$N$92</v>
      </c>
      <c r="D1053" s="159" t="str">
        <f t="shared" si="84"/>
        <v>May!$O$1:$O$92</v>
      </c>
      <c r="E1053" t="s">
        <v>4</v>
      </c>
      <c r="F1053" t="s">
        <v>124</v>
      </c>
      <c r="G1053" t="s">
        <v>145</v>
      </c>
      <c r="H1053" t="s">
        <v>44</v>
      </c>
      <c r="I1053" t="e">
        <f t="shared" ca="1" si="80"/>
        <v>#REF!</v>
      </c>
      <c r="J1053" t="str">
        <f>VLOOKUP($G1053,DefinitionArrays!$I$6:$J$12,2,FALSE)</f>
        <v>Weekend</v>
      </c>
    </row>
    <row r="1054" spans="1:10">
      <c r="A1054" s="159" t="str">
        <f t="shared" si="81"/>
        <v>$Q$1:$Q$92</v>
      </c>
      <c r="B1054" s="159" t="str">
        <f t="shared" si="82"/>
        <v>$R$1:$R$92</v>
      </c>
      <c r="C1054" s="159" t="str">
        <f t="shared" si="83"/>
        <v>May!$Q$1:$Q$92</v>
      </c>
      <c r="D1054" s="159" t="str">
        <f t="shared" si="84"/>
        <v>May!$R$1:$R$92</v>
      </c>
      <c r="E1054" t="s">
        <v>4</v>
      </c>
      <c r="F1054" t="s">
        <v>124</v>
      </c>
      <c r="G1054" t="s">
        <v>146</v>
      </c>
      <c r="H1054" t="s">
        <v>159</v>
      </c>
      <c r="I1054" t="e">
        <f t="shared" ca="1" si="80"/>
        <v>#REF!</v>
      </c>
      <c r="J1054" t="str">
        <f>VLOOKUP($G1054,DefinitionArrays!$I$6:$J$12,2,FALSE)</f>
        <v>Weekend</v>
      </c>
    </row>
    <row r="1055" spans="1:10">
      <c r="A1055" s="159" t="str">
        <f t="shared" si="81"/>
        <v>$T$1:$T$92</v>
      </c>
      <c r="B1055" s="159" t="str">
        <f t="shared" si="82"/>
        <v>$U$1:$U$92</v>
      </c>
      <c r="C1055" s="159" t="str">
        <f t="shared" si="83"/>
        <v>May!$T$1:$T$92</v>
      </c>
      <c r="D1055" s="159" t="str">
        <f t="shared" si="84"/>
        <v>May!$U$1:$U$92</v>
      </c>
      <c r="E1055" t="s">
        <v>4</v>
      </c>
      <c r="F1055" t="s">
        <v>124</v>
      </c>
      <c r="G1055" t="s">
        <v>141</v>
      </c>
      <c r="H1055" t="s">
        <v>159</v>
      </c>
      <c r="I1055" t="e">
        <f t="shared" ca="1" si="80"/>
        <v>#REF!</v>
      </c>
      <c r="J1055" t="str">
        <f>VLOOKUP($G1055,DefinitionArrays!$I$6:$J$12,2,FALSE)</f>
        <v>Weekend</v>
      </c>
    </row>
    <row r="1056" spans="1:10">
      <c r="A1056" s="159" t="str">
        <f t="shared" si="81"/>
        <v>$B$1:$B$92</v>
      </c>
      <c r="B1056" s="159" t="str">
        <f t="shared" si="82"/>
        <v>$C$1:$C$92</v>
      </c>
      <c r="C1056" s="159" t="str">
        <f t="shared" si="83"/>
        <v>June!$B$1:$B$92</v>
      </c>
      <c r="D1056" s="159" t="str">
        <f t="shared" si="84"/>
        <v>June!$C$1:$C$92</v>
      </c>
      <c r="E1056" t="s">
        <v>4</v>
      </c>
      <c r="F1056" t="s">
        <v>125</v>
      </c>
      <c r="G1056" t="s">
        <v>13</v>
      </c>
      <c r="H1056" t="s">
        <v>159</v>
      </c>
      <c r="I1056" t="e">
        <f ca="1">COUNTIFS(INDIRECT($C1056),$E1056,INDIRECT($D1056),$H1056)</f>
        <v>#REF!</v>
      </c>
      <c r="J1056" t="str">
        <f>VLOOKUP($G1056,DefinitionArrays!$I$6:$J$12,2,FALSE)</f>
        <v>Workweek</v>
      </c>
    </row>
    <row r="1057" spans="1:10">
      <c r="A1057" s="159" t="str">
        <f t="shared" si="81"/>
        <v>$B$1:$B$92</v>
      </c>
      <c r="B1057" s="159" t="str">
        <f t="shared" si="82"/>
        <v>$C$1:$C$92</v>
      </c>
      <c r="C1057" s="159" t="str">
        <f t="shared" si="83"/>
        <v>June!$B$1:$B$92</v>
      </c>
      <c r="D1057" s="159" t="str">
        <f t="shared" si="84"/>
        <v>June!$C$1:$C$92</v>
      </c>
      <c r="E1057" t="s">
        <v>4</v>
      </c>
      <c r="F1057" t="s">
        <v>125</v>
      </c>
      <c r="G1057" t="s">
        <v>13</v>
      </c>
      <c r="H1057" t="s">
        <v>18</v>
      </c>
      <c r="I1057" t="e">
        <f t="shared" ref="I1057:I1117" ca="1" si="85">COUNTIFS(INDIRECT($C1057),$E1057,INDIRECT($D1057),$H1057)</f>
        <v>#REF!</v>
      </c>
      <c r="J1057" t="str">
        <f>VLOOKUP($G1057,DefinitionArrays!$I$6:$J$12,2,FALSE)</f>
        <v>Workweek</v>
      </c>
    </row>
    <row r="1058" spans="1:10">
      <c r="A1058" s="159" t="str">
        <f t="shared" si="81"/>
        <v>$B$1:$B$92</v>
      </c>
      <c r="B1058" s="159" t="str">
        <f t="shared" si="82"/>
        <v>$C$1:$C$92</v>
      </c>
      <c r="C1058" s="159" t="str">
        <f t="shared" si="83"/>
        <v>June!$B$1:$B$92</v>
      </c>
      <c r="D1058" s="159" t="str">
        <f t="shared" si="84"/>
        <v>June!$C$1:$C$92</v>
      </c>
      <c r="E1058" t="s">
        <v>4</v>
      </c>
      <c r="F1058" t="s">
        <v>125</v>
      </c>
      <c r="G1058" t="s">
        <v>13</v>
      </c>
      <c r="H1058" t="s">
        <v>153</v>
      </c>
      <c r="I1058" t="e">
        <f t="shared" ca="1" si="85"/>
        <v>#REF!</v>
      </c>
      <c r="J1058" t="str">
        <f>VLOOKUP($G1058,DefinitionArrays!$I$6:$J$12,2,FALSE)</f>
        <v>Workweek</v>
      </c>
    </row>
    <row r="1059" spans="1:10">
      <c r="A1059" s="159" t="str">
        <f t="shared" si="81"/>
        <v>$B$1:$B$92</v>
      </c>
      <c r="B1059" s="159" t="str">
        <f t="shared" si="82"/>
        <v>$C$1:$C$92</v>
      </c>
      <c r="C1059" s="159" t="str">
        <f t="shared" si="83"/>
        <v>June!$B$1:$B$92</v>
      </c>
      <c r="D1059" s="159" t="str">
        <f t="shared" si="84"/>
        <v>June!$C$1:$C$92</v>
      </c>
      <c r="E1059" t="s">
        <v>4</v>
      </c>
      <c r="F1059" t="s">
        <v>125</v>
      </c>
      <c r="G1059" t="s">
        <v>13</v>
      </c>
      <c r="H1059" t="s">
        <v>19</v>
      </c>
      <c r="I1059" t="e">
        <f t="shared" ca="1" si="85"/>
        <v>#REF!</v>
      </c>
      <c r="J1059" t="str">
        <f>VLOOKUP($G1059,DefinitionArrays!$I$6:$J$12,2,FALSE)</f>
        <v>Workweek</v>
      </c>
    </row>
    <row r="1060" spans="1:10">
      <c r="A1060" s="159" t="str">
        <f t="shared" si="81"/>
        <v>$B$1:$B$92</v>
      </c>
      <c r="B1060" s="159" t="str">
        <f t="shared" si="82"/>
        <v>$C$1:$C$92</v>
      </c>
      <c r="C1060" s="159" t="str">
        <f t="shared" si="83"/>
        <v>June!$B$1:$B$92</v>
      </c>
      <c r="D1060" s="159" t="str">
        <f t="shared" si="84"/>
        <v>June!$C$1:$C$92</v>
      </c>
      <c r="E1060" t="s">
        <v>4</v>
      </c>
      <c r="F1060" t="s">
        <v>125</v>
      </c>
      <c r="G1060" t="s">
        <v>13</v>
      </c>
      <c r="H1060" t="s">
        <v>20</v>
      </c>
      <c r="I1060" t="e">
        <f t="shared" ca="1" si="85"/>
        <v>#REF!</v>
      </c>
      <c r="J1060" t="str">
        <f>VLOOKUP($G1060,DefinitionArrays!$I$6:$J$12,2,FALSE)</f>
        <v>Workweek</v>
      </c>
    </row>
    <row r="1061" spans="1:10">
      <c r="A1061" s="159" t="str">
        <f t="shared" si="81"/>
        <v>$B$1:$B$92</v>
      </c>
      <c r="B1061" s="159" t="str">
        <f t="shared" si="82"/>
        <v>$C$1:$C$92</v>
      </c>
      <c r="C1061" s="159" t="str">
        <f t="shared" si="83"/>
        <v>June!$B$1:$B$92</v>
      </c>
      <c r="D1061" s="159" t="str">
        <f t="shared" si="84"/>
        <v>June!$C$1:$C$92</v>
      </c>
      <c r="E1061" t="s">
        <v>4</v>
      </c>
      <c r="F1061" t="s">
        <v>125</v>
      </c>
      <c r="G1061" t="s">
        <v>13</v>
      </c>
      <c r="H1061" t="s">
        <v>21</v>
      </c>
      <c r="I1061" t="e">
        <f t="shared" ca="1" si="85"/>
        <v>#REF!</v>
      </c>
      <c r="J1061" t="str">
        <f>VLOOKUP($G1061,DefinitionArrays!$I$6:$J$12,2,FALSE)</f>
        <v>Workweek</v>
      </c>
    </row>
    <row r="1062" spans="1:10">
      <c r="A1062" s="159" t="str">
        <f t="shared" si="81"/>
        <v>$B$1:$B$92</v>
      </c>
      <c r="B1062" s="159" t="str">
        <f t="shared" si="82"/>
        <v>$C$1:$C$92</v>
      </c>
      <c r="C1062" s="159" t="str">
        <f t="shared" si="83"/>
        <v>June!$B$1:$B$92</v>
      </c>
      <c r="D1062" s="159" t="str">
        <f t="shared" si="84"/>
        <v>June!$C$1:$C$92</v>
      </c>
      <c r="E1062" t="s">
        <v>4</v>
      </c>
      <c r="F1062" t="s">
        <v>125</v>
      </c>
      <c r="G1062" t="s">
        <v>13</v>
      </c>
      <c r="H1062" t="s">
        <v>22</v>
      </c>
      <c r="I1062" t="e">
        <f t="shared" ca="1" si="85"/>
        <v>#REF!</v>
      </c>
      <c r="J1062" t="str">
        <f>VLOOKUP($G1062,DefinitionArrays!$I$6:$J$12,2,FALSE)</f>
        <v>Workweek</v>
      </c>
    </row>
    <row r="1063" spans="1:10">
      <c r="A1063" s="159" t="str">
        <f t="shared" si="81"/>
        <v>$B$1:$B$92</v>
      </c>
      <c r="B1063" s="159" t="str">
        <f t="shared" si="82"/>
        <v>$C$1:$C$92</v>
      </c>
      <c r="C1063" s="159" t="str">
        <f t="shared" si="83"/>
        <v>June!$B$1:$B$92</v>
      </c>
      <c r="D1063" s="159" t="str">
        <f t="shared" si="84"/>
        <v>June!$C$1:$C$92</v>
      </c>
      <c r="E1063" t="s">
        <v>4</v>
      </c>
      <c r="F1063" t="s">
        <v>125</v>
      </c>
      <c r="G1063" t="s">
        <v>13</v>
      </c>
      <c r="H1063" t="s">
        <v>23</v>
      </c>
      <c r="I1063" t="e">
        <f t="shared" ca="1" si="85"/>
        <v>#REF!</v>
      </c>
      <c r="J1063" t="str">
        <f>VLOOKUP($G1063,DefinitionArrays!$I$6:$J$12,2,FALSE)</f>
        <v>Workweek</v>
      </c>
    </row>
    <row r="1064" spans="1:10">
      <c r="A1064" s="159" t="str">
        <f t="shared" si="81"/>
        <v>$B$1:$B$92</v>
      </c>
      <c r="B1064" s="159" t="str">
        <f t="shared" si="82"/>
        <v>$C$1:$C$92</v>
      </c>
      <c r="C1064" s="159" t="str">
        <f t="shared" si="83"/>
        <v>June!$B$1:$B$92</v>
      </c>
      <c r="D1064" s="159" t="str">
        <f t="shared" si="84"/>
        <v>June!$C$1:$C$92</v>
      </c>
      <c r="E1064" t="s">
        <v>4</v>
      </c>
      <c r="F1064" t="s">
        <v>125</v>
      </c>
      <c r="G1064" t="s">
        <v>13</v>
      </c>
      <c r="H1064" t="s">
        <v>24</v>
      </c>
      <c r="I1064" t="e">
        <f t="shared" ca="1" si="85"/>
        <v>#REF!</v>
      </c>
      <c r="J1064" t="str">
        <f>VLOOKUP($G1064,DefinitionArrays!$I$6:$J$12,2,FALSE)</f>
        <v>Workweek</v>
      </c>
    </row>
    <row r="1065" spans="1:10">
      <c r="A1065" s="159" t="str">
        <f t="shared" si="81"/>
        <v>$B$1:$B$92</v>
      </c>
      <c r="B1065" s="159" t="str">
        <f t="shared" si="82"/>
        <v>$C$1:$C$92</v>
      </c>
      <c r="C1065" s="159" t="str">
        <f t="shared" si="83"/>
        <v>June!$B$1:$B$92</v>
      </c>
      <c r="D1065" s="159" t="str">
        <f t="shared" si="84"/>
        <v>June!$C$1:$C$92</v>
      </c>
      <c r="E1065" t="s">
        <v>4</v>
      </c>
      <c r="F1065" t="s">
        <v>125</v>
      </c>
      <c r="G1065" t="s">
        <v>13</v>
      </c>
      <c r="H1065" t="s">
        <v>179</v>
      </c>
      <c r="I1065" t="e">
        <f t="shared" ca="1" si="85"/>
        <v>#REF!</v>
      </c>
      <c r="J1065" t="str">
        <f>VLOOKUP($G1065,DefinitionArrays!$I$6:$J$12,2,FALSE)</f>
        <v>Workweek</v>
      </c>
    </row>
    <row r="1066" spans="1:10">
      <c r="A1066" s="159" t="str">
        <f t="shared" si="81"/>
        <v>$B$1:$B$92</v>
      </c>
      <c r="B1066" s="159" t="str">
        <f t="shared" si="82"/>
        <v>$C$1:$C$92</v>
      </c>
      <c r="C1066" s="159" t="str">
        <f t="shared" si="83"/>
        <v>June!$B$1:$B$92</v>
      </c>
      <c r="D1066" s="159" t="str">
        <f t="shared" si="84"/>
        <v>June!$C$1:$C$92</v>
      </c>
      <c r="E1066" t="s">
        <v>4</v>
      </c>
      <c r="F1066" t="s">
        <v>125</v>
      </c>
      <c r="G1066" t="s">
        <v>13</v>
      </c>
      <c r="H1066" t="s">
        <v>180</v>
      </c>
      <c r="I1066" t="e">
        <f t="shared" ca="1" si="85"/>
        <v>#REF!</v>
      </c>
      <c r="J1066" t="str">
        <f>VLOOKUP($G1066,DefinitionArrays!$I$6:$J$12,2,FALSE)</f>
        <v>Workweek</v>
      </c>
    </row>
    <row r="1067" spans="1:10">
      <c r="A1067" s="159" t="str">
        <f t="shared" si="81"/>
        <v>$B$1:$B$92</v>
      </c>
      <c r="B1067" s="159" t="str">
        <f t="shared" si="82"/>
        <v>$C$1:$C$92</v>
      </c>
      <c r="C1067" s="159" t="str">
        <f t="shared" si="83"/>
        <v>June!$B$1:$B$92</v>
      </c>
      <c r="D1067" s="159" t="str">
        <f t="shared" si="84"/>
        <v>June!$C$1:$C$92</v>
      </c>
      <c r="E1067" t="s">
        <v>4</v>
      </c>
      <c r="F1067" t="s">
        <v>125</v>
      </c>
      <c r="G1067" t="s">
        <v>13</v>
      </c>
      <c r="H1067" t="s">
        <v>44</v>
      </c>
      <c r="I1067" t="e">
        <f t="shared" ca="1" si="85"/>
        <v>#REF!</v>
      </c>
      <c r="J1067" t="str">
        <f>VLOOKUP($G1067,DefinitionArrays!$I$6:$J$12,2,FALSE)</f>
        <v>Workweek</v>
      </c>
    </row>
    <row r="1068" spans="1:10">
      <c r="A1068" s="159" t="str">
        <f t="shared" si="81"/>
        <v>$E$1:$E$92</v>
      </c>
      <c r="B1068" s="159" t="str">
        <f t="shared" si="82"/>
        <v>$F$1:$F$92</v>
      </c>
      <c r="C1068" s="159" t="str">
        <f t="shared" si="83"/>
        <v>June!$E$1:$E$92</v>
      </c>
      <c r="D1068" s="159" t="str">
        <f t="shared" si="84"/>
        <v>June!$F$1:$F$92</v>
      </c>
      <c r="E1068" t="s">
        <v>4</v>
      </c>
      <c r="F1068" t="s">
        <v>125</v>
      </c>
      <c r="G1068" t="s">
        <v>142</v>
      </c>
      <c r="H1068" t="s">
        <v>159</v>
      </c>
      <c r="I1068" t="e">
        <f t="shared" ca="1" si="85"/>
        <v>#REF!</v>
      </c>
      <c r="J1068" t="str">
        <f>VLOOKUP($G1068,DefinitionArrays!$I$6:$J$12,2,FALSE)</f>
        <v>Workweek</v>
      </c>
    </row>
    <row r="1069" spans="1:10">
      <c r="A1069" s="159" t="str">
        <f t="shared" si="81"/>
        <v>$E$1:$E$92</v>
      </c>
      <c r="B1069" s="159" t="str">
        <f t="shared" si="82"/>
        <v>$F$1:$F$92</v>
      </c>
      <c r="C1069" s="159" t="str">
        <f t="shared" si="83"/>
        <v>June!$E$1:$E$92</v>
      </c>
      <c r="D1069" s="159" t="str">
        <f t="shared" si="84"/>
        <v>June!$F$1:$F$92</v>
      </c>
      <c r="E1069" t="s">
        <v>4</v>
      </c>
      <c r="F1069" t="s">
        <v>125</v>
      </c>
      <c r="G1069" t="s">
        <v>142</v>
      </c>
      <c r="H1069" t="s">
        <v>18</v>
      </c>
      <c r="I1069" t="e">
        <f t="shared" ca="1" si="85"/>
        <v>#REF!</v>
      </c>
      <c r="J1069" t="str">
        <f>VLOOKUP($G1069,DefinitionArrays!$I$6:$J$12,2,FALSE)</f>
        <v>Workweek</v>
      </c>
    </row>
    <row r="1070" spans="1:10">
      <c r="A1070" s="159" t="str">
        <f t="shared" si="81"/>
        <v>$E$1:$E$92</v>
      </c>
      <c r="B1070" s="159" t="str">
        <f t="shared" si="82"/>
        <v>$F$1:$F$92</v>
      </c>
      <c r="C1070" s="159" t="str">
        <f t="shared" si="83"/>
        <v>June!$E$1:$E$92</v>
      </c>
      <c r="D1070" s="159" t="str">
        <f t="shared" si="84"/>
        <v>June!$F$1:$F$92</v>
      </c>
      <c r="E1070" t="s">
        <v>4</v>
      </c>
      <c r="F1070" t="s">
        <v>125</v>
      </c>
      <c r="G1070" t="s">
        <v>142</v>
      </c>
      <c r="H1070" t="s">
        <v>153</v>
      </c>
      <c r="I1070" t="e">
        <f t="shared" ca="1" si="85"/>
        <v>#REF!</v>
      </c>
      <c r="J1070" t="str">
        <f>VLOOKUP($G1070,DefinitionArrays!$I$6:$J$12,2,FALSE)</f>
        <v>Workweek</v>
      </c>
    </row>
    <row r="1071" spans="1:10">
      <c r="A1071" s="159" t="str">
        <f t="shared" si="81"/>
        <v>$E$1:$E$92</v>
      </c>
      <c r="B1071" s="159" t="str">
        <f t="shared" si="82"/>
        <v>$F$1:$F$92</v>
      </c>
      <c r="C1071" s="159" t="str">
        <f t="shared" si="83"/>
        <v>June!$E$1:$E$92</v>
      </c>
      <c r="D1071" s="159" t="str">
        <f t="shared" si="84"/>
        <v>June!$F$1:$F$92</v>
      </c>
      <c r="E1071" t="s">
        <v>4</v>
      </c>
      <c r="F1071" t="s">
        <v>125</v>
      </c>
      <c r="G1071" t="s">
        <v>142</v>
      </c>
      <c r="H1071" t="s">
        <v>19</v>
      </c>
      <c r="I1071" t="e">
        <f t="shared" ca="1" si="85"/>
        <v>#REF!</v>
      </c>
      <c r="J1071" t="str">
        <f>VLOOKUP($G1071,DefinitionArrays!$I$6:$J$12,2,FALSE)</f>
        <v>Workweek</v>
      </c>
    </row>
    <row r="1072" spans="1:10">
      <c r="A1072" s="159" t="str">
        <f t="shared" si="81"/>
        <v>$E$1:$E$92</v>
      </c>
      <c r="B1072" s="159" t="str">
        <f t="shared" si="82"/>
        <v>$F$1:$F$92</v>
      </c>
      <c r="C1072" s="159" t="str">
        <f t="shared" si="83"/>
        <v>June!$E$1:$E$92</v>
      </c>
      <c r="D1072" s="159" t="str">
        <f t="shared" si="84"/>
        <v>June!$F$1:$F$92</v>
      </c>
      <c r="E1072" t="s">
        <v>4</v>
      </c>
      <c r="F1072" t="s">
        <v>125</v>
      </c>
      <c r="G1072" t="s">
        <v>142</v>
      </c>
      <c r="H1072" t="s">
        <v>20</v>
      </c>
      <c r="I1072" t="e">
        <f t="shared" ca="1" si="85"/>
        <v>#REF!</v>
      </c>
      <c r="J1072" t="str">
        <f>VLOOKUP($G1072,DefinitionArrays!$I$6:$J$12,2,FALSE)</f>
        <v>Workweek</v>
      </c>
    </row>
    <row r="1073" spans="1:10">
      <c r="A1073" s="159" t="str">
        <f t="shared" si="81"/>
        <v>$E$1:$E$92</v>
      </c>
      <c r="B1073" s="159" t="str">
        <f t="shared" si="82"/>
        <v>$F$1:$F$92</v>
      </c>
      <c r="C1073" s="159" t="str">
        <f t="shared" si="83"/>
        <v>June!$E$1:$E$92</v>
      </c>
      <c r="D1073" s="159" t="str">
        <f t="shared" si="84"/>
        <v>June!$F$1:$F$92</v>
      </c>
      <c r="E1073" t="s">
        <v>4</v>
      </c>
      <c r="F1073" t="s">
        <v>125</v>
      </c>
      <c r="G1073" t="s">
        <v>142</v>
      </c>
      <c r="H1073" t="s">
        <v>21</v>
      </c>
      <c r="I1073" t="e">
        <f t="shared" ca="1" si="85"/>
        <v>#REF!</v>
      </c>
      <c r="J1073" t="str">
        <f>VLOOKUP($G1073,DefinitionArrays!$I$6:$J$12,2,FALSE)</f>
        <v>Workweek</v>
      </c>
    </row>
    <row r="1074" spans="1:10">
      <c r="A1074" s="159" t="str">
        <f t="shared" si="81"/>
        <v>$E$1:$E$92</v>
      </c>
      <c r="B1074" s="159" t="str">
        <f t="shared" si="82"/>
        <v>$F$1:$F$92</v>
      </c>
      <c r="C1074" s="159" t="str">
        <f t="shared" si="83"/>
        <v>June!$E$1:$E$92</v>
      </c>
      <c r="D1074" s="159" t="str">
        <f t="shared" si="84"/>
        <v>June!$F$1:$F$92</v>
      </c>
      <c r="E1074" t="s">
        <v>4</v>
      </c>
      <c r="F1074" t="s">
        <v>125</v>
      </c>
      <c r="G1074" t="s">
        <v>142</v>
      </c>
      <c r="H1074" t="s">
        <v>22</v>
      </c>
      <c r="I1074" t="e">
        <f t="shared" ca="1" si="85"/>
        <v>#REF!</v>
      </c>
      <c r="J1074" t="str">
        <f>VLOOKUP($G1074,DefinitionArrays!$I$6:$J$12,2,FALSE)</f>
        <v>Workweek</v>
      </c>
    </row>
    <row r="1075" spans="1:10">
      <c r="A1075" s="159" t="str">
        <f t="shared" si="81"/>
        <v>$E$1:$E$92</v>
      </c>
      <c r="B1075" s="159" t="str">
        <f t="shared" si="82"/>
        <v>$F$1:$F$92</v>
      </c>
      <c r="C1075" s="159" t="str">
        <f t="shared" si="83"/>
        <v>June!$E$1:$E$92</v>
      </c>
      <c r="D1075" s="159" t="str">
        <f t="shared" si="84"/>
        <v>June!$F$1:$F$92</v>
      </c>
      <c r="E1075" t="s">
        <v>4</v>
      </c>
      <c r="F1075" t="s">
        <v>125</v>
      </c>
      <c r="G1075" t="s">
        <v>142</v>
      </c>
      <c r="H1075" t="s">
        <v>23</v>
      </c>
      <c r="I1075" t="e">
        <f t="shared" ca="1" si="85"/>
        <v>#REF!</v>
      </c>
      <c r="J1075" t="str">
        <f>VLOOKUP($G1075,DefinitionArrays!$I$6:$J$12,2,FALSE)</f>
        <v>Workweek</v>
      </c>
    </row>
    <row r="1076" spans="1:10">
      <c r="A1076" s="159" t="str">
        <f t="shared" si="81"/>
        <v>$E$1:$E$92</v>
      </c>
      <c r="B1076" s="159" t="str">
        <f t="shared" si="82"/>
        <v>$F$1:$F$92</v>
      </c>
      <c r="C1076" s="159" t="str">
        <f t="shared" si="83"/>
        <v>June!$E$1:$E$92</v>
      </c>
      <c r="D1076" s="159" t="str">
        <f t="shared" si="84"/>
        <v>June!$F$1:$F$92</v>
      </c>
      <c r="E1076" t="s">
        <v>4</v>
      </c>
      <c r="F1076" t="s">
        <v>125</v>
      </c>
      <c r="G1076" t="s">
        <v>142</v>
      </c>
      <c r="H1076" t="s">
        <v>24</v>
      </c>
      <c r="I1076" t="e">
        <f t="shared" ca="1" si="85"/>
        <v>#REF!</v>
      </c>
      <c r="J1076" t="str">
        <f>VLOOKUP($G1076,DefinitionArrays!$I$6:$J$12,2,FALSE)</f>
        <v>Workweek</v>
      </c>
    </row>
    <row r="1077" spans="1:10">
      <c r="A1077" s="159" t="str">
        <f t="shared" si="81"/>
        <v>$E$1:$E$92</v>
      </c>
      <c r="B1077" s="159" t="str">
        <f t="shared" si="82"/>
        <v>$F$1:$F$92</v>
      </c>
      <c r="C1077" s="159" t="str">
        <f t="shared" si="83"/>
        <v>June!$E$1:$E$92</v>
      </c>
      <c r="D1077" s="159" t="str">
        <f t="shared" si="84"/>
        <v>June!$F$1:$F$92</v>
      </c>
      <c r="E1077" t="s">
        <v>4</v>
      </c>
      <c r="F1077" t="s">
        <v>125</v>
      </c>
      <c r="G1077" t="s">
        <v>142</v>
      </c>
      <c r="H1077" t="s">
        <v>179</v>
      </c>
      <c r="I1077" t="e">
        <f t="shared" ca="1" si="85"/>
        <v>#REF!</v>
      </c>
      <c r="J1077" t="str">
        <f>VLOOKUP($G1077,DefinitionArrays!$I$6:$J$12,2,FALSE)</f>
        <v>Workweek</v>
      </c>
    </row>
    <row r="1078" spans="1:10">
      <c r="A1078" s="159" t="str">
        <f t="shared" si="81"/>
        <v>$E$1:$E$92</v>
      </c>
      <c r="B1078" s="159" t="str">
        <f t="shared" si="82"/>
        <v>$F$1:$F$92</v>
      </c>
      <c r="C1078" s="159" t="str">
        <f t="shared" si="83"/>
        <v>June!$E$1:$E$92</v>
      </c>
      <c r="D1078" s="159" t="str">
        <f t="shared" si="84"/>
        <v>June!$F$1:$F$92</v>
      </c>
      <c r="E1078" t="s">
        <v>4</v>
      </c>
      <c r="F1078" t="s">
        <v>125</v>
      </c>
      <c r="G1078" t="s">
        <v>142</v>
      </c>
      <c r="H1078" t="s">
        <v>180</v>
      </c>
      <c r="I1078" t="e">
        <f t="shared" ca="1" si="85"/>
        <v>#REF!</v>
      </c>
      <c r="J1078" t="str">
        <f>VLOOKUP($G1078,DefinitionArrays!$I$6:$J$12,2,FALSE)</f>
        <v>Workweek</v>
      </c>
    </row>
    <row r="1079" spans="1:10">
      <c r="A1079" s="159" t="str">
        <f t="shared" si="81"/>
        <v>$E$1:$E$92</v>
      </c>
      <c r="B1079" s="159" t="str">
        <f t="shared" si="82"/>
        <v>$F$1:$F$92</v>
      </c>
      <c r="C1079" s="159" t="str">
        <f t="shared" si="83"/>
        <v>June!$E$1:$E$92</v>
      </c>
      <c r="D1079" s="159" t="str">
        <f t="shared" si="84"/>
        <v>June!$F$1:$F$92</v>
      </c>
      <c r="E1079" t="s">
        <v>4</v>
      </c>
      <c r="F1079" t="s">
        <v>125</v>
      </c>
      <c r="G1079" t="s">
        <v>142</v>
      </c>
      <c r="H1079" t="s">
        <v>44</v>
      </c>
      <c r="I1079" t="e">
        <f t="shared" ca="1" si="85"/>
        <v>#REF!</v>
      </c>
      <c r="J1079" t="str">
        <f>VLOOKUP($G1079,DefinitionArrays!$I$6:$J$12,2,FALSE)</f>
        <v>Workweek</v>
      </c>
    </row>
    <row r="1080" spans="1:10">
      <c r="A1080" s="159" t="str">
        <f t="shared" si="81"/>
        <v>$H$1:$H$92</v>
      </c>
      <c r="B1080" s="159" t="str">
        <f t="shared" si="82"/>
        <v>$I$1:$I$92</v>
      </c>
      <c r="C1080" s="159" t="str">
        <f t="shared" si="83"/>
        <v>June!$H$1:$H$92</v>
      </c>
      <c r="D1080" s="159" t="str">
        <f t="shared" si="84"/>
        <v>June!$I$1:$I$92</v>
      </c>
      <c r="E1080" t="s">
        <v>4</v>
      </c>
      <c r="F1080" t="s">
        <v>125</v>
      </c>
      <c r="G1080" t="s">
        <v>143</v>
      </c>
      <c r="H1080" t="s">
        <v>159</v>
      </c>
      <c r="I1080" t="e">
        <f t="shared" ca="1" si="85"/>
        <v>#REF!</v>
      </c>
      <c r="J1080" t="str">
        <f>VLOOKUP($G1080,DefinitionArrays!$I$6:$J$12,2,FALSE)</f>
        <v>Workweek</v>
      </c>
    </row>
    <row r="1081" spans="1:10">
      <c r="A1081" s="159" t="str">
        <f t="shared" si="81"/>
        <v>$H$1:$H$92</v>
      </c>
      <c r="B1081" s="159" t="str">
        <f t="shared" si="82"/>
        <v>$I$1:$I$92</v>
      </c>
      <c r="C1081" s="159" t="str">
        <f t="shared" si="83"/>
        <v>June!$H$1:$H$92</v>
      </c>
      <c r="D1081" s="159" t="str">
        <f t="shared" si="84"/>
        <v>June!$I$1:$I$92</v>
      </c>
      <c r="E1081" t="s">
        <v>4</v>
      </c>
      <c r="F1081" t="s">
        <v>125</v>
      </c>
      <c r="G1081" t="s">
        <v>143</v>
      </c>
      <c r="H1081" t="s">
        <v>18</v>
      </c>
      <c r="I1081" t="e">
        <f t="shared" ca="1" si="85"/>
        <v>#REF!</v>
      </c>
      <c r="J1081" t="str">
        <f>VLOOKUP($G1081,DefinitionArrays!$I$6:$J$12,2,FALSE)</f>
        <v>Workweek</v>
      </c>
    </row>
    <row r="1082" spans="1:10">
      <c r="A1082" s="159" t="str">
        <f t="shared" si="81"/>
        <v>$H$1:$H$92</v>
      </c>
      <c r="B1082" s="159" t="str">
        <f t="shared" si="82"/>
        <v>$I$1:$I$92</v>
      </c>
      <c r="C1082" s="159" t="str">
        <f t="shared" si="83"/>
        <v>June!$H$1:$H$92</v>
      </c>
      <c r="D1082" s="159" t="str">
        <f t="shared" si="84"/>
        <v>June!$I$1:$I$92</v>
      </c>
      <c r="E1082" t="s">
        <v>4</v>
      </c>
      <c r="F1082" t="s">
        <v>125</v>
      </c>
      <c r="G1082" t="s">
        <v>143</v>
      </c>
      <c r="H1082" t="s">
        <v>153</v>
      </c>
      <c r="I1082" t="e">
        <f t="shared" ca="1" si="85"/>
        <v>#REF!</v>
      </c>
      <c r="J1082" t="str">
        <f>VLOOKUP($G1082,DefinitionArrays!$I$6:$J$12,2,FALSE)</f>
        <v>Workweek</v>
      </c>
    </row>
    <row r="1083" spans="1:10">
      <c r="A1083" s="159" t="str">
        <f t="shared" si="81"/>
        <v>$H$1:$H$92</v>
      </c>
      <c r="B1083" s="159" t="str">
        <f t="shared" si="82"/>
        <v>$I$1:$I$92</v>
      </c>
      <c r="C1083" s="159" t="str">
        <f t="shared" si="83"/>
        <v>June!$H$1:$H$92</v>
      </c>
      <c r="D1083" s="159" t="str">
        <f t="shared" si="84"/>
        <v>June!$I$1:$I$92</v>
      </c>
      <c r="E1083" t="s">
        <v>4</v>
      </c>
      <c r="F1083" t="s">
        <v>125</v>
      </c>
      <c r="G1083" t="s">
        <v>143</v>
      </c>
      <c r="H1083" t="s">
        <v>19</v>
      </c>
      <c r="I1083" t="e">
        <f t="shared" ca="1" si="85"/>
        <v>#REF!</v>
      </c>
      <c r="J1083" t="str">
        <f>VLOOKUP($G1083,DefinitionArrays!$I$6:$J$12,2,FALSE)</f>
        <v>Workweek</v>
      </c>
    </row>
    <row r="1084" spans="1:10">
      <c r="A1084" s="159" t="str">
        <f t="shared" si="81"/>
        <v>$H$1:$H$92</v>
      </c>
      <c r="B1084" s="159" t="str">
        <f t="shared" si="82"/>
        <v>$I$1:$I$92</v>
      </c>
      <c r="C1084" s="159" t="str">
        <f t="shared" si="83"/>
        <v>June!$H$1:$H$92</v>
      </c>
      <c r="D1084" s="159" t="str">
        <f t="shared" si="84"/>
        <v>June!$I$1:$I$92</v>
      </c>
      <c r="E1084" t="s">
        <v>4</v>
      </c>
      <c r="F1084" t="s">
        <v>125</v>
      </c>
      <c r="G1084" t="s">
        <v>143</v>
      </c>
      <c r="H1084" t="s">
        <v>20</v>
      </c>
      <c r="I1084" t="e">
        <f t="shared" ca="1" si="85"/>
        <v>#REF!</v>
      </c>
      <c r="J1084" t="str">
        <f>VLOOKUP($G1084,DefinitionArrays!$I$6:$J$12,2,FALSE)</f>
        <v>Workweek</v>
      </c>
    </row>
    <row r="1085" spans="1:10">
      <c r="A1085" s="159" t="str">
        <f t="shared" si="81"/>
        <v>$H$1:$H$92</v>
      </c>
      <c r="B1085" s="159" t="str">
        <f t="shared" si="82"/>
        <v>$I$1:$I$92</v>
      </c>
      <c r="C1085" s="159" t="str">
        <f t="shared" si="83"/>
        <v>June!$H$1:$H$92</v>
      </c>
      <c r="D1085" s="159" t="str">
        <f t="shared" si="84"/>
        <v>June!$I$1:$I$92</v>
      </c>
      <c r="E1085" t="s">
        <v>4</v>
      </c>
      <c r="F1085" t="s">
        <v>125</v>
      </c>
      <c r="G1085" t="s">
        <v>143</v>
      </c>
      <c r="H1085" t="s">
        <v>21</v>
      </c>
      <c r="I1085" t="e">
        <f t="shared" ca="1" si="85"/>
        <v>#REF!</v>
      </c>
      <c r="J1085" t="str">
        <f>VLOOKUP($G1085,DefinitionArrays!$I$6:$J$12,2,FALSE)</f>
        <v>Workweek</v>
      </c>
    </row>
    <row r="1086" spans="1:10">
      <c r="A1086" s="159" t="str">
        <f t="shared" si="81"/>
        <v>$H$1:$H$92</v>
      </c>
      <c r="B1086" s="159" t="str">
        <f t="shared" si="82"/>
        <v>$I$1:$I$92</v>
      </c>
      <c r="C1086" s="159" t="str">
        <f t="shared" si="83"/>
        <v>June!$H$1:$H$92</v>
      </c>
      <c r="D1086" s="159" t="str">
        <f t="shared" si="84"/>
        <v>June!$I$1:$I$92</v>
      </c>
      <c r="E1086" t="s">
        <v>4</v>
      </c>
      <c r="F1086" t="s">
        <v>125</v>
      </c>
      <c r="G1086" t="s">
        <v>143</v>
      </c>
      <c r="H1086" t="s">
        <v>22</v>
      </c>
      <c r="I1086" t="e">
        <f t="shared" ca="1" si="85"/>
        <v>#REF!</v>
      </c>
      <c r="J1086" t="str">
        <f>VLOOKUP($G1086,DefinitionArrays!$I$6:$J$12,2,FALSE)</f>
        <v>Workweek</v>
      </c>
    </row>
    <row r="1087" spans="1:10">
      <c r="A1087" s="159" t="str">
        <f t="shared" si="81"/>
        <v>$H$1:$H$92</v>
      </c>
      <c r="B1087" s="159" t="str">
        <f t="shared" si="82"/>
        <v>$I$1:$I$92</v>
      </c>
      <c r="C1087" s="159" t="str">
        <f t="shared" si="83"/>
        <v>June!$H$1:$H$92</v>
      </c>
      <c r="D1087" s="159" t="str">
        <f t="shared" si="84"/>
        <v>June!$I$1:$I$92</v>
      </c>
      <c r="E1087" t="s">
        <v>4</v>
      </c>
      <c r="F1087" t="s">
        <v>125</v>
      </c>
      <c r="G1087" t="s">
        <v>143</v>
      </c>
      <c r="H1087" t="s">
        <v>23</v>
      </c>
      <c r="I1087" t="e">
        <f t="shared" ca="1" si="85"/>
        <v>#REF!</v>
      </c>
      <c r="J1087" t="str">
        <f>VLOOKUP($G1087,DefinitionArrays!$I$6:$J$12,2,FALSE)</f>
        <v>Workweek</v>
      </c>
    </row>
    <row r="1088" spans="1:10">
      <c r="A1088" s="159" t="str">
        <f t="shared" si="81"/>
        <v>$H$1:$H$92</v>
      </c>
      <c r="B1088" s="159" t="str">
        <f t="shared" si="82"/>
        <v>$I$1:$I$92</v>
      </c>
      <c r="C1088" s="159" t="str">
        <f t="shared" si="83"/>
        <v>June!$H$1:$H$92</v>
      </c>
      <c r="D1088" s="159" t="str">
        <f t="shared" si="84"/>
        <v>June!$I$1:$I$92</v>
      </c>
      <c r="E1088" t="s">
        <v>4</v>
      </c>
      <c r="F1088" t="s">
        <v>125</v>
      </c>
      <c r="G1088" t="s">
        <v>143</v>
      </c>
      <c r="H1088" t="s">
        <v>24</v>
      </c>
      <c r="I1088" t="e">
        <f t="shared" ca="1" si="85"/>
        <v>#REF!</v>
      </c>
      <c r="J1088" t="str">
        <f>VLOOKUP($G1088,DefinitionArrays!$I$6:$J$12,2,FALSE)</f>
        <v>Workweek</v>
      </c>
    </row>
    <row r="1089" spans="1:10">
      <c r="A1089" s="159" t="str">
        <f t="shared" si="81"/>
        <v>$H$1:$H$92</v>
      </c>
      <c r="B1089" s="159" t="str">
        <f t="shared" si="82"/>
        <v>$I$1:$I$92</v>
      </c>
      <c r="C1089" s="159" t="str">
        <f t="shared" si="83"/>
        <v>June!$H$1:$H$92</v>
      </c>
      <c r="D1089" s="159" t="str">
        <f t="shared" si="84"/>
        <v>June!$I$1:$I$92</v>
      </c>
      <c r="E1089" t="s">
        <v>4</v>
      </c>
      <c r="F1089" t="s">
        <v>125</v>
      </c>
      <c r="G1089" t="s">
        <v>143</v>
      </c>
      <c r="H1089" t="s">
        <v>179</v>
      </c>
      <c r="I1089" t="e">
        <f t="shared" ca="1" si="85"/>
        <v>#REF!</v>
      </c>
      <c r="J1089" t="str">
        <f>VLOOKUP($G1089,DefinitionArrays!$I$6:$J$12,2,FALSE)</f>
        <v>Workweek</v>
      </c>
    </row>
    <row r="1090" spans="1:10">
      <c r="A1090" s="159" t="str">
        <f t="shared" ref="A1090:A1153" si="86">VLOOKUP($G1090,Fx_Code,2,FALSE)</f>
        <v>$H$1:$H$92</v>
      </c>
      <c r="B1090" s="159" t="str">
        <f t="shared" ref="B1090:B1153" si="87">VLOOKUP($G1090,Fx_Code,3,FALSE)</f>
        <v>$I$1:$I$92</v>
      </c>
      <c r="C1090" s="159" t="str">
        <f t="shared" ref="C1090:C1153" si="88">CONCATENATE($F1090,$K$1,A1090)</f>
        <v>June!$H$1:$H$92</v>
      </c>
      <c r="D1090" s="159" t="str">
        <f t="shared" ref="D1090:D1153" si="89">CONCATENATE($F1090,$K$1,B1090)</f>
        <v>June!$I$1:$I$92</v>
      </c>
      <c r="E1090" t="s">
        <v>4</v>
      </c>
      <c r="F1090" t="s">
        <v>125</v>
      </c>
      <c r="G1090" t="s">
        <v>143</v>
      </c>
      <c r="H1090" t="s">
        <v>180</v>
      </c>
      <c r="I1090" t="e">
        <f t="shared" ca="1" si="85"/>
        <v>#REF!</v>
      </c>
      <c r="J1090" t="str">
        <f>VLOOKUP($G1090,DefinitionArrays!$I$6:$J$12,2,FALSE)</f>
        <v>Workweek</v>
      </c>
    </row>
    <row r="1091" spans="1:10">
      <c r="A1091" s="159" t="str">
        <f t="shared" si="86"/>
        <v>$H$1:$H$92</v>
      </c>
      <c r="B1091" s="159" t="str">
        <f t="shared" si="87"/>
        <v>$I$1:$I$92</v>
      </c>
      <c r="C1091" s="159" t="str">
        <f t="shared" si="88"/>
        <v>June!$H$1:$H$92</v>
      </c>
      <c r="D1091" s="159" t="str">
        <f t="shared" si="89"/>
        <v>June!$I$1:$I$92</v>
      </c>
      <c r="E1091" t="s">
        <v>4</v>
      </c>
      <c r="F1091" t="s">
        <v>125</v>
      </c>
      <c r="G1091" t="s">
        <v>143</v>
      </c>
      <c r="H1091" t="s">
        <v>44</v>
      </c>
      <c r="I1091" t="e">
        <f t="shared" ca="1" si="85"/>
        <v>#REF!</v>
      </c>
      <c r="J1091" t="str">
        <f>VLOOKUP($G1091,DefinitionArrays!$I$6:$J$12,2,FALSE)</f>
        <v>Workweek</v>
      </c>
    </row>
    <row r="1092" spans="1:10">
      <c r="A1092" s="159" t="str">
        <f t="shared" si="86"/>
        <v>$K$1:$K$92</v>
      </c>
      <c r="B1092" s="159" t="str">
        <f t="shared" si="87"/>
        <v>$L$1:$L$92</v>
      </c>
      <c r="C1092" s="159" t="str">
        <f t="shared" si="88"/>
        <v>June!$K$1:$K$92</v>
      </c>
      <c r="D1092" s="159" t="str">
        <f t="shared" si="89"/>
        <v>June!$L$1:$L$92</v>
      </c>
      <c r="E1092" t="s">
        <v>4</v>
      </c>
      <c r="F1092" t="s">
        <v>125</v>
      </c>
      <c r="G1092" t="s">
        <v>144</v>
      </c>
      <c r="H1092" t="s">
        <v>159</v>
      </c>
      <c r="I1092" t="e">
        <f t="shared" ca="1" si="85"/>
        <v>#REF!</v>
      </c>
      <c r="J1092" t="str">
        <f>VLOOKUP($G1092,DefinitionArrays!$I$6:$J$12,2,FALSE)</f>
        <v>Workweek</v>
      </c>
    </row>
    <row r="1093" spans="1:10">
      <c r="A1093" s="159" t="str">
        <f t="shared" si="86"/>
        <v>$K$1:$K$92</v>
      </c>
      <c r="B1093" s="159" t="str">
        <f t="shared" si="87"/>
        <v>$L$1:$L$92</v>
      </c>
      <c r="C1093" s="159" t="str">
        <f t="shared" si="88"/>
        <v>June!$K$1:$K$92</v>
      </c>
      <c r="D1093" s="159" t="str">
        <f t="shared" si="89"/>
        <v>June!$L$1:$L$92</v>
      </c>
      <c r="E1093" t="s">
        <v>4</v>
      </c>
      <c r="F1093" t="s">
        <v>125</v>
      </c>
      <c r="G1093" t="s">
        <v>144</v>
      </c>
      <c r="H1093" t="s">
        <v>18</v>
      </c>
      <c r="I1093" t="e">
        <f t="shared" ca="1" si="85"/>
        <v>#REF!</v>
      </c>
      <c r="J1093" t="str">
        <f>VLOOKUP($G1093,DefinitionArrays!$I$6:$J$12,2,FALSE)</f>
        <v>Workweek</v>
      </c>
    </row>
    <row r="1094" spans="1:10">
      <c r="A1094" s="159" t="str">
        <f t="shared" si="86"/>
        <v>$K$1:$K$92</v>
      </c>
      <c r="B1094" s="159" t="str">
        <f t="shared" si="87"/>
        <v>$L$1:$L$92</v>
      </c>
      <c r="C1094" s="159" t="str">
        <f t="shared" si="88"/>
        <v>June!$K$1:$K$92</v>
      </c>
      <c r="D1094" s="159" t="str">
        <f t="shared" si="89"/>
        <v>June!$L$1:$L$92</v>
      </c>
      <c r="E1094" t="s">
        <v>4</v>
      </c>
      <c r="F1094" t="s">
        <v>125</v>
      </c>
      <c r="G1094" t="s">
        <v>144</v>
      </c>
      <c r="H1094" t="s">
        <v>153</v>
      </c>
      <c r="I1094" t="e">
        <f t="shared" ca="1" si="85"/>
        <v>#REF!</v>
      </c>
      <c r="J1094" t="str">
        <f>VLOOKUP($G1094,DefinitionArrays!$I$6:$J$12,2,FALSE)</f>
        <v>Workweek</v>
      </c>
    </row>
    <row r="1095" spans="1:10">
      <c r="A1095" s="159" t="str">
        <f t="shared" si="86"/>
        <v>$K$1:$K$92</v>
      </c>
      <c r="B1095" s="159" t="str">
        <f t="shared" si="87"/>
        <v>$L$1:$L$92</v>
      </c>
      <c r="C1095" s="159" t="str">
        <f t="shared" si="88"/>
        <v>June!$K$1:$K$92</v>
      </c>
      <c r="D1095" s="159" t="str">
        <f t="shared" si="89"/>
        <v>June!$L$1:$L$92</v>
      </c>
      <c r="E1095" t="s">
        <v>4</v>
      </c>
      <c r="F1095" t="s">
        <v>125</v>
      </c>
      <c r="G1095" t="s">
        <v>144</v>
      </c>
      <c r="H1095" t="s">
        <v>19</v>
      </c>
      <c r="I1095" t="e">
        <f t="shared" ca="1" si="85"/>
        <v>#REF!</v>
      </c>
      <c r="J1095" t="str">
        <f>VLOOKUP($G1095,DefinitionArrays!$I$6:$J$12,2,FALSE)</f>
        <v>Workweek</v>
      </c>
    </row>
    <row r="1096" spans="1:10">
      <c r="A1096" s="159" t="str">
        <f t="shared" si="86"/>
        <v>$K$1:$K$92</v>
      </c>
      <c r="B1096" s="159" t="str">
        <f t="shared" si="87"/>
        <v>$L$1:$L$92</v>
      </c>
      <c r="C1096" s="159" t="str">
        <f t="shared" si="88"/>
        <v>June!$K$1:$K$92</v>
      </c>
      <c r="D1096" s="159" t="str">
        <f t="shared" si="89"/>
        <v>June!$L$1:$L$92</v>
      </c>
      <c r="E1096" t="s">
        <v>4</v>
      </c>
      <c r="F1096" t="s">
        <v>125</v>
      </c>
      <c r="G1096" t="s">
        <v>144</v>
      </c>
      <c r="H1096" t="s">
        <v>20</v>
      </c>
      <c r="I1096" t="e">
        <f t="shared" ca="1" si="85"/>
        <v>#REF!</v>
      </c>
      <c r="J1096" t="str">
        <f>VLOOKUP($G1096,DefinitionArrays!$I$6:$J$12,2,FALSE)</f>
        <v>Workweek</v>
      </c>
    </row>
    <row r="1097" spans="1:10">
      <c r="A1097" s="159" t="str">
        <f t="shared" si="86"/>
        <v>$K$1:$K$92</v>
      </c>
      <c r="B1097" s="159" t="str">
        <f t="shared" si="87"/>
        <v>$L$1:$L$92</v>
      </c>
      <c r="C1097" s="159" t="str">
        <f t="shared" si="88"/>
        <v>June!$K$1:$K$92</v>
      </c>
      <c r="D1097" s="159" t="str">
        <f t="shared" si="89"/>
        <v>June!$L$1:$L$92</v>
      </c>
      <c r="E1097" t="s">
        <v>4</v>
      </c>
      <c r="F1097" t="s">
        <v>125</v>
      </c>
      <c r="G1097" t="s">
        <v>144</v>
      </c>
      <c r="H1097" t="s">
        <v>21</v>
      </c>
      <c r="I1097" t="e">
        <f t="shared" ca="1" si="85"/>
        <v>#REF!</v>
      </c>
      <c r="J1097" t="str">
        <f>VLOOKUP($G1097,DefinitionArrays!$I$6:$J$12,2,FALSE)</f>
        <v>Workweek</v>
      </c>
    </row>
    <row r="1098" spans="1:10">
      <c r="A1098" s="159" t="str">
        <f t="shared" si="86"/>
        <v>$K$1:$K$92</v>
      </c>
      <c r="B1098" s="159" t="str">
        <f t="shared" si="87"/>
        <v>$L$1:$L$92</v>
      </c>
      <c r="C1098" s="159" t="str">
        <f t="shared" si="88"/>
        <v>June!$K$1:$K$92</v>
      </c>
      <c r="D1098" s="159" t="str">
        <f t="shared" si="89"/>
        <v>June!$L$1:$L$92</v>
      </c>
      <c r="E1098" t="s">
        <v>4</v>
      </c>
      <c r="F1098" t="s">
        <v>125</v>
      </c>
      <c r="G1098" t="s">
        <v>144</v>
      </c>
      <c r="H1098" t="s">
        <v>22</v>
      </c>
      <c r="I1098" t="e">
        <f t="shared" ca="1" si="85"/>
        <v>#REF!</v>
      </c>
      <c r="J1098" t="str">
        <f>VLOOKUP($G1098,DefinitionArrays!$I$6:$J$12,2,FALSE)</f>
        <v>Workweek</v>
      </c>
    </row>
    <row r="1099" spans="1:10">
      <c r="A1099" s="159" t="str">
        <f t="shared" si="86"/>
        <v>$K$1:$K$92</v>
      </c>
      <c r="B1099" s="159" t="str">
        <f t="shared" si="87"/>
        <v>$L$1:$L$92</v>
      </c>
      <c r="C1099" s="159" t="str">
        <f t="shared" si="88"/>
        <v>June!$K$1:$K$92</v>
      </c>
      <c r="D1099" s="159" t="str">
        <f t="shared" si="89"/>
        <v>June!$L$1:$L$92</v>
      </c>
      <c r="E1099" t="s">
        <v>4</v>
      </c>
      <c r="F1099" t="s">
        <v>125</v>
      </c>
      <c r="G1099" t="s">
        <v>144</v>
      </c>
      <c r="H1099" t="s">
        <v>23</v>
      </c>
      <c r="I1099" t="e">
        <f t="shared" ca="1" si="85"/>
        <v>#REF!</v>
      </c>
      <c r="J1099" t="str">
        <f>VLOOKUP($G1099,DefinitionArrays!$I$6:$J$12,2,FALSE)</f>
        <v>Workweek</v>
      </c>
    </row>
    <row r="1100" spans="1:10">
      <c r="A1100" s="159" t="str">
        <f t="shared" si="86"/>
        <v>$K$1:$K$92</v>
      </c>
      <c r="B1100" s="159" t="str">
        <f t="shared" si="87"/>
        <v>$L$1:$L$92</v>
      </c>
      <c r="C1100" s="159" t="str">
        <f t="shared" si="88"/>
        <v>June!$K$1:$K$92</v>
      </c>
      <c r="D1100" s="159" t="str">
        <f t="shared" si="89"/>
        <v>June!$L$1:$L$92</v>
      </c>
      <c r="E1100" t="s">
        <v>4</v>
      </c>
      <c r="F1100" t="s">
        <v>125</v>
      </c>
      <c r="G1100" t="s">
        <v>144</v>
      </c>
      <c r="H1100" t="s">
        <v>24</v>
      </c>
      <c r="I1100" t="e">
        <f t="shared" ca="1" si="85"/>
        <v>#REF!</v>
      </c>
      <c r="J1100" t="str">
        <f>VLOOKUP($G1100,DefinitionArrays!$I$6:$J$12,2,FALSE)</f>
        <v>Workweek</v>
      </c>
    </row>
    <row r="1101" spans="1:10">
      <c r="A1101" s="159" t="str">
        <f t="shared" si="86"/>
        <v>$K$1:$K$92</v>
      </c>
      <c r="B1101" s="159" t="str">
        <f t="shared" si="87"/>
        <v>$L$1:$L$92</v>
      </c>
      <c r="C1101" s="159" t="str">
        <f t="shared" si="88"/>
        <v>June!$K$1:$K$92</v>
      </c>
      <c r="D1101" s="159" t="str">
        <f t="shared" si="89"/>
        <v>June!$L$1:$L$92</v>
      </c>
      <c r="E1101" t="s">
        <v>4</v>
      </c>
      <c r="F1101" t="s">
        <v>125</v>
      </c>
      <c r="G1101" t="s">
        <v>144</v>
      </c>
      <c r="H1101" t="s">
        <v>179</v>
      </c>
      <c r="I1101" t="e">
        <f t="shared" ca="1" si="85"/>
        <v>#REF!</v>
      </c>
      <c r="J1101" t="str">
        <f>VLOOKUP($G1101,DefinitionArrays!$I$6:$J$12,2,FALSE)</f>
        <v>Workweek</v>
      </c>
    </row>
    <row r="1102" spans="1:10">
      <c r="A1102" s="159" t="str">
        <f t="shared" si="86"/>
        <v>$K$1:$K$92</v>
      </c>
      <c r="B1102" s="159" t="str">
        <f t="shared" si="87"/>
        <v>$L$1:$L$92</v>
      </c>
      <c r="C1102" s="159" t="str">
        <f t="shared" si="88"/>
        <v>June!$K$1:$K$92</v>
      </c>
      <c r="D1102" s="159" t="str">
        <f t="shared" si="89"/>
        <v>June!$L$1:$L$92</v>
      </c>
      <c r="E1102" t="s">
        <v>4</v>
      </c>
      <c r="F1102" t="s">
        <v>125</v>
      </c>
      <c r="G1102" t="s">
        <v>144</v>
      </c>
      <c r="H1102" t="s">
        <v>180</v>
      </c>
      <c r="I1102" t="e">
        <f t="shared" ca="1" si="85"/>
        <v>#REF!</v>
      </c>
      <c r="J1102" t="str">
        <f>VLOOKUP($G1102,DefinitionArrays!$I$6:$J$12,2,FALSE)</f>
        <v>Workweek</v>
      </c>
    </row>
    <row r="1103" spans="1:10">
      <c r="A1103" s="159" t="str">
        <f t="shared" si="86"/>
        <v>$K$1:$K$92</v>
      </c>
      <c r="B1103" s="159" t="str">
        <f t="shared" si="87"/>
        <v>$L$1:$L$92</v>
      </c>
      <c r="C1103" s="159" t="str">
        <f t="shared" si="88"/>
        <v>June!$K$1:$K$92</v>
      </c>
      <c r="D1103" s="159" t="str">
        <f t="shared" si="89"/>
        <v>June!$L$1:$L$92</v>
      </c>
      <c r="E1103" t="s">
        <v>4</v>
      </c>
      <c r="F1103" t="s">
        <v>125</v>
      </c>
      <c r="G1103" t="s">
        <v>144</v>
      </c>
      <c r="H1103" t="s">
        <v>44</v>
      </c>
      <c r="I1103" t="e">
        <f t="shared" ca="1" si="85"/>
        <v>#REF!</v>
      </c>
      <c r="J1103" t="str">
        <f>VLOOKUP($G1103,DefinitionArrays!$I$6:$J$12,2,FALSE)</f>
        <v>Workweek</v>
      </c>
    </row>
    <row r="1104" spans="1:10">
      <c r="A1104" s="159" t="str">
        <f t="shared" si="86"/>
        <v>$N$1:$N$92</v>
      </c>
      <c r="B1104" s="159" t="str">
        <f t="shared" si="87"/>
        <v>$O$1:$O$92</v>
      </c>
      <c r="C1104" s="159" t="str">
        <f t="shared" si="88"/>
        <v>June!$N$1:$N$92</v>
      </c>
      <c r="D1104" s="159" t="str">
        <f t="shared" si="89"/>
        <v>June!$O$1:$O$92</v>
      </c>
      <c r="E1104" t="s">
        <v>4</v>
      </c>
      <c r="F1104" t="s">
        <v>125</v>
      </c>
      <c r="G1104" t="s">
        <v>145</v>
      </c>
      <c r="H1104" t="s">
        <v>159</v>
      </c>
      <c r="I1104" t="e">
        <f t="shared" ca="1" si="85"/>
        <v>#REF!</v>
      </c>
      <c r="J1104" t="str">
        <f>VLOOKUP($G1104,DefinitionArrays!$I$6:$J$12,2,FALSE)</f>
        <v>Weekend</v>
      </c>
    </row>
    <row r="1105" spans="1:10">
      <c r="A1105" s="159" t="str">
        <f t="shared" si="86"/>
        <v>$N$1:$N$92</v>
      </c>
      <c r="B1105" s="159" t="str">
        <f t="shared" si="87"/>
        <v>$O$1:$O$92</v>
      </c>
      <c r="C1105" s="159" t="str">
        <f t="shared" si="88"/>
        <v>June!$N$1:$N$92</v>
      </c>
      <c r="D1105" s="159" t="str">
        <f t="shared" si="89"/>
        <v>June!$O$1:$O$92</v>
      </c>
      <c r="E1105" t="s">
        <v>4</v>
      </c>
      <c r="F1105" t="s">
        <v>125</v>
      </c>
      <c r="G1105" t="s">
        <v>145</v>
      </c>
      <c r="H1105" t="s">
        <v>18</v>
      </c>
      <c r="I1105" t="e">
        <f t="shared" ca="1" si="85"/>
        <v>#REF!</v>
      </c>
      <c r="J1105" t="str">
        <f>VLOOKUP($G1105,DefinitionArrays!$I$6:$J$12,2,FALSE)</f>
        <v>Weekend</v>
      </c>
    </row>
    <row r="1106" spans="1:10">
      <c r="A1106" s="159" t="str">
        <f t="shared" si="86"/>
        <v>$N$1:$N$92</v>
      </c>
      <c r="B1106" s="159" t="str">
        <f t="shared" si="87"/>
        <v>$O$1:$O$92</v>
      </c>
      <c r="C1106" s="159" t="str">
        <f t="shared" si="88"/>
        <v>June!$N$1:$N$92</v>
      </c>
      <c r="D1106" s="159" t="str">
        <f t="shared" si="89"/>
        <v>June!$O$1:$O$92</v>
      </c>
      <c r="E1106" t="s">
        <v>4</v>
      </c>
      <c r="F1106" t="s">
        <v>125</v>
      </c>
      <c r="G1106" t="s">
        <v>145</v>
      </c>
      <c r="H1106" t="s">
        <v>153</v>
      </c>
      <c r="I1106" t="e">
        <f t="shared" ca="1" si="85"/>
        <v>#REF!</v>
      </c>
      <c r="J1106" t="str">
        <f>VLOOKUP($G1106,DefinitionArrays!$I$6:$J$12,2,FALSE)</f>
        <v>Weekend</v>
      </c>
    </row>
    <row r="1107" spans="1:10">
      <c r="A1107" s="159" t="str">
        <f t="shared" si="86"/>
        <v>$N$1:$N$92</v>
      </c>
      <c r="B1107" s="159" t="str">
        <f t="shared" si="87"/>
        <v>$O$1:$O$92</v>
      </c>
      <c r="C1107" s="159" t="str">
        <f t="shared" si="88"/>
        <v>June!$N$1:$N$92</v>
      </c>
      <c r="D1107" s="159" t="str">
        <f t="shared" si="89"/>
        <v>June!$O$1:$O$92</v>
      </c>
      <c r="E1107" t="s">
        <v>4</v>
      </c>
      <c r="F1107" t="s">
        <v>125</v>
      </c>
      <c r="G1107" t="s">
        <v>145</v>
      </c>
      <c r="H1107" t="s">
        <v>19</v>
      </c>
      <c r="I1107" t="e">
        <f t="shared" ca="1" si="85"/>
        <v>#REF!</v>
      </c>
      <c r="J1107" t="str">
        <f>VLOOKUP($G1107,DefinitionArrays!$I$6:$J$12,2,FALSE)</f>
        <v>Weekend</v>
      </c>
    </row>
    <row r="1108" spans="1:10">
      <c r="A1108" s="159" t="str">
        <f t="shared" si="86"/>
        <v>$N$1:$N$92</v>
      </c>
      <c r="B1108" s="159" t="str">
        <f t="shared" si="87"/>
        <v>$O$1:$O$92</v>
      </c>
      <c r="C1108" s="159" t="str">
        <f t="shared" si="88"/>
        <v>June!$N$1:$N$92</v>
      </c>
      <c r="D1108" s="159" t="str">
        <f t="shared" si="89"/>
        <v>June!$O$1:$O$92</v>
      </c>
      <c r="E1108" t="s">
        <v>4</v>
      </c>
      <c r="F1108" t="s">
        <v>125</v>
      </c>
      <c r="G1108" t="s">
        <v>145</v>
      </c>
      <c r="H1108" t="s">
        <v>20</v>
      </c>
      <c r="I1108" t="e">
        <f t="shared" ca="1" si="85"/>
        <v>#REF!</v>
      </c>
      <c r="J1108" t="str">
        <f>VLOOKUP($G1108,DefinitionArrays!$I$6:$J$12,2,FALSE)</f>
        <v>Weekend</v>
      </c>
    </row>
    <row r="1109" spans="1:10">
      <c r="A1109" s="159" t="str">
        <f t="shared" si="86"/>
        <v>$N$1:$N$92</v>
      </c>
      <c r="B1109" s="159" t="str">
        <f t="shared" si="87"/>
        <v>$O$1:$O$92</v>
      </c>
      <c r="C1109" s="159" t="str">
        <f t="shared" si="88"/>
        <v>June!$N$1:$N$92</v>
      </c>
      <c r="D1109" s="159" t="str">
        <f t="shared" si="89"/>
        <v>June!$O$1:$O$92</v>
      </c>
      <c r="E1109" t="s">
        <v>4</v>
      </c>
      <c r="F1109" t="s">
        <v>125</v>
      </c>
      <c r="G1109" t="s">
        <v>145</v>
      </c>
      <c r="H1109" t="s">
        <v>21</v>
      </c>
      <c r="I1109" t="e">
        <f t="shared" ca="1" si="85"/>
        <v>#REF!</v>
      </c>
      <c r="J1109" t="str">
        <f>VLOOKUP($G1109,DefinitionArrays!$I$6:$J$12,2,FALSE)</f>
        <v>Weekend</v>
      </c>
    </row>
    <row r="1110" spans="1:10">
      <c r="A1110" s="159" t="str">
        <f t="shared" si="86"/>
        <v>$N$1:$N$92</v>
      </c>
      <c r="B1110" s="159" t="str">
        <f t="shared" si="87"/>
        <v>$O$1:$O$92</v>
      </c>
      <c r="C1110" s="159" t="str">
        <f t="shared" si="88"/>
        <v>June!$N$1:$N$92</v>
      </c>
      <c r="D1110" s="159" t="str">
        <f t="shared" si="89"/>
        <v>June!$O$1:$O$92</v>
      </c>
      <c r="E1110" t="s">
        <v>4</v>
      </c>
      <c r="F1110" t="s">
        <v>125</v>
      </c>
      <c r="G1110" t="s">
        <v>145</v>
      </c>
      <c r="H1110" t="s">
        <v>22</v>
      </c>
      <c r="I1110" t="e">
        <f t="shared" ca="1" si="85"/>
        <v>#REF!</v>
      </c>
      <c r="J1110" t="str">
        <f>VLOOKUP($G1110,DefinitionArrays!$I$6:$J$12,2,FALSE)</f>
        <v>Weekend</v>
      </c>
    </row>
    <row r="1111" spans="1:10">
      <c r="A1111" s="159" t="str">
        <f t="shared" si="86"/>
        <v>$N$1:$N$92</v>
      </c>
      <c r="B1111" s="159" t="str">
        <f t="shared" si="87"/>
        <v>$O$1:$O$92</v>
      </c>
      <c r="C1111" s="159" t="str">
        <f t="shared" si="88"/>
        <v>June!$N$1:$N$92</v>
      </c>
      <c r="D1111" s="159" t="str">
        <f t="shared" si="89"/>
        <v>June!$O$1:$O$92</v>
      </c>
      <c r="E1111" t="s">
        <v>4</v>
      </c>
      <c r="F1111" t="s">
        <v>125</v>
      </c>
      <c r="G1111" t="s">
        <v>145</v>
      </c>
      <c r="H1111" t="s">
        <v>23</v>
      </c>
      <c r="I1111" t="e">
        <f t="shared" ca="1" si="85"/>
        <v>#REF!</v>
      </c>
      <c r="J1111" t="str">
        <f>VLOOKUP($G1111,DefinitionArrays!$I$6:$J$12,2,FALSE)</f>
        <v>Weekend</v>
      </c>
    </row>
    <row r="1112" spans="1:10">
      <c r="A1112" s="159" t="str">
        <f t="shared" si="86"/>
        <v>$N$1:$N$92</v>
      </c>
      <c r="B1112" s="159" t="str">
        <f t="shared" si="87"/>
        <v>$O$1:$O$92</v>
      </c>
      <c r="C1112" s="159" t="str">
        <f t="shared" si="88"/>
        <v>June!$N$1:$N$92</v>
      </c>
      <c r="D1112" s="159" t="str">
        <f t="shared" si="89"/>
        <v>June!$O$1:$O$92</v>
      </c>
      <c r="E1112" t="s">
        <v>4</v>
      </c>
      <c r="F1112" t="s">
        <v>125</v>
      </c>
      <c r="G1112" t="s">
        <v>145</v>
      </c>
      <c r="H1112" t="s">
        <v>24</v>
      </c>
      <c r="I1112" t="e">
        <f t="shared" ca="1" si="85"/>
        <v>#REF!</v>
      </c>
      <c r="J1112" t="str">
        <f>VLOOKUP($G1112,DefinitionArrays!$I$6:$J$12,2,FALSE)</f>
        <v>Weekend</v>
      </c>
    </row>
    <row r="1113" spans="1:10">
      <c r="A1113" s="159" t="str">
        <f t="shared" si="86"/>
        <v>$N$1:$N$92</v>
      </c>
      <c r="B1113" s="159" t="str">
        <f t="shared" si="87"/>
        <v>$O$1:$O$92</v>
      </c>
      <c r="C1113" s="159" t="str">
        <f t="shared" si="88"/>
        <v>June!$N$1:$N$92</v>
      </c>
      <c r="D1113" s="159" t="str">
        <f t="shared" si="89"/>
        <v>June!$O$1:$O$92</v>
      </c>
      <c r="E1113" t="s">
        <v>4</v>
      </c>
      <c r="F1113" t="s">
        <v>125</v>
      </c>
      <c r="G1113" t="s">
        <v>145</v>
      </c>
      <c r="H1113" t="s">
        <v>179</v>
      </c>
      <c r="I1113" t="e">
        <f t="shared" ca="1" si="85"/>
        <v>#REF!</v>
      </c>
      <c r="J1113" t="str">
        <f>VLOOKUP($G1113,DefinitionArrays!$I$6:$J$12,2,FALSE)</f>
        <v>Weekend</v>
      </c>
    </row>
    <row r="1114" spans="1:10">
      <c r="A1114" s="159" t="str">
        <f t="shared" si="86"/>
        <v>$N$1:$N$92</v>
      </c>
      <c r="B1114" s="159" t="str">
        <f t="shared" si="87"/>
        <v>$O$1:$O$92</v>
      </c>
      <c r="C1114" s="159" t="str">
        <f t="shared" si="88"/>
        <v>June!$N$1:$N$92</v>
      </c>
      <c r="D1114" s="159" t="str">
        <f t="shared" si="89"/>
        <v>June!$O$1:$O$92</v>
      </c>
      <c r="E1114" t="s">
        <v>4</v>
      </c>
      <c r="F1114" t="s">
        <v>125</v>
      </c>
      <c r="G1114" t="s">
        <v>145</v>
      </c>
      <c r="H1114" t="s">
        <v>180</v>
      </c>
      <c r="I1114" t="e">
        <f t="shared" ca="1" si="85"/>
        <v>#REF!</v>
      </c>
      <c r="J1114" t="str">
        <f>VLOOKUP($G1114,DefinitionArrays!$I$6:$J$12,2,FALSE)</f>
        <v>Weekend</v>
      </c>
    </row>
    <row r="1115" spans="1:10">
      <c r="A1115" s="159" t="str">
        <f t="shared" si="86"/>
        <v>$N$1:$N$92</v>
      </c>
      <c r="B1115" s="159" t="str">
        <f t="shared" si="87"/>
        <v>$O$1:$O$92</v>
      </c>
      <c r="C1115" s="159" t="str">
        <f t="shared" si="88"/>
        <v>June!$N$1:$N$92</v>
      </c>
      <c r="D1115" s="159" t="str">
        <f t="shared" si="89"/>
        <v>June!$O$1:$O$92</v>
      </c>
      <c r="E1115" t="s">
        <v>4</v>
      </c>
      <c r="F1115" t="s">
        <v>125</v>
      </c>
      <c r="G1115" t="s">
        <v>145</v>
      </c>
      <c r="H1115" t="s">
        <v>44</v>
      </c>
      <c r="I1115" t="e">
        <f t="shared" ca="1" si="85"/>
        <v>#REF!</v>
      </c>
      <c r="J1115" t="str">
        <f>VLOOKUP($G1115,DefinitionArrays!$I$6:$J$12,2,FALSE)</f>
        <v>Weekend</v>
      </c>
    </row>
    <row r="1116" spans="1:10">
      <c r="A1116" s="159" t="str">
        <f t="shared" si="86"/>
        <v>$Q$1:$Q$92</v>
      </c>
      <c r="B1116" s="159" t="str">
        <f t="shared" si="87"/>
        <v>$R$1:$R$92</v>
      </c>
      <c r="C1116" s="159" t="str">
        <f t="shared" si="88"/>
        <v>June!$Q$1:$Q$92</v>
      </c>
      <c r="D1116" s="159" t="str">
        <f t="shared" si="89"/>
        <v>June!$R$1:$R$92</v>
      </c>
      <c r="E1116" t="s">
        <v>4</v>
      </c>
      <c r="F1116" t="s">
        <v>125</v>
      </c>
      <c r="G1116" t="s">
        <v>146</v>
      </c>
      <c r="H1116" t="s">
        <v>159</v>
      </c>
      <c r="I1116" t="e">
        <f t="shared" ca="1" si="85"/>
        <v>#REF!</v>
      </c>
      <c r="J1116" t="str">
        <f>VLOOKUP($G1116,DefinitionArrays!$I$6:$J$12,2,FALSE)</f>
        <v>Weekend</v>
      </c>
    </row>
    <row r="1117" spans="1:10">
      <c r="A1117" s="159" t="str">
        <f t="shared" si="86"/>
        <v>$T$1:$T$92</v>
      </c>
      <c r="B1117" s="159" t="str">
        <f t="shared" si="87"/>
        <v>$U$1:$U$92</v>
      </c>
      <c r="C1117" s="159" t="str">
        <f t="shared" si="88"/>
        <v>June!$T$1:$T$92</v>
      </c>
      <c r="D1117" s="159" t="str">
        <f t="shared" si="89"/>
        <v>June!$U$1:$U$92</v>
      </c>
      <c r="E1117" t="s">
        <v>4</v>
      </c>
      <c r="F1117" t="s">
        <v>125</v>
      </c>
      <c r="G1117" t="s">
        <v>141</v>
      </c>
      <c r="H1117" t="s">
        <v>159</v>
      </c>
      <c r="I1117" t="e">
        <f t="shared" ca="1" si="85"/>
        <v>#REF!</v>
      </c>
      <c r="J1117" t="str">
        <f>VLOOKUP($G1117,DefinitionArrays!$I$6:$J$12,2,FALSE)</f>
        <v>Weekend</v>
      </c>
    </row>
    <row r="1118" spans="1:10">
      <c r="A1118" s="159" t="str">
        <f t="shared" si="86"/>
        <v>$B$1:$B$92</v>
      </c>
      <c r="B1118" s="159" t="str">
        <f t="shared" si="87"/>
        <v>$C$1:$C$92</v>
      </c>
      <c r="C1118" s="159" t="str">
        <f t="shared" si="88"/>
        <v>July!$B$1:$B$92</v>
      </c>
      <c r="D1118" s="159" t="str">
        <f t="shared" si="89"/>
        <v>July!$C$1:$C$92</v>
      </c>
      <c r="E1118" t="s">
        <v>4</v>
      </c>
      <c r="F1118" t="s">
        <v>126</v>
      </c>
      <c r="G1118" t="s">
        <v>13</v>
      </c>
      <c r="H1118" t="s">
        <v>159</v>
      </c>
      <c r="I1118" t="e">
        <f ca="1">COUNTIFS(INDIRECT($C1118),$E1118,INDIRECT($D1118),$H1118)</f>
        <v>#REF!</v>
      </c>
      <c r="J1118" t="str">
        <f>VLOOKUP($G1118,DefinitionArrays!$I$6:$J$12,2,FALSE)</f>
        <v>Workweek</v>
      </c>
    </row>
    <row r="1119" spans="1:10">
      <c r="A1119" s="159" t="str">
        <f t="shared" si="86"/>
        <v>$B$1:$B$92</v>
      </c>
      <c r="B1119" s="159" t="str">
        <f t="shared" si="87"/>
        <v>$C$1:$C$92</v>
      </c>
      <c r="C1119" s="159" t="str">
        <f t="shared" si="88"/>
        <v>July!$B$1:$B$92</v>
      </c>
      <c r="D1119" s="159" t="str">
        <f t="shared" si="89"/>
        <v>July!$C$1:$C$92</v>
      </c>
      <c r="E1119" t="s">
        <v>4</v>
      </c>
      <c r="F1119" t="s">
        <v>126</v>
      </c>
      <c r="G1119" t="s">
        <v>13</v>
      </c>
      <c r="H1119" t="s">
        <v>18</v>
      </c>
      <c r="I1119" t="e">
        <f t="shared" ref="I1119:I1179" ca="1" si="90">COUNTIFS(INDIRECT($C1119),$E1119,INDIRECT($D1119),$H1119)</f>
        <v>#REF!</v>
      </c>
      <c r="J1119" t="str">
        <f>VLOOKUP($G1119,DefinitionArrays!$I$6:$J$12,2,FALSE)</f>
        <v>Workweek</v>
      </c>
    </row>
    <row r="1120" spans="1:10">
      <c r="A1120" s="159" t="str">
        <f t="shared" si="86"/>
        <v>$B$1:$B$92</v>
      </c>
      <c r="B1120" s="159" t="str">
        <f t="shared" si="87"/>
        <v>$C$1:$C$92</v>
      </c>
      <c r="C1120" s="159" t="str">
        <f t="shared" si="88"/>
        <v>July!$B$1:$B$92</v>
      </c>
      <c r="D1120" s="159" t="str">
        <f t="shared" si="89"/>
        <v>July!$C$1:$C$92</v>
      </c>
      <c r="E1120" t="s">
        <v>4</v>
      </c>
      <c r="F1120" t="s">
        <v>126</v>
      </c>
      <c r="G1120" t="s">
        <v>13</v>
      </c>
      <c r="H1120" t="s">
        <v>153</v>
      </c>
      <c r="I1120" t="e">
        <f t="shared" ca="1" si="90"/>
        <v>#REF!</v>
      </c>
      <c r="J1120" t="str">
        <f>VLOOKUP($G1120,DefinitionArrays!$I$6:$J$12,2,FALSE)</f>
        <v>Workweek</v>
      </c>
    </row>
    <row r="1121" spans="1:10">
      <c r="A1121" s="159" t="str">
        <f t="shared" si="86"/>
        <v>$B$1:$B$92</v>
      </c>
      <c r="B1121" s="159" t="str">
        <f t="shared" si="87"/>
        <v>$C$1:$C$92</v>
      </c>
      <c r="C1121" s="159" t="str">
        <f t="shared" si="88"/>
        <v>July!$B$1:$B$92</v>
      </c>
      <c r="D1121" s="159" t="str">
        <f t="shared" si="89"/>
        <v>July!$C$1:$C$92</v>
      </c>
      <c r="E1121" t="s">
        <v>4</v>
      </c>
      <c r="F1121" t="s">
        <v>126</v>
      </c>
      <c r="G1121" t="s">
        <v>13</v>
      </c>
      <c r="H1121" t="s">
        <v>19</v>
      </c>
      <c r="I1121" t="e">
        <f t="shared" ca="1" si="90"/>
        <v>#REF!</v>
      </c>
      <c r="J1121" t="str">
        <f>VLOOKUP($G1121,DefinitionArrays!$I$6:$J$12,2,FALSE)</f>
        <v>Workweek</v>
      </c>
    </row>
    <row r="1122" spans="1:10">
      <c r="A1122" s="159" t="str">
        <f t="shared" si="86"/>
        <v>$B$1:$B$92</v>
      </c>
      <c r="B1122" s="159" t="str">
        <f t="shared" si="87"/>
        <v>$C$1:$C$92</v>
      </c>
      <c r="C1122" s="159" t="str">
        <f t="shared" si="88"/>
        <v>July!$B$1:$B$92</v>
      </c>
      <c r="D1122" s="159" t="str">
        <f t="shared" si="89"/>
        <v>July!$C$1:$C$92</v>
      </c>
      <c r="E1122" t="s">
        <v>4</v>
      </c>
      <c r="F1122" t="s">
        <v>126</v>
      </c>
      <c r="G1122" t="s">
        <v>13</v>
      </c>
      <c r="H1122" t="s">
        <v>20</v>
      </c>
      <c r="I1122" t="e">
        <f t="shared" ca="1" si="90"/>
        <v>#REF!</v>
      </c>
      <c r="J1122" t="str">
        <f>VLOOKUP($G1122,DefinitionArrays!$I$6:$J$12,2,FALSE)</f>
        <v>Workweek</v>
      </c>
    </row>
    <row r="1123" spans="1:10">
      <c r="A1123" s="159" t="str">
        <f t="shared" si="86"/>
        <v>$B$1:$B$92</v>
      </c>
      <c r="B1123" s="159" t="str">
        <f t="shared" si="87"/>
        <v>$C$1:$C$92</v>
      </c>
      <c r="C1123" s="159" t="str">
        <f t="shared" si="88"/>
        <v>July!$B$1:$B$92</v>
      </c>
      <c r="D1123" s="159" t="str">
        <f t="shared" si="89"/>
        <v>July!$C$1:$C$92</v>
      </c>
      <c r="E1123" t="s">
        <v>4</v>
      </c>
      <c r="F1123" t="s">
        <v>126</v>
      </c>
      <c r="G1123" t="s">
        <v>13</v>
      </c>
      <c r="H1123" t="s">
        <v>21</v>
      </c>
      <c r="I1123" t="e">
        <f t="shared" ca="1" si="90"/>
        <v>#REF!</v>
      </c>
      <c r="J1123" t="str">
        <f>VLOOKUP($G1123,DefinitionArrays!$I$6:$J$12,2,FALSE)</f>
        <v>Workweek</v>
      </c>
    </row>
    <row r="1124" spans="1:10">
      <c r="A1124" s="159" t="str">
        <f t="shared" si="86"/>
        <v>$B$1:$B$92</v>
      </c>
      <c r="B1124" s="159" t="str">
        <f t="shared" si="87"/>
        <v>$C$1:$C$92</v>
      </c>
      <c r="C1124" s="159" t="str">
        <f t="shared" si="88"/>
        <v>July!$B$1:$B$92</v>
      </c>
      <c r="D1124" s="159" t="str">
        <f t="shared" si="89"/>
        <v>July!$C$1:$C$92</v>
      </c>
      <c r="E1124" t="s">
        <v>4</v>
      </c>
      <c r="F1124" t="s">
        <v>126</v>
      </c>
      <c r="G1124" t="s">
        <v>13</v>
      </c>
      <c r="H1124" t="s">
        <v>22</v>
      </c>
      <c r="I1124" t="e">
        <f t="shared" ca="1" si="90"/>
        <v>#REF!</v>
      </c>
      <c r="J1124" t="str">
        <f>VLOOKUP($G1124,DefinitionArrays!$I$6:$J$12,2,FALSE)</f>
        <v>Workweek</v>
      </c>
    </row>
    <row r="1125" spans="1:10">
      <c r="A1125" s="159" t="str">
        <f t="shared" si="86"/>
        <v>$B$1:$B$92</v>
      </c>
      <c r="B1125" s="159" t="str">
        <f t="shared" si="87"/>
        <v>$C$1:$C$92</v>
      </c>
      <c r="C1125" s="159" t="str">
        <f t="shared" si="88"/>
        <v>July!$B$1:$B$92</v>
      </c>
      <c r="D1125" s="159" t="str">
        <f t="shared" si="89"/>
        <v>July!$C$1:$C$92</v>
      </c>
      <c r="E1125" t="s">
        <v>4</v>
      </c>
      <c r="F1125" t="s">
        <v>126</v>
      </c>
      <c r="G1125" t="s">
        <v>13</v>
      </c>
      <c r="H1125" t="s">
        <v>23</v>
      </c>
      <c r="I1125" t="e">
        <f t="shared" ca="1" si="90"/>
        <v>#REF!</v>
      </c>
      <c r="J1125" t="str">
        <f>VLOOKUP($G1125,DefinitionArrays!$I$6:$J$12,2,FALSE)</f>
        <v>Workweek</v>
      </c>
    </row>
    <row r="1126" spans="1:10">
      <c r="A1126" s="159" t="str">
        <f t="shared" si="86"/>
        <v>$B$1:$B$92</v>
      </c>
      <c r="B1126" s="159" t="str">
        <f t="shared" si="87"/>
        <v>$C$1:$C$92</v>
      </c>
      <c r="C1126" s="159" t="str">
        <f t="shared" si="88"/>
        <v>July!$B$1:$B$92</v>
      </c>
      <c r="D1126" s="159" t="str">
        <f t="shared" si="89"/>
        <v>July!$C$1:$C$92</v>
      </c>
      <c r="E1126" t="s">
        <v>4</v>
      </c>
      <c r="F1126" t="s">
        <v>126</v>
      </c>
      <c r="G1126" t="s">
        <v>13</v>
      </c>
      <c r="H1126" t="s">
        <v>24</v>
      </c>
      <c r="I1126" t="e">
        <f t="shared" ca="1" si="90"/>
        <v>#REF!</v>
      </c>
      <c r="J1126" t="str">
        <f>VLOOKUP($G1126,DefinitionArrays!$I$6:$J$12,2,FALSE)</f>
        <v>Workweek</v>
      </c>
    </row>
    <row r="1127" spans="1:10">
      <c r="A1127" s="159" t="str">
        <f t="shared" si="86"/>
        <v>$B$1:$B$92</v>
      </c>
      <c r="B1127" s="159" t="str">
        <f t="shared" si="87"/>
        <v>$C$1:$C$92</v>
      </c>
      <c r="C1127" s="159" t="str">
        <f t="shared" si="88"/>
        <v>July!$B$1:$B$92</v>
      </c>
      <c r="D1127" s="159" t="str">
        <f t="shared" si="89"/>
        <v>July!$C$1:$C$92</v>
      </c>
      <c r="E1127" t="s">
        <v>4</v>
      </c>
      <c r="F1127" t="s">
        <v>126</v>
      </c>
      <c r="G1127" t="s">
        <v>13</v>
      </c>
      <c r="H1127" t="s">
        <v>179</v>
      </c>
      <c r="I1127" t="e">
        <f t="shared" ca="1" si="90"/>
        <v>#REF!</v>
      </c>
      <c r="J1127" t="str">
        <f>VLOOKUP($G1127,DefinitionArrays!$I$6:$J$12,2,FALSE)</f>
        <v>Workweek</v>
      </c>
    </row>
    <row r="1128" spans="1:10">
      <c r="A1128" s="159" t="str">
        <f t="shared" si="86"/>
        <v>$B$1:$B$92</v>
      </c>
      <c r="B1128" s="159" t="str">
        <f t="shared" si="87"/>
        <v>$C$1:$C$92</v>
      </c>
      <c r="C1128" s="159" t="str">
        <f t="shared" si="88"/>
        <v>July!$B$1:$B$92</v>
      </c>
      <c r="D1128" s="159" t="str">
        <f t="shared" si="89"/>
        <v>July!$C$1:$C$92</v>
      </c>
      <c r="E1128" t="s">
        <v>4</v>
      </c>
      <c r="F1128" t="s">
        <v>126</v>
      </c>
      <c r="G1128" t="s">
        <v>13</v>
      </c>
      <c r="H1128" t="s">
        <v>180</v>
      </c>
      <c r="I1128" t="e">
        <f t="shared" ca="1" si="90"/>
        <v>#REF!</v>
      </c>
      <c r="J1128" t="str">
        <f>VLOOKUP($G1128,DefinitionArrays!$I$6:$J$12,2,FALSE)</f>
        <v>Workweek</v>
      </c>
    </row>
    <row r="1129" spans="1:10">
      <c r="A1129" s="159" t="str">
        <f t="shared" si="86"/>
        <v>$B$1:$B$92</v>
      </c>
      <c r="B1129" s="159" t="str">
        <f t="shared" si="87"/>
        <v>$C$1:$C$92</v>
      </c>
      <c r="C1129" s="159" t="str">
        <f t="shared" si="88"/>
        <v>July!$B$1:$B$92</v>
      </c>
      <c r="D1129" s="159" t="str">
        <f t="shared" si="89"/>
        <v>July!$C$1:$C$92</v>
      </c>
      <c r="E1129" t="s">
        <v>4</v>
      </c>
      <c r="F1129" t="s">
        <v>126</v>
      </c>
      <c r="G1129" t="s">
        <v>13</v>
      </c>
      <c r="H1129" t="s">
        <v>44</v>
      </c>
      <c r="I1129" t="e">
        <f t="shared" ca="1" si="90"/>
        <v>#REF!</v>
      </c>
      <c r="J1129" t="str">
        <f>VLOOKUP($G1129,DefinitionArrays!$I$6:$J$12,2,FALSE)</f>
        <v>Workweek</v>
      </c>
    </row>
    <row r="1130" spans="1:10">
      <c r="A1130" s="159" t="str">
        <f t="shared" si="86"/>
        <v>$E$1:$E$92</v>
      </c>
      <c r="B1130" s="159" t="str">
        <f t="shared" si="87"/>
        <v>$F$1:$F$92</v>
      </c>
      <c r="C1130" s="159" t="str">
        <f t="shared" si="88"/>
        <v>July!$E$1:$E$92</v>
      </c>
      <c r="D1130" s="159" t="str">
        <f t="shared" si="89"/>
        <v>July!$F$1:$F$92</v>
      </c>
      <c r="E1130" t="s">
        <v>4</v>
      </c>
      <c r="F1130" t="s">
        <v>126</v>
      </c>
      <c r="G1130" t="s">
        <v>142</v>
      </c>
      <c r="H1130" t="s">
        <v>159</v>
      </c>
      <c r="I1130" t="e">
        <f t="shared" ca="1" si="90"/>
        <v>#REF!</v>
      </c>
      <c r="J1130" t="str">
        <f>VLOOKUP($G1130,DefinitionArrays!$I$6:$J$12,2,FALSE)</f>
        <v>Workweek</v>
      </c>
    </row>
    <row r="1131" spans="1:10">
      <c r="A1131" s="159" t="str">
        <f t="shared" si="86"/>
        <v>$E$1:$E$92</v>
      </c>
      <c r="B1131" s="159" t="str">
        <f t="shared" si="87"/>
        <v>$F$1:$F$92</v>
      </c>
      <c r="C1131" s="159" t="str">
        <f t="shared" si="88"/>
        <v>July!$E$1:$E$92</v>
      </c>
      <c r="D1131" s="159" t="str">
        <f t="shared" si="89"/>
        <v>July!$F$1:$F$92</v>
      </c>
      <c r="E1131" t="s">
        <v>4</v>
      </c>
      <c r="F1131" t="s">
        <v>126</v>
      </c>
      <c r="G1131" t="s">
        <v>142</v>
      </c>
      <c r="H1131" t="s">
        <v>18</v>
      </c>
      <c r="I1131" t="e">
        <f t="shared" ca="1" si="90"/>
        <v>#REF!</v>
      </c>
      <c r="J1131" t="str">
        <f>VLOOKUP($G1131,DefinitionArrays!$I$6:$J$12,2,FALSE)</f>
        <v>Workweek</v>
      </c>
    </row>
    <row r="1132" spans="1:10">
      <c r="A1132" s="159" t="str">
        <f t="shared" si="86"/>
        <v>$E$1:$E$92</v>
      </c>
      <c r="B1132" s="159" t="str">
        <f t="shared" si="87"/>
        <v>$F$1:$F$92</v>
      </c>
      <c r="C1132" s="159" t="str">
        <f t="shared" si="88"/>
        <v>July!$E$1:$E$92</v>
      </c>
      <c r="D1132" s="159" t="str">
        <f t="shared" si="89"/>
        <v>July!$F$1:$F$92</v>
      </c>
      <c r="E1132" t="s">
        <v>4</v>
      </c>
      <c r="F1132" t="s">
        <v>126</v>
      </c>
      <c r="G1132" t="s">
        <v>142</v>
      </c>
      <c r="H1132" t="s">
        <v>153</v>
      </c>
      <c r="I1132" t="e">
        <f t="shared" ca="1" si="90"/>
        <v>#REF!</v>
      </c>
      <c r="J1132" t="str">
        <f>VLOOKUP($G1132,DefinitionArrays!$I$6:$J$12,2,FALSE)</f>
        <v>Workweek</v>
      </c>
    </row>
    <row r="1133" spans="1:10">
      <c r="A1133" s="159" t="str">
        <f t="shared" si="86"/>
        <v>$E$1:$E$92</v>
      </c>
      <c r="B1133" s="159" t="str">
        <f t="shared" si="87"/>
        <v>$F$1:$F$92</v>
      </c>
      <c r="C1133" s="159" t="str">
        <f t="shared" si="88"/>
        <v>July!$E$1:$E$92</v>
      </c>
      <c r="D1133" s="159" t="str">
        <f t="shared" si="89"/>
        <v>July!$F$1:$F$92</v>
      </c>
      <c r="E1133" t="s">
        <v>4</v>
      </c>
      <c r="F1133" t="s">
        <v>126</v>
      </c>
      <c r="G1133" t="s">
        <v>142</v>
      </c>
      <c r="H1133" t="s">
        <v>19</v>
      </c>
      <c r="I1133" t="e">
        <f t="shared" ca="1" si="90"/>
        <v>#REF!</v>
      </c>
      <c r="J1133" t="str">
        <f>VLOOKUP($G1133,DefinitionArrays!$I$6:$J$12,2,FALSE)</f>
        <v>Workweek</v>
      </c>
    </row>
    <row r="1134" spans="1:10">
      <c r="A1134" s="159" t="str">
        <f t="shared" si="86"/>
        <v>$E$1:$E$92</v>
      </c>
      <c r="B1134" s="159" t="str">
        <f t="shared" si="87"/>
        <v>$F$1:$F$92</v>
      </c>
      <c r="C1134" s="159" t="str">
        <f t="shared" si="88"/>
        <v>July!$E$1:$E$92</v>
      </c>
      <c r="D1134" s="159" t="str">
        <f t="shared" si="89"/>
        <v>July!$F$1:$F$92</v>
      </c>
      <c r="E1134" t="s">
        <v>4</v>
      </c>
      <c r="F1134" t="s">
        <v>126</v>
      </c>
      <c r="G1134" t="s">
        <v>142</v>
      </c>
      <c r="H1134" t="s">
        <v>20</v>
      </c>
      <c r="I1134" t="e">
        <f t="shared" ca="1" si="90"/>
        <v>#REF!</v>
      </c>
      <c r="J1134" t="str">
        <f>VLOOKUP($G1134,DefinitionArrays!$I$6:$J$12,2,FALSE)</f>
        <v>Workweek</v>
      </c>
    </row>
    <row r="1135" spans="1:10">
      <c r="A1135" s="159" t="str">
        <f t="shared" si="86"/>
        <v>$E$1:$E$92</v>
      </c>
      <c r="B1135" s="159" t="str">
        <f t="shared" si="87"/>
        <v>$F$1:$F$92</v>
      </c>
      <c r="C1135" s="159" t="str">
        <f t="shared" si="88"/>
        <v>July!$E$1:$E$92</v>
      </c>
      <c r="D1135" s="159" t="str">
        <f t="shared" si="89"/>
        <v>July!$F$1:$F$92</v>
      </c>
      <c r="E1135" t="s">
        <v>4</v>
      </c>
      <c r="F1135" t="s">
        <v>126</v>
      </c>
      <c r="G1135" t="s">
        <v>142</v>
      </c>
      <c r="H1135" t="s">
        <v>21</v>
      </c>
      <c r="I1135" t="e">
        <f t="shared" ca="1" si="90"/>
        <v>#REF!</v>
      </c>
      <c r="J1135" t="str">
        <f>VLOOKUP($G1135,DefinitionArrays!$I$6:$J$12,2,FALSE)</f>
        <v>Workweek</v>
      </c>
    </row>
    <row r="1136" spans="1:10">
      <c r="A1136" s="159" t="str">
        <f t="shared" si="86"/>
        <v>$E$1:$E$92</v>
      </c>
      <c r="B1136" s="159" t="str">
        <f t="shared" si="87"/>
        <v>$F$1:$F$92</v>
      </c>
      <c r="C1136" s="159" t="str">
        <f t="shared" si="88"/>
        <v>July!$E$1:$E$92</v>
      </c>
      <c r="D1136" s="159" t="str">
        <f t="shared" si="89"/>
        <v>July!$F$1:$F$92</v>
      </c>
      <c r="E1136" t="s">
        <v>4</v>
      </c>
      <c r="F1136" t="s">
        <v>126</v>
      </c>
      <c r="G1136" t="s">
        <v>142</v>
      </c>
      <c r="H1136" t="s">
        <v>22</v>
      </c>
      <c r="I1136" t="e">
        <f t="shared" ca="1" si="90"/>
        <v>#REF!</v>
      </c>
      <c r="J1136" t="str">
        <f>VLOOKUP($G1136,DefinitionArrays!$I$6:$J$12,2,FALSE)</f>
        <v>Workweek</v>
      </c>
    </row>
    <row r="1137" spans="1:10">
      <c r="A1137" s="159" t="str">
        <f t="shared" si="86"/>
        <v>$E$1:$E$92</v>
      </c>
      <c r="B1137" s="159" t="str">
        <f t="shared" si="87"/>
        <v>$F$1:$F$92</v>
      </c>
      <c r="C1137" s="159" t="str">
        <f t="shared" si="88"/>
        <v>July!$E$1:$E$92</v>
      </c>
      <c r="D1137" s="159" t="str">
        <f t="shared" si="89"/>
        <v>July!$F$1:$F$92</v>
      </c>
      <c r="E1137" t="s">
        <v>4</v>
      </c>
      <c r="F1137" t="s">
        <v>126</v>
      </c>
      <c r="G1137" t="s">
        <v>142</v>
      </c>
      <c r="H1137" t="s">
        <v>23</v>
      </c>
      <c r="I1137" t="e">
        <f t="shared" ca="1" si="90"/>
        <v>#REF!</v>
      </c>
      <c r="J1137" t="str">
        <f>VLOOKUP($G1137,DefinitionArrays!$I$6:$J$12,2,FALSE)</f>
        <v>Workweek</v>
      </c>
    </row>
    <row r="1138" spans="1:10">
      <c r="A1138" s="159" t="str">
        <f t="shared" si="86"/>
        <v>$E$1:$E$92</v>
      </c>
      <c r="B1138" s="159" t="str">
        <f t="shared" si="87"/>
        <v>$F$1:$F$92</v>
      </c>
      <c r="C1138" s="159" t="str">
        <f t="shared" si="88"/>
        <v>July!$E$1:$E$92</v>
      </c>
      <c r="D1138" s="159" t="str">
        <f t="shared" si="89"/>
        <v>July!$F$1:$F$92</v>
      </c>
      <c r="E1138" t="s">
        <v>4</v>
      </c>
      <c r="F1138" t="s">
        <v>126</v>
      </c>
      <c r="G1138" t="s">
        <v>142</v>
      </c>
      <c r="H1138" t="s">
        <v>24</v>
      </c>
      <c r="I1138" t="e">
        <f t="shared" ca="1" si="90"/>
        <v>#REF!</v>
      </c>
      <c r="J1138" t="str">
        <f>VLOOKUP($G1138,DefinitionArrays!$I$6:$J$12,2,FALSE)</f>
        <v>Workweek</v>
      </c>
    </row>
    <row r="1139" spans="1:10">
      <c r="A1139" s="159" t="str">
        <f t="shared" si="86"/>
        <v>$E$1:$E$92</v>
      </c>
      <c r="B1139" s="159" t="str">
        <f t="shared" si="87"/>
        <v>$F$1:$F$92</v>
      </c>
      <c r="C1139" s="159" t="str">
        <f t="shared" si="88"/>
        <v>July!$E$1:$E$92</v>
      </c>
      <c r="D1139" s="159" t="str">
        <f t="shared" si="89"/>
        <v>July!$F$1:$F$92</v>
      </c>
      <c r="E1139" t="s">
        <v>4</v>
      </c>
      <c r="F1139" t="s">
        <v>126</v>
      </c>
      <c r="G1139" t="s">
        <v>142</v>
      </c>
      <c r="H1139" t="s">
        <v>179</v>
      </c>
      <c r="I1139" t="e">
        <f t="shared" ca="1" si="90"/>
        <v>#REF!</v>
      </c>
      <c r="J1139" t="str">
        <f>VLOOKUP($G1139,DefinitionArrays!$I$6:$J$12,2,FALSE)</f>
        <v>Workweek</v>
      </c>
    </row>
    <row r="1140" spans="1:10">
      <c r="A1140" s="159" t="str">
        <f t="shared" si="86"/>
        <v>$E$1:$E$92</v>
      </c>
      <c r="B1140" s="159" t="str">
        <f t="shared" si="87"/>
        <v>$F$1:$F$92</v>
      </c>
      <c r="C1140" s="159" t="str">
        <f t="shared" si="88"/>
        <v>July!$E$1:$E$92</v>
      </c>
      <c r="D1140" s="159" t="str">
        <f t="shared" si="89"/>
        <v>July!$F$1:$F$92</v>
      </c>
      <c r="E1140" t="s">
        <v>4</v>
      </c>
      <c r="F1140" t="s">
        <v>126</v>
      </c>
      <c r="G1140" t="s">
        <v>142</v>
      </c>
      <c r="H1140" t="s">
        <v>180</v>
      </c>
      <c r="I1140" t="e">
        <f t="shared" ca="1" si="90"/>
        <v>#REF!</v>
      </c>
      <c r="J1140" t="str">
        <f>VLOOKUP($G1140,DefinitionArrays!$I$6:$J$12,2,FALSE)</f>
        <v>Workweek</v>
      </c>
    </row>
    <row r="1141" spans="1:10">
      <c r="A1141" s="159" t="str">
        <f t="shared" si="86"/>
        <v>$E$1:$E$92</v>
      </c>
      <c r="B1141" s="159" t="str">
        <f t="shared" si="87"/>
        <v>$F$1:$F$92</v>
      </c>
      <c r="C1141" s="159" t="str">
        <f t="shared" si="88"/>
        <v>July!$E$1:$E$92</v>
      </c>
      <c r="D1141" s="159" t="str">
        <f t="shared" si="89"/>
        <v>July!$F$1:$F$92</v>
      </c>
      <c r="E1141" t="s">
        <v>4</v>
      </c>
      <c r="F1141" t="s">
        <v>126</v>
      </c>
      <c r="G1141" t="s">
        <v>142</v>
      </c>
      <c r="H1141" t="s">
        <v>44</v>
      </c>
      <c r="I1141" t="e">
        <f t="shared" ca="1" si="90"/>
        <v>#REF!</v>
      </c>
      <c r="J1141" t="str">
        <f>VLOOKUP($G1141,DefinitionArrays!$I$6:$J$12,2,FALSE)</f>
        <v>Workweek</v>
      </c>
    </row>
    <row r="1142" spans="1:10">
      <c r="A1142" s="159" t="str">
        <f t="shared" si="86"/>
        <v>$H$1:$H$92</v>
      </c>
      <c r="B1142" s="159" t="str">
        <f t="shared" si="87"/>
        <v>$I$1:$I$92</v>
      </c>
      <c r="C1142" s="159" t="str">
        <f t="shared" si="88"/>
        <v>July!$H$1:$H$92</v>
      </c>
      <c r="D1142" s="159" t="str">
        <f t="shared" si="89"/>
        <v>July!$I$1:$I$92</v>
      </c>
      <c r="E1142" t="s">
        <v>4</v>
      </c>
      <c r="F1142" t="s">
        <v>126</v>
      </c>
      <c r="G1142" t="s">
        <v>143</v>
      </c>
      <c r="H1142" t="s">
        <v>159</v>
      </c>
      <c r="I1142" t="e">
        <f t="shared" ca="1" si="90"/>
        <v>#REF!</v>
      </c>
      <c r="J1142" t="str">
        <f>VLOOKUP($G1142,DefinitionArrays!$I$6:$J$12,2,FALSE)</f>
        <v>Workweek</v>
      </c>
    </row>
    <row r="1143" spans="1:10">
      <c r="A1143" s="159" t="str">
        <f t="shared" si="86"/>
        <v>$H$1:$H$92</v>
      </c>
      <c r="B1143" s="159" t="str">
        <f t="shared" si="87"/>
        <v>$I$1:$I$92</v>
      </c>
      <c r="C1143" s="159" t="str">
        <f t="shared" si="88"/>
        <v>July!$H$1:$H$92</v>
      </c>
      <c r="D1143" s="159" t="str">
        <f t="shared" si="89"/>
        <v>July!$I$1:$I$92</v>
      </c>
      <c r="E1143" t="s">
        <v>4</v>
      </c>
      <c r="F1143" t="s">
        <v>126</v>
      </c>
      <c r="G1143" t="s">
        <v>143</v>
      </c>
      <c r="H1143" t="s">
        <v>18</v>
      </c>
      <c r="I1143" t="e">
        <f t="shared" ca="1" si="90"/>
        <v>#REF!</v>
      </c>
      <c r="J1143" t="str">
        <f>VLOOKUP($G1143,DefinitionArrays!$I$6:$J$12,2,FALSE)</f>
        <v>Workweek</v>
      </c>
    </row>
    <row r="1144" spans="1:10">
      <c r="A1144" s="159" t="str">
        <f t="shared" si="86"/>
        <v>$H$1:$H$92</v>
      </c>
      <c r="B1144" s="159" t="str">
        <f t="shared" si="87"/>
        <v>$I$1:$I$92</v>
      </c>
      <c r="C1144" s="159" t="str">
        <f t="shared" si="88"/>
        <v>July!$H$1:$H$92</v>
      </c>
      <c r="D1144" s="159" t="str">
        <f t="shared" si="89"/>
        <v>July!$I$1:$I$92</v>
      </c>
      <c r="E1144" t="s">
        <v>4</v>
      </c>
      <c r="F1144" t="s">
        <v>126</v>
      </c>
      <c r="G1144" t="s">
        <v>143</v>
      </c>
      <c r="H1144" t="s">
        <v>153</v>
      </c>
      <c r="I1144" t="e">
        <f t="shared" ca="1" si="90"/>
        <v>#REF!</v>
      </c>
      <c r="J1144" t="str">
        <f>VLOOKUP($G1144,DefinitionArrays!$I$6:$J$12,2,FALSE)</f>
        <v>Workweek</v>
      </c>
    </row>
    <row r="1145" spans="1:10">
      <c r="A1145" s="159" t="str">
        <f t="shared" si="86"/>
        <v>$H$1:$H$92</v>
      </c>
      <c r="B1145" s="159" t="str">
        <f t="shared" si="87"/>
        <v>$I$1:$I$92</v>
      </c>
      <c r="C1145" s="159" t="str">
        <f t="shared" si="88"/>
        <v>July!$H$1:$H$92</v>
      </c>
      <c r="D1145" s="159" t="str">
        <f t="shared" si="89"/>
        <v>July!$I$1:$I$92</v>
      </c>
      <c r="E1145" t="s">
        <v>4</v>
      </c>
      <c r="F1145" t="s">
        <v>126</v>
      </c>
      <c r="G1145" t="s">
        <v>143</v>
      </c>
      <c r="H1145" t="s">
        <v>19</v>
      </c>
      <c r="I1145" t="e">
        <f t="shared" ca="1" si="90"/>
        <v>#REF!</v>
      </c>
      <c r="J1145" t="str">
        <f>VLOOKUP($G1145,DefinitionArrays!$I$6:$J$12,2,FALSE)</f>
        <v>Workweek</v>
      </c>
    </row>
    <row r="1146" spans="1:10">
      <c r="A1146" s="159" t="str">
        <f t="shared" si="86"/>
        <v>$H$1:$H$92</v>
      </c>
      <c r="B1146" s="159" t="str">
        <f t="shared" si="87"/>
        <v>$I$1:$I$92</v>
      </c>
      <c r="C1146" s="159" t="str">
        <f t="shared" si="88"/>
        <v>July!$H$1:$H$92</v>
      </c>
      <c r="D1146" s="159" t="str">
        <f t="shared" si="89"/>
        <v>July!$I$1:$I$92</v>
      </c>
      <c r="E1146" t="s">
        <v>4</v>
      </c>
      <c r="F1146" t="s">
        <v>126</v>
      </c>
      <c r="G1146" t="s">
        <v>143</v>
      </c>
      <c r="H1146" t="s">
        <v>20</v>
      </c>
      <c r="I1146" t="e">
        <f t="shared" ca="1" si="90"/>
        <v>#REF!</v>
      </c>
      <c r="J1146" t="str">
        <f>VLOOKUP($G1146,DefinitionArrays!$I$6:$J$12,2,FALSE)</f>
        <v>Workweek</v>
      </c>
    </row>
    <row r="1147" spans="1:10">
      <c r="A1147" s="159" t="str">
        <f t="shared" si="86"/>
        <v>$H$1:$H$92</v>
      </c>
      <c r="B1147" s="159" t="str">
        <f t="shared" si="87"/>
        <v>$I$1:$I$92</v>
      </c>
      <c r="C1147" s="159" t="str">
        <f t="shared" si="88"/>
        <v>July!$H$1:$H$92</v>
      </c>
      <c r="D1147" s="159" t="str">
        <f t="shared" si="89"/>
        <v>July!$I$1:$I$92</v>
      </c>
      <c r="E1147" t="s">
        <v>4</v>
      </c>
      <c r="F1147" t="s">
        <v>126</v>
      </c>
      <c r="G1147" t="s">
        <v>143</v>
      </c>
      <c r="H1147" t="s">
        <v>21</v>
      </c>
      <c r="I1147" t="e">
        <f t="shared" ca="1" si="90"/>
        <v>#REF!</v>
      </c>
      <c r="J1147" t="str">
        <f>VLOOKUP($G1147,DefinitionArrays!$I$6:$J$12,2,FALSE)</f>
        <v>Workweek</v>
      </c>
    </row>
    <row r="1148" spans="1:10">
      <c r="A1148" s="159" t="str">
        <f t="shared" si="86"/>
        <v>$H$1:$H$92</v>
      </c>
      <c r="B1148" s="159" t="str">
        <f t="shared" si="87"/>
        <v>$I$1:$I$92</v>
      </c>
      <c r="C1148" s="159" t="str">
        <f t="shared" si="88"/>
        <v>July!$H$1:$H$92</v>
      </c>
      <c r="D1148" s="159" t="str">
        <f t="shared" si="89"/>
        <v>July!$I$1:$I$92</v>
      </c>
      <c r="E1148" t="s">
        <v>4</v>
      </c>
      <c r="F1148" t="s">
        <v>126</v>
      </c>
      <c r="G1148" t="s">
        <v>143</v>
      </c>
      <c r="H1148" t="s">
        <v>22</v>
      </c>
      <c r="I1148" t="e">
        <f t="shared" ca="1" si="90"/>
        <v>#REF!</v>
      </c>
      <c r="J1148" t="str">
        <f>VLOOKUP($G1148,DefinitionArrays!$I$6:$J$12,2,FALSE)</f>
        <v>Workweek</v>
      </c>
    </row>
    <row r="1149" spans="1:10">
      <c r="A1149" s="159" t="str">
        <f t="shared" si="86"/>
        <v>$H$1:$H$92</v>
      </c>
      <c r="B1149" s="159" t="str">
        <f t="shared" si="87"/>
        <v>$I$1:$I$92</v>
      </c>
      <c r="C1149" s="159" t="str">
        <f t="shared" si="88"/>
        <v>July!$H$1:$H$92</v>
      </c>
      <c r="D1149" s="159" t="str">
        <f t="shared" si="89"/>
        <v>July!$I$1:$I$92</v>
      </c>
      <c r="E1149" t="s">
        <v>4</v>
      </c>
      <c r="F1149" t="s">
        <v>126</v>
      </c>
      <c r="G1149" t="s">
        <v>143</v>
      </c>
      <c r="H1149" t="s">
        <v>23</v>
      </c>
      <c r="I1149" t="e">
        <f t="shared" ca="1" si="90"/>
        <v>#REF!</v>
      </c>
      <c r="J1149" t="str">
        <f>VLOOKUP($G1149,DefinitionArrays!$I$6:$J$12,2,FALSE)</f>
        <v>Workweek</v>
      </c>
    </row>
    <row r="1150" spans="1:10">
      <c r="A1150" s="159" t="str">
        <f t="shared" si="86"/>
        <v>$H$1:$H$92</v>
      </c>
      <c r="B1150" s="159" t="str">
        <f t="shared" si="87"/>
        <v>$I$1:$I$92</v>
      </c>
      <c r="C1150" s="159" t="str">
        <f t="shared" si="88"/>
        <v>July!$H$1:$H$92</v>
      </c>
      <c r="D1150" s="159" t="str">
        <f t="shared" si="89"/>
        <v>July!$I$1:$I$92</v>
      </c>
      <c r="E1150" t="s">
        <v>4</v>
      </c>
      <c r="F1150" t="s">
        <v>126</v>
      </c>
      <c r="G1150" t="s">
        <v>143</v>
      </c>
      <c r="H1150" t="s">
        <v>24</v>
      </c>
      <c r="I1150" t="e">
        <f t="shared" ca="1" si="90"/>
        <v>#REF!</v>
      </c>
      <c r="J1150" t="str">
        <f>VLOOKUP($G1150,DefinitionArrays!$I$6:$J$12,2,FALSE)</f>
        <v>Workweek</v>
      </c>
    </row>
    <row r="1151" spans="1:10">
      <c r="A1151" s="159" t="str">
        <f t="shared" si="86"/>
        <v>$H$1:$H$92</v>
      </c>
      <c r="B1151" s="159" t="str">
        <f t="shared" si="87"/>
        <v>$I$1:$I$92</v>
      </c>
      <c r="C1151" s="159" t="str">
        <f t="shared" si="88"/>
        <v>July!$H$1:$H$92</v>
      </c>
      <c r="D1151" s="159" t="str">
        <f t="shared" si="89"/>
        <v>July!$I$1:$I$92</v>
      </c>
      <c r="E1151" t="s">
        <v>4</v>
      </c>
      <c r="F1151" t="s">
        <v>126</v>
      </c>
      <c r="G1151" t="s">
        <v>143</v>
      </c>
      <c r="H1151" t="s">
        <v>179</v>
      </c>
      <c r="I1151" t="e">
        <f t="shared" ca="1" si="90"/>
        <v>#REF!</v>
      </c>
      <c r="J1151" t="str">
        <f>VLOOKUP($G1151,DefinitionArrays!$I$6:$J$12,2,FALSE)</f>
        <v>Workweek</v>
      </c>
    </row>
    <row r="1152" spans="1:10">
      <c r="A1152" s="159" t="str">
        <f t="shared" si="86"/>
        <v>$H$1:$H$92</v>
      </c>
      <c r="B1152" s="159" t="str">
        <f t="shared" si="87"/>
        <v>$I$1:$I$92</v>
      </c>
      <c r="C1152" s="159" t="str">
        <f t="shared" si="88"/>
        <v>July!$H$1:$H$92</v>
      </c>
      <c r="D1152" s="159" t="str">
        <f t="shared" si="89"/>
        <v>July!$I$1:$I$92</v>
      </c>
      <c r="E1152" t="s">
        <v>4</v>
      </c>
      <c r="F1152" t="s">
        <v>126</v>
      </c>
      <c r="G1152" t="s">
        <v>143</v>
      </c>
      <c r="H1152" t="s">
        <v>180</v>
      </c>
      <c r="I1152" t="e">
        <f t="shared" ca="1" si="90"/>
        <v>#REF!</v>
      </c>
      <c r="J1152" t="str">
        <f>VLOOKUP($G1152,DefinitionArrays!$I$6:$J$12,2,FALSE)</f>
        <v>Workweek</v>
      </c>
    </row>
    <row r="1153" spans="1:10">
      <c r="A1153" s="159" t="str">
        <f t="shared" si="86"/>
        <v>$H$1:$H$92</v>
      </c>
      <c r="B1153" s="159" t="str">
        <f t="shared" si="87"/>
        <v>$I$1:$I$92</v>
      </c>
      <c r="C1153" s="159" t="str">
        <f t="shared" si="88"/>
        <v>July!$H$1:$H$92</v>
      </c>
      <c r="D1153" s="159" t="str">
        <f t="shared" si="89"/>
        <v>July!$I$1:$I$92</v>
      </c>
      <c r="E1153" t="s">
        <v>4</v>
      </c>
      <c r="F1153" t="s">
        <v>126</v>
      </c>
      <c r="G1153" t="s">
        <v>143</v>
      </c>
      <c r="H1153" t="s">
        <v>44</v>
      </c>
      <c r="I1153" t="e">
        <f t="shared" ca="1" si="90"/>
        <v>#REF!</v>
      </c>
      <c r="J1153" t="str">
        <f>VLOOKUP($G1153,DefinitionArrays!$I$6:$J$12,2,FALSE)</f>
        <v>Workweek</v>
      </c>
    </row>
    <row r="1154" spans="1:10">
      <c r="A1154" s="159" t="str">
        <f t="shared" ref="A1154:A1217" si="91">VLOOKUP($G1154,Fx_Code,2,FALSE)</f>
        <v>$K$1:$K$92</v>
      </c>
      <c r="B1154" s="159" t="str">
        <f t="shared" ref="B1154:B1217" si="92">VLOOKUP($G1154,Fx_Code,3,FALSE)</f>
        <v>$L$1:$L$92</v>
      </c>
      <c r="C1154" s="159" t="str">
        <f t="shared" ref="C1154:C1217" si="93">CONCATENATE($F1154,$K$1,A1154)</f>
        <v>July!$K$1:$K$92</v>
      </c>
      <c r="D1154" s="159" t="str">
        <f t="shared" ref="D1154:D1217" si="94">CONCATENATE($F1154,$K$1,B1154)</f>
        <v>July!$L$1:$L$92</v>
      </c>
      <c r="E1154" t="s">
        <v>4</v>
      </c>
      <c r="F1154" t="s">
        <v>126</v>
      </c>
      <c r="G1154" t="s">
        <v>144</v>
      </c>
      <c r="H1154" t="s">
        <v>159</v>
      </c>
      <c r="I1154" t="e">
        <f t="shared" ca="1" si="90"/>
        <v>#REF!</v>
      </c>
      <c r="J1154" t="str">
        <f>VLOOKUP($G1154,DefinitionArrays!$I$6:$J$12,2,FALSE)</f>
        <v>Workweek</v>
      </c>
    </row>
    <row r="1155" spans="1:10">
      <c r="A1155" s="159" t="str">
        <f t="shared" si="91"/>
        <v>$K$1:$K$92</v>
      </c>
      <c r="B1155" s="159" t="str">
        <f t="shared" si="92"/>
        <v>$L$1:$L$92</v>
      </c>
      <c r="C1155" s="159" t="str">
        <f t="shared" si="93"/>
        <v>July!$K$1:$K$92</v>
      </c>
      <c r="D1155" s="159" t="str">
        <f t="shared" si="94"/>
        <v>July!$L$1:$L$92</v>
      </c>
      <c r="E1155" t="s">
        <v>4</v>
      </c>
      <c r="F1155" t="s">
        <v>126</v>
      </c>
      <c r="G1155" t="s">
        <v>144</v>
      </c>
      <c r="H1155" t="s">
        <v>18</v>
      </c>
      <c r="I1155" t="e">
        <f t="shared" ca="1" si="90"/>
        <v>#REF!</v>
      </c>
      <c r="J1155" t="str">
        <f>VLOOKUP($G1155,DefinitionArrays!$I$6:$J$12,2,FALSE)</f>
        <v>Workweek</v>
      </c>
    </row>
    <row r="1156" spans="1:10">
      <c r="A1156" s="159" t="str">
        <f t="shared" si="91"/>
        <v>$K$1:$K$92</v>
      </c>
      <c r="B1156" s="159" t="str">
        <f t="shared" si="92"/>
        <v>$L$1:$L$92</v>
      </c>
      <c r="C1156" s="159" t="str">
        <f t="shared" si="93"/>
        <v>July!$K$1:$K$92</v>
      </c>
      <c r="D1156" s="159" t="str">
        <f t="shared" si="94"/>
        <v>July!$L$1:$L$92</v>
      </c>
      <c r="E1156" t="s">
        <v>4</v>
      </c>
      <c r="F1156" t="s">
        <v>126</v>
      </c>
      <c r="G1156" t="s">
        <v>144</v>
      </c>
      <c r="H1156" t="s">
        <v>153</v>
      </c>
      <c r="I1156" t="e">
        <f t="shared" ca="1" si="90"/>
        <v>#REF!</v>
      </c>
      <c r="J1156" t="str">
        <f>VLOOKUP($G1156,DefinitionArrays!$I$6:$J$12,2,FALSE)</f>
        <v>Workweek</v>
      </c>
    </row>
    <row r="1157" spans="1:10">
      <c r="A1157" s="159" t="str">
        <f t="shared" si="91"/>
        <v>$K$1:$K$92</v>
      </c>
      <c r="B1157" s="159" t="str">
        <f t="shared" si="92"/>
        <v>$L$1:$L$92</v>
      </c>
      <c r="C1157" s="159" t="str">
        <f t="shared" si="93"/>
        <v>July!$K$1:$K$92</v>
      </c>
      <c r="D1157" s="159" t="str">
        <f t="shared" si="94"/>
        <v>July!$L$1:$L$92</v>
      </c>
      <c r="E1157" t="s">
        <v>4</v>
      </c>
      <c r="F1157" t="s">
        <v>126</v>
      </c>
      <c r="G1157" t="s">
        <v>144</v>
      </c>
      <c r="H1157" t="s">
        <v>19</v>
      </c>
      <c r="I1157" t="e">
        <f t="shared" ca="1" si="90"/>
        <v>#REF!</v>
      </c>
      <c r="J1157" t="str">
        <f>VLOOKUP($G1157,DefinitionArrays!$I$6:$J$12,2,FALSE)</f>
        <v>Workweek</v>
      </c>
    </row>
    <row r="1158" spans="1:10">
      <c r="A1158" s="159" t="str">
        <f t="shared" si="91"/>
        <v>$K$1:$K$92</v>
      </c>
      <c r="B1158" s="159" t="str">
        <f t="shared" si="92"/>
        <v>$L$1:$L$92</v>
      </c>
      <c r="C1158" s="159" t="str">
        <f t="shared" si="93"/>
        <v>July!$K$1:$K$92</v>
      </c>
      <c r="D1158" s="159" t="str">
        <f t="shared" si="94"/>
        <v>July!$L$1:$L$92</v>
      </c>
      <c r="E1158" t="s">
        <v>4</v>
      </c>
      <c r="F1158" t="s">
        <v>126</v>
      </c>
      <c r="G1158" t="s">
        <v>144</v>
      </c>
      <c r="H1158" t="s">
        <v>20</v>
      </c>
      <c r="I1158" t="e">
        <f t="shared" ca="1" si="90"/>
        <v>#REF!</v>
      </c>
      <c r="J1158" t="str">
        <f>VLOOKUP($G1158,DefinitionArrays!$I$6:$J$12,2,FALSE)</f>
        <v>Workweek</v>
      </c>
    </row>
    <row r="1159" spans="1:10">
      <c r="A1159" s="159" t="str">
        <f t="shared" si="91"/>
        <v>$K$1:$K$92</v>
      </c>
      <c r="B1159" s="159" t="str">
        <f t="shared" si="92"/>
        <v>$L$1:$L$92</v>
      </c>
      <c r="C1159" s="159" t="str">
        <f t="shared" si="93"/>
        <v>July!$K$1:$K$92</v>
      </c>
      <c r="D1159" s="159" t="str">
        <f t="shared" si="94"/>
        <v>July!$L$1:$L$92</v>
      </c>
      <c r="E1159" t="s">
        <v>4</v>
      </c>
      <c r="F1159" t="s">
        <v>126</v>
      </c>
      <c r="G1159" t="s">
        <v>144</v>
      </c>
      <c r="H1159" t="s">
        <v>21</v>
      </c>
      <c r="I1159" t="e">
        <f t="shared" ca="1" si="90"/>
        <v>#REF!</v>
      </c>
      <c r="J1159" t="str">
        <f>VLOOKUP($G1159,DefinitionArrays!$I$6:$J$12,2,FALSE)</f>
        <v>Workweek</v>
      </c>
    </row>
    <row r="1160" spans="1:10">
      <c r="A1160" s="159" t="str">
        <f t="shared" si="91"/>
        <v>$K$1:$K$92</v>
      </c>
      <c r="B1160" s="159" t="str">
        <f t="shared" si="92"/>
        <v>$L$1:$L$92</v>
      </c>
      <c r="C1160" s="159" t="str">
        <f t="shared" si="93"/>
        <v>July!$K$1:$K$92</v>
      </c>
      <c r="D1160" s="159" t="str">
        <f t="shared" si="94"/>
        <v>July!$L$1:$L$92</v>
      </c>
      <c r="E1160" t="s">
        <v>4</v>
      </c>
      <c r="F1160" t="s">
        <v>126</v>
      </c>
      <c r="G1160" t="s">
        <v>144</v>
      </c>
      <c r="H1160" t="s">
        <v>22</v>
      </c>
      <c r="I1160" t="e">
        <f t="shared" ca="1" si="90"/>
        <v>#REF!</v>
      </c>
      <c r="J1160" t="str">
        <f>VLOOKUP($G1160,DefinitionArrays!$I$6:$J$12,2,FALSE)</f>
        <v>Workweek</v>
      </c>
    </row>
    <row r="1161" spans="1:10">
      <c r="A1161" s="159" t="str">
        <f t="shared" si="91"/>
        <v>$K$1:$K$92</v>
      </c>
      <c r="B1161" s="159" t="str">
        <f t="shared" si="92"/>
        <v>$L$1:$L$92</v>
      </c>
      <c r="C1161" s="159" t="str">
        <f t="shared" si="93"/>
        <v>July!$K$1:$K$92</v>
      </c>
      <c r="D1161" s="159" t="str">
        <f t="shared" si="94"/>
        <v>July!$L$1:$L$92</v>
      </c>
      <c r="E1161" t="s">
        <v>4</v>
      </c>
      <c r="F1161" t="s">
        <v>126</v>
      </c>
      <c r="G1161" t="s">
        <v>144</v>
      </c>
      <c r="H1161" t="s">
        <v>23</v>
      </c>
      <c r="I1161" t="e">
        <f t="shared" ca="1" si="90"/>
        <v>#REF!</v>
      </c>
      <c r="J1161" t="str">
        <f>VLOOKUP($G1161,DefinitionArrays!$I$6:$J$12,2,FALSE)</f>
        <v>Workweek</v>
      </c>
    </row>
    <row r="1162" spans="1:10">
      <c r="A1162" s="159" t="str">
        <f t="shared" si="91"/>
        <v>$K$1:$K$92</v>
      </c>
      <c r="B1162" s="159" t="str">
        <f t="shared" si="92"/>
        <v>$L$1:$L$92</v>
      </c>
      <c r="C1162" s="159" t="str">
        <f t="shared" si="93"/>
        <v>July!$K$1:$K$92</v>
      </c>
      <c r="D1162" s="159" t="str">
        <f t="shared" si="94"/>
        <v>July!$L$1:$L$92</v>
      </c>
      <c r="E1162" t="s">
        <v>4</v>
      </c>
      <c r="F1162" t="s">
        <v>126</v>
      </c>
      <c r="G1162" t="s">
        <v>144</v>
      </c>
      <c r="H1162" t="s">
        <v>24</v>
      </c>
      <c r="I1162" t="e">
        <f t="shared" ca="1" si="90"/>
        <v>#REF!</v>
      </c>
      <c r="J1162" t="str">
        <f>VLOOKUP($G1162,DefinitionArrays!$I$6:$J$12,2,FALSE)</f>
        <v>Workweek</v>
      </c>
    </row>
    <row r="1163" spans="1:10">
      <c r="A1163" s="159" t="str">
        <f t="shared" si="91"/>
        <v>$K$1:$K$92</v>
      </c>
      <c r="B1163" s="159" t="str">
        <f t="shared" si="92"/>
        <v>$L$1:$L$92</v>
      </c>
      <c r="C1163" s="159" t="str">
        <f t="shared" si="93"/>
        <v>July!$K$1:$K$92</v>
      </c>
      <c r="D1163" s="159" t="str">
        <f t="shared" si="94"/>
        <v>July!$L$1:$L$92</v>
      </c>
      <c r="E1163" t="s">
        <v>4</v>
      </c>
      <c r="F1163" t="s">
        <v>126</v>
      </c>
      <c r="G1163" t="s">
        <v>144</v>
      </c>
      <c r="H1163" t="s">
        <v>179</v>
      </c>
      <c r="I1163" t="e">
        <f t="shared" ca="1" si="90"/>
        <v>#REF!</v>
      </c>
      <c r="J1163" t="str">
        <f>VLOOKUP($G1163,DefinitionArrays!$I$6:$J$12,2,FALSE)</f>
        <v>Workweek</v>
      </c>
    </row>
    <row r="1164" spans="1:10">
      <c r="A1164" s="159" t="str">
        <f t="shared" si="91"/>
        <v>$K$1:$K$92</v>
      </c>
      <c r="B1164" s="159" t="str">
        <f t="shared" si="92"/>
        <v>$L$1:$L$92</v>
      </c>
      <c r="C1164" s="159" t="str">
        <f t="shared" si="93"/>
        <v>July!$K$1:$K$92</v>
      </c>
      <c r="D1164" s="159" t="str">
        <f t="shared" si="94"/>
        <v>July!$L$1:$L$92</v>
      </c>
      <c r="E1164" t="s">
        <v>4</v>
      </c>
      <c r="F1164" t="s">
        <v>126</v>
      </c>
      <c r="G1164" t="s">
        <v>144</v>
      </c>
      <c r="H1164" t="s">
        <v>180</v>
      </c>
      <c r="I1164" t="e">
        <f t="shared" ca="1" si="90"/>
        <v>#REF!</v>
      </c>
      <c r="J1164" t="str">
        <f>VLOOKUP($G1164,DefinitionArrays!$I$6:$J$12,2,FALSE)</f>
        <v>Workweek</v>
      </c>
    </row>
    <row r="1165" spans="1:10">
      <c r="A1165" s="159" t="str">
        <f t="shared" si="91"/>
        <v>$K$1:$K$92</v>
      </c>
      <c r="B1165" s="159" t="str">
        <f t="shared" si="92"/>
        <v>$L$1:$L$92</v>
      </c>
      <c r="C1165" s="159" t="str">
        <f t="shared" si="93"/>
        <v>July!$K$1:$K$92</v>
      </c>
      <c r="D1165" s="159" t="str">
        <f t="shared" si="94"/>
        <v>July!$L$1:$L$92</v>
      </c>
      <c r="E1165" t="s">
        <v>4</v>
      </c>
      <c r="F1165" t="s">
        <v>126</v>
      </c>
      <c r="G1165" t="s">
        <v>144</v>
      </c>
      <c r="H1165" t="s">
        <v>44</v>
      </c>
      <c r="I1165" t="e">
        <f t="shared" ca="1" si="90"/>
        <v>#REF!</v>
      </c>
      <c r="J1165" t="str">
        <f>VLOOKUP($G1165,DefinitionArrays!$I$6:$J$12,2,FALSE)</f>
        <v>Workweek</v>
      </c>
    </row>
    <row r="1166" spans="1:10">
      <c r="A1166" s="159" t="str">
        <f t="shared" si="91"/>
        <v>$N$1:$N$92</v>
      </c>
      <c r="B1166" s="159" t="str">
        <f t="shared" si="92"/>
        <v>$O$1:$O$92</v>
      </c>
      <c r="C1166" s="159" t="str">
        <f t="shared" si="93"/>
        <v>July!$N$1:$N$92</v>
      </c>
      <c r="D1166" s="159" t="str">
        <f t="shared" si="94"/>
        <v>July!$O$1:$O$92</v>
      </c>
      <c r="E1166" t="s">
        <v>4</v>
      </c>
      <c r="F1166" t="s">
        <v>126</v>
      </c>
      <c r="G1166" t="s">
        <v>145</v>
      </c>
      <c r="H1166" t="s">
        <v>159</v>
      </c>
      <c r="I1166" t="e">
        <f t="shared" ca="1" si="90"/>
        <v>#REF!</v>
      </c>
      <c r="J1166" t="str">
        <f>VLOOKUP($G1166,DefinitionArrays!$I$6:$J$12,2,FALSE)</f>
        <v>Weekend</v>
      </c>
    </row>
    <row r="1167" spans="1:10">
      <c r="A1167" s="159" t="str">
        <f t="shared" si="91"/>
        <v>$N$1:$N$92</v>
      </c>
      <c r="B1167" s="159" t="str">
        <f t="shared" si="92"/>
        <v>$O$1:$O$92</v>
      </c>
      <c r="C1167" s="159" t="str">
        <f t="shared" si="93"/>
        <v>July!$N$1:$N$92</v>
      </c>
      <c r="D1167" s="159" t="str">
        <f t="shared" si="94"/>
        <v>July!$O$1:$O$92</v>
      </c>
      <c r="E1167" t="s">
        <v>4</v>
      </c>
      <c r="F1167" t="s">
        <v>126</v>
      </c>
      <c r="G1167" t="s">
        <v>145</v>
      </c>
      <c r="H1167" t="s">
        <v>18</v>
      </c>
      <c r="I1167" t="e">
        <f t="shared" ca="1" si="90"/>
        <v>#REF!</v>
      </c>
      <c r="J1167" t="str">
        <f>VLOOKUP($G1167,DefinitionArrays!$I$6:$J$12,2,FALSE)</f>
        <v>Weekend</v>
      </c>
    </row>
    <row r="1168" spans="1:10">
      <c r="A1168" s="159" t="str">
        <f t="shared" si="91"/>
        <v>$N$1:$N$92</v>
      </c>
      <c r="B1168" s="159" t="str">
        <f t="shared" si="92"/>
        <v>$O$1:$O$92</v>
      </c>
      <c r="C1168" s="159" t="str">
        <f t="shared" si="93"/>
        <v>July!$N$1:$N$92</v>
      </c>
      <c r="D1168" s="159" t="str">
        <f t="shared" si="94"/>
        <v>July!$O$1:$O$92</v>
      </c>
      <c r="E1168" t="s">
        <v>4</v>
      </c>
      <c r="F1168" t="s">
        <v>126</v>
      </c>
      <c r="G1168" t="s">
        <v>145</v>
      </c>
      <c r="H1168" t="s">
        <v>153</v>
      </c>
      <c r="I1168" t="e">
        <f t="shared" ca="1" si="90"/>
        <v>#REF!</v>
      </c>
      <c r="J1168" t="str">
        <f>VLOOKUP($G1168,DefinitionArrays!$I$6:$J$12,2,FALSE)</f>
        <v>Weekend</v>
      </c>
    </row>
    <row r="1169" spans="1:10">
      <c r="A1169" s="159" t="str">
        <f t="shared" si="91"/>
        <v>$N$1:$N$92</v>
      </c>
      <c r="B1169" s="159" t="str">
        <f t="shared" si="92"/>
        <v>$O$1:$O$92</v>
      </c>
      <c r="C1169" s="159" t="str">
        <f t="shared" si="93"/>
        <v>July!$N$1:$N$92</v>
      </c>
      <c r="D1169" s="159" t="str">
        <f t="shared" si="94"/>
        <v>July!$O$1:$O$92</v>
      </c>
      <c r="E1169" t="s">
        <v>4</v>
      </c>
      <c r="F1169" t="s">
        <v>126</v>
      </c>
      <c r="G1169" t="s">
        <v>145</v>
      </c>
      <c r="H1169" t="s">
        <v>19</v>
      </c>
      <c r="I1169" t="e">
        <f t="shared" ca="1" si="90"/>
        <v>#REF!</v>
      </c>
      <c r="J1169" t="str">
        <f>VLOOKUP($G1169,DefinitionArrays!$I$6:$J$12,2,FALSE)</f>
        <v>Weekend</v>
      </c>
    </row>
    <row r="1170" spans="1:10">
      <c r="A1170" s="159" t="str">
        <f t="shared" si="91"/>
        <v>$N$1:$N$92</v>
      </c>
      <c r="B1170" s="159" t="str">
        <f t="shared" si="92"/>
        <v>$O$1:$O$92</v>
      </c>
      <c r="C1170" s="159" t="str">
        <f t="shared" si="93"/>
        <v>July!$N$1:$N$92</v>
      </c>
      <c r="D1170" s="159" t="str">
        <f t="shared" si="94"/>
        <v>July!$O$1:$O$92</v>
      </c>
      <c r="E1170" t="s">
        <v>4</v>
      </c>
      <c r="F1170" t="s">
        <v>126</v>
      </c>
      <c r="G1170" t="s">
        <v>145</v>
      </c>
      <c r="H1170" t="s">
        <v>20</v>
      </c>
      <c r="I1170" t="e">
        <f t="shared" ca="1" si="90"/>
        <v>#REF!</v>
      </c>
      <c r="J1170" t="str">
        <f>VLOOKUP($G1170,DefinitionArrays!$I$6:$J$12,2,FALSE)</f>
        <v>Weekend</v>
      </c>
    </row>
    <row r="1171" spans="1:10">
      <c r="A1171" s="159" t="str">
        <f t="shared" si="91"/>
        <v>$N$1:$N$92</v>
      </c>
      <c r="B1171" s="159" t="str">
        <f t="shared" si="92"/>
        <v>$O$1:$O$92</v>
      </c>
      <c r="C1171" s="159" t="str">
        <f t="shared" si="93"/>
        <v>July!$N$1:$N$92</v>
      </c>
      <c r="D1171" s="159" t="str">
        <f t="shared" si="94"/>
        <v>July!$O$1:$O$92</v>
      </c>
      <c r="E1171" t="s">
        <v>4</v>
      </c>
      <c r="F1171" t="s">
        <v>126</v>
      </c>
      <c r="G1171" t="s">
        <v>145</v>
      </c>
      <c r="H1171" t="s">
        <v>21</v>
      </c>
      <c r="I1171" t="e">
        <f t="shared" ca="1" si="90"/>
        <v>#REF!</v>
      </c>
      <c r="J1171" t="str">
        <f>VLOOKUP($G1171,DefinitionArrays!$I$6:$J$12,2,FALSE)</f>
        <v>Weekend</v>
      </c>
    </row>
    <row r="1172" spans="1:10">
      <c r="A1172" s="159" t="str">
        <f t="shared" si="91"/>
        <v>$N$1:$N$92</v>
      </c>
      <c r="B1172" s="159" t="str">
        <f t="shared" si="92"/>
        <v>$O$1:$O$92</v>
      </c>
      <c r="C1172" s="159" t="str">
        <f t="shared" si="93"/>
        <v>July!$N$1:$N$92</v>
      </c>
      <c r="D1172" s="159" t="str">
        <f t="shared" si="94"/>
        <v>July!$O$1:$O$92</v>
      </c>
      <c r="E1172" t="s">
        <v>4</v>
      </c>
      <c r="F1172" t="s">
        <v>126</v>
      </c>
      <c r="G1172" t="s">
        <v>145</v>
      </c>
      <c r="H1172" t="s">
        <v>22</v>
      </c>
      <c r="I1172" t="e">
        <f t="shared" ca="1" si="90"/>
        <v>#REF!</v>
      </c>
      <c r="J1172" t="str">
        <f>VLOOKUP($G1172,DefinitionArrays!$I$6:$J$12,2,FALSE)</f>
        <v>Weekend</v>
      </c>
    </row>
    <row r="1173" spans="1:10">
      <c r="A1173" s="159" t="str">
        <f t="shared" si="91"/>
        <v>$N$1:$N$92</v>
      </c>
      <c r="B1173" s="159" t="str">
        <f t="shared" si="92"/>
        <v>$O$1:$O$92</v>
      </c>
      <c r="C1173" s="159" t="str">
        <f t="shared" si="93"/>
        <v>July!$N$1:$N$92</v>
      </c>
      <c r="D1173" s="159" t="str">
        <f t="shared" si="94"/>
        <v>July!$O$1:$O$92</v>
      </c>
      <c r="E1173" t="s">
        <v>4</v>
      </c>
      <c r="F1173" t="s">
        <v>126</v>
      </c>
      <c r="G1173" t="s">
        <v>145</v>
      </c>
      <c r="H1173" t="s">
        <v>23</v>
      </c>
      <c r="I1173" t="e">
        <f t="shared" ca="1" si="90"/>
        <v>#REF!</v>
      </c>
      <c r="J1173" t="str">
        <f>VLOOKUP($G1173,DefinitionArrays!$I$6:$J$12,2,FALSE)</f>
        <v>Weekend</v>
      </c>
    </row>
    <row r="1174" spans="1:10">
      <c r="A1174" s="159" t="str">
        <f t="shared" si="91"/>
        <v>$N$1:$N$92</v>
      </c>
      <c r="B1174" s="159" t="str">
        <f t="shared" si="92"/>
        <v>$O$1:$O$92</v>
      </c>
      <c r="C1174" s="159" t="str">
        <f t="shared" si="93"/>
        <v>July!$N$1:$N$92</v>
      </c>
      <c r="D1174" s="159" t="str">
        <f t="shared" si="94"/>
        <v>July!$O$1:$O$92</v>
      </c>
      <c r="E1174" t="s">
        <v>4</v>
      </c>
      <c r="F1174" t="s">
        <v>126</v>
      </c>
      <c r="G1174" t="s">
        <v>145</v>
      </c>
      <c r="H1174" t="s">
        <v>24</v>
      </c>
      <c r="I1174" t="e">
        <f t="shared" ca="1" si="90"/>
        <v>#REF!</v>
      </c>
      <c r="J1174" t="str">
        <f>VLOOKUP($G1174,DefinitionArrays!$I$6:$J$12,2,FALSE)</f>
        <v>Weekend</v>
      </c>
    </row>
    <row r="1175" spans="1:10">
      <c r="A1175" s="159" t="str">
        <f t="shared" si="91"/>
        <v>$N$1:$N$92</v>
      </c>
      <c r="B1175" s="159" t="str">
        <f t="shared" si="92"/>
        <v>$O$1:$O$92</v>
      </c>
      <c r="C1175" s="159" t="str">
        <f t="shared" si="93"/>
        <v>July!$N$1:$N$92</v>
      </c>
      <c r="D1175" s="159" t="str">
        <f t="shared" si="94"/>
        <v>July!$O$1:$O$92</v>
      </c>
      <c r="E1175" t="s">
        <v>4</v>
      </c>
      <c r="F1175" t="s">
        <v>126</v>
      </c>
      <c r="G1175" t="s">
        <v>145</v>
      </c>
      <c r="H1175" t="s">
        <v>179</v>
      </c>
      <c r="I1175" t="e">
        <f t="shared" ca="1" si="90"/>
        <v>#REF!</v>
      </c>
      <c r="J1175" t="str">
        <f>VLOOKUP($G1175,DefinitionArrays!$I$6:$J$12,2,FALSE)</f>
        <v>Weekend</v>
      </c>
    </row>
    <row r="1176" spans="1:10">
      <c r="A1176" s="159" t="str">
        <f t="shared" si="91"/>
        <v>$N$1:$N$92</v>
      </c>
      <c r="B1176" s="159" t="str">
        <f t="shared" si="92"/>
        <v>$O$1:$O$92</v>
      </c>
      <c r="C1176" s="159" t="str">
        <f t="shared" si="93"/>
        <v>July!$N$1:$N$92</v>
      </c>
      <c r="D1176" s="159" t="str">
        <f t="shared" si="94"/>
        <v>July!$O$1:$O$92</v>
      </c>
      <c r="E1176" t="s">
        <v>4</v>
      </c>
      <c r="F1176" t="s">
        <v>126</v>
      </c>
      <c r="G1176" t="s">
        <v>145</v>
      </c>
      <c r="H1176" t="s">
        <v>180</v>
      </c>
      <c r="I1176" t="e">
        <f t="shared" ca="1" si="90"/>
        <v>#REF!</v>
      </c>
      <c r="J1176" t="str">
        <f>VLOOKUP($G1176,DefinitionArrays!$I$6:$J$12,2,FALSE)</f>
        <v>Weekend</v>
      </c>
    </row>
    <row r="1177" spans="1:10">
      <c r="A1177" s="159" t="str">
        <f t="shared" si="91"/>
        <v>$N$1:$N$92</v>
      </c>
      <c r="B1177" s="159" t="str">
        <f t="shared" si="92"/>
        <v>$O$1:$O$92</v>
      </c>
      <c r="C1177" s="159" t="str">
        <f t="shared" si="93"/>
        <v>July!$N$1:$N$92</v>
      </c>
      <c r="D1177" s="159" t="str">
        <f t="shared" si="94"/>
        <v>July!$O$1:$O$92</v>
      </c>
      <c r="E1177" t="s">
        <v>4</v>
      </c>
      <c r="F1177" t="s">
        <v>126</v>
      </c>
      <c r="G1177" t="s">
        <v>145</v>
      </c>
      <c r="H1177" t="s">
        <v>44</v>
      </c>
      <c r="I1177" t="e">
        <f t="shared" ca="1" si="90"/>
        <v>#REF!</v>
      </c>
      <c r="J1177" t="str">
        <f>VLOOKUP($G1177,DefinitionArrays!$I$6:$J$12,2,FALSE)</f>
        <v>Weekend</v>
      </c>
    </row>
    <row r="1178" spans="1:10">
      <c r="A1178" s="159" t="str">
        <f t="shared" si="91"/>
        <v>$Q$1:$Q$92</v>
      </c>
      <c r="B1178" s="159" t="str">
        <f t="shared" si="92"/>
        <v>$R$1:$R$92</v>
      </c>
      <c r="C1178" s="159" t="str">
        <f t="shared" si="93"/>
        <v>July!$Q$1:$Q$92</v>
      </c>
      <c r="D1178" s="159" t="str">
        <f t="shared" si="94"/>
        <v>July!$R$1:$R$92</v>
      </c>
      <c r="E1178" t="s">
        <v>4</v>
      </c>
      <c r="F1178" t="s">
        <v>126</v>
      </c>
      <c r="G1178" t="s">
        <v>146</v>
      </c>
      <c r="H1178" t="s">
        <v>159</v>
      </c>
      <c r="I1178" t="e">
        <f t="shared" ca="1" si="90"/>
        <v>#REF!</v>
      </c>
      <c r="J1178" t="str">
        <f>VLOOKUP($G1178,DefinitionArrays!$I$6:$J$12,2,FALSE)</f>
        <v>Weekend</v>
      </c>
    </row>
    <row r="1179" spans="1:10">
      <c r="A1179" s="159" t="str">
        <f t="shared" si="91"/>
        <v>$T$1:$T$92</v>
      </c>
      <c r="B1179" s="159" t="str">
        <f t="shared" si="92"/>
        <v>$U$1:$U$92</v>
      </c>
      <c r="C1179" s="159" t="str">
        <f t="shared" si="93"/>
        <v>July!$T$1:$T$92</v>
      </c>
      <c r="D1179" s="159" t="str">
        <f t="shared" si="94"/>
        <v>July!$U$1:$U$92</v>
      </c>
      <c r="E1179" t="s">
        <v>4</v>
      </c>
      <c r="F1179" t="s">
        <v>126</v>
      </c>
      <c r="G1179" t="s">
        <v>141</v>
      </c>
      <c r="H1179" t="s">
        <v>159</v>
      </c>
      <c r="I1179" t="e">
        <f t="shared" ca="1" si="90"/>
        <v>#REF!</v>
      </c>
      <c r="J1179" t="str">
        <f>VLOOKUP($G1179,DefinitionArrays!$I$6:$J$12,2,FALSE)</f>
        <v>Weekend</v>
      </c>
    </row>
    <row r="1180" spans="1:10">
      <c r="A1180" s="159" t="str">
        <f t="shared" si="91"/>
        <v>$B$1:$B$92</v>
      </c>
      <c r="B1180" s="159" t="str">
        <f t="shared" si="92"/>
        <v>$C$1:$C$92</v>
      </c>
      <c r="C1180" s="159" t="str">
        <f t="shared" si="93"/>
        <v>August!$B$1:$B$92</v>
      </c>
      <c r="D1180" s="159" t="str">
        <f t="shared" si="94"/>
        <v>August!$C$1:$C$92</v>
      </c>
      <c r="E1180" t="s">
        <v>4</v>
      </c>
      <c r="F1180" t="s">
        <v>127</v>
      </c>
      <c r="G1180" t="s">
        <v>13</v>
      </c>
      <c r="H1180" t="s">
        <v>159</v>
      </c>
      <c r="I1180" t="e">
        <f ca="1">COUNTIFS(INDIRECT($C1180),$E1180,INDIRECT($D1180),$H1180)</f>
        <v>#REF!</v>
      </c>
      <c r="J1180" t="str">
        <f>VLOOKUP($G1180,DefinitionArrays!$I$6:$J$12,2,FALSE)</f>
        <v>Workweek</v>
      </c>
    </row>
    <row r="1181" spans="1:10">
      <c r="A1181" s="159" t="str">
        <f t="shared" si="91"/>
        <v>$B$1:$B$92</v>
      </c>
      <c r="B1181" s="159" t="str">
        <f t="shared" si="92"/>
        <v>$C$1:$C$92</v>
      </c>
      <c r="C1181" s="159" t="str">
        <f t="shared" si="93"/>
        <v>August!$B$1:$B$92</v>
      </c>
      <c r="D1181" s="159" t="str">
        <f t="shared" si="94"/>
        <v>August!$C$1:$C$92</v>
      </c>
      <c r="E1181" t="s">
        <v>4</v>
      </c>
      <c r="F1181" t="s">
        <v>127</v>
      </c>
      <c r="G1181" t="s">
        <v>13</v>
      </c>
      <c r="H1181" t="s">
        <v>18</v>
      </c>
      <c r="I1181" t="e">
        <f t="shared" ref="I1181:I1241" ca="1" si="95">COUNTIFS(INDIRECT($C1181),$E1181,INDIRECT($D1181),$H1181)</f>
        <v>#REF!</v>
      </c>
      <c r="J1181" t="str">
        <f>VLOOKUP($G1181,DefinitionArrays!$I$6:$J$12,2,FALSE)</f>
        <v>Workweek</v>
      </c>
    </row>
    <row r="1182" spans="1:10">
      <c r="A1182" s="159" t="str">
        <f t="shared" si="91"/>
        <v>$B$1:$B$92</v>
      </c>
      <c r="B1182" s="159" t="str">
        <f t="shared" si="92"/>
        <v>$C$1:$C$92</v>
      </c>
      <c r="C1182" s="159" t="str">
        <f t="shared" si="93"/>
        <v>August!$B$1:$B$92</v>
      </c>
      <c r="D1182" s="159" t="str">
        <f t="shared" si="94"/>
        <v>August!$C$1:$C$92</v>
      </c>
      <c r="E1182" t="s">
        <v>4</v>
      </c>
      <c r="F1182" t="s">
        <v>127</v>
      </c>
      <c r="G1182" t="s">
        <v>13</v>
      </c>
      <c r="H1182" t="s">
        <v>153</v>
      </c>
      <c r="I1182" t="e">
        <f t="shared" ca="1" si="95"/>
        <v>#REF!</v>
      </c>
      <c r="J1182" t="str">
        <f>VLOOKUP($G1182,DefinitionArrays!$I$6:$J$12,2,FALSE)</f>
        <v>Workweek</v>
      </c>
    </row>
    <row r="1183" spans="1:10">
      <c r="A1183" s="159" t="str">
        <f t="shared" si="91"/>
        <v>$B$1:$B$92</v>
      </c>
      <c r="B1183" s="159" t="str">
        <f t="shared" si="92"/>
        <v>$C$1:$C$92</v>
      </c>
      <c r="C1183" s="159" t="str">
        <f t="shared" si="93"/>
        <v>August!$B$1:$B$92</v>
      </c>
      <c r="D1183" s="159" t="str">
        <f t="shared" si="94"/>
        <v>August!$C$1:$C$92</v>
      </c>
      <c r="E1183" t="s">
        <v>4</v>
      </c>
      <c r="F1183" t="s">
        <v>127</v>
      </c>
      <c r="G1183" t="s">
        <v>13</v>
      </c>
      <c r="H1183" t="s">
        <v>19</v>
      </c>
      <c r="I1183" t="e">
        <f t="shared" ca="1" si="95"/>
        <v>#REF!</v>
      </c>
      <c r="J1183" t="str">
        <f>VLOOKUP($G1183,DefinitionArrays!$I$6:$J$12,2,FALSE)</f>
        <v>Workweek</v>
      </c>
    </row>
    <row r="1184" spans="1:10">
      <c r="A1184" s="159" t="str">
        <f t="shared" si="91"/>
        <v>$B$1:$B$92</v>
      </c>
      <c r="B1184" s="159" t="str">
        <f t="shared" si="92"/>
        <v>$C$1:$C$92</v>
      </c>
      <c r="C1184" s="159" t="str">
        <f t="shared" si="93"/>
        <v>August!$B$1:$B$92</v>
      </c>
      <c r="D1184" s="159" t="str">
        <f t="shared" si="94"/>
        <v>August!$C$1:$C$92</v>
      </c>
      <c r="E1184" t="s">
        <v>4</v>
      </c>
      <c r="F1184" t="s">
        <v>127</v>
      </c>
      <c r="G1184" t="s">
        <v>13</v>
      </c>
      <c r="H1184" t="s">
        <v>20</v>
      </c>
      <c r="I1184" t="e">
        <f t="shared" ca="1" si="95"/>
        <v>#REF!</v>
      </c>
      <c r="J1184" t="str">
        <f>VLOOKUP($G1184,DefinitionArrays!$I$6:$J$12,2,FALSE)</f>
        <v>Workweek</v>
      </c>
    </row>
    <row r="1185" spans="1:10">
      <c r="A1185" s="159" t="str">
        <f t="shared" si="91"/>
        <v>$B$1:$B$92</v>
      </c>
      <c r="B1185" s="159" t="str">
        <f t="shared" si="92"/>
        <v>$C$1:$C$92</v>
      </c>
      <c r="C1185" s="159" t="str">
        <f t="shared" si="93"/>
        <v>August!$B$1:$B$92</v>
      </c>
      <c r="D1185" s="159" t="str">
        <f t="shared" si="94"/>
        <v>August!$C$1:$C$92</v>
      </c>
      <c r="E1185" t="s">
        <v>4</v>
      </c>
      <c r="F1185" t="s">
        <v>127</v>
      </c>
      <c r="G1185" t="s">
        <v>13</v>
      </c>
      <c r="H1185" t="s">
        <v>21</v>
      </c>
      <c r="I1185" t="e">
        <f t="shared" ca="1" si="95"/>
        <v>#REF!</v>
      </c>
      <c r="J1185" t="str">
        <f>VLOOKUP($G1185,DefinitionArrays!$I$6:$J$12,2,FALSE)</f>
        <v>Workweek</v>
      </c>
    </row>
    <row r="1186" spans="1:10">
      <c r="A1186" s="159" t="str">
        <f t="shared" si="91"/>
        <v>$B$1:$B$92</v>
      </c>
      <c r="B1186" s="159" t="str">
        <f t="shared" si="92"/>
        <v>$C$1:$C$92</v>
      </c>
      <c r="C1186" s="159" t="str">
        <f t="shared" si="93"/>
        <v>August!$B$1:$B$92</v>
      </c>
      <c r="D1186" s="159" t="str">
        <f t="shared" si="94"/>
        <v>August!$C$1:$C$92</v>
      </c>
      <c r="E1186" t="s">
        <v>4</v>
      </c>
      <c r="F1186" t="s">
        <v>127</v>
      </c>
      <c r="G1186" t="s">
        <v>13</v>
      </c>
      <c r="H1186" t="s">
        <v>22</v>
      </c>
      <c r="I1186" t="e">
        <f t="shared" ca="1" si="95"/>
        <v>#REF!</v>
      </c>
      <c r="J1186" t="str">
        <f>VLOOKUP($G1186,DefinitionArrays!$I$6:$J$12,2,FALSE)</f>
        <v>Workweek</v>
      </c>
    </row>
    <row r="1187" spans="1:10">
      <c r="A1187" s="159" t="str">
        <f t="shared" si="91"/>
        <v>$B$1:$B$92</v>
      </c>
      <c r="B1187" s="159" t="str">
        <f t="shared" si="92"/>
        <v>$C$1:$C$92</v>
      </c>
      <c r="C1187" s="159" t="str">
        <f t="shared" si="93"/>
        <v>August!$B$1:$B$92</v>
      </c>
      <c r="D1187" s="159" t="str">
        <f t="shared" si="94"/>
        <v>August!$C$1:$C$92</v>
      </c>
      <c r="E1187" t="s">
        <v>4</v>
      </c>
      <c r="F1187" t="s">
        <v>127</v>
      </c>
      <c r="G1187" t="s">
        <v>13</v>
      </c>
      <c r="H1187" t="s">
        <v>23</v>
      </c>
      <c r="I1187" t="e">
        <f t="shared" ca="1" si="95"/>
        <v>#REF!</v>
      </c>
      <c r="J1187" t="str">
        <f>VLOOKUP($G1187,DefinitionArrays!$I$6:$J$12,2,FALSE)</f>
        <v>Workweek</v>
      </c>
    </row>
    <row r="1188" spans="1:10">
      <c r="A1188" s="159" t="str">
        <f t="shared" si="91"/>
        <v>$B$1:$B$92</v>
      </c>
      <c r="B1188" s="159" t="str">
        <f t="shared" si="92"/>
        <v>$C$1:$C$92</v>
      </c>
      <c r="C1188" s="159" t="str">
        <f t="shared" si="93"/>
        <v>August!$B$1:$B$92</v>
      </c>
      <c r="D1188" s="159" t="str">
        <f t="shared" si="94"/>
        <v>August!$C$1:$C$92</v>
      </c>
      <c r="E1188" t="s">
        <v>4</v>
      </c>
      <c r="F1188" t="s">
        <v>127</v>
      </c>
      <c r="G1188" t="s">
        <v>13</v>
      </c>
      <c r="H1188" t="s">
        <v>24</v>
      </c>
      <c r="I1188" t="e">
        <f t="shared" ca="1" si="95"/>
        <v>#REF!</v>
      </c>
      <c r="J1188" t="str">
        <f>VLOOKUP($G1188,DefinitionArrays!$I$6:$J$12,2,FALSE)</f>
        <v>Workweek</v>
      </c>
    </row>
    <row r="1189" spans="1:10">
      <c r="A1189" s="159" t="str">
        <f t="shared" si="91"/>
        <v>$B$1:$B$92</v>
      </c>
      <c r="B1189" s="159" t="str">
        <f t="shared" si="92"/>
        <v>$C$1:$C$92</v>
      </c>
      <c r="C1189" s="159" t="str">
        <f t="shared" si="93"/>
        <v>August!$B$1:$B$92</v>
      </c>
      <c r="D1189" s="159" t="str">
        <f t="shared" si="94"/>
        <v>August!$C$1:$C$92</v>
      </c>
      <c r="E1189" t="s">
        <v>4</v>
      </c>
      <c r="F1189" t="s">
        <v>127</v>
      </c>
      <c r="G1189" t="s">
        <v>13</v>
      </c>
      <c r="H1189" t="s">
        <v>179</v>
      </c>
      <c r="I1189" t="e">
        <f t="shared" ca="1" si="95"/>
        <v>#REF!</v>
      </c>
      <c r="J1189" t="str">
        <f>VLOOKUP($G1189,DefinitionArrays!$I$6:$J$12,2,FALSE)</f>
        <v>Workweek</v>
      </c>
    </row>
    <row r="1190" spans="1:10">
      <c r="A1190" s="159" t="str">
        <f t="shared" si="91"/>
        <v>$B$1:$B$92</v>
      </c>
      <c r="B1190" s="159" t="str">
        <f t="shared" si="92"/>
        <v>$C$1:$C$92</v>
      </c>
      <c r="C1190" s="159" t="str">
        <f t="shared" si="93"/>
        <v>August!$B$1:$B$92</v>
      </c>
      <c r="D1190" s="159" t="str">
        <f t="shared" si="94"/>
        <v>August!$C$1:$C$92</v>
      </c>
      <c r="E1190" t="s">
        <v>4</v>
      </c>
      <c r="F1190" t="s">
        <v>127</v>
      </c>
      <c r="G1190" t="s">
        <v>13</v>
      </c>
      <c r="H1190" t="s">
        <v>180</v>
      </c>
      <c r="I1190" t="e">
        <f t="shared" ca="1" si="95"/>
        <v>#REF!</v>
      </c>
      <c r="J1190" t="str">
        <f>VLOOKUP($G1190,DefinitionArrays!$I$6:$J$12,2,FALSE)</f>
        <v>Workweek</v>
      </c>
    </row>
    <row r="1191" spans="1:10">
      <c r="A1191" s="159" t="str">
        <f t="shared" si="91"/>
        <v>$B$1:$B$92</v>
      </c>
      <c r="B1191" s="159" t="str">
        <f t="shared" si="92"/>
        <v>$C$1:$C$92</v>
      </c>
      <c r="C1191" s="159" t="str">
        <f t="shared" si="93"/>
        <v>August!$B$1:$B$92</v>
      </c>
      <c r="D1191" s="159" t="str">
        <f t="shared" si="94"/>
        <v>August!$C$1:$C$92</v>
      </c>
      <c r="E1191" t="s">
        <v>4</v>
      </c>
      <c r="F1191" t="s">
        <v>127</v>
      </c>
      <c r="G1191" t="s">
        <v>13</v>
      </c>
      <c r="H1191" t="s">
        <v>44</v>
      </c>
      <c r="I1191" t="e">
        <f t="shared" ca="1" si="95"/>
        <v>#REF!</v>
      </c>
      <c r="J1191" t="str">
        <f>VLOOKUP($G1191,DefinitionArrays!$I$6:$J$12,2,FALSE)</f>
        <v>Workweek</v>
      </c>
    </row>
    <row r="1192" spans="1:10">
      <c r="A1192" s="159" t="str">
        <f t="shared" si="91"/>
        <v>$E$1:$E$92</v>
      </c>
      <c r="B1192" s="159" t="str">
        <f t="shared" si="92"/>
        <v>$F$1:$F$92</v>
      </c>
      <c r="C1192" s="159" t="str">
        <f t="shared" si="93"/>
        <v>August!$E$1:$E$92</v>
      </c>
      <c r="D1192" s="159" t="str">
        <f t="shared" si="94"/>
        <v>August!$F$1:$F$92</v>
      </c>
      <c r="E1192" t="s">
        <v>4</v>
      </c>
      <c r="F1192" t="s">
        <v>127</v>
      </c>
      <c r="G1192" t="s">
        <v>142</v>
      </c>
      <c r="H1192" t="s">
        <v>159</v>
      </c>
      <c r="I1192" t="e">
        <f t="shared" ca="1" si="95"/>
        <v>#REF!</v>
      </c>
      <c r="J1192" t="str">
        <f>VLOOKUP($G1192,DefinitionArrays!$I$6:$J$12,2,FALSE)</f>
        <v>Workweek</v>
      </c>
    </row>
    <row r="1193" spans="1:10">
      <c r="A1193" s="159" t="str">
        <f t="shared" si="91"/>
        <v>$E$1:$E$92</v>
      </c>
      <c r="B1193" s="159" t="str">
        <f t="shared" si="92"/>
        <v>$F$1:$F$92</v>
      </c>
      <c r="C1193" s="159" t="str">
        <f t="shared" si="93"/>
        <v>August!$E$1:$E$92</v>
      </c>
      <c r="D1193" s="159" t="str">
        <f t="shared" si="94"/>
        <v>August!$F$1:$F$92</v>
      </c>
      <c r="E1193" t="s">
        <v>4</v>
      </c>
      <c r="F1193" t="s">
        <v>127</v>
      </c>
      <c r="G1193" t="s">
        <v>142</v>
      </c>
      <c r="H1193" t="s">
        <v>18</v>
      </c>
      <c r="I1193" t="e">
        <f t="shared" ca="1" si="95"/>
        <v>#REF!</v>
      </c>
      <c r="J1193" t="str">
        <f>VLOOKUP($G1193,DefinitionArrays!$I$6:$J$12,2,FALSE)</f>
        <v>Workweek</v>
      </c>
    </row>
    <row r="1194" spans="1:10">
      <c r="A1194" s="159" t="str">
        <f t="shared" si="91"/>
        <v>$E$1:$E$92</v>
      </c>
      <c r="B1194" s="159" t="str">
        <f t="shared" si="92"/>
        <v>$F$1:$F$92</v>
      </c>
      <c r="C1194" s="159" t="str">
        <f t="shared" si="93"/>
        <v>August!$E$1:$E$92</v>
      </c>
      <c r="D1194" s="159" t="str">
        <f t="shared" si="94"/>
        <v>August!$F$1:$F$92</v>
      </c>
      <c r="E1194" t="s">
        <v>4</v>
      </c>
      <c r="F1194" t="s">
        <v>127</v>
      </c>
      <c r="G1194" t="s">
        <v>142</v>
      </c>
      <c r="H1194" t="s">
        <v>153</v>
      </c>
      <c r="I1194" t="e">
        <f t="shared" ca="1" si="95"/>
        <v>#REF!</v>
      </c>
      <c r="J1194" t="str">
        <f>VLOOKUP($G1194,DefinitionArrays!$I$6:$J$12,2,FALSE)</f>
        <v>Workweek</v>
      </c>
    </row>
    <row r="1195" spans="1:10">
      <c r="A1195" s="159" t="str">
        <f t="shared" si="91"/>
        <v>$E$1:$E$92</v>
      </c>
      <c r="B1195" s="159" t="str">
        <f t="shared" si="92"/>
        <v>$F$1:$F$92</v>
      </c>
      <c r="C1195" s="159" t="str">
        <f t="shared" si="93"/>
        <v>August!$E$1:$E$92</v>
      </c>
      <c r="D1195" s="159" t="str">
        <f t="shared" si="94"/>
        <v>August!$F$1:$F$92</v>
      </c>
      <c r="E1195" t="s">
        <v>4</v>
      </c>
      <c r="F1195" t="s">
        <v>127</v>
      </c>
      <c r="G1195" t="s">
        <v>142</v>
      </c>
      <c r="H1195" t="s">
        <v>19</v>
      </c>
      <c r="I1195" t="e">
        <f t="shared" ca="1" si="95"/>
        <v>#REF!</v>
      </c>
      <c r="J1195" t="str">
        <f>VLOOKUP($G1195,DefinitionArrays!$I$6:$J$12,2,FALSE)</f>
        <v>Workweek</v>
      </c>
    </row>
    <row r="1196" spans="1:10">
      <c r="A1196" s="159" t="str">
        <f t="shared" si="91"/>
        <v>$E$1:$E$92</v>
      </c>
      <c r="B1196" s="159" t="str">
        <f t="shared" si="92"/>
        <v>$F$1:$F$92</v>
      </c>
      <c r="C1196" s="159" t="str">
        <f t="shared" si="93"/>
        <v>August!$E$1:$E$92</v>
      </c>
      <c r="D1196" s="159" t="str">
        <f t="shared" si="94"/>
        <v>August!$F$1:$F$92</v>
      </c>
      <c r="E1196" t="s">
        <v>4</v>
      </c>
      <c r="F1196" t="s">
        <v>127</v>
      </c>
      <c r="G1196" t="s">
        <v>142</v>
      </c>
      <c r="H1196" t="s">
        <v>20</v>
      </c>
      <c r="I1196" t="e">
        <f t="shared" ca="1" si="95"/>
        <v>#REF!</v>
      </c>
      <c r="J1196" t="str">
        <f>VLOOKUP($G1196,DefinitionArrays!$I$6:$J$12,2,FALSE)</f>
        <v>Workweek</v>
      </c>
    </row>
    <row r="1197" spans="1:10">
      <c r="A1197" s="159" t="str">
        <f t="shared" si="91"/>
        <v>$E$1:$E$92</v>
      </c>
      <c r="B1197" s="159" t="str">
        <f t="shared" si="92"/>
        <v>$F$1:$F$92</v>
      </c>
      <c r="C1197" s="159" t="str">
        <f t="shared" si="93"/>
        <v>August!$E$1:$E$92</v>
      </c>
      <c r="D1197" s="159" t="str">
        <f t="shared" si="94"/>
        <v>August!$F$1:$F$92</v>
      </c>
      <c r="E1197" t="s">
        <v>4</v>
      </c>
      <c r="F1197" t="s">
        <v>127</v>
      </c>
      <c r="G1197" t="s">
        <v>142</v>
      </c>
      <c r="H1197" t="s">
        <v>21</v>
      </c>
      <c r="I1197" t="e">
        <f t="shared" ca="1" si="95"/>
        <v>#REF!</v>
      </c>
      <c r="J1197" t="str">
        <f>VLOOKUP($G1197,DefinitionArrays!$I$6:$J$12,2,FALSE)</f>
        <v>Workweek</v>
      </c>
    </row>
    <row r="1198" spans="1:10">
      <c r="A1198" s="159" t="str">
        <f t="shared" si="91"/>
        <v>$E$1:$E$92</v>
      </c>
      <c r="B1198" s="159" t="str">
        <f t="shared" si="92"/>
        <v>$F$1:$F$92</v>
      </c>
      <c r="C1198" s="159" t="str">
        <f t="shared" si="93"/>
        <v>August!$E$1:$E$92</v>
      </c>
      <c r="D1198" s="159" t="str">
        <f t="shared" si="94"/>
        <v>August!$F$1:$F$92</v>
      </c>
      <c r="E1198" t="s">
        <v>4</v>
      </c>
      <c r="F1198" t="s">
        <v>127</v>
      </c>
      <c r="G1198" t="s">
        <v>142</v>
      </c>
      <c r="H1198" t="s">
        <v>22</v>
      </c>
      <c r="I1198" t="e">
        <f t="shared" ca="1" si="95"/>
        <v>#REF!</v>
      </c>
      <c r="J1198" t="str">
        <f>VLOOKUP($G1198,DefinitionArrays!$I$6:$J$12,2,FALSE)</f>
        <v>Workweek</v>
      </c>
    </row>
    <row r="1199" spans="1:10">
      <c r="A1199" s="159" t="str">
        <f t="shared" si="91"/>
        <v>$E$1:$E$92</v>
      </c>
      <c r="B1199" s="159" t="str">
        <f t="shared" si="92"/>
        <v>$F$1:$F$92</v>
      </c>
      <c r="C1199" s="159" t="str">
        <f t="shared" si="93"/>
        <v>August!$E$1:$E$92</v>
      </c>
      <c r="D1199" s="159" t="str">
        <f t="shared" si="94"/>
        <v>August!$F$1:$F$92</v>
      </c>
      <c r="E1199" t="s">
        <v>4</v>
      </c>
      <c r="F1199" t="s">
        <v>127</v>
      </c>
      <c r="G1199" t="s">
        <v>142</v>
      </c>
      <c r="H1199" t="s">
        <v>23</v>
      </c>
      <c r="I1199" t="e">
        <f t="shared" ca="1" si="95"/>
        <v>#REF!</v>
      </c>
      <c r="J1199" t="str">
        <f>VLOOKUP($G1199,DefinitionArrays!$I$6:$J$12,2,FALSE)</f>
        <v>Workweek</v>
      </c>
    </row>
    <row r="1200" spans="1:10">
      <c r="A1200" s="159" t="str">
        <f t="shared" si="91"/>
        <v>$E$1:$E$92</v>
      </c>
      <c r="B1200" s="159" t="str">
        <f t="shared" si="92"/>
        <v>$F$1:$F$92</v>
      </c>
      <c r="C1200" s="159" t="str">
        <f t="shared" si="93"/>
        <v>August!$E$1:$E$92</v>
      </c>
      <c r="D1200" s="159" t="str">
        <f t="shared" si="94"/>
        <v>August!$F$1:$F$92</v>
      </c>
      <c r="E1200" t="s">
        <v>4</v>
      </c>
      <c r="F1200" t="s">
        <v>127</v>
      </c>
      <c r="G1200" t="s">
        <v>142</v>
      </c>
      <c r="H1200" t="s">
        <v>24</v>
      </c>
      <c r="I1200" t="e">
        <f t="shared" ca="1" si="95"/>
        <v>#REF!</v>
      </c>
      <c r="J1200" t="str">
        <f>VLOOKUP($G1200,DefinitionArrays!$I$6:$J$12,2,FALSE)</f>
        <v>Workweek</v>
      </c>
    </row>
    <row r="1201" spans="1:10">
      <c r="A1201" s="159" t="str">
        <f t="shared" si="91"/>
        <v>$E$1:$E$92</v>
      </c>
      <c r="B1201" s="159" t="str">
        <f t="shared" si="92"/>
        <v>$F$1:$F$92</v>
      </c>
      <c r="C1201" s="159" t="str">
        <f t="shared" si="93"/>
        <v>August!$E$1:$E$92</v>
      </c>
      <c r="D1201" s="159" t="str">
        <f t="shared" si="94"/>
        <v>August!$F$1:$F$92</v>
      </c>
      <c r="E1201" t="s">
        <v>4</v>
      </c>
      <c r="F1201" t="s">
        <v>127</v>
      </c>
      <c r="G1201" t="s">
        <v>142</v>
      </c>
      <c r="H1201" t="s">
        <v>179</v>
      </c>
      <c r="I1201" t="e">
        <f t="shared" ca="1" si="95"/>
        <v>#REF!</v>
      </c>
      <c r="J1201" t="str">
        <f>VLOOKUP($G1201,DefinitionArrays!$I$6:$J$12,2,FALSE)</f>
        <v>Workweek</v>
      </c>
    </row>
    <row r="1202" spans="1:10">
      <c r="A1202" s="159" t="str">
        <f t="shared" si="91"/>
        <v>$E$1:$E$92</v>
      </c>
      <c r="B1202" s="159" t="str">
        <f t="shared" si="92"/>
        <v>$F$1:$F$92</v>
      </c>
      <c r="C1202" s="159" t="str">
        <f t="shared" si="93"/>
        <v>August!$E$1:$E$92</v>
      </c>
      <c r="D1202" s="159" t="str">
        <f t="shared" si="94"/>
        <v>August!$F$1:$F$92</v>
      </c>
      <c r="E1202" t="s">
        <v>4</v>
      </c>
      <c r="F1202" t="s">
        <v>127</v>
      </c>
      <c r="G1202" t="s">
        <v>142</v>
      </c>
      <c r="H1202" t="s">
        <v>180</v>
      </c>
      <c r="I1202" t="e">
        <f t="shared" ca="1" si="95"/>
        <v>#REF!</v>
      </c>
      <c r="J1202" t="str">
        <f>VLOOKUP($G1202,DefinitionArrays!$I$6:$J$12,2,FALSE)</f>
        <v>Workweek</v>
      </c>
    </row>
    <row r="1203" spans="1:10">
      <c r="A1203" s="159" t="str">
        <f t="shared" si="91"/>
        <v>$E$1:$E$92</v>
      </c>
      <c r="B1203" s="159" t="str">
        <f t="shared" si="92"/>
        <v>$F$1:$F$92</v>
      </c>
      <c r="C1203" s="159" t="str">
        <f t="shared" si="93"/>
        <v>August!$E$1:$E$92</v>
      </c>
      <c r="D1203" s="159" t="str">
        <f t="shared" si="94"/>
        <v>August!$F$1:$F$92</v>
      </c>
      <c r="E1203" t="s">
        <v>4</v>
      </c>
      <c r="F1203" t="s">
        <v>127</v>
      </c>
      <c r="G1203" t="s">
        <v>142</v>
      </c>
      <c r="H1203" t="s">
        <v>44</v>
      </c>
      <c r="I1203" t="e">
        <f t="shared" ca="1" si="95"/>
        <v>#REF!</v>
      </c>
      <c r="J1203" t="str">
        <f>VLOOKUP($G1203,DefinitionArrays!$I$6:$J$12,2,FALSE)</f>
        <v>Workweek</v>
      </c>
    </row>
    <row r="1204" spans="1:10">
      <c r="A1204" s="159" t="str">
        <f t="shared" si="91"/>
        <v>$H$1:$H$92</v>
      </c>
      <c r="B1204" s="159" t="str">
        <f t="shared" si="92"/>
        <v>$I$1:$I$92</v>
      </c>
      <c r="C1204" s="159" t="str">
        <f t="shared" si="93"/>
        <v>August!$H$1:$H$92</v>
      </c>
      <c r="D1204" s="159" t="str">
        <f t="shared" si="94"/>
        <v>August!$I$1:$I$92</v>
      </c>
      <c r="E1204" t="s">
        <v>4</v>
      </c>
      <c r="F1204" t="s">
        <v>127</v>
      </c>
      <c r="G1204" t="s">
        <v>143</v>
      </c>
      <c r="H1204" t="s">
        <v>159</v>
      </c>
      <c r="I1204" t="e">
        <f t="shared" ca="1" si="95"/>
        <v>#REF!</v>
      </c>
      <c r="J1204" t="str">
        <f>VLOOKUP($G1204,DefinitionArrays!$I$6:$J$12,2,FALSE)</f>
        <v>Workweek</v>
      </c>
    </row>
    <row r="1205" spans="1:10">
      <c r="A1205" s="159" t="str">
        <f t="shared" si="91"/>
        <v>$H$1:$H$92</v>
      </c>
      <c r="B1205" s="159" t="str">
        <f t="shared" si="92"/>
        <v>$I$1:$I$92</v>
      </c>
      <c r="C1205" s="159" t="str">
        <f t="shared" si="93"/>
        <v>August!$H$1:$H$92</v>
      </c>
      <c r="D1205" s="159" t="str">
        <f t="shared" si="94"/>
        <v>August!$I$1:$I$92</v>
      </c>
      <c r="E1205" t="s">
        <v>4</v>
      </c>
      <c r="F1205" t="s">
        <v>127</v>
      </c>
      <c r="G1205" t="s">
        <v>143</v>
      </c>
      <c r="H1205" t="s">
        <v>18</v>
      </c>
      <c r="I1205" t="e">
        <f t="shared" ca="1" si="95"/>
        <v>#REF!</v>
      </c>
      <c r="J1205" t="str">
        <f>VLOOKUP($G1205,DefinitionArrays!$I$6:$J$12,2,FALSE)</f>
        <v>Workweek</v>
      </c>
    </row>
    <row r="1206" spans="1:10">
      <c r="A1206" s="159" t="str">
        <f t="shared" si="91"/>
        <v>$H$1:$H$92</v>
      </c>
      <c r="B1206" s="159" t="str">
        <f t="shared" si="92"/>
        <v>$I$1:$I$92</v>
      </c>
      <c r="C1206" s="159" t="str">
        <f t="shared" si="93"/>
        <v>August!$H$1:$H$92</v>
      </c>
      <c r="D1206" s="159" t="str">
        <f t="shared" si="94"/>
        <v>August!$I$1:$I$92</v>
      </c>
      <c r="E1206" t="s">
        <v>4</v>
      </c>
      <c r="F1206" t="s">
        <v>127</v>
      </c>
      <c r="G1206" t="s">
        <v>143</v>
      </c>
      <c r="H1206" t="s">
        <v>153</v>
      </c>
      <c r="I1206" t="e">
        <f t="shared" ca="1" si="95"/>
        <v>#REF!</v>
      </c>
      <c r="J1206" t="str">
        <f>VLOOKUP($G1206,DefinitionArrays!$I$6:$J$12,2,FALSE)</f>
        <v>Workweek</v>
      </c>
    </row>
    <row r="1207" spans="1:10">
      <c r="A1207" s="159" t="str">
        <f t="shared" si="91"/>
        <v>$H$1:$H$92</v>
      </c>
      <c r="B1207" s="159" t="str">
        <f t="shared" si="92"/>
        <v>$I$1:$I$92</v>
      </c>
      <c r="C1207" s="159" t="str">
        <f t="shared" si="93"/>
        <v>August!$H$1:$H$92</v>
      </c>
      <c r="D1207" s="159" t="str">
        <f t="shared" si="94"/>
        <v>August!$I$1:$I$92</v>
      </c>
      <c r="E1207" t="s">
        <v>4</v>
      </c>
      <c r="F1207" t="s">
        <v>127</v>
      </c>
      <c r="G1207" t="s">
        <v>143</v>
      </c>
      <c r="H1207" t="s">
        <v>19</v>
      </c>
      <c r="I1207" t="e">
        <f t="shared" ca="1" si="95"/>
        <v>#REF!</v>
      </c>
      <c r="J1207" t="str">
        <f>VLOOKUP($G1207,DefinitionArrays!$I$6:$J$12,2,FALSE)</f>
        <v>Workweek</v>
      </c>
    </row>
    <row r="1208" spans="1:10">
      <c r="A1208" s="159" t="str">
        <f t="shared" si="91"/>
        <v>$H$1:$H$92</v>
      </c>
      <c r="B1208" s="159" t="str">
        <f t="shared" si="92"/>
        <v>$I$1:$I$92</v>
      </c>
      <c r="C1208" s="159" t="str">
        <f t="shared" si="93"/>
        <v>August!$H$1:$H$92</v>
      </c>
      <c r="D1208" s="159" t="str">
        <f t="shared" si="94"/>
        <v>August!$I$1:$I$92</v>
      </c>
      <c r="E1208" t="s">
        <v>4</v>
      </c>
      <c r="F1208" t="s">
        <v>127</v>
      </c>
      <c r="G1208" t="s">
        <v>143</v>
      </c>
      <c r="H1208" t="s">
        <v>20</v>
      </c>
      <c r="I1208" t="e">
        <f t="shared" ca="1" si="95"/>
        <v>#REF!</v>
      </c>
      <c r="J1208" t="str">
        <f>VLOOKUP($G1208,DefinitionArrays!$I$6:$J$12,2,FALSE)</f>
        <v>Workweek</v>
      </c>
    </row>
    <row r="1209" spans="1:10">
      <c r="A1209" s="159" t="str">
        <f t="shared" si="91"/>
        <v>$H$1:$H$92</v>
      </c>
      <c r="B1209" s="159" t="str">
        <f t="shared" si="92"/>
        <v>$I$1:$I$92</v>
      </c>
      <c r="C1209" s="159" t="str">
        <f t="shared" si="93"/>
        <v>August!$H$1:$H$92</v>
      </c>
      <c r="D1209" s="159" t="str">
        <f t="shared" si="94"/>
        <v>August!$I$1:$I$92</v>
      </c>
      <c r="E1209" t="s">
        <v>4</v>
      </c>
      <c r="F1209" t="s">
        <v>127</v>
      </c>
      <c r="G1209" t="s">
        <v>143</v>
      </c>
      <c r="H1209" t="s">
        <v>21</v>
      </c>
      <c r="I1209" t="e">
        <f t="shared" ca="1" si="95"/>
        <v>#REF!</v>
      </c>
      <c r="J1209" t="str">
        <f>VLOOKUP($G1209,DefinitionArrays!$I$6:$J$12,2,FALSE)</f>
        <v>Workweek</v>
      </c>
    </row>
    <row r="1210" spans="1:10">
      <c r="A1210" s="159" t="str">
        <f t="shared" si="91"/>
        <v>$H$1:$H$92</v>
      </c>
      <c r="B1210" s="159" t="str">
        <f t="shared" si="92"/>
        <v>$I$1:$I$92</v>
      </c>
      <c r="C1210" s="159" t="str">
        <f t="shared" si="93"/>
        <v>August!$H$1:$H$92</v>
      </c>
      <c r="D1210" s="159" t="str">
        <f t="shared" si="94"/>
        <v>August!$I$1:$I$92</v>
      </c>
      <c r="E1210" t="s">
        <v>4</v>
      </c>
      <c r="F1210" t="s">
        <v>127</v>
      </c>
      <c r="G1210" t="s">
        <v>143</v>
      </c>
      <c r="H1210" t="s">
        <v>22</v>
      </c>
      <c r="I1210" t="e">
        <f t="shared" ca="1" si="95"/>
        <v>#REF!</v>
      </c>
      <c r="J1210" t="str">
        <f>VLOOKUP($G1210,DefinitionArrays!$I$6:$J$12,2,FALSE)</f>
        <v>Workweek</v>
      </c>
    </row>
    <row r="1211" spans="1:10">
      <c r="A1211" s="159" t="str">
        <f t="shared" si="91"/>
        <v>$H$1:$H$92</v>
      </c>
      <c r="B1211" s="159" t="str">
        <f t="shared" si="92"/>
        <v>$I$1:$I$92</v>
      </c>
      <c r="C1211" s="159" t="str">
        <f t="shared" si="93"/>
        <v>August!$H$1:$H$92</v>
      </c>
      <c r="D1211" s="159" t="str">
        <f t="shared" si="94"/>
        <v>August!$I$1:$I$92</v>
      </c>
      <c r="E1211" t="s">
        <v>4</v>
      </c>
      <c r="F1211" t="s">
        <v>127</v>
      </c>
      <c r="G1211" t="s">
        <v>143</v>
      </c>
      <c r="H1211" t="s">
        <v>23</v>
      </c>
      <c r="I1211" t="e">
        <f t="shared" ca="1" si="95"/>
        <v>#REF!</v>
      </c>
      <c r="J1211" t="str">
        <f>VLOOKUP($G1211,DefinitionArrays!$I$6:$J$12,2,FALSE)</f>
        <v>Workweek</v>
      </c>
    </row>
    <row r="1212" spans="1:10">
      <c r="A1212" s="159" t="str">
        <f t="shared" si="91"/>
        <v>$H$1:$H$92</v>
      </c>
      <c r="B1212" s="159" t="str">
        <f t="shared" si="92"/>
        <v>$I$1:$I$92</v>
      </c>
      <c r="C1212" s="159" t="str">
        <f t="shared" si="93"/>
        <v>August!$H$1:$H$92</v>
      </c>
      <c r="D1212" s="159" t="str">
        <f t="shared" si="94"/>
        <v>August!$I$1:$I$92</v>
      </c>
      <c r="E1212" t="s">
        <v>4</v>
      </c>
      <c r="F1212" t="s">
        <v>127</v>
      </c>
      <c r="G1212" t="s">
        <v>143</v>
      </c>
      <c r="H1212" t="s">
        <v>24</v>
      </c>
      <c r="I1212" t="e">
        <f t="shared" ca="1" si="95"/>
        <v>#REF!</v>
      </c>
      <c r="J1212" t="str">
        <f>VLOOKUP($G1212,DefinitionArrays!$I$6:$J$12,2,FALSE)</f>
        <v>Workweek</v>
      </c>
    </row>
    <row r="1213" spans="1:10">
      <c r="A1213" s="159" t="str">
        <f t="shared" si="91"/>
        <v>$H$1:$H$92</v>
      </c>
      <c r="B1213" s="159" t="str">
        <f t="shared" si="92"/>
        <v>$I$1:$I$92</v>
      </c>
      <c r="C1213" s="159" t="str">
        <f t="shared" si="93"/>
        <v>August!$H$1:$H$92</v>
      </c>
      <c r="D1213" s="159" t="str">
        <f t="shared" si="94"/>
        <v>August!$I$1:$I$92</v>
      </c>
      <c r="E1213" t="s">
        <v>4</v>
      </c>
      <c r="F1213" t="s">
        <v>127</v>
      </c>
      <c r="G1213" t="s">
        <v>143</v>
      </c>
      <c r="H1213" t="s">
        <v>179</v>
      </c>
      <c r="I1213" t="e">
        <f t="shared" ca="1" si="95"/>
        <v>#REF!</v>
      </c>
      <c r="J1213" t="str">
        <f>VLOOKUP($G1213,DefinitionArrays!$I$6:$J$12,2,FALSE)</f>
        <v>Workweek</v>
      </c>
    </row>
    <row r="1214" spans="1:10">
      <c r="A1214" s="159" t="str">
        <f t="shared" si="91"/>
        <v>$H$1:$H$92</v>
      </c>
      <c r="B1214" s="159" t="str">
        <f t="shared" si="92"/>
        <v>$I$1:$I$92</v>
      </c>
      <c r="C1214" s="159" t="str">
        <f t="shared" si="93"/>
        <v>August!$H$1:$H$92</v>
      </c>
      <c r="D1214" s="159" t="str">
        <f t="shared" si="94"/>
        <v>August!$I$1:$I$92</v>
      </c>
      <c r="E1214" t="s">
        <v>4</v>
      </c>
      <c r="F1214" t="s">
        <v>127</v>
      </c>
      <c r="G1214" t="s">
        <v>143</v>
      </c>
      <c r="H1214" t="s">
        <v>180</v>
      </c>
      <c r="I1214" t="e">
        <f t="shared" ca="1" si="95"/>
        <v>#REF!</v>
      </c>
      <c r="J1214" t="str">
        <f>VLOOKUP($G1214,DefinitionArrays!$I$6:$J$12,2,FALSE)</f>
        <v>Workweek</v>
      </c>
    </row>
    <row r="1215" spans="1:10">
      <c r="A1215" s="159" t="str">
        <f t="shared" si="91"/>
        <v>$H$1:$H$92</v>
      </c>
      <c r="B1215" s="159" t="str">
        <f t="shared" si="92"/>
        <v>$I$1:$I$92</v>
      </c>
      <c r="C1215" s="159" t="str">
        <f t="shared" si="93"/>
        <v>August!$H$1:$H$92</v>
      </c>
      <c r="D1215" s="159" t="str">
        <f t="shared" si="94"/>
        <v>August!$I$1:$I$92</v>
      </c>
      <c r="E1215" t="s">
        <v>4</v>
      </c>
      <c r="F1215" t="s">
        <v>127</v>
      </c>
      <c r="G1215" t="s">
        <v>143</v>
      </c>
      <c r="H1215" t="s">
        <v>44</v>
      </c>
      <c r="I1215" t="e">
        <f t="shared" ca="1" si="95"/>
        <v>#REF!</v>
      </c>
      <c r="J1215" t="str">
        <f>VLOOKUP($G1215,DefinitionArrays!$I$6:$J$12,2,FALSE)</f>
        <v>Workweek</v>
      </c>
    </row>
    <row r="1216" spans="1:10">
      <c r="A1216" s="159" t="str">
        <f t="shared" si="91"/>
        <v>$K$1:$K$92</v>
      </c>
      <c r="B1216" s="159" t="str">
        <f t="shared" si="92"/>
        <v>$L$1:$L$92</v>
      </c>
      <c r="C1216" s="159" t="str">
        <f t="shared" si="93"/>
        <v>August!$K$1:$K$92</v>
      </c>
      <c r="D1216" s="159" t="str">
        <f t="shared" si="94"/>
        <v>August!$L$1:$L$92</v>
      </c>
      <c r="E1216" t="s">
        <v>4</v>
      </c>
      <c r="F1216" t="s">
        <v>127</v>
      </c>
      <c r="G1216" t="s">
        <v>144</v>
      </c>
      <c r="H1216" t="s">
        <v>159</v>
      </c>
      <c r="I1216" t="e">
        <f t="shared" ca="1" si="95"/>
        <v>#REF!</v>
      </c>
      <c r="J1216" t="str">
        <f>VLOOKUP($G1216,DefinitionArrays!$I$6:$J$12,2,FALSE)</f>
        <v>Workweek</v>
      </c>
    </row>
    <row r="1217" spans="1:10">
      <c r="A1217" s="159" t="str">
        <f t="shared" si="91"/>
        <v>$K$1:$K$92</v>
      </c>
      <c r="B1217" s="159" t="str">
        <f t="shared" si="92"/>
        <v>$L$1:$L$92</v>
      </c>
      <c r="C1217" s="159" t="str">
        <f t="shared" si="93"/>
        <v>August!$K$1:$K$92</v>
      </c>
      <c r="D1217" s="159" t="str">
        <f t="shared" si="94"/>
        <v>August!$L$1:$L$92</v>
      </c>
      <c r="E1217" t="s">
        <v>4</v>
      </c>
      <c r="F1217" t="s">
        <v>127</v>
      </c>
      <c r="G1217" t="s">
        <v>144</v>
      </c>
      <c r="H1217" t="s">
        <v>18</v>
      </c>
      <c r="I1217" t="e">
        <f t="shared" ca="1" si="95"/>
        <v>#REF!</v>
      </c>
      <c r="J1217" t="str">
        <f>VLOOKUP($G1217,DefinitionArrays!$I$6:$J$12,2,FALSE)</f>
        <v>Workweek</v>
      </c>
    </row>
    <row r="1218" spans="1:10">
      <c r="A1218" s="159" t="str">
        <f t="shared" ref="A1218:A1281" si="96">VLOOKUP($G1218,Fx_Code,2,FALSE)</f>
        <v>$K$1:$K$92</v>
      </c>
      <c r="B1218" s="159" t="str">
        <f t="shared" ref="B1218:B1281" si="97">VLOOKUP($G1218,Fx_Code,3,FALSE)</f>
        <v>$L$1:$L$92</v>
      </c>
      <c r="C1218" s="159" t="str">
        <f t="shared" ref="C1218:C1281" si="98">CONCATENATE($F1218,$K$1,A1218)</f>
        <v>August!$K$1:$K$92</v>
      </c>
      <c r="D1218" s="159" t="str">
        <f t="shared" ref="D1218:D1281" si="99">CONCATENATE($F1218,$K$1,B1218)</f>
        <v>August!$L$1:$L$92</v>
      </c>
      <c r="E1218" t="s">
        <v>4</v>
      </c>
      <c r="F1218" t="s">
        <v>127</v>
      </c>
      <c r="G1218" t="s">
        <v>144</v>
      </c>
      <c r="H1218" t="s">
        <v>153</v>
      </c>
      <c r="I1218" t="e">
        <f t="shared" ca="1" si="95"/>
        <v>#REF!</v>
      </c>
      <c r="J1218" t="str">
        <f>VLOOKUP($G1218,DefinitionArrays!$I$6:$J$12,2,FALSE)</f>
        <v>Workweek</v>
      </c>
    </row>
    <row r="1219" spans="1:10">
      <c r="A1219" s="159" t="str">
        <f t="shared" si="96"/>
        <v>$K$1:$K$92</v>
      </c>
      <c r="B1219" s="159" t="str">
        <f t="shared" si="97"/>
        <v>$L$1:$L$92</v>
      </c>
      <c r="C1219" s="159" t="str">
        <f t="shared" si="98"/>
        <v>August!$K$1:$K$92</v>
      </c>
      <c r="D1219" s="159" t="str">
        <f t="shared" si="99"/>
        <v>August!$L$1:$L$92</v>
      </c>
      <c r="E1219" t="s">
        <v>4</v>
      </c>
      <c r="F1219" t="s">
        <v>127</v>
      </c>
      <c r="G1219" t="s">
        <v>144</v>
      </c>
      <c r="H1219" t="s">
        <v>19</v>
      </c>
      <c r="I1219" t="e">
        <f t="shared" ca="1" si="95"/>
        <v>#REF!</v>
      </c>
      <c r="J1219" t="str">
        <f>VLOOKUP($G1219,DefinitionArrays!$I$6:$J$12,2,FALSE)</f>
        <v>Workweek</v>
      </c>
    </row>
    <row r="1220" spans="1:10">
      <c r="A1220" s="159" t="str">
        <f t="shared" si="96"/>
        <v>$K$1:$K$92</v>
      </c>
      <c r="B1220" s="159" t="str">
        <f t="shared" si="97"/>
        <v>$L$1:$L$92</v>
      </c>
      <c r="C1220" s="159" t="str">
        <f t="shared" si="98"/>
        <v>August!$K$1:$K$92</v>
      </c>
      <c r="D1220" s="159" t="str">
        <f t="shared" si="99"/>
        <v>August!$L$1:$L$92</v>
      </c>
      <c r="E1220" t="s">
        <v>4</v>
      </c>
      <c r="F1220" t="s">
        <v>127</v>
      </c>
      <c r="G1220" t="s">
        <v>144</v>
      </c>
      <c r="H1220" t="s">
        <v>20</v>
      </c>
      <c r="I1220" t="e">
        <f t="shared" ca="1" si="95"/>
        <v>#REF!</v>
      </c>
      <c r="J1220" t="str">
        <f>VLOOKUP($G1220,DefinitionArrays!$I$6:$J$12,2,FALSE)</f>
        <v>Workweek</v>
      </c>
    </row>
    <row r="1221" spans="1:10">
      <c r="A1221" s="159" t="str">
        <f t="shared" si="96"/>
        <v>$K$1:$K$92</v>
      </c>
      <c r="B1221" s="159" t="str">
        <f t="shared" si="97"/>
        <v>$L$1:$L$92</v>
      </c>
      <c r="C1221" s="159" t="str">
        <f t="shared" si="98"/>
        <v>August!$K$1:$K$92</v>
      </c>
      <c r="D1221" s="159" t="str">
        <f t="shared" si="99"/>
        <v>August!$L$1:$L$92</v>
      </c>
      <c r="E1221" t="s">
        <v>4</v>
      </c>
      <c r="F1221" t="s">
        <v>127</v>
      </c>
      <c r="G1221" t="s">
        <v>144</v>
      </c>
      <c r="H1221" t="s">
        <v>21</v>
      </c>
      <c r="I1221" t="e">
        <f t="shared" ca="1" si="95"/>
        <v>#REF!</v>
      </c>
      <c r="J1221" t="str">
        <f>VLOOKUP($G1221,DefinitionArrays!$I$6:$J$12,2,FALSE)</f>
        <v>Workweek</v>
      </c>
    </row>
    <row r="1222" spans="1:10">
      <c r="A1222" s="159" t="str">
        <f t="shared" si="96"/>
        <v>$K$1:$K$92</v>
      </c>
      <c r="B1222" s="159" t="str">
        <f t="shared" si="97"/>
        <v>$L$1:$L$92</v>
      </c>
      <c r="C1222" s="159" t="str">
        <f t="shared" si="98"/>
        <v>August!$K$1:$K$92</v>
      </c>
      <c r="D1222" s="159" t="str">
        <f t="shared" si="99"/>
        <v>August!$L$1:$L$92</v>
      </c>
      <c r="E1222" t="s">
        <v>4</v>
      </c>
      <c r="F1222" t="s">
        <v>127</v>
      </c>
      <c r="G1222" t="s">
        <v>144</v>
      </c>
      <c r="H1222" t="s">
        <v>22</v>
      </c>
      <c r="I1222" t="e">
        <f t="shared" ca="1" si="95"/>
        <v>#REF!</v>
      </c>
      <c r="J1222" t="str">
        <f>VLOOKUP($G1222,DefinitionArrays!$I$6:$J$12,2,FALSE)</f>
        <v>Workweek</v>
      </c>
    </row>
    <row r="1223" spans="1:10">
      <c r="A1223" s="159" t="str">
        <f t="shared" si="96"/>
        <v>$K$1:$K$92</v>
      </c>
      <c r="B1223" s="159" t="str">
        <f t="shared" si="97"/>
        <v>$L$1:$L$92</v>
      </c>
      <c r="C1223" s="159" t="str">
        <f t="shared" si="98"/>
        <v>August!$K$1:$K$92</v>
      </c>
      <c r="D1223" s="159" t="str">
        <f t="shared" si="99"/>
        <v>August!$L$1:$L$92</v>
      </c>
      <c r="E1223" t="s">
        <v>4</v>
      </c>
      <c r="F1223" t="s">
        <v>127</v>
      </c>
      <c r="G1223" t="s">
        <v>144</v>
      </c>
      <c r="H1223" t="s">
        <v>23</v>
      </c>
      <c r="I1223" t="e">
        <f t="shared" ca="1" si="95"/>
        <v>#REF!</v>
      </c>
      <c r="J1223" t="str">
        <f>VLOOKUP($G1223,DefinitionArrays!$I$6:$J$12,2,FALSE)</f>
        <v>Workweek</v>
      </c>
    </row>
    <row r="1224" spans="1:10">
      <c r="A1224" s="159" t="str">
        <f t="shared" si="96"/>
        <v>$K$1:$K$92</v>
      </c>
      <c r="B1224" s="159" t="str">
        <f t="shared" si="97"/>
        <v>$L$1:$L$92</v>
      </c>
      <c r="C1224" s="159" t="str">
        <f t="shared" si="98"/>
        <v>August!$K$1:$K$92</v>
      </c>
      <c r="D1224" s="159" t="str">
        <f t="shared" si="99"/>
        <v>August!$L$1:$L$92</v>
      </c>
      <c r="E1224" t="s">
        <v>4</v>
      </c>
      <c r="F1224" t="s">
        <v>127</v>
      </c>
      <c r="G1224" t="s">
        <v>144</v>
      </c>
      <c r="H1224" t="s">
        <v>24</v>
      </c>
      <c r="I1224" t="e">
        <f t="shared" ca="1" si="95"/>
        <v>#REF!</v>
      </c>
      <c r="J1224" t="str">
        <f>VLOOKUP($G1224,DefinitionArrays!$I$6:$J$12,2,FALSE)</f>
        <v>Workweek</v>
      </c>
    </row>
    <row r="1225" spans="1:10">
      <c r="A1225" s="159" t="str">
        <f t="shared" si="96"/>
        <v>$K$1:$K$92</v>
      </c>
      <c r="B1225" s="159" t="str">
        <f t="shared" si="97"/>
        <v>$L$1:$L$92</v>
      </c>
      <c r="C1225" s="159" t="str">
        <f t="shared" si="98"/>
        <v>August!$K$1:$K$92</v>
      </c>
      <c r="D1225" s="159" t="str">
        <f t="shared" si="99"/>
        <v>August!$L$1:$L$92</v>
      </c>
      <c r="E1225" t="s">
        <v>4</v>
      </c>
      <c r="F1225" t="s">
        <v>127</v>
      </c>
      <c r="G1225" t="s">
        <v>144</v>
      </c>
      <c r="H1225" t="s">
        <v>179</v>
      </c>
      <c r="I1225" t="e">
        <f t="shared" ca="1" si="95"/>
        <v>#REF!</v>
      </c>
      <c r="J1225" t="str">
        <f>VLOOKUP($G1225,DefinitionArrays!$I$6:$J$12,2,FALSE)</f>
        <v>Workweek</v>
      </c>
    </row>
    <row r="1226" spans="1:10">
      <c r="A1226" s="159" t="str">
        <f t="shared" si="96"/>
        <v>$K$1:$K$92</v>
      </c>
      <c r="B1226" s="159" t="str">
        <f t="shared" si="97"/>
        <v>$L$1:$L$92</v>
      </c>
      <c r="C1226" s="159" t="str">
        <f t="shared" si="98"/>
        <v>August!$K$1:$K$92</v>
      </c>
      <c r="D1226" s="159" t="str">
        <f t="shared" si="99"/>
        <v>August!$L$1:$L$92</v>
      </c>
      <c r="E1226" t="s">
        <v>4</v>
      </c>
      <c r="F1226" t="s">
        <v>127</v>
      </c>
      <c r="G1226" t="s">
        <v>144</v>
      </c>
      <c r="H1226" t="s">
        <v>180</v>
      </c>
      <c r="I1226" t="e">
        <f t="shared" ca="1" si="95"/>
        <v>#REF!</v>
      </c>
      <c r="J1226" t="str">
        <f>VLOOKUP($G1226,DefinitionArrays!$I$6:$J$12,2,FALSE)</f>
        <v>Workweek</v>
      </c>
    </row>
    <row r="1227" spans="1:10">
      <c r="A1227" s="159" t="str">
        <f t="shared" si="96"/>
        <v>$K$1:$K$92</v>
      </c>
      <c r="B1227" s="159" t="str">
        <f t="shared" si="97"/>
        <v>$L$1:$L$92</v>
      </c>
      <c r="C1227" s="159" t="str">
        <f t="shared" si="98"/>
        <v>August!$K$1:$K$92</v>
      </c>
      <c r="D1227" s="159" t="str">
        <f t="shared" si="99"/>
        <v>August!$L$1:$L$92</v>
      </c>
      <c r="E1227" t="s">
        <v>4</v>
      </c>
      <c r="F1227" t="s">
        <v>127</v>
      </c>
      <c r="G1227" t="s">
        <v>144</v>
      </c>
      <c r="H1227" t="s">
        <v>44</v>
      </c>
      <c r="I1227" t="e">
        <f t="shared" ca="1" si="95"/>
        <v>#REF!</v>
      </c>
      <c r="J1227" t="str">
        <f>VLOOKUP($G1227,DefinitionArrays!$I$6:$J$12,2,FALSE)</f>
        <v>Workweek</v>
      </c>
    </row>
    <row r="1228" spans="1:10">
      <c r="A1228" s="159" t="str">
        <f t="shared" si="96"/>
        <v>$N$1:$N$92</v>
      </c>
      <c r="B1228" s="159" t="str">
        <f t="shared" si="97"/>
        <v>$O$1:$O$92</v>
      </c>
      <c r="C1228" s="159" t="str">
        <f t="shared" si="98"/>
        <v>August!$N$1:$N$92</v>
      </c>
      <c r="D1228" s="159" t="str">
        <f t="shared" si="99"/>
        <v>August!$O$1:$O$92</v>
      </c>
      <c r="E1228" t="s">
        <v>4</v>
      </c>
      <c r="F1228" t="s">
        <v>127</v>
      </c>
      <c r="G1228" t="s">
        <v>145</v>
      </c>
      <c r="H1228" t="s">
        <v>159</v>
      </c>
      <c r="I1228" t="e">
        <f t="shared" ca="1" si="95"/>
        <v>#REF!</v>
      </c>
      <c r="J1228" t="str">
        <f>VLOOKUP($G1228,DefinitionArrays!$I$6:$J$12,2,FALSE)</f>
        <v>Weekend</v>
      </c>
    </row>
    <row r="1229" spans="1:10">
      <c r="A1229" s="159" t="str">
        <f t="shared" si="96"/>
        <v>$N$1:$N$92</v>
      </c>
      <c r="B1229" s="159" t="str">
        <f t="shared" si="97"/>
        <v>$O$1:$O$92</v>
      </c>
      <c r="C1229" s="159" t="str">
        <f t="shared" si="98"/>
        <v>August!$N$1:$N$92</v>
      </c>
      <c r="D1229" s="159" t="str">
        <f t="shared" si="99"/>
        <v>August!$O$1:$O$92</v>
      </c>
      <c r="E1229" t="s">
        <v>4</v>
      </c>
      <c r="F1229" t="s">
        <v>127</v>
      </c>
      <c r="G1229" t="s">
        <v>145</v>
      </c>
      <c r="H1229" t="s">
        <v>18</v>
      </c>
      <c r="I1229" t="e">
        <f t="shared" ca="1" si="95"/>
        <v>#REF!</v>
      </c>
      <c r="J1229" t="str">
        <f>VLOOKUP($G1229,DefinitionArrays!$I$6:$J$12,2,FALSE)</f>
        <v>Weekend</v>
      </c>
    </row>
    <row r="1230" spans="1:10">
      <c r="A1230" s="159" t="str">
        <f t="shared" si="96"/>
        <v>$N$1:$N$92</v>
      </c>
      <c r="B1230" s="159" t="str">
        <f t="shared" si="97"/>
        <v>$O$1:$O$92</v>
      </c>
      <c r="C1230" s="159" t="str">
        <f t="shared" si="98"/>
        <v>August!$N$1:$N$92</v>
      </c>
      <c r="D1230" s="159" t="str">
        <f t="shared" si="99"/>
        <v>August!$O$1:$O$92</v>
      </c>
      <c r="E1230" t="s">
        <v>4</v>
      </c>
      <c r="F1230" t="s">
        <v>127</v>
      </c>
      <c r="G1230" t="s">
        <v>145</v>
      </c>
      <c r="H1230" t="s">
        <v>153</v>
      </c>
      <c r="I1230" t="e">
        <f t="shared" ca="1" si="95"/>
        <v>#REF!</v>
      </c>
      <c r="J1230" t="str">
        <f>VLOOKUP($G1230,DefinitionArrays!$I$6:$J$12,2,FALSE)</f>
        <v>Weekend</v>
      </c>
    </row>
    <row r="1231" spans="1:10">
      <c r="A1231" s="159" t="str">
        <f t="shared" si="96"/>
        <v>$N$1:$N$92</v>
      </c>
      <c r="B1231" s="159" t="str">
        <f t="shared" si="97"/>
        <v>$O$1:$O$92</v>
      </c>
      <c r="C1231" s="159" t="str">
        <f t="shared" si="98"/>
        <v>August!$N$1:$N$92</v>
      </c>
      <c r="D1231" s="159" t="str">
        <f t="shared" si="99"/>
        <v>August!$O$1:$O$92</v>
      </c>
      <c r="E1231" t="s">
        <v>4</v>
      </c>
      <c r="F1231" t="s">
        <v>127</v>
      </c>
      <c r="G1231" t="s">
        <v>145</v>
      </c>
      <c r="H1231" t="s">
        <v>19</v>
      </c>
      <c r="I1231" t="e">
        <f t="shared" ca="1" si="95"/>
        <v>#REF!</v>
      </c>
      <c r="J1231" t="str">
        <f>VLOOKUP($G1231,DefinitionArrays!$I$6:$J$12,2,FALSE)</f>
        <v>Weekend</v>
      </c>
    </row>
    <row r="1232" spans="1:10">
      <c r="A1232" s="159" t="str">
        <f t="shared" si="96"/>
        <v>$N$1:$N$92</v>
      </c>
      <c r="B1232" s="159" t="str">
        <f t="shared" si="97"/>
        <v>$O$1:$O$92</v>
      </c>
      <c r="C1232" s="159" t="str">
        <f t="shared" si="98"/>
        <v>August!$N$1:$N$92</v>
      </c>
      <c r="D1232" s="159" t="str">
        <f t="shared" si="99"/>
        <v>August!$O$1:$O$92</v>
      </c>
      <c r="E1232" t="s">
        <v>4</v>
      </c>
      <c r="F1232" t="s">
        <v>127</v>
      </c>
      <c r="G1232" t="s">
        <v>145</v>
      </c>
      <c r="H1232" t="s">
        <v>20</v>
      </c>
      <c r="I1232" t="e">
        <f t="shared" ca="1" si="95"/>
        <v>#REF!</v>
      </c>
      <c r="J1232" t="str">
        <f>VLOOKUP($G1232,DefinitionArrays!$I$6:$J$12,2,FALSE)</f>
        <v>Weekend</v>
      </c>
    </row>
    <row r="1233" spans="1:10">
      <c r="A1233" s="159" t="str">
        <f t="shared" si="96"/>
        <v>$N$1:$N$92</v>
      </c>
      <c r="B1233" s="159" t="str">
        <f t="shared" si="97"/>
        <v>$O$1:$O$92</v>
      </c>
      <c r="C1233" s="159" t="str">
        <f t="shared" si="98"/>
        <v>August!$N$1:$N$92</v>
      </c>
      <c r="D1233" s="159" t="str">
        <f t="shared" si="99"/>
        <v>August!$O$1:$O$92</v>
      </c>
      <c r="E1233" t="s">
        <v>4</v>
      </c>
      <c r="F1233" t="s">
        <v>127</v>
      </c>
      <c r="G1233" t="s">
        <v>145</v>
      </c>
      <c r="H1233" t="s">
        <v>21</v>
      </c>
      <c r="I1233" t="e">
        <f t="shared" ca="1" si="95"/>
        <v>#REF!</v>
      </c>
      <c r="J1233" t="str">
        <f>VLOOKUP($G1233,DefinitionArrays!$I$6:$J$12,2,FALSE)</f>
        <v>Weekend</v>
      </c>
    </row>
    <row r="1234" spans="1:10">
      <c r="A1234" s="159" t="str">
        <f t="shared" si="96"/>
        <v>$N$1:$N$92</v>
      </c>
      <c r="B1234" s="159" t="str">
        <f t="shared" si="97"/>
        <v>$O$1:$O$92</v>
      </c>
      <c r="C1234" s="159" t="str">
        <f t="shared" si="98"/>
        <v>August!$N$1:$N$92</v>
      </c>
      <c r="D1234" s="159" t="str">
        <f t="shared" si="99"/>
        <v>August!$O$1:$O$92</v>
      </c>
      <c r="E1234" t="s">
        <v>4</v>
      </c>
      <c r="F1234" t="s">
        <v>127</v>
      </c>
      <c r="G1234" t="s">
        <v>145</v>
      </c>
      <c r="H1234" t="s">
        <v>22</v>
      </c>
      <c r="I1234" t="e">
        <f t="shared" ca="1" si="95"/>
        <v>#REF!</v>
      </c>
      <c r="J1234" t="str">
        <f>VLOOKUP($G1234,DefinitionArrays!$I$6:$J$12,2,FALSE)</f>
        <v>Weekend</v>
      </c>
    </row>
    <row r="1235" spans="1:10">
      <c r="A1235" s="159" t="str">
        <f t="shared" si="96"/>
        <v>$N$1:$N$92</v>
      </c>
      <c r="B1235" s="159" t="str">
        <f t="shared" si="97"/>
        <v>$O$1:$O$92</v>
      </c>
      <c r="C1235" s="159" t="str">
        <f t="shared" si="98"/>
        <v>August!$N$1:$N$92</v>
      </c>
      <c r="D1235" s="159" t="str">
        <f t="shared" si="99"/>
        <v>August!$O$1:$O$92</v>
      </c>
      <c r="E1235" t="s">
        <v>4</v>
      </c>
      <c r="F1235" t="s">
        <v>127</v>
      </c>
      <c r="G1235" t="s">
        <v>145</v>
      </c>
      <c r="H1235" t="s">
        <v>23</v>
      </c>
      <c r="I1235" t="e">
        <f t="shared" ca="1" si="95"/>
        <v>#REF!</v>
      </c>
      <c r="J1235" t="str">
        <f>VLOOKUP($G1235,DefinitionArrays!$I$6:$J$12,2,FALSE)</f>
        <v>Weekend</v>
      </c>
    </row>
    <row r="1236" spans="1:10">
      <c r="A1236" s="159" t="str">
        <f t="shared" si="96"/>
        <v>$N$1:$N$92</v>
      </c>
      <c r="B1236" s="159" t="str">
        <f t="shared" si="97"/>
        <v>$O$1:$O$92</v>
      </c>
      <c r="C1236" s="159" t="str">
        <f t="shared" si="98"/>
        <v>August!$N$1:$N$92</v>
      </c>
      <c r="D1236" s="159" t="str">
        <f t="shared" si="99"/>
        <v>August!$O$1:$O$92</v>
      </c>
      <c r="E1236" t="s">
        <v>4</v>
      </c>
      <c r="F1236" t="s">
        <v>127</v>
      </c>
      <c r="G1236" t="s">
        <v>145</v>
      </c>
      <c r="H1236" t="s">
        <v>24</v>
      </c>
      <c r="I1236" t="e">
        <f t="shared" ca="1" si="95"/>
        <v>#REF!</v>
      </c>
      <c r="J1236" t="str">
        <f>VLOOKUP($G1236,DefinitionArrays!$I$6:$J$12,2,FALSE)</f>
        <v>Weekend</v>
      </c>
    </row>
    <row r="1237" spans="1:10">
      <c r="A1237" s="159" t="str">
        <f t="shared" si="96"/>
        <v>$N$1:$N$92</v>
      </c>
      <c r="B1237" s="159" t="str">
        <f t="shared" si="97"/>
        <v>$O$1:$O$92</v>
      </c>
      <c r="C1237" s="159" t="str">
        <f t="shared" si="98"/>
        <v>August!$N$1:$N$92</v>
      </c>
      <c r="D1237" s="159" t="str">
        <f t="shared" si="99"/>
        <v>August!$O$1:$O$92</v>
      </c>
      <c r="E1237" t="s">
        <v>4</v>
      </c>
      <c r="F1237" t="s">
        <v>127</v>
      </c>
      <c r="G1237" t="s">
        <v>145</v>
      </c>
      <c r="H1237" t="s">
        <v>179</v>
      </c>
      <c r="I1237" t="e">
        <f t="shared" ca="1" si="95"/>
        <v>#REF!</v>
      </c>
      <c r="J1237" t="str">
        <f>VLOOKUP($G1237,DefinitionArrays!$I$6:$J$12,2,FALSE)</f>
        <v>Weekend</v>
      </c>
    </row>
    <row r="1238" spans="1:10">
      <c r="A1238" s="159" t="str">
        <f t="shared" si="96"/>
        <v>$N$1:$N$92</v>
      </c>
      <c r="B1238" s="159" t="str">
        <f t="shared" si="97"/>
        <v>$O$1:$O$92</v>
      </c>
      <c r="C1238" s="159" t="str">
        <f t="shared" si="98"/>
        <v>August!$N$1:$N$92</v>
      </c>
      <c r="D1238" s="159" t="str">
        <f t="shared" si="99"/>
        <v>August!$O$1:$O$92</v>
      </c>
      <c r="E1238" t="s">
        <v>4</v>
      </c>
      <c r="F1238" t="s">
        <v>127</v>
      </c>
      <c r="G1238" t="s">
        <v>145</v>
      </c>
      <c r="H1238" t="s">
        <v>180</v>
      </c>
      <c r="I1238" t="e">
        <f t="shared" ca="1" si="95"/>
        <v>#REF!</v>
      </c>
      <c r="J1238" t="str">
        <f>VLOOKUP($G1238,DefinitionArrays!$I$6:$J$12,2,FALSE)</f>
        <v>Weekend</v>
      </c>
    </row>
    <row r="1239" spans="1:10">
      <c r="A1239" s="159" t="str">
        <f t="shared" si="96"/>
        <v>$N$1:$N$92</v>
      </c>
      <c r="B1239" s="159" t="str">
        <f t="shared" si="97"/>
        <v>$O$1:$O$92</v>
      </c>
      <c r="C1239" s="159" t="str">
        <f t="shared" si="98"/>
        <v>August!$N$1:$N$92</v>
      </c>
      <c r="D1239" s="159" t="str">
        <f t="shared" si="99"/>
        <v>August!$O$1:$O$92</v>
      </c>
      <c r="E1239" t="s">
        <v>4</v>
      </c>
      <c r="F1239" t="s">
        <v>127</v>
      </c>
      <c r="G1239" t="s">
        <v>145</v>
      </c>
      <c r="H1239" t="s">
        <v>44</v>
      </c>
      <c r="I1239" t="e">
        <f t="shared" ca="1" si="95"/>
        <v>#REF!</v>
      </c>
      <c r="J1239" t="str">
        <f>VLOOKUP($G1239,DefinitionArrays!$I$6:$J$12,2,FALSE)</f>
        <v>Weekend</v>
      </c>
    </row>
    <row r="1240" spans="1:10">
      <c r="A1240" s="159" t="str">
        <f t="shared" si="96"/>
        <v>$Q$1:$Q$92</v>
      </c>
      <c r="B1240" s="159" t="str">
        <f t="shared" si="97"/>
        <v>$R$1:$R$92</v>
      </c>
      <c r="C1240" s="159" t="str">
        <f t="shared" si="98"/>
        <v>August!$Q$1:$Q$92</v>
      </c>
      <c r="D1240" s="159" t="str">
        <f t="shared" si="99"/>
        <v>August!$R$1:$R$92</v>
      </c>
      <c r="E1240" t="s">
        <v>4</v>
      </c>
      <c r="F1240" t="s">
        <v>127</v>
      </c>
      <c r="G1240" t="s">
        <v>146</v>
      </c>
      <c r="H1240" t="s">
        <v>159</v>
      </c>
      <c r="I1240" t="e">
        <f t="shared" ca="1" si="95"/>
        <v>#REF!</v>
      </c>
      <c r="J1240" t="str">
        <f>VLOOKUP($G1240,DefinitionArrays!$I$6:$J$12,2,FALSE)</f>
        <v>Weekend</v>
      </c>
    </row>
    <row r="1241" spans="1:10">
      <c r="A1241" s="159" t="str">
        <f t="shared" si="96"/>
        <v>$T$1:$T$92</v>
      </c>
      <c r="B1241" s="159" t="str">
        <f t="shared" si="97"/>
        <v>$U$1:$U$92</v>
      </c>
      <c r="C1241" s="159" t="str">
        <f t="shared" si="98"/>
        <v>August!$T$1:$T$92</v>
      </c>
      <c r="D1241" s="159" t="str">
        <f t="shared" si="99"/>
        <v>August!$U$1:$U$92</v>
      </c>
      <c r="E1241" t="s">
        <v>4</v>
      </c>
      <c r="F1241" t="s">
        <v>127</v>
      </c>
      <c r="G1241" t="s">
        <v>141</v>
      </c>
      <c r="H1241" t="s">
        <v>159</v>
      </c>
      <c r="I1241" t="e">
        <f t="shared" ca="1" si="95"/>
        <v>#REF!</v>
      </c>
      <c r="J1241" t="str">
        <f>VLOOKUP($G1241,DefinitionArrays!$I$6:$J$12,2,FALSE)</f>
        <v>Weekend</v>
      </c>
    </row>
    <row r="1242" spans="1:10">
      <c r="A1242" s="159" t="str">
        <f t="shared" si="96"/>
        <v>$B$1:$B$92</v>
      </c>
      <c r="B1242" s="159" t="str">
        <f t="shared" si="97"/>
        <v>$C$1:$C$92</v>
      </c>
      <c r="C1242" s="159" t="str">
        <f t="shared" si="98"/>
        <v>September!$B$1:$B$92</v>
      </c>
      <c r="D1242" s="159" t="str">
        <f t="shared" si="99"/>
        <v>September!$C$1:$C$92</v>
      </c>
      <c r="E1242" t="s">
        <v>4</v>
      </c>
      <c r="F1242" t="s">
        <v>128</v>
      </c>
      <c r="G1242" t="s">
        <v>13</v>
      </c>
      <c r="H1242" t="s">
        <v>159</v>
      </c>
      <c r="I1242" t="e">
        <f ca="1">COUNTIFS(INDIRECT($C1242),$E1242,INDIRECT($D1242),$H1242)</f>
        <v>#REF!</v>
      </c>
      <c r="J1242" t="str">
        <f>VLOOKUP($G1242,DefinitionArrays!$I$6:$J$12,2,FALSE)</f>
        <v>Workweek</v>
      </c>
    </row>
    <row r="1243" spans="1:10">
      <c r="A1243" s="159" t="str">
        <f t="shared" si="96"/>
        <v>$B$1:$B$92</v>
      </c>
      <c r="B1243" s="159" t="str">
        <f t="shared" si="97"/>
        <v>$C$1:$C$92</v>
      </c>
      <c r="C1243" s="159" t="str">
        <f t="shared" si="98"/>
        <v>September!$B$1:$B$92</v>
      </c>
      <c r="D1243" s="159" t="str">
        <f t="shared" si="99"/>
        <v>September!$C$1:$C$92</v>
      </c>
      <c r="E1243" t="s">
        <v>4</v>
      </c>
      <c r="F1243" t="s">
        <v>128</v>
      </c>
      <c r="G1243" t="s">
        <v>13</v>
      </c>
      <c r="H1243" t="s">
        <v>18</v>
      </c>
      <c r="I1243" t="e">
        <f t="shared" ref="I1243:I1303" ca="1" si="100">COUNTIFS(INDIRECT($C1243),$E1243,INDIRECT($D1243),$H1243)</f>
        <v>#REF!</v>
      </c>
      <c r="J1243" t="str">
        <f>VLOOKUP($G1243,DefinitionArrays!$I$6:$J$12,2,FALSE)</f>
        <v>Workweek</v>
      </c>
    </row>
    <row r="1244" spans="1:10">
      <c r="A1244" s="159" t="str">
        <f t="shared" si="96"/>
        <v>$B$1:$B$92</v>
      </c>
      <c r="B1244" s="159" t="str">
        <f t="shared" si="97"/>
        <v>$C$1:$C$92</v>
      </c>
      <c r="C1244" s="159" t="str">
        <f t="shared" si="98"/>
        <v>September!$B$1:$B$92</v>
      </c>
      <c r="D1244" s="159" t="str">
        <f t="shared" si="99"/>
        <v>September!$C$1:$C$92</v>
      </c>
      <c r="E1244" t="s">
        <v>4</v>
      </c>
      <c r="F1244" t="s">
        <v>128</v>
      </c>
      <c r="G1244" t="s">
        <v>13</v>
      </c>
      <c r="H1244" t="s">
        <v>153</v>
      </c>
      <c r="I1244" t="e">
        <f t="shared" ca="1" si="100"/>
        <v>#REF!</v>
      </c>
      <c r="J1244" t="str">
        <f>VLOOKUP($G1244,DefinitionArrays!$I$6:$J$12,2,FALSE)</f>
        <v>Workweek</v>
      </c>
    </row>
    <row r="1245" spans="1:10">
      <c r="A1245" s="159" t="str">
        <f t="shared" si="96"/>
        <v>$B$1:$B$92</v>
      </c>
      <c r="B1245" s="159" t="str">
        <f t="shared" si="97"/>
        <v>$C$1:$C$92</v>
      </c>
      <c r="C1245" s="159" t="str">
        <f t="shared" si="98"/>
        <v>September!$B$1:$B$92</v>
      </c>
      <c r="D1245" s="159" t="str">
        <f t="shared" si="99"/>
        <v>September!$C$1:$C$92</v>
      </c>
      <c r="E1245" t="s">
        <v>4</v>
      </c>
      <c r="F1245" t="s">
        <v>128</v>
      </c>
      <c r="G1245" t="s">
        <v>13</v>
      </c>
      <c r="H1245" t="s">
        <v>19</v>
      </c>
      <c r="I1245" t="e">
        <f t="shared" ca="1" si="100"/>
        <v>#REF!</v>
      </c>
      <c r="J1245" t="str">
        <f>VLOOKUP($G1245,DefinitionArrays!$I$6:$J$12,2,FALSE)</f>
        <v>Workweek</v>
      </c>
    </row>
    <row r="1246" spans="1:10">
      <c r="A1246" s="159" t="str">
        <f t="shared" si="96"/>
        <v>$B$1:$B$92</v>
      </c>
      <c r="B1246" s="159" t="str">
        <f t="shared" si="97"/>
        <v>$C$1:$C$92</v>
      </c>
      <c r="C1246" s="159" t="str">
        <f t="shared" si="98"/>
        <v>September!$B$1:$B$92</v>
      </c>
      <c r="D1246" s="159" t="str">
        <f t="shared" si="99"/>
        <v>September!$C$1:$C$92</v>
      </c>
      <c r="E1246" t="s">
        <v>4</v>
      </c>
      <c r="F1246" t="s">
        <v>128</v>
      </c>
      <c r="G1246" t="s">
        <v>13</v>
      </c>
      <c r="H1246" t="s">
        <v>20</v>
      </c>
      <c r="I1246" t="e">
        <f t="shared" ca="1" si="100"/>
        <v>#REF!</v>
      </c>
      <c r="J1246" t="str">
        <f>VLOOKUP($G1246,DefinitionArrays!$I$6:$J$12,2,FALSE)</f>
        <v>Workweek</v>
      </c>
    </row>
    <row r="1247" spans="1:10">
      <c r="A1247" s="159" t="str">
        <f t="shared" si="96"/>
        <v>$B$1:$B$92</v>
      </c>
      <c r="B1247" s="159" t="str">
        <f t="shared" si="97"/>
        <v>$C$1:$C$92</v>
      </c>
      <c r="C1247" s="159" t="str">
        <f t="shared" si="98"/>
        <v>September!$B$1:$B$92</v>
      </c>
      <c r="D1247" s="159" t="str">
        <f t="shared" si="99"/>
        <v>September!$C$1:$C$92</v>
      </c>
      <c r="E1247" t="s">
        <v>4</v>
      </c>
      <c r="F1247" t="s">
        <v>128</v>
      </c>
      <c r="G1247" t="s">
        <v>13</v>
      </c>
      <c r="H1247" t="s">
        <v>21</v>
      </c>
      <c r="I1247" t="e">
        <f t="shared" ca="1" si="100"/>
        <v>#REF!</v>
      </c>
      <c r="J1247" t="str">
        <f>VLOOKUP($G1247,DefinitionArrays!$I$6:$J$12,2,FALSE)</f>
        <v>Workweek</v>
      </c>
    </row>
    <row r="1248" spans="1:10">
      <c r="A1248" s="159" t="str">
        <f t="shared" si="96"/>
        <v>$B$1:$B$92</v>
      </c>
      <c r="B1248" s="159" t="str">
        <f t="shared" si="97"/>
        <v>$C$1:$C$92</v>
      </c>
      <c r="C1248" s="159" t="str">
        <f t="shared" si="98"/>
        <v>September!$B$1:$B$92</v>
      </c>
      <c r="D1248" s="159" t="str">
        <f t="shared" si="99"/>
        <v>September!$C$1:$C$92</v>
      </c>
      <c r="E1248" t="s">
        <v>4</v>
      </c>
      <c r="F1248" t="s">
        <v>128</v>
      </c>
      <c r="G1248" t="s">
        <v>13</v>
      </c>
      <c r="H1248" t="s">
        <v>22</v>
      </c>
      <c r="I1248" t="e">
        <f t="shared" ca="1" si="100"/>
        <v>#REF!</v>
      </c>
      <c r="J1248" t="str">
        <f>VLOOKUP($G1248,DefinitionArrays!$I$6:$J$12,2,FALSE)</f>
        <v>Workweek</v>
      </c>
    </row>
    <row r="1249" spans="1:10">
      <c r="A1249" s="159" t="str">
        <f t="shared" si="96"/>
        <v>$B$1:$B$92</v>
      </c>
      <c r="B1249" s="159" t="str">
        <f t="shared" si="97"/>
        <v>$C$1:$C$92</v>
      </c>
      <c r="C1249" s="159" t="str">
        <f t="shared" si="98"/>
        <v>September!$B$1:$B$92</v>
      </c>
      <c r="D1249" s="159" t="str">
        <f t="shared" si="99"/>
        <v>September!$C$1:$C$92</v>
      </c>
      <c r="E1249" t="s">
        <v>4</v>
      </c>
      <c r="F1249" t="s">
        <v>128</v>
      </c>
      <c r="G1249" t="s">
        <v>13</v>
      </c>
      <c r="H1249" t="s">
        <v>23</v>
      </c>
      <c r="I1249" t="e">
        <f t="shared" ca="1" si="100"/>
        <v>#REF!</v>
      </c>
      <c r="J1249" t="str">
        <f>VLOOKUP($G1249,DefinitionArrays!$I$6:$J$12,2,FALSE)</f>
        <v>Workweek</v>
      </c>
    </row>
    <row r="1250" spans="1:10">
      <c r="A1250" s="159" t="str">
        <f t="shared" si="96"/>
        <v>$B$1:$B$92</v>
      </c>
      <c r="B1250" s="159" t="str">
        <f t="shared" si="97"/>
        <v>$C$1:$C$92</v>
      </c>
      <c r="C1250" s="159" t="str">
        <f t="shared" si="98"/>
        <v>September!$B$1:$B$92</v>
      </c>
      <c r="D1250" s="159" t="str">
        <f t="shared" si="99"/>
        <v>September!$C$1:$C$92</v>
      </c>
      <c r="E1250" t="s">
        <v>4</v>
      </c>
      <c r="F1250" t="s">
        <v>128</v>
      </c>
      <c r="G1250" t="s">
        <v>13</v>
      </c>
      <c r="H1250" t="s">
        <v>24</v>
      </c>
      <c r="I1250" t="e">
        <f t="shared" ca="1" si="100"/>
        <v>#REF!</v>
      </c>
      <c r="J1250" t="str">
        <f>VLOOKUP($G1250,DefinitionArrays!$I$6:$J$12,2,FALSE)</f>
        <v>Workweek</v>
      </c>
    </row>
    <row r="1251" spans="1:10">
      <c r="A1251" s="159" t="str">
        <f t="shared" si="96"/>
        <v>$B$1:$B$92</v>
      </c>
      <c r="B1251" s="159" t="str">
        <f t="shared" si="97"/>
        <v>$C$1:$C$92</v>
      </c>
      <c r="C1251" s="159" t="str">
        <f t="shared" si="98"/>
        <v>September!$B$1:$B$92</v>
      </c>
      <c r="D1251" s="159" t="str">
        <f t="shared" si="99"/>
        <v>September!$C$1:$C$92</v>
      </c>
      <c r="E1251" t="s">
        <v>4</v>
      </c>
      <c r="F1251" t="s">
        <v>128</v>
      </c>
      <c r="G1251" t="s">
        <v>13</v>
      </c>
      <c r="H1251" t="s">
        <v>179</v>
      </c>
      <c r="I1251" t="e">
        <f t="shared" ca="1" si="100"/>
        <v>#REF!</v>
      </c>
      <c r="J1251" t="str">
        <f>VLOOKUP($G1251,DefinitionArrays!$I$6:$J$12,2,FALSE)</f>
        <v>Workweek</v>
      </c>
    </row>
    <row r="1252" spans="1:10">
      <c r="A1252" s="159" t="str">
        <f t="shared" si="96"/>
        <v>$B$1:$B$92</v>
      </c>
      <c r="B1252" s="159" t="str">
        <f t="shared" si="97"/>
        <v>$C$1:$C$92</v>
      </c>
      <c r="C1252" s="159" t="str">
        <f t="shared" si="98"/>
        <v>September!$B$1:$B$92</v>
      </c>
      <c r="D1252" s="159" t="str">
        <f t="shared" si="99"/>
        <v>September!$C$1:$C$92</v>
      </c>
      <c r="E1252" t="s">
        <v>4</v>
      </c>
      <c r="F1252" t="s">
        <v>128</v>
      </c>
      <c r="G1252" t="s">
        <v>13</v>
      </c>
      <c r="H1252" t="s">
        <v>180</v>
      </c>
      <c r="I1252" t="e">
        <f t="shared" ca="1" si="100"/>
        <v>#REF!</v>
      </c>
      <c r="J1252" t="str">
        <f>VLOOKUP($G1252,DefinitionArrays!$I$6:$J$12,2,FALSE)</f>
        <v>Workweek</v>
      </c>
    </row>
    <row r="1253" spans="1:10">
      <c r="A1253" s="159" t="str">
        <f t="shared" si="96"/>
        <v>$B$1:$B$92</v>
      </c>
      <c r="B1253" s="159" t="str">
        <f t="shared" si="97"/>
        <v>$C$1:$C$92</v>
      </c>
      <c r="C1253" s="159" t="str">
        <f t="shared" si="98"/>
        <v>September!$B$1:$B$92</v>
      </c>
      <c r="D1253" s="159" t="str">
        <f t="shared" si="99"/>
        <v>September!$C$1:$C$92</v>
      </c>
      <c r="E1253" t="s">
        <v>4</v>
      </c>
      <c r="F1253" t="s">
        <v>128</v>
      </c>
      <c r="G1253" t="s">
        <v>13</v>
      </c>
      <c r="H1253" t="s">
        <v>44</v>
      </c>
      <c r="I1253" t="e">
        <f t="shared" ca="1" si="100"/>
        <v>#REF!</v>
      </c>
      <c r="J1253" t="str">
        <f>VLOOKUP($G1253,DefinitionArrays!$I$6:$J$12,2,FALSE)</f>
        <v>Workweek</v>
      </c>
    </row>
    <row r="1254" spans="1:10">
      <c r="A1254" s="159" t="str">
        <f t="shared" si="96"/>
        <v>$E$1:$E$92</v>
      </c>
      <c r="B1254" s="159" t="str">
        <f t="shared" si="97"/>
        <v>$F$1:$F$92</v>
      </c>
      <c r="C1254" s="159" t="str">
        <f t="shared" si="98"/>
        <v>September!$E$1:$E$92</v>
      </c>
      <c r="D1254" s="159" t="str">
        <f t="shared" si="99"/>
        <v>September!$F$1:$F$92</v>
      </c>
      <c r="E1254" t="s">
        <v>4</v>
      </c>
      <c r="F1254" t="s">
        <v>128</v>
      </c>
      <c r="G1254" t="s">
        <v>142</v>
      </c>
      <c r="H1254" t="s">
        <v>159</v>
      </c>
      <c r="I1254" t="e">
        <f t="shared" ca="1" si="100"/>
        <v>#REF!</v>
      </c>
      <c r="J1254" t="str">
        <f>VLOOKUP($G1254,DefinitionArrays!$I$6:$J$12,2,FALSE)</f>
        <v>Workweek</v>
      </c>
    </row>
    <row r="1255" spans="1:10">
      <c r="A1255" s="159" t="str">
        <f t="shared" si="96"/>
        <v>$E$1:$E$92</v>
      </c>
      <c r="B1255" s="159" t="str">
        <f t="shared" si="97"/>
        <v>$F$1:$F$92</v>
      </c>
      <c r="C1255" s="159" t="str">
        <f t="shared" si="98"/>
        <v>September!$E$1:$E$92</v>
      </c>
      <c r="D1255" s="159" t="str">
        <f t="shared" si="99"/>
        <v>September!$F$1:$F$92</v>
      </c>
      <c r="E1255" t="s">
        <v>4</v>
      </c>
      <c r="F1255" t="s">
        <v>128</v>
      </c>
      <c r="G1255" t="s">
        <v>142</v>
      </c>
      <c r="H1255" t="s">
        <v>18</v>
      </c>
      <c r="I1255" t="e">
        <f t="shared" ca="1" si="100"/>
        <v>#REF!</v>
      </c>
      <c r="J1255" t="str">
        <f>VLOOKUP($G1255,DefinitionArrays!$I$6:$J$12,2,FALSE)</f>
        <v>Workweek</v>
      </c>
    </row>
    <row r="1256" spans="1:10">
      <c r="A1256" s="159" t="str">
        <f t="shared" si="96"/>
        <v>$E$1:$E$92</v>
      </c>
      <c r="B1256" s="159" t="str">
        <f t="shared" si="97"/>
        <v>$F$1:$F$92</v>
      </c>
      <c r="C1256" s="159" t="str">
        <f t="shared" si="98"/>
        <v>September!$E$1:$E$92</v>
      </c>
      <c r="D1256" s="159" t="str">
        <f t="shared" si="99"/>
        <v>September!$F$1:$F$92</v>
      </c>
      <c r="E1256" t="s">
        <v>4</v>
      </c>
      <c r="F1256" t="s">
        <v>128</v>
      </c>
      <c r="G1256" t="s">
        <v>142</v>
      </c>
      <c r="H1256" t="s">
        <v>153</v>
      </c>
      <c r="I1256" t="e">
        <f t="shared" ca="1" si="100"/>
        <v>#REF!</v>
      </c>
      <c r="J1256" t="str">
        <f>VLOOKUP($G1256,DefinitionArrays!$I$6:$J$12,2,FALSE)</f>
        <v>Workweek</v>
      </c>
    </row>
    <row r="1257" spans="1:10">
      <c r="A1257" s="159" t="str">
        <f t="shared" si="96"/>
        <v>$E$1:$E$92</v>
      </c>
      <c r="B1257" s="159" t="str">
        <f t="shared" si="97"/>
        <v>$F$1:$F$92</v>
      </c>
      <c r="C1257" s="159" t="str">
        <f t="shared" si="98"/>
        <v>September!$E$1:$E$92</v>
      </c>
      <c r="D1257" s="159" t="str">
        <f t="shared" si="99"/>
        <v>September!$F$1:$F$92</v>
      </c>
      <c r="E1257" t="s">
        <v>4</v>
      </c>
      <c r="F1257" t="s">
        <v>128</v>
      </c>
      <c r="G1257" t="s">
        <v>142</v>
      </c>
      <c r="H1257" t="s">
        <v>19</v>
      </c>
      <c r="I1257" t="e">
        <f t="shared" ca="1" si="100"/>
        <v>#REF!</v>
      </c>
      <c r="J1257" t="str">
        <f>VLOOKUP($G1257,DefinitionArrays!$I$6:$J$12,2,FALSE)</f>
        <v>Workweek</v>
      </c>
    </row>
    <row r="1258" spans="1:10">
      <c r="A1258" s="159" t="str">
        <f t="shared" si="96"/>
        <v>$E$1:$E$92</v>
      </c>
      <c r="B1258" s="159" t="str">
        <f t="shared" si="97"/>
        <v>$F$1:$F$92</v>
      </c>
      <c r="C1258" s="159" t="str">
        <f t="shared" si="98"/>
        <v>September!$E$1:$E$92</v>
      </c>
      <c r="D1258" s="159" t="str">
        <f t="shared" si="99"/>
        <v>September!$F$1:$F$92</v>
      </c>
      <c r="E1258" t="s">
        <v>4</v>
      </c>
      <c r="F1258" t="s">
        <v>128</v>
      </c>
      <c r="G1258" t="s">
        <v>142</v>
      </c>
      <c r="H1258" t="s">
        <v>20</v>
      </c>
      <c r="I1258" t="e">
        <f t="shared" ca="1" si="100"/>
        <v>#REF!</v>
      </c>
      <c r="J1258" t="str">
        <f>VLOOKUP($G1258,DefinitionArrays!$I$6:$J$12,2,FALSE)</f>
        <v>Workweek</v>
      </c>
    </row>
    <row r="1259" spans="1:10">
      <c r="A1259" s="159" t="str">
        <f t="shared" si="96"/>
        <v>$E$1:$E$92</v>
      </c>
      <c r="B1259" s="159" t="str">
        <f t="shared" si="97"/>
        <v>$F$1:$F$92</v>
      </c>
      <c r="C1259" s="159" t="str">
        <f t="shared" si="98"/>
        <v>September!$E$1:$E$92</v>
      </c>
      <c r="D1259" s="159" t="str">
        <f t="shared" si="99"/>
        <v>September!$F$1:$F$92</v>
      </c>
      <c r="E1259" t="s">
        <v>4</v>
      </c>
      <c r="F1259" t="s">
        <v>128</v>
      </c>
      <c r="G1259" t="s">
        <v>142</v>
      </c>
      <c r="H1259" t="s">
        <v>21</v>
      </c>
      <c r="I1259" t="e">
        <f t="shared" ca="1" si="100"/>
        <v>#REF!</v>
      </c>
      <c r="J1259" t="str">
        <f>VLOOKUP($G1259,DefinitionArrays!$I$6:$J$12,2,FALSE)</f>
        <v>Workweek</v>
      </c>
    </row>
    <row r="1260" spans="1:10">
      <c r="A1260" s="159" t="str">
        <f t="shared" si="96"/>
        <v>$E$1:$E$92</v>
      </c>
      <c r="B1260" s="159" t="str">
        <f t="shared" si="97"/>
        <v>$F$1:$F$92</v>
      </c>
      <c r="C1260" s="159" t="str">
        <f t="shared" si="98"/>
        <v>September!$E$1:$E$92</v>
      </c>
      <c r="D1260" s="159" t="str">
        <f t="shared" si="99"/>
        <v>September!$F$1:$F$92</v>
      </c>
      <c r="E1260" t="s">
        <v>4</v>
      </c>
      <c r="F1260" t="s">
        <v>128</v>
      </c>
      <c r="G1260" t="s">
        <v>142</v>
      </c>
      <c r="H1260" t="s">
        <v>22</v>
      </c>
      <c r="I1260" t="e">
        <f t="shared" ca="1" si="100"/>
        <v>#REF!</v>
      </c>
      <c r="J1260" t="str">
        <f>VLOOKUP($G1260,DefinitionArrays!$I$6:$J$12,2,FALSE)</f>
        <v>Workweek</v>
      </c>
    </row>
    <row r="1261" spans="1:10">
      <c r="A1261" s="159" t="str">
        <f t="shared" si="96"/>
        <v>$E$1:$E$92</v>
      </c>
      <c r="B1261" s="159" t="str">
        <f t="shared" si="97"/>
        <v>$F$1:$F$92</v>
      </c>
      <c r="C1261" s="159" t="str">
        <f t="shared" si="98"/>
        <v>September!$E$1:$E$92</v>
      </c>
      <c r="D1261" s="159" t="str">
        <f t="shared" si="99"/>
        <v>September!$F$1:$F$92</v>
      </c>
      <c r="E1261" t="s">
        <v>4</v>
      </c>
      <c r="F1261" t="s">
        <v>128</v>
      </c>
      <c r="G1261" t="s">
        <v>142</v>
      </c>
      <c r="H1261" t="s">
        <v>23</v>
      </c>
      <c r="I1261" t="e">
        <f t="shared" ca="1" si="100"/>
        <v>#REF!</v>
      </c>
      <c r="J1261" t="str">
        <f>VLOOKUP($G1261,DefinitionArrays!$I$6:$J$12,2,FALSE)</f>
        <v>Workweek</v>
      </c>
    </row>
    <row r="1262" spans="1:10">
      <c r="A1262" s="159" t="str">
        <f t="shared" si="96"/>
        <v>$E$1:$E$92</v>
      </c>
      <c r="B1262" s="159" t="str">
        <f t="shared" si="97"/>
        <v>$F$1:$F$92</v>
      </c>
      <c r="C1262" s="159" t="str">
        <f t="shared" si="98"/>
        <v>September!$E$1:$E$92</v>
      </c>
      <c r="D1262" s="159" t="str">
        <f t="shared" si="99"/>
        <v>September!$F$1:$F$92</v>
      </c>
      <c r="E1262" t="s">
        <v>4</v>
      </c>
      <c r="F1262" t="s">
        <v>128</v>
      </c>
      <c r="G1262" t="s">
        <v>142</v>
      </c>
      <c r="H1262" t="s">
        <v>24</v>
      </c>
      <c r="I1262" t="e">
        <f t="shared" ca="1" si="100"/>
        <v>#REF!</v>
      </c>
      <c r="J1262" t="str">
        <f>VLOOKUP($G1262,DefinitionArrays!$I$6:$J$12,2,FALSE)</f>
        <v>Workweek</v>
      </c>
    </row>
    <row r="1263" spans="1:10">
      <c r="A1263" s="159" t="str">
        <f t="shared" si="96"/>
        <v>$E$1:$E$92</v>
      </c>
      <c r="B1263" s="159" t="str">
        <f t="shared" si="97"/>
        <v>$F$1:$F$92</v>
      </c>
      <c r="C1263" s="159" t="str">
        <f t="shared" si="98"/>
        <v>September!$E$1:$E$92</v>
      </c>
      <c r="D1263" s="159" t="str">
        <f t="shared" si="99"/>
        <v>September!$F$1:$F$92</v>
      </c>
      <c r="E1263" t="s">
        <v>4</v>
      </c>
      <c r="F1263" t="s">
        <v>128</v>
      </c>
      <c r="G1263" t="s">
        <v>142</v>
      </c>
      <c r="H1263" t="s">
        <v>179</v>
      </c>
      <c r="I1263" t="e">
        <f t="shared" ca="1" si="100"/>
        <v>#REF!</v>
      </c>
      <c r="J1263" t="str">
        <f>VLOOKUP($G1263,DefinitionArrays!$I$6:$J$12,2,FALSE)</f>
        <v>Workweek</v>
      </c>
    </row>
    <row r="1264" spans="1:10">
      <c r="A1264" s="159" t="str">
        <f t="shared" si="96"/>
        <v>$E$1:$E$92</v>
      </c>
      <c r="B1264" s="159" t="str">
        <f t="shared" si="97"/>
        <v>$F$1:$F$92</v>
      </c>
      <c r="C1264" s="159" t="str">
        <f t="shared" si="98"/>
        <v>September!$E$1:$E$92</v>
      </c>
      <c r="D1264" s="159" t="str">
        <f t="shared" si="99"/>
        <v>September!$F$1:$F$92</v>
      </c>
      <c r="E1264" t="s">
        <v>4</v>
      </c>
      <c r="F1264" t="s">
        <v>128</v>
      </c>
      <c r="G1264" t="s">
        <v>142</v>
      </c>
      <c r="H1264" t="s">
        <v>180</v>
      </c>
      <c r="I1264" t="e">
        <f t="shared" ca="1" si="100"/>
        <v>#REF!</v>
      </c>
      <c r="J1264" t="str">
        <f>VLOOKUP($G1264,DefinitionArrays!$I$6:$J$12,2,FALSE)</f>
        <v>Workweek</v>
      </c>
    </row>
    <row r="1265" spans="1:10">
      <c r="A1265" s="159" t="str">
        <f t="shared" si="96"/>
        <v>$E$1:$E$92</v>
      </c>
      <c r="B1265" s="159" t="str">
        <f t="shared" si="97"/>
        <v>$F$1:$F$92</v>
      </c>
      <c r="C1265" s="159" t="str">
        <f t="shared" si="98"/>
        <v>September!$E$1:$E$92</v>
      </c>
      <c r="D1265" s="159" t="str">
        <f t="shared" si="99"/>
        <v>September!$F$1:$F$92</v>
      </c>
      <c r="E1265" t="s">
        <v>4</v>
      </c>
      <c r="F1265" t="s">
        <v>128</v>
      </c>
      <c r="G1265" t="s">
        <v>142</v>
      </c>
      <c r="H1265" t="s">
        <v>44</v>
      </c>
      <c r="I1265" t="e">
        <f t="shared" ca="1" si="100"/>
        <v>#REF!</v>
      </c>
      <c r="J1265" t="str">
        <f>VLOOKUP($G1265,DefinitionArrays!$I$6:$J$12,2,FALSE)</f>
        <v>Workweek</v>
      </c>
    </row>
    <row r="1266" spans="1:10">
      <c r="A1266" s="159" t="str">
        <f t="shared" si="96"/>
        <v>$H$1:$H$92</v>
      </c>
      <c r="B1266" s="159" t="str">
        <f t="shared" si="97"/>
        <v>$I$1:$I$92</v>
      </c>
      <c r="C1266" s="159" t="str">
        <f t="shared" si="98"/>
        <v>September!$H$1:$H$92</v>
      </c>
      <c r="D1266" s="159" t="str">
        <f t="shared" si="99"/>
        <v>September!$I$1:$I$92</v>
      </c>
      <c r="E1266" t="s">
        <v>4</v>
      </c>
      <c r="F1266" t="s">
        <v>128</v>
      </c>
      <c r="G1266" t="s">
        <v>143</v>
      </c>
      <c r="H1266" t="s">
        <v>159</v>
      </c>
      <c r="I1266" t="e">
        <f t="shared" ca="1" si="100"/>
        <v>#REF!</v>
      </c>
      <c r="J1266" t="str">
        <f>VLOOKUP($G1266,DefinitionArrays!$I$6:$J$12,2,FALSE)</f>
        <v>Workweek</v>
      </c>
    </row>
    <row r="1267" spans="1:10">
      <c r="A1267" s="159" t="str">
        <f t="shared" si="96"/>
        <v>$H$1:$H$92</v>
      </c>
      <c r="B1267" s="159" t="str">
        <f t="shared" si="97"/>
        <v>$I$1:$I$92</v>
      </c>
      <c r="C1267" s="159" t="str">
        <f t="shared" si="98"/>
        <v>September!$H$1:$H$92</v>
      </c>
      <c r="D1267" s="159" t="str">
        <f t="shared" si="99"/>
        <v>September!$I$1:$I$92</v>
      </c>
      <c r="E1267" t="s">
        <v>4</v>
      </c>
      <c r="F1267" t="s">
        <v>128</v>
      </c>
      <c r="G1267" t="s">
        <v>143</v>
      </c>
      <c r="H1267" t="s">
        <v>18</v>
      </c>
      <c r="I1267" t="e">
        <f t="shared" ca="1" si="100"/>
        <v>#REF!</v>
      </c>
      <c r="J1267" t="str">
        <f>VLOOKUP($G1267,DefinitionArrays!$I$6:$J$12,2,FALSE)</f>
        <v>Workweek</v>
      </c>
    </row>
    <row r="1268" spans="1:10">
      <c r="A1268" s="159" t="str">
        <f t="shared" si="96"/>
        <v>$H$1:$H$92</v>
      </c>
      <c r="B1268" s="159" t="str">
        <f t="shared" si="97"/>
        <v>$I$1:$I$92</v>
      </c>
      <c r="C1268" s="159" t="str">
        <f t="shared" si="98"/>
        <v>September!$H$1:$H$92</v>
      </c>
      <c r="D1268" s="159" t="str">
        <f t="shared" si="99"/>
        <v>September!$I$1:$I$92</v>
      </c>
      <c r="E1268" t="s">
        <v>4</v>
      </c>
      <c r="F1268" t="s">
        <v>128</v>
      </c>
      <c r="G1268" t="s">
        <v>143</v>
      </c>
      <c r="H1268" t="s">
        <v>153</v>
      </c>
      <c r="I1268" t="e">
        <f t="shared" ca="1" si="100"/>
        <v>#REF!</v>
      </c>
      <c r="J1268" t="str">
        <f>VLOOKUP($G1268,DefinitionArrays!$I$6:$J$12,2,FALSE)</f>
        <v>Workweek</v>
      </c>
    </row>
    <row r="1269" spans="1:10">
      <c r="A1269" s="159" t="str">
        <f t="shared" si="96"/>
        <v>$H$1:$H$92</v>
      </c>
      <c r="B1269" s="159" t="str">
        <f t="shared" si="97"/>
        <v>$I$1:$I$92</v>
      </c>
      <c r="C1269" s="159" t="str">
        <f t="shared" si="98"/>
        <v>September!$H$1:$H$92</v>
      </c>
      <c r="D1269" s="159" t="str">
        <f t="shared" si="99"/>
        <v>September!$I$1:$I$92</v>
      </c>
      <c r="E1269" t="s">
        <v>4</v>
      </c>
      <c r="F1269" t="s">
        <v>128</v>
      </c>
      <c r="G1269" t="s">
        <v>143</v>
      </c>
      <c r="H1269" t="s">
        <v>19</v>
      </c>
      <c r="I1269" t="e">
        <f t="shared" ca="1" si="100"/>
        <v>#REF!</v>
      </c>
      <c r="J1269" t="str">
        <f>VLOOKUP($G1269,DefinitionArrays!$I$6:$J$12,2,FALSE)</f>
        <v>Workweek</v>
      </c>
    </row>
    <row r="1270" spans="1:10">
      <c r="A1270" s="159" t="str">
        <f t="shared" si="96"/>
        <v>$H$1:$H$92</v>
      </c>
      <c r="B1270" s="159" t="str">
        <f t="shared" si="97"/>
        <v>$I$1:$I$92</v>
      </c>
      <c r="C1270" s="159" t="str">
        <f t="shared" si="98"/>
        <v>September!$H$1:$H$92</v>
      </c>
      <c r="D1270" s="159" t="str">
        <f t="shared" si="99"/>
        <v>September!$I$1:$I$92</v>
      </c>
      <c r="E1270" t="s">
        <v>4</v>
      </c>
      <c r="F1270" t="s">
        <v>128</v>
      </c>
      <c r="G1270" t="s">
        <v>143</v>
      </c>
      <c r="H1270" t="s">
        <v>20</v>
      </c>
      <c r="I1270" t="e">
        <f t="shared" ca="1" si="100"/>
        <v>#REF!</v>
      </c>
      <c r="J1270" t="str">
        <f>VLOOKUP($G1270,DefinitionArrays!$I$6:$J$12,2,FALSE)</f>
        <v>Workweek</v>
      </c>
    </row>
    <row r="1271" spans="1:10">
      <c r="A1271" s="159" t="str">
        <f t="shared" si="96"/>
        <v>$H$1:$H$92</v>
      </c>
      <c r="B1271" s="159" t="str">
        <f t="shared" si="97"/>
        <v>$I$1:$I$92</v>
      </c>
      <c r="C1271" s="159" t="str">
        <f t="shared" si="98"/>
        <v>September!$H$1:$H$92</v>
      </c>
      <c r="D1271" s="159" t="str">
        <f t="shared" si="99"/>
        <v>September!$I$1:$I$92</v>
      </c>
      <c r="E1271" t="s">
        <v>4</v>
      </c>
      <c r="F1271" t="s">
        <v>128</v>
      </c>
      <c r="G1271" t="s">
        <v>143</v>
      </c>
      <c r="H1271" t="s">
        <v>21</v>
      </c>
      <c r="I1271" t="e">
        <f t="shared" ca="1" si="100"/>
        <v>#REF!</v>
      </c>
      <c r="J1271" t="str">
        <f>VLOOKUP($G1271,DefinitionArrays!$I$6:$J$12,2,FALSE)</f>
        <v>Workweek</v>
      </c>
    </row>
    <row r="1272" spans="1:10">
      <c r="A1272" s="159" t="str">
        <f t="shared" si="96"/>
        <v>$H$1:$H$92</v>
      </c>
      <c r="B1272" s="159" t="str">
        <f t="shared" si="97"/>
        <v>$I$1:$I$92</v>
      </c>
      <c r="C1272" s="159" t="str">
        <f t="shared" si="98"/>
        <v>September!$H$1:$H$92</v>
      </c>
      <c r="D1272" s="159" t="str">
        <f t="shared" si="99"/>
        <v>September!$I$1:$I$92</v>
      </c>
      <c r="E1272" t="s">
        <v>4</v>
      </c>
      <c r="F1272" t="s">
        <v>128</v>
      </c>
      <c r="G1272" t="s">
        <v>143</v>
      </c>
      <c r="H1272" t="s">
        <v>22</v>
      </c>
      <c r="I1272" t="e">
        <f t="shared" ca="1" si="100"/>
        <v>#REF!</v>
      </c>
      <c r="J1272" t="str">
        <f>VLOOKUP($G1272,DefinitionArrays!$I$6:$J$12,2,FALSE)</f>
        <v>Workweek</v>
      </c>
    </row>
    <row r="1273" spans="1:10">
      <c r="A1273" s="159" t="str">
        <f t="shared" si="96"/>
        <v>$H$1:$H$92</v>
      </c>
      <c r="B1273" s="159" t="str">
        <f t="shared" si="97"/>
        <v>$I$1:$I$92</v>
      </c>
      <c r="C1273" s="159" t="str">
        <f t="shared" si="98"/>
        <v>September!$H$1:$H$92</v>
      </c>
      <c r="D1273" s="159" t="str">
        <f t="shared" si="99"/>
        <v>September!$I$1:$I$92</v>
      </c>
      <c r="E1273" t="s">
        <v>4</v>
      </c>
      <c r="F1273" t="s">
        <v>128</v>
      </c>
      <c r="G1273" t="s">
        <v>143</v>
      </c>
      <c r="H1273" t="s">
        <v>23</v>
      </c>
      <c r="I1273" t="e">
        <f t="shared" ca="1" si="100"/>
        <v>#REF!</v>
      </c>
      <c r="J1273" t="str">
        <f>VLOOKUP($G1273,DefinitionArrays!$I$6:$J$12,2,FALSE)</f>
        <v>Workweek</v>
      </c>
    </row>
    <row r="1274" spans="1:10">
      <c r="A1274" s="159" t="str">
        <f t="shared" si="96"/>
        <v>$H$1:$H$92</v>
      </c>
      <c r="B1274" s="159" t="str">
        <f t="shared" si="97"/>
        <v>$I$1:$I$92</v>
      </c>
      <c r="C1274" s="159" t="str">
        <f t="shared" si="98"/>
        <v>September!$H$1:$H$92</v>
      </c>
      <c r="D1274" s="159" t="str">
        <f t="shared" si="99"/>
        <v>September!$I$1:$I$92</v>
      </c>
      <c r="E1274" t="s">
        <v>4</v>
      </c>
      <c r="F1274" t="s">
        <v>128</v>
      </c>
      <c r="G1274" t="s">
        <v>143</v>
      </c>
      <c r="H1274" t="s">
        <v>24</v>
      </c>
      <c r="I1274" t="e">
        <f t="shared" ca="1" si="100"/>
        <v>#REF!</v>
      </c>
      <c r="J1274" t="str">
        <f>VLOOKUP($G1274,DefinitionArrays!$I$6:$J$12,2,FALSE)</f>
        <v>Workweek</v>
      </c>
    </row>
    <row r="1275" spans="1:10">
      <c r="A1275" s="159" t="str">
        <f t="shared" si="96"/>
        <v>$H$1:$H$92</v>
      </c>
      <c r="B1275" s="159" t="str">
        <f t="shared" si="97"/>
        <v>$I$1:$I$92</v>
      </c>
      <c r="C1275" s="159" t="str">
        <f t="shared" si="98"/>
        <v>September!$H$1:$H$92</v>
      </c>
      <c r="D1275" s="159" t="str">
        <f t="shared" si="99"/>
        <v>September!$I$1:$I$92</v>
      </c>
      <c r="E1275" t="s">
        <v>4</v>
      </c>
      <c r="F1275" t="s">
        <v>128</v>
      </c>
      <c r="G1275" t="s">
        <v>143</v>
      </c>
      <c r="H1275" t="s">
        <v>179</v>
      </c>
      <c r="I1275" t="e">
        <f t="shared" ca="1" si="100"/>
        <v>#REF!</v>
      </c>
      <c r="J1275" t="str">
        <f>VLOOKUP($G1275,DefinitionArrays!$I$6:$J$12,2,FALSE)</f>
        <v>Workweek</v>
      </c>
    </row>
    <row r="1276" spans="1:10">
      <c r="A1276" s="159" t="str">
        <f t="shared" si="96"/>
        <v>$H$1:$H$92</v>
      </c>
      <c r="B1276" s="159" t="str">
        <f t="shared" si="97"/>
        <v>$I$1:$I$92</v>
      </c>
      <c r="C1276" s="159" t="str">
        <f t="shared" si="98"/>
        <v>September!$H$1:$H$92</v>
      </c>
      <c r="D1276" s="159" t="str">
        <f t="shared" si="99"/>
        <v>September!$I$1:$I$92</v>
      </c>
      <c r="E1276" t="s">
        <v>4</v>
      </c>
      <c r="F1276" t="s">
        <v>128</v>
      </c>
      <c r="G1276" t="s">
        <v>143</v>
      </c>
      <c r="H1276" t="s">
        <v>180</v>
      </c>
      <c r="I1276" t="e">
        <f t="shared" ca="1" si="100"/>
        <v>#REF!</v>
      </c>
      <c r="J1276" t="str">
        <f>VLOOKUP($G1276,DefinitionArrays!$I$6:$J$12,2,FALSE)</f>
        <v>Workweek</v>
      </c>
    </row>
    <row r="1277" spans="1:10">
      <c r="A1277" s="159" t="str">
        <f t="shared" si="96"/>
        <v>$H$1:$H$92</v>
      </c>
      <c r="B1277" s="159" t="str">
        <f t="shared" si="97"/>
        <v>$I$1:$I$92</v>
      </c>
      <c r="C1277" s="159" t="str">
        <f t="shared" si="98"/>
        <v>September!$H$1:$H$92</v>
      </c>
      <c r="D1277" s="159" t="str">
        <f t="shared" si="99"/>
        <v>September!$I$1:$I$92</v>
      </c>
      <c r="E1277" t="s">
        <v>4</v>
      </c>
      <c r="F1277" t="s">
        <v>128</v>
      </c>
      <c r="G1277" t="s">
        <v>143</v>
      </c>
      <c r="H1277" t="s">
        <v>44</v>
      </c>
      <c r="I1277" t="e">
        <f t="shared" ca="1" si="100"/>
        <v>#REF!</v>
      </c>
      <c r="J1277" t="str">
        <f>VLOOKUP($G1277,DefinitionArrays!$I$6:$J$12,2,FALSE)</f>
        <v>Workweek</v>
      </c>
    </row>
    <row r="1278" spans="1:10">
      <c r="A1278" s="159" t="str">
        <f t="shared" si="96"/>
        <v>$K$1:$K$92</v>
      </c>
      <c r="B1278" s="159" t="str">
        <f t="shared" si="97"/>
        <v>$L$1:$L$92</v>
      </c>
      <c r="C1278" s="159" t="str">
        <f t="shared" si="98"/>
        <v>September!$K$1:$K$92</v>
      </c>
      <c r="D1278" s="159" t="str">
        <f t="shared" si="99"/>
        <v>September!$L$1:$L$92</v>
      </c>
      <c r="E1278" t="s">
        <v>4</v>
      </c>
      <c r="F1278" t="s">
        <v>128</v>
      </c>
      <c r="G1278" t="s">
        <v>144</v>
      </c>
      <c r="H1278" t="s">
        <v>159</v>
      </c>
      <c r="I1278" t="e">
        <f t="shared" ca="1" si="100"/>
        <v>#REF!</v>
      </c>
      <c r="J1278" t="str">
        <f>VLOOKUP($G1278,DefinitionArrays!$I$6:$J$12,2,FALSE)</f>
        <v>Workweek</v>
      </c>
    </row>
    <row r="1279" spans="1:10">
      <c r="A1279" s="159" t="str">
        <f t="shared" si="96"/>
        <v>$K$1:$K$92</v>
      </c>
      <c r="B1279" s="159" t="str">
        <f t="shared" si="97"/>
        <v>$L$1:$L$92</v>
      </c>
      <c r="C1279" s="159" t="str">
        <f t="shared" si="98"/>
        <v>September!$K$1:$K$92</v>
      </c>
      <c r="D1279" s="159" t="str">
        <f t="shared" si="99"/>
        <v>September!$L$1:$L$92</v>
      </c>
      <c r="E1279" t="s">
        <v>4</v>
      </c>
      <c r="F1279" t="s">
        <v>128</v>
      </c>
      <c r="G1279" t="s">
        <v>144</v>
      </c>
      <c r="H1279" t="s">
        <v>18</v>
      </c>
      <c r="I1279" t="e">
        <f t="shared" ca="1" si="100"/>
        <v>#REF!</v>
      </c>
      <c r="J1279" t="str">
        <f>VLOOKUP($G1279,DefinitionArrays!$I$6:$J$12,2,FALSE)</f>
        <v>Workweek</v>
      </c>
    </row>
    <row r="1280" spans="1:10">
      <c r="A1280" s="159" t="str">
        <f t="shared" si="96"/>
        <v>$K$1:$K$92</v>
      </c>
      <c r="B1280" s="159" t="str">
        <f t="shared" si="97"/>
        <v>$L$1:$L$92</v>
      </c>
      <c r="C1280" s="159" t="str">
        <f t="shared" si="98"/>
        <v>September!$K$1:$K$92</v>
      </c>
      <c r="D1280" s="159" t="str">
        <f t="shared" si="99"/>
        <v>September!$L$1:$L$92</v>
      </c>
      <c r="E1280" t="s">
        <v>4</v>
      </c>
      <c r="F1280" t="s">
        <v>128</v>
      </c>
      <c r="G1280" t="s">
        <v>144</v>
      </c>
      <c r="H1280" t="s">
        <v>153</v>
      </c>
      <c r="I1280" t="e">
        <f t="shared" ca="1" si="100"/>
        <v>#REF!</v>
      </c>
      <c r="J1280" t="str">
        <f>VLOOKUP($G1280,DefinitionArrays!$I$6:$J$12,2,FALSE)</f>
        <v>Workweek</v>
      </c>
    </row>
    <row r="1281" spans="1:10">
      <c r="A1281" s="159" t="str">
        <f t="shared" si="96"/>
        <v>$K$1:$K$92</v>
      </c>
      <c r="B1281" s="159" t="str">
        <f t="shared" si="97"/>
        <v>$L$1:$L$92</v>
      </c>
      <c r="C1281" s="159" t="str">
        <f t="shared" si="98"/>
        <v>September!$K$1:$K$92</v>
      </c>
      <c r="D1281" s="159" t="str">
        <f t="shared" si="99"/>
        <v>September!$L$1:$L$92</v>
      </c>
      <c r="E1281" t="s">
        <v>4</v>
      </c>
      <c r="F1281" t="s">
        <v>128</v>
      </c>
      <c r="G1281" t="s">
        <v>144</v>
      </c>
      <c r="H1281" t="s">
        <v>19</v>
      </c>
      <c r="I1281" t="e">
        <f t="shared" ca="1" si="100"/>
        <v>#REF!</v>
      </c>
      <c r="J1281" t="str">
        <f>VLOOKUP($G1281,DefinitionArrays!$I$6:$J$12,2,FALSE)</f>
        <v>Workweek</v>
      </c>
    </row>
    <row r="1282" spans="1:10">
      <c r="A1282" s="159" t="str">
        <f t="shared" ref="A1282:A1345" si="101">VLOOKUP($G1282,Fx_Code,2,FALSE)</f>
        <v>$K$1:$K$92</v>
      </c>
      <c r="B1282" s="159" t="str">
        <f t="shared" ref="B1282:B1345" si="102">VLOOKUP($G1282,Fx_Code,3,FALSE)</f>
        <v>$L$1:$L$92</v>
      </c>
      <c r="C1282" s="159" t="str">
        <f t="shared" ref="C1282:C1345" si="103">CONCATENATE($F1282,$K$1,A1282)</f>
        <v>September!$K$1:$K$92</v>
      </c>
      <c r="D1282" s="159" t="str">
        <f t="shared" ref="D1282:D1345" si="104">CONCATENATE($F1282,$K$1,B1282)</f>
        <v>September!$L$1:$L$92</v>
      </c>
      <c r="E1282" t="s">
        <v>4</v>
      </c>
      <c r="F1282" t="s">
        <v>128</v>
      </c>
      <c r="G1282" t="s">
        <v>144</v>
      </c>
      <c r="H1282" t="s">
        <v>20</v>
      </c>
      <c r="I1282" t="e">
        <f t="shared" ca="1" si="100"/>
        <v>#REF!</v>
      </c>
      <c r="J1282" t="str">
        <f>VLOOKUP($G1282,DefinitionArrays!$I$6:$J$12,2,FALSE)</f>
        <v>Workweek</v>
      </c>
    </row>
    <row r="1283" spans="1:10">
      <c r="A1283" s="159" t="str">
        <f t="shared" si="101"/>
        <v>$K$1:$K$92</v>
      </c>
      <c r="B1283" s="159" t="str">
        <f t="shared" si="102"/>
        <v>$L$1:$L$92</v>
      </c>
      <c r="C1283" s="159" t="str">
        <f t="shared" si="103"/>
        <v>September!$K$1:$K$92</v>
      </c>
      <c r="D1283" s="159" t="str">
        <f t="shared" si="104"/>
        <v>September!$L$1:$L$92</v>
      </c>
      <c r="E1283" t="s">
        <v>4</v>
      </c>
      <c r="F1283" t="s">
        <v>128</v>
      </c>
      <c r="G1283" t="s">
        <v>144</v>
      </c>
      <c r="H1283" t="s">
        <v>21</v>
      </c>
      <c r="I1283" t="e">
        <f t="shared" ca="1" si="100"/>
        <v>#REF!</v>
      </c>
      <c r="J1283" t="str">
        <f>VLOOKUP($G1283,DefinitionArrays!$I$6:$J$12,2,FALSE)</f>
        <v>Workweek</v>
      </c>
    </row>
    <row r="1284" spans="1:10">
      <c r="A1284" s="159" t="str">
        <f t="shared" si="101"/>
        <v>$K$1:$K$92</v>
      </c>
      <c r="B1284" s="159" t="str">
        <f t="shared" si="102"/>
        <v>$L$1:$L$92</v>
      </c>
      <c r="C1284" s="159" t="str">
        <f t="shared" si="103"/>
        <v>September!$K$1:$K$92</v>
      </c>
      <c r="D1284" s="159" t="str">
        <f t="shared" si="104"/>
        <v>September!$L$1:$L$92</v>
      </c>
      <c r="E1284" t="s">
        <v>4</v>
      </c>
      <c r="F1284" t="s">
        <v>128</v>
      </c>
      <c r="G1284" t="s">
        <v>144</v>
      </c>
      <c r="H1284" t="s">
        <v>22</v>
      </c>
      <c r="I1284" t="e">
        <f t="shared" ca="1" si="100"/>
        <v>#REF!</v>
      </c>
      <c r="J1284" t="str">
        <f>VLOOKUP($G1284,DefinitionArrays!$I$6:$J$12,2,FALSE)</f>
        <v>Workweek</v>
      </c>
    </row>
    <row r="1285" spans="1:10">
      <c r="A1285" s="159" t="str">
        <f t="shared" si="101"/>
        <v>$K$1:$K$92</v>
      </c>
      <c r="B1285" s="159" t="str">
        <f t="shared" si="102"/>
        <v>$L$1:$L$92</v>
      </c>
      <c r="C1285" s="159" t="str">
        <f t="shared" si="103"/>
        <v>September!$K$1:$K$92</v>
      </c>
      <c r="D1285" s="159" t="str">
        <f t="shared" si="104"/>
        <v>September!$L$1:$L$92</v>
      </c>
      <c r="E1285" t="s">
        <v>4</v>
      </c>
      <c r="F1285" t="s">
        <v>128</v>
      </c>
      <c r="G1285" t="s">
        <v>144</v>
      </c>
      <c r="H1285" t="s">
        <v>23</v>
      </c>
      <c r="I1285" t="e">
        <f t="shared" ca="1" si="100"/>
        <v>#REF!</v>
      </c>
      <c r="J1285" t="str">
        <f>VLOOKUP($G1285,DefinitionArrays!$I$6:$J$12,2,FALSE)</f>
        <v>Workweek</v>
      </c>
    </row>
    <row r="1286" spans="1:10">
      <c r="A1286" s="159" t="str">
        <f t="shared" si="101"/>
        <v>$K$1:$K$92</v>
      </c>
      <c r="B1286" s="159" t="str">
        <f t="shared" si="102"/>
        <v>$L$1:$L$92</v>
      </c>
      <c r="C1286" s="159" t="str">
        <f t="shared" si="103"/>
        <v>September!$K$1:$K$92</v>
      </c>
      <c r="D1286" s="159" t="str">
        <f t="shared" si="104"/>
        <v>September!$L$1:$L$92</v>
      </c>
      <c r="E1286" t="s">
        <v>4</v>
      </c>
      <c r="F1286" t="s">
        <v>128</v>
      </c>
      <c r="G1286" t="s">
        <v>144</v>
      </c>
      <c r="H1286" t="s">
        <v>24</v>
      </c>
      <c r="I1286" t="e">
        <f t="shared" ca="1" si="100"/>
        <v>#REF!</v>
      </c>
      <c r="J1286" t="str">
        <f>VLOOKUP($G1286,DefinitionArrays!$I$6:$J$12,2,FALSE)</f>
        <v>Workweek</v>
      </c>
    </row>
    <row r="1287" spans="1:10">
      <c r="A1287" s="159" t="str">
        <f t="shared" si="101"/>
        <v>$K$1:$K$92</v>
      </c>
      <c r="B1287" s="159" t="str">
        <f t="shared" si="102"/>
        <v>$L$1:$L$92</v>
      </c>
      <c r="C1287" s="159" t="str">
        <f t="shared" si="103"/>
        <v>September!$K$1:$K$92</v>
      </c>
      <c r="D1287" s="159" t="str">
        <f t="shared" si="104"/>
        <v>September!$L$1:$L$92</v>
      </c>
      <c r="E1287" t="s">
        <v>4</v>
      </c>
      <c r="F1287" t="s">
        <v>128</v>
      </c>
      <c r="G1287" t="s">
        <v>144</v>
      </c>
      <c r="H1287" t="s">
        <v>179</v>
      </c>
      <c r="I1287" t="e">
        <f t="shared" ca="1" si="100"/>
        <v>#REF!</v>
      </c>
      <c r="J1287" t="str">
        <f>VLOOKUP($G1287,DefinitionArrays!$I$6:$J$12,2,FALSE)</f>
        <v>Workweek</v>
      </c>
    </row>
    <row r="1288" spans="1:10">
      <c r="A1288" s="159" t="str">
        <f t="shared" si="101"/>
        <v>$K$1:$K$92</v>
      </c>
      <c r="B1288" s="159" t="str">
        <f t="shared" si="102"/>
        <v>$L$1:$L$92</v>
      </c>
      <c r="C1288" s="159" t="str">
        <f t="shared" si="103"/>
        <v>September!$K$1:$K$92</v>
      </c>
      <c r="D1288" s="159" t="str">
        <f t="shared" si="104"/>
        <v>September!$L$1:$L$92</v>
      </c>
      <c r="E1288" t="s">
        <v>4</v>
      </c>
      <c r="F1288" t="s">
        <v>128</v>
      </c>
      <c r="G1288" t="s">
        <v>144</v>
      </c>
      <c r="H1288" t="s">
        <v>180</v>
      </c>
      <c r="I1288" t="e">
        <f t="shared" ca="1" si="100"/>
        <v>#REF!</v>
      </c>
      <c r="J1288" t="str">
        <f>VLOOKUP($G1288,DefinitionArrays!$I$6:$J$12,2,FALSE)</f>
        <v>Workweek</v>
      </c>
    </row>
    <row r="1289" spans="1:10">
      <c r="A1289" s="159" t="str">
        <f t="shared" si="101"/>
        <v>$K$1:$K$92</v>
      </c>
      <c r="B1289" s="159" t="str">
        <f t="shared" si="102"/>
        <v>$L$1:$L$92</v>
      </c>
      <c r="C1289" s="159" t="str">
        <f t="shared" si="103"/>
        <v>September!$K$1:$K$92</v>
      </c>
      <c r="D1289" s="159" t="str">
        <f t="shared" si="104"/>
        <v>September!$L$1:$L$92</v>
      </c>
      <c r="E1289" t="s">
        <v>4</v>
      </c>
      <c r="F1289" t="s">
        <v>128</v>
      </c>
      <c r="G1289" t="s">
        <v>144</v>
      </c>
      <c r="H1289" t="s">
        <v>44</v>
      </c>
      <c r="I1289" t="e">
        <f t="shared" ca="1" si="100"/>
        <v>#REF!</v>
      </c>
      <c r="J1289" t="str">
        <f>VLOOKUP($G1289,DefinitionArrays!$I$6:$J$12,2,FALSE)</f>
        <v>Workweek</v>
      </c>
    </row>
    <row r="1290" spans="1:10">
      <c r="A1290" s="159" t="str">
        <f t="shared" si="101"/>
        <v>$N$1:$N$92</v>
      </c>
      <c r="B1290" s="159" t="str">
        <f t="shared" si="102"/>
        <v>$O$1:$O$92</v>
      </c>
      <c r="C1290" s="159" t="str">
        <f t="shared" si="103"/>
        <v>September!$N$1:$N$92</v>
      </c>
      <c r="D1290" s="159" t="str">
        <f t="shared" si="104"/>
        <v>September!$O$1:$O$92</v>
      </c>
      <c r="E1290" t="s">
        <v>4</v>
      </c>
      <c r="F1290" t="s">
        <v>128</v>
      </c>
      <c r="G1290" t="s">
        <v>145</v>
      </c>
      <c r="H1290" t="s">
        <v>159</v>
      </c>
      <c r="I1290" t="e">
        <f t="shared" ca="1" si="100"/>
        <v>#REF!</v>
      </c>
      <c r="J1290" t="str">
        <f>VLOOKUP($G1290,DefinitionArrays!$I$6:$J$12,2,FALSE)</f>
        <v>Weekend</v>
      </c>
    </row>
    <row r="1291" spans="1:10">
      <c r="A1291" s="159" t="str">
        <f t="shared" si="101"/>
        <v>$N$1:$N$92</v>
      </c>
      <c r="B1291" s="159" t="str">
        <f t="shared" si="102"/>
        <v>$O$1:$O$92</v>
      </c>
      <c r="C1291" s="159" t="str">
        <f t="shared" si="103"/>
        <v>September!$N$1:$N$92</v>
      </c>
      <c r="D1291" s="159" t="str">
        <f t="shared" si="104"/>
        <v>September!$O$1:$O$92</v>
      </c>
      <c r="E1291" t="s">
        <v>4</v>
      </c>
      <c r="F1291" t="s">
        <v>128</v>
      </c>
      <c r="G1291" t="s">
        <v>145</v>
      </c>
      <c r="H1291" t="s">
        <v>18</v>
      </c>
      <c r="I1291" t="e">
        <f t="shared" ca="1" si="100"/>
        <v>#REF!</v>
      </c>
      <c r="J1291" t="str">
        <f>VLOOKUP($G1291,DefinitionArrays!$I$6:$J$12,2,FALSE)</f>
        <v>Weekend</v>
      </c>
    </row>
    <row r="1292" spans="1:10">
      <c r="A1292" s="159" t="str">
        <f t="shared" si="101"/>
        <v>$N$1:$N$92</v>
      </c>
      <c r="B1292" s="159" t="str">
        <f t="shared" si="102"/>
        <v>$O$1:$O$92</v>
      </c>
      <c r="C1292" s="159" t="str">
        <f t="shared" si="103"/>
        <v>September!$N$1:$N$92</v>
      </c>
      <c r="D1292" s="159" t="str">
        <f t="shared" si="104"/>
        <v>September!$O$1:$O$92</v>
      </c>
      <c r="E1292" t="s">
        <v>4</v>
      </c>
      <c r="F1292" t="s">
        <v>128</v>
      </c>
      <c r="G1292" t="s">
        <v>145</v>
      </c>
      <c r="H1292" t="s">
        <v>153</v>
      </c>
      <c r="I1292" t="e">
        <f t="shared" ca="1" si="100"/>
        <v>#REF!</v>
      </c>
      <c r="J1292" t="str">
        <f>VLOOKUP($G1292,DefinitionArrays!$I$6:$J$12,2,FALSE)</f>
        <v>Weekend</v>
      </c>
    </row>
    <row r="1293" spans="1:10">
      <c r="A1293" s="159" t="str">
        <f t="shared" si="101"/>
        <v>$N$1:$N$92</v>
      </c>
      <c r="B1293" s="159" t="str">
        <f t="shared" si="102"/>
        <v>$O$1:$O$92</v>
      </c>
      <c r="C1293" s="159" t="str">
        <f t="shared" si="103"/>
        <v>September!$N$1:$N$92</v>
      </c>
      <c r="D1293" s="159" t="str">
        <f t="shared" si="104"/>
        <v>September!$O$1:$O$92</v>
      </c>
      <c r="E1293" t="s">
        <v>4</v>
      </c>
      <c r="F1293" t="s">
        <v>128</v>
      </c>
      <c r="G1293" t="s">
        <v>145</v>
      </c>
      <c r="H1293" t="s">
        <v>19</v>
      </c>
      <c r="I1293" t="e">
        <f t="shared" ca="1" si="100"/>
        <v>#REF!</v>
      </c>
      <c r="J1293" t="str">
        <f>VLOOKUP($G1293,DefinitionArrays!$I$6:$J$12,2,FALSE)</f>
        <v>Weekend</v>
      </c>
    </row>
    <row r="1294" spans="1:10">
      <c r="A1294" s="159" t="str">
        <f t="shared" si="101"/>
        <v>$N$1:$N$92</v>
      </c>
      <c r="B1294" s="159" t="str">
        <f t="shared" si="102"/>
        <v>$O$1:$O$92</v>
      </c>
      <c r="C1294" s="159" t="str">
        <f t="shared" si="103"/>
        <v>September!$N$1:$N$92</v>
      </c>
      <c r="D1294" s="159" t="str">
        <f t="shared" si="104"/>
        <v>September!$O$1:$O$92</v>
      </c>
      <c r="E1294" t="s">
        <v>4</v>
      </c>
      <c r="F1294" t="s">
        <v>128</v>
      </c>
      <c r="G1294" t="s">
        <v>145</v>
      </c>
      <c r="H1294" t="s">
        <v>20</v>
      </c>
      <c r="I1294" t="e">
        <f t="shared" ca="1" si="100"/>
        <v>#REF!</v>
      </c>
      <c r="J1294" t="str">
        <f>VLOOKUP($G1294,DefinitionArrays!$I$6:$J$12,2,FALSE)</f>
        <v>Weekend</v>
      </c>
    </row>
    <row r="1295" spans="1:10">
      <c r="A1295" s="159" t="str">
        <f t="shared" si="101"/>
        <v>$N$1:$N$92</v>
      </c>
      <c r="B1295" s="159" t="str">
        <f t="shared" si="102"/>
        <v>$O$1:$O$92</v>
      </c>
      <c r="C1295" s="159" t="str">
        <f t="shared" si="103"/>
        <v>September!$N$1:$N$92</v>
      </c>
      <c r="D1295" s="159" t="str">
        <f t="shared" si="104"/>
        <v>September!$O$1:$O$92</v>
      </c>
      <c r="E1295" t="s">
        <v>4</v>
      </c>
      <c r="F1295" t="s">
        <v>128</v>
      </c>
      <c r="G1295" t="s">
        <v>145</v>
      </c>
      <c r="H1295" t="s">
        <v>21</v>
      </c>
      <c r="I1295" t="e">
        <f t="shared" ca="1" si="100"/>
        <v>#REF!</v>
      </c>
      <c r="J1295" t="str">
        <f>VLOOKUP($G1295,DefinitionArrays!$I$6:$J$12,2,FALSE)</f>
        <v>Weekend</v>
      </c>
    </row>
    <row r="1296" spans="1:10">
      <c r="A1296" s="159" t="str">
        <f t="shared" si="101"/>
        <v>$N$1:$N$92</v>
      </c>
      <c r="B1296" s="159" t="str">
        <f t="shared" si="102"/>
        <v>$O$1:$O$92</v>
      </c>
      <c r="C1296" s="159" t="str">
        <f t="shared" si="103"/>
        <v>September!$N$1:$N$92</v>
      </c>
      <c r="D1296" s="159" t="str">
        <f t="shared" si="104"/>
        <v>September!$O$1:$O$92</v>
      </c>
      <c r="E1296" t="s">
        <v>4</v>
      </c>
      <c r="F1296" t="s">
        <v>128</v>
      </c>
      <c r="G1296" t="s">
        <v>145</v>
      </c>
      <c r="H1296" t="s">
        <v>22</v>
      </c>
      <c r="I1296" t="e">
        <f t="shared" ca="1" si="100"/>
        <v>#REF!</v>
      </c>
      <c r="J1296" t="str">
        <f>VLOOKUP($G1296,DefinitionArrays!$I$6:$J$12,2,FALSE)</f>
        <v>Weekend</v>
      </c>
    </row>
    <row r="1297" spans="1:10">
      <c r="A1297" s="159" t="str">
        <f t="shared" si="101"/>
        <v>$N$1:$N$92</v>
      </c>
      <c r="B1297" s="159" t="str">
        <f t="shared" si="102"/>
        <v>$O$1:$O$92</v>
      </c>
      <c r="C1297" s="159" t="str">
        <f t="shared" si="103"/>
        <v>September!$N$1:$N$92</v>
      </c>
      <c r="D1297" s="159" t="str">
        <f t="shared" si="104"/>
        <v>September!$O$1:$O$92</v>
      </c>
      <c r="E1297" t="s">
        <v>4</v>
      </c>
      <c r="F1297" t="s">
        <v>128</v>
      </c>
      <c r="G1297" t="s">
        <v>145</v>
      </c>
      <c r="H1297" t="s">
        <v>23</v>
      </c>
      <c r="I1297" t="e">
        <f t="shared" ca="1" si="100"/>
        <v>#REF!</v>
      </c>
      <c r="J1297" t="str">
        <f>VLOOKUP($G1297,DefinitionArrays!$I$6:$J$12,2,FALSE)</f>
        <v>Weekend</v>
      </c>
    </row>
    <row r="1298" spans="1:10">
      <c r="A1298" s="159" t="str">
        <f t="shared" si="101"/>
        <v>$N$1:$N$92</v>
      </c>
      <c r="B1298" s="159" t="str">
        <f t="shared" si="102"/>
        <v>$O$1:$O$92</v>
      </c>
      <c r="C1298" s="159" t="str">
        <f t="shared" si="103"/>
        <v>September!$N$1:$N$92</v>
      </c>
      <c r="D1298" s="159" t="str">
        <f t="shared" si="104"/>
        <v>September!$O$1:$O$92</v>
      </c>
      <c r="E1298" t="s">
        <v>4</v>
      </c>
      <c r="F1298" t="s">
        <v>128</v>
      </c>
      <c r="G1298" t="s">
        <v>145</v>
      </c>
      <c r="H1298" t="s">
        <v>24</v>
      </c>
      <c r="I1298" t="e">
        <f t="shared" ca="1" si="100"/>
        <v>#REF!</v>
      </c>
      <c r="J1298" t="str">
        <f>VLOOKUP($G1298,DefinitionArrays!$I$6:$J$12,2,FALSE)</f>
        <v>Weekend</v>
      </c>
    </row>
    <row r="1299" spans="1:10">
      <c r="A1299" s="159" t="str">
        <f t="shared" si="101"/>
        <v>$N$1:$N$92</v>
      </c>
      <c r="B1299" s="159" t="str">
        <f t="shared" si="102"/>
        <v>$O$1:$O$92</v>
      </c>
      <c r="C1299" s="159" t="str">
        <f t="shared" si="103"/>
        <v>September!$N$1:$N$92</v>
      </c>
      <c r="D1299" s="159" t="str">
        <f t="shared" si="104"/>
        <v>September!$O$1:$O$92</v>
      </c>
      <c r="E1299" t="s">
        <v>4</v>
      </c>
      <c r="F1299" t="s">
        <v>128</v>
      </c>
      <c r="G1299" t="s">
        <v>145</v>
      </c>
      <c r="H1299" t="s">
        <v>179</v>
      </c>
      <c r="I1299" t="e">
        <f t="shared" ca="1" si="100"/>
        <v>#REF!</v>
      </c>
      <c r="J1299" t="str">
        <f>VLOOKUP($G1299,DefinitionArrays!$I$6:$J$12,2,FALSE)</f>
        <v>Weekend</v>
      </c>
    </row>
    <row r="1300" spans="1:10">
      <c r="A1300" s="159" t="str">
        <f t="shared" si="101"/>
        <v>$N$1:$N$92</v>
      </c>
      <c r="B1300" s="159" t="str">
        <f t="shared" si="102"/>
        <v>$O$1:$O$92</v>
      </c>
      <c r="C1300" s="159" t="str">
        <f t="shared" si="103"/>
        <v>September!$N$1:$N$92</v>
      </c>
      <c r="D1300" s="159" t="str">
        <f t="shared" si="104"/>
        <v>September!$O$1:$O$92</v>
      </c>
      <c r="E1300" t="s">
        <v>4</v>
      </c>
      <c r="F1300" t="s">
        <v>128</v>
      </c>
      <c r="G1300" t="s">
        <v>145</v>
      </c>
      <c r="H1300" t="s">
        <v>180</v>
      </c>
      <c r="I1300" t="e">
        <f t="shared" ca="1" si="100"/>
        <v>#REF!</v>
      </c>
      <c r="J1300" t="str">
        <f>VLOOKUP($G1300,DefinitionArrays!$I$6:$J$12,2,FALSE)</f>
        <v>Weekend</v>
      </c>
    </row>
    <row r="1301" spans="1:10">
      <c r="A1301" s="159" t="str">
        <f t="shared" si="101"/>
        <v>$N$1:$N$92</v>
      </c>
      <c r="B1301" s="159" t="str">
        <f t="shared" si="102"/>
        <v>$O$1:$O$92</v>
      </c>
      <c r="C1301" s="159" t="str">
        <f t="shared" si="103"/>
        <v>September!$N$1:$N$92</v>
      </c>
      <c r="D1301" s="159" t="str">
        <f t="shared" si="104"/>
        <v>September!$O$1:$O$92</v>
      </c>
      <c r="E1301" t="s">
        <v>4</v>
      </c>
      <c r="F1301" t="s">
        <v>128</v>
      </c>
      <c r="G1301" t="s">
        <v>145</v>
      </c>
      <c r="H1301" t="s">
        <v>44</v>
      </c>
      <c r="I1301" t="e">
        <f t="shared" ca="1" si="100"/>
        <v>#REF!</v>
      </c>
      <c r="J1301" t="str">
        <f>VLOOKUP($G1301,DefinitionArrays!$I$6:$J$12,2,FALSE)</f>
        <v>Weekend</v>
      </c>
    </row>
    <row r="1302" spans="1:10">
      <c r="A1302" s="159" t="str">
        <f t="shared" si="101"/>
        <v>$Q$1:$Q$92</v>
      </c>
      <c r="B1302" s="159" t="str">
        <f t="shared" si="102"/>
        <v>$R$1:$R$92</v>
      </c>
      <c r="C1302" s="159" t="str">
        <f t="shared" si="103"/>
        <v>September!$Q$1:$Q$92</v>
      </c>
      <c r="D1302" s="159" t="str">
        <f t="shared" si="104"/>
        <v>September!$R$1:$R$92</v>
      </c>
      <c r="E1302" t="s">
        <v>4</v>
      </c>
      <c r="F1302" t="s">
        <v>128</v>
      </c>
      <c r="G1302" t="s">
        <v>146</v>
      </c>
      <c r="H1302" t="s">
        <v>159</v>
      </c>
      <c r="I1302" t="e">
        <f t="shared" ca="1" si="100"/>
        <v>#REF!</v>
      </c>
      <c r="J1302" t="str">
        <f>VLOOKUP($G1302,DefinitionArrays!$I$6:$J$12,2,FALSE)</f>
        <v>Weekend</v>
      </c>
    </row>
    <row r="1303" spans="1:10">
      <c r="A1303" s="159" t="str">
        <f t="shared" si="101"/>
        <v>$T$1:$T$92</v>
      </c>
      <c r="B1303" s="159" t="str">
        <f t="shared" si="102"/>
        <v>$U$1:$U$92</v>
      </c>
      <c r="C1303" s="159" t="str">
        <f t="shared" si="103"/>
        <v>September!$T$1:$T$92</v>
      </c>
      <c r="D1303" s="159" t="str">
        <f t="shared" si="104"/>
        <v>September!$U$1:$U$92</v>
      </c>
      <c r="E1303" t="s">
        <v>4</v>
      </c>
      <c r="F1303" t="s">
        <v>128</v>
      </c>
      <c r="G1303" t="s">
        <v>141</v>
      </c>
      <c r="H1303" t="s">
        <v>159</v>
      </c>
      <c r="I1303" t="e">
        <f t="shared" ca="1" si="100"/>
        <v>#REF!</v>
      </c>
      <c r="J1303" t="str">
        <f>VLOOKUP($G1303,DefinitionArrays!$I$6:$J$12,2,FALSE)</f>
        <v>Weekend</v>
      </c>
    </row>
    <row r="1304" spans="1:10">
      <c r="A1304" s="159" t="str">
        <f t="shared" si="101"/>
        <v>$B$1:$B$92</v>
      </c>
      <c r="B1304" s="159" t="str">
        <f t="shared" si="102"/>
        <v>$C$1:$C$92</v>
      </c>
      <c r="C1304" s="159" t="str">
        <f t="shared" si="103"/>
        <v>October!$B$1:$B$92</v>
      </c>
      <c r="D1304" s="159" t="str">
        <f t="shared" si="104"/>
        <v>October!$C$1:$C$92</v>
      </c>
      <c r="E1304" t="s">
        <v>4</v>
      </c>
      <c r="F1304" t="s">
        <v>129</v>
      </c>
      <c r="G1304" t="s">
        <v>13</v>
      </c>
      <c r="H1304" t="s">
        <v>159</v>
      </c>
      <c r="I1304" t="e">
        <f ca="1">COUNTIFS(INDIRECT($C1304),$E1304,INDIRECT($D1304),$H1304)</f>
        <v>#REF!</v>
      </c>
      <c r="J1304" t="str">
        <f>VLOOKUP($G1304,DefinitionArrays!$I$6:$J$12,2,FALSE)</f>
        <v>Workweek</v>
      </c>
    </row>
    <row r="1305" spans="1:10">
      <c r="A1305" s="159" t="str">
        <f t="shared" si="101"/>
        <v>$B$1:$B$92</v>
      </c>
      <c r="B1305" s="159" t="str">
        <f t="shared" si="102"/>
        <v>$C$1:$C$92</v>
      </c>
      <c r="C1305" s="159" t="str">
        <f t="shared" si="103"/>
        <v>October!$B$1:$B$92</v>
      </c>
      <c r="D1305" s="159" t="str">
        <f t="shared" si="104"/>
        <v>October!$C$1:$C$92</v>
      </c>
      <c r="E1305" t="s">
        <v>4</v>
      </c>
      <c r="F1305" t="s">
        <v>129</v>
      </c>
      <c r="G1305" t="s">
        <v>13</v>
      </c>
      <c r="H1305" t="s">
        <v>18</v>
      </c>
      <c r="I1305" t="e">
        <f t="shared" ref="I1305:I1365" ca="1" si="105">COUNTIFS(INDIRECT($C1305),$E1305,INDIRECT($D1305),$H1305)</f>
        <v>#REF!</v>
      </c>
      <c r="J1305" t="str">
        <f>VLOOKUP($G1305,DefinitionArrays!$I$6:$J$12,2,FALSE)</f>
        <v>Workweek</v>
      </c>
    </row>
    <row r="1306" spans="1:10">
      <c r="A1306" s="159" t="str">
        <f t="shared" si="101"/>
        <v>$B$1:$B$92</v>
      </c>
      <c r="B1306" s="159" t="str">
        <f t="shared" si="102"/>
        <v>$C$1:$C$92</v>
      </c>
      <c r="C1306" s="159" t="str">
        <f t="shared" si="103"/>
        <v>October!$B$1:$B$92</v>
      </c>
      <c r="D1306" s="159" t="str">
        <f t="shared" si="104"/>
        <v>October!$C$1:$C$92</v>
      </c>
      <c r="E1306" t="s">
        <v>4</v>
      </c>
      <c r="F1306" t="s">
        <v>129</v>
      </c>
      <c r="G1306" t="s">
        <v>13</v>
      </c>
      <c r="H1306" t="s">
        <v>153</v>
      </c>
      <c r="I1306" t="e">
        <f t="shared" ca="1" si="105"/>
        <v>#REF!</v>
      </c>
      <c r="J1306" t="str">
        <f>VLOOKUP($G1306,DefinitionArrays!$I$6:$J$12,2,FALSE)</f>
        <v>Workweek</v>
      </c>
    </row>
    <row r="1307" spans="1:10">
      <c r="A1307" s="159" t="str">
        <f t="shared" si="101"/>
        <v>$B$1:$B$92</v>
      </c>
      <c r="B1307" s="159" t="str">
        <f t="shared" si="102"/>
        <v>$C$1:$C$92</v>
      </c>
      <c r="C1307" s="159" t="str">
        <f t="shared" si="103"/>
        <v>October!$B$1:$B$92</v>
      </c>
      <c r="D1307" s="159" t="str">
        <f t="shared" si="104"/>
        <v>October!$C$1:$C$92</v>
      </c>
      <c r="E1307" t="s">
        <v>4</v>
      </c>
      <c r="F1307" t="s">
        <v>129</v>
      </c>
      <c r="G1307" t="s">
        <v>13</v>
      </c>
      <c r="H1307" t="s">
        <v>19</v>
      </c>
      <c r="I1307" t="e">
        <f t="shared" ca="1" si="105"/>
        <v>#REF!</v>
      </c>
      <c r="J1307" t="str">
        <f>VLOOKUP($G1307,DefinitionArrays!$I$6:$J$12,2,FALSE)</f>
        <v>Workweek</v>
      </c>
    </row>
    <row r="1308" spans="1:10">
      <c r="A1308" s="159" t="str">
        <f t="shared" si="101"/>
        <v>$B$1:$B$92</v>
      </c>
      <c r="B1308" s="159" t="str">
        <f t="shared" si="102"/>
        <v>$C$1:$C$92</v>
      </c>
      <c r="C1308" s="159" t="str">
        <f t="shared" si="103"/>
        <v>October!$B$1:$B$92</v>
      </c>
      <c r="D1308" s="159" t="str">
        <f t="shared" si="104"/>
        <v>October!$C$1:$C$92</v>
      </c>
      <c r="E1308" t="s">
        <v>4</v>
      </c>
      <c r="F1308" t="s">
        <v>129</v>
      </c>
      <c r="G1308" t="s">
        <v>13</v>
      </c>
      <c r="H1308" t="s">
        <v>20</v>
      </c>
      <c r="I1308" t="e">
        <f t="shared" ca="1" si="105"/>
        <v>#REF!</v>
      </c>
      <c r="J1308" t="str">
        <f>VLOOKUP($G1308,DefinitionArrays!$I$6:$J$12,2,FALSE)</f>
        <v>Workweek</v>
      </c>
    </row>
    <row r="1309" spans="1:10">
      <c r="A1309" s="159" t="str">
        <f t="shared" si="101"/>
        <v>$B$1:$B$92</v>
      </c>
      <c r="B1309" s="159" t="str">
        <f t="shared" si="102"/>
        <v>$C$1:$C$92</v>
      </c>
      <c r="C1309" s="159" t="str">
        <f t="shared" si="103"/>
        <v>October!$B$1:$B$92</v>
      </c>
      <c r="D1309" s="159" t="str">
        <f t="shared" si="104"/>
        <v>October!$C$1:$C$92</v>
      </c>
      <c r="E1309" t="s">
        <v>4</v>
      </c>
      <c r="F1309" t="s">
        <v>129</v>
      </c>
      <c r="G1309" t="s">
        <v>13</v>
      </c>
      <c r="H1309" t="s">
        <v>21</v>
      </c>
      <c r="I1309" t="e">
        <f t="shared" ca="1" si="105"/>
        <v>#REF!</v>
      </c>
      <c r="J1309" t="str">
        <f>VLOOKUP($G1309,DefinitionArrays!$I$6:$J$12,2,FALSE)</f>
        <v>Workweek</v>
      </c>
    </row>
    <row r="1310" spans="1:10">
      <c r="A1310" s="159" t="str">
        <f t="shared" si="101"/>
        <v>$B$1:$B$92</v>
      </c>
      <c r="B1310" s="159" t="str">
        <f t="shared" si="102"/>
        <v>$C$1:$C$92</v>
      </c>
      <c r="C1310" s="159" t="str">
        <f t="shared" si="103"/>
        <v>October!$B$1:$B$92</v>
      </c>
      <c r="D1310" s="159" t="str">
        <f t="shared" si="104"/>
        <v>October!$C$1:$C$92</v>
      </c>
      <c r="E1310" t="s">
        <v>4</v>
      </c>
      <c r="F1310" t="s">
        <v>129</v>
      </c>
      <c r="G1310" t="s">
        <v>13</v>
      </c>
      <c r="H1310" t="s">
        <v>22</v>
      </c>
      <c r="I1310" t="e">
        <f t="shared" ca="1" si="105"/>
        <v>#REF!</v>
      </c>
      <c r="J1310" t="str">
        <f>VLOOKUP($G1310,DefinitionArrays!$I$6:$J$12,2,FALSE)</f>
        <v>Workweek</v>
      </c>
    </row>
    <row r="1311" spans="1:10">
      <c r="A1311" s="159" t="str">
        <f t="shared" si="101"/>
        <v>$B$1:$B$92</v>
      </c>
      <c r="B1311" s="159" t="str">
        <f t="shared" si="102"/>
        <v>$C$1:$C$92</v>
      </c>
      <c r="C1311" s="159" t="str">
        <f t="shared" si="103"/>
        <v>October!$B$1:$B$92</v>
      </c>
      <c r="D1311" s="159" t="str">
        <f t="shared" si="104"/>
        <v>October!$C$1:$C$92</v>
      </c>
      <c r="E1311" t="s">
        <v>4</v>
      </c>
      <c r="F1311" t="s">
        <v>129</v>
      </c>
      <c r="G1311" t="s">
        <v>13</v>
      </c>
      <c r="H1311" t="s">
        <v>23</v>
      </c>
      <c r="I1311" t="e">
        <f t="shared" ca="1" si="105"/>
        <v>#REF!</v>
      </c>
      <c r="J1311" t="str">
        <f>VLOOKUP($G1311,DefinitionArrays!$I$6:$J$12,2,FALSE)</f>
        <v>Workweek</v>
      </c>
    </row>
    <row r="1312" spans="1:10">
      <c r="A1312" s="159" t="str">
        <f t="shared" si="101"/>
        <v>$B$1:$B$92</v>
      </c>
      <c r="B1312" s="159" t="str">
        <f t="shared" si="102"/>
        <v>$C$1:$C$92</v>
      </c>
      <c r="C1312" s="159" t="str">
        <f t="shared" si="103"/>
        <v>October!$B$1:$B$92</v>
      </c>
      <c r="D1312" s="159" t="str">
        <f t="shared" si="104"/>
        <v>October!$C$1:$C$92</v>
      </c>
      <c r="E1312" t="s">
        <v>4</v>
      </c>
      <c r="F1312" t="s">
        <v>129</v>
      </c>
      <c r="G1312" t="s">
        <v>13</v>
      </c>
      <c r="H1312" t="s">
        <v>24</v>
      </c>
      <c r="I1312" t="e">
        <f t="shared" ca="1" si="105"/>
        <v>#REF!</v>
      </c>
      <c r="J1312" t="str">
        <f>VLOOKUP($G1312,DefinitionArrays!$I$6:$J$12,2,FALSE)</f>
        <v>Workweek</v>
      </c>
    </row>
    <row r="1313" spans="1:10">
      <c r="A1313" s="159" t="str">
        <f t="shared" si="101"/>
        <v>$B$1:$B$92</v>
      </c>
      <c r="B1313" s="159" t="str">
        <f t="shared" si="102"/>
        <v>$C$1:$C$92</v>
      </c>
      <c r="C1313" s="159" t="str">
        <f t="shared" si="103"/>
        <v>October!$B$1:$B$92</v>
      </c>
      <c r="D1313" s="159" t="str">
        <f t="shared" si="104"/>
        <v>October!$C$1:$C$92</v>
      </c>
      <c r="E1313" t="s">
        <v>4</v>
      </c>
      <c r="F1313" t="s">
        <v>129</v>
      </c>
      <c r="G1313" t="s">
        <v>13</v>
      </c>
      <c r="H1313" t="s">
        <v>179</v>
      </c>
      <c r="I1313" t="e">
        <f t="shared" ca="1" si="105"/>
        <v>#REF!</v>
      </c>
      <c r="J1313" t="str">
        <f>VLOOKUP($G1313,DefinitionArrays!$I$6:$J$12,2,FALSE)</f>
        <v>Workweek</v>
      </c>
    </row>
    <row r="1314" spans="1:10">
      <c r="A1314" s="159" t="str">
        <f t="shared" si="101"/>
        <v>$B$1:$B$92</v>
      </c>
      <c r="B1314" s="159" t="str">
        <f t="shared" si="102"/>
        <v>$C$1:$C$92</v>
      </c>
      <c r="C1314" s="159" t="str">
        <f t="shared" si="103"/>
        <v>October!$B$1:$B$92</v>
      </c>
      <c r="D1314" s="159" t="str">
        <f t="shared" si="104"/>
        <v>October!$C$1:$C$92</v>
      </c>
      <c r="E1314" t="s">
        <v>4</v>
      </c>
      <c r="F1314" t="s">
        <v>129</v>
      </c>
      <c r="G1314" t="s">
        <v>13</v>
      </c>
      <c r="H1314" t="s">
        <v>180</v>
      </c>
      <c r="I1314" t="e">
        <f t="shared" ca="1" si="105"/>
        <v>#REF!</v>
      </c>
      <c r="J1314" t="str">
        <f>VLOOKUP($G1314,DefinitionArrays!$I$6:$J$12,2,FALSE)</f>
        <v>Workweek</v>
      </c>
    </row>
    <row r="1315" spans="1:10">
      <c r="A1315" s="159" t="str">
        <f t="shared" si="101"/>
        <v>$B$1:$B$92</v>
      </c>
      <c r="B1315" s="159" t="str">
        <f t="shared" si="102"/>
        <v>$C$1:$C$92</v>
      </c>
      <c r="C1315" s="159" t="str">
        <f t="shared" si="103"/>
        <v>October!$B$1:$B$92</v>
      </c>
      <c r="D1315" s="159" t="str">
        <f t="shared" si="104"/>
        <v>October!$C$1:$C$92</v>
      </c>
      <c r="E1315" t="s">
        <v>4</v>
      </c>
      <c r="F1315" t="s">
        <v>129</v>
      </c>
      <c r="G1315" t="s">
        <v>13</v>
      </c>
      <c r="H1315" t="s">
        <v>44</v>
      </c>
      <c r="I1315" t="e">
        <f t="shared" ca="1" si="105"/>
        <v>#REF!</v>
      </c>
      <c r="J1315" t="str">
        <f>VLOOKUP($G1315,DefinitionArrays!$I$6:$J$12,2,FALSE)</f>
        <v>Workweek</v>
      </c>
    </row>
    <row r="1316" spans="1:10">
      <c r="A1316" s="159" t="str">
        <f t="shared" si="101"/>
        <v>$E$1:$E$92</v>
      </c>
      <c r="B1316" s="159" t="str">
        <f t="shared" si="102"/>
        <v>$F$1:$F$92</v>
      </c>
      <c r="C1316" s="159" t="str">
        <f t="shared" si="103"/>
        <v>October!$E$1:$E$92</v>
      </c>
      <c r="D1316" s="159" t="str">
        <f t="shared" si="104"/>
        <v>October!$F$1:$F$92</v>
      </c>
      <c r="E1316" t="s">
        <v>4</v>
      </c>
      <c r="F1316" t="s">
        <v>129</v>
      </c>
      <c r="G1316" t="s">
        <v>142</v>
      </c>
      <c r="H1316" t="s">
        <v>159</v>
      </c>
      <c r="I1316" t="e">
        <f t="shared" ca="1" si="105"/>
        <v>#REF!</v>
      </c>
      <c r="J1316" t="str">
        <f>VLOOKUP($G1316,DefinitionArrays!$I$6:$J$12,2,FALSE)</f>
        <v>Workweek</v>
      </c>
    </row>
    <row r="1317" spans="1:10">
      <c r="A1317" s="159" t="str">
        <f t="shared" si="101"/>
        <v>$E$1:$E$92</v>
      </c>
      <c r="B1317" s="159" t="str">
        <f t="shared" si="102"/>
        <v>$F$1:$F$92</v>
      </c>
      <c r="C1317" s="159" t="str">
        <f t="shared" si="103"/>
        <v>October!$E$1:$E$92</v>
      </c>
      <c r="D1317" s="159" t="str">
        <f t="shared" si="104"/>
        <v>October!$F$1:$F$92</v>
      </c>
      <c r="E1317" t="s">
        <v>4</v>
      </c>
      <c r="F1317" t="s">
        <v>129</v>
      </c>
      <c r="G1317" t="s">
        <v>142</v>
      </c>
      <c r="H1317" t="s">
        <v>18</v>
      </c>
      <c r="I1317" t="e">
        <f t="shared" ca="1" si="105"/>
        <v>#REF!</v>
      </c>
      <c r="J1317" t="str">
        <f>VLOOKUP($G1317,DefinitionArrays!$I$6:$J$12,2,FALSE)</f>
        <v>Workweek</v>
      </c>
    </row>
    <row r="1318" spans="1:10">
      <c r="A1318" s="159" t="str">
        <f t="shared" si="101"/>
        <v>$E$1:$E$92</v>
      </c>
      <c r="B1318" s="159" t="str">
        <f t="shared" si="102"/>
        <v>$F$1:$F$92</v>
      </c>
      <c r="C1318" s="159" t="str">
        <f t="shared" si="103"/>
        <v>October!$E$1:$E$92</v>
      </c>
      <c r="D1318" s="159" t="str">
        <f t="shared" si="104"/>
        <v>October!$F$1:$F$92</v>
      </c>
      <c r="E1318" t="s">
        <v>4</v>
      </c>
      <c r="F1318" t="s">
        <v>129</v>
      </c>
      <c r="G1318" t="s">
        <v>142</v>
      </c>
      <c r="H1318" t="s">
        <v>153</v>
      </c>
      <c r="I1318" t="e">
        <f t="shared" ca="1" si="105"/>
        <v>#REF!</v>
      </c>
      <c r="J1318" t="str">
        <f>VLOOKUP($G1318,DefinitionArrays!$I$6:$J$12,2,FALSE)</f>
        <v>Workweek</v>
      </c>
    </row>
    <row r="1319" spans="1:10">
      <c r="A1319" s="159" t="str">
        <f t="shared" si="101"/>
        <v>$E$1:$E$92</v>
      </c>
      <c r="B1319" s="159" t="str">
        <f t="shared" si="102"/>
        <v>$F$1:$F$92</v>
      </c>
      <c r="C1319" s="159" t="str">
        <f t="shared" si="103"/>
        <v>October!$E$1:$E$92</v>
      </c>
      <c r="D1319" s="159" t="str">
        <f t="shared" si="104"/>
        <v>October!$F$1:$F$92</v>
      </c>
      <c r="E1319" t="s">
        <v>4</v>
      </c>
      <c r="F1319" t="s">
        <v>129</v>
      </c>
      <c r="G1319" t="s">
        <v>142</v>
      </c>
      <c r="H1319" t="s">
        <v>19</v>
      </c>
      <c r="I1319" t="e">
        <f t="shared" ca="1" si="105"/>
        <v>#REF!</v>
      </c>
      <c r="J1319" t="str">
        <f>VLOOKUP($G1319,DefinitionArrays!$I$6:$J$12,2,FALSE)</f>
        <v>Workweek</v>
      </c>
    </row>
    <row r="1320" spans="1:10">
      <c r="A1320" s="159" t="str">
        <f t="shared" si="101"/>
        <v>$E$1:$E$92</v>
      </c>
      <c r="B1320" s="159" t="str">
        <f t="shared" si="102"/>
        <v>$F$1:$F$92</v>
      </c>
      <c r="C1320" s="159" t="str">
        <f t="shared" si="103"/>
        <v>October!$E$1:$E$92</v>
      </c>
      <c r="D1320" s="159" t="str">
        <f t="shared" si="104"/>
        <v>October!$F$1:$F$92</v>
      </c>
      <c r="E1320" t="s">
        <v>4</v>
      </c>
      <c r="F1320" t="s">
        <v>129</v>
      </c>
      <c r="G1320" t="s">
        <v>142</v>
      </c>
      <c r="H1320" t="s">
        <v>20</v>
      </c>
      <c r="I1320" t="e">
        <f t="shared" ca="1" si="105"/>
        <v>#REF!</v>
      </c>
      <c r="J1320" t="str">
        <f>VLOOKUP($G1320,DefinitionArrays!$I$6:$J$12,2,FALSE)</f>
        <v>Workweek</v>
      </c>
    </row>
    <row r="1321" spans="1:10">
      <c r="A1321" s="159" t="str">
        <f t="shared" si="101"/>
        <v>$E$1:$E$92</v>
      </c>
      <c r="B1321" s="159" t="str">
        <f t="shared" si="102"/>
        <v>$F$1:$F$92</v>
      </c>
      <c r="C1321" s="159" t="str">
        <f t="shared" si="103"/>
        <v>October!$E$1:$E$92</v>
      </c>
      <c r="D1321" s="159" t="str">
        <f t="shared" si="104"/>
        <v>October!$F$1:$F$92</v>
      </c>
      <c r="E1321" t="s">
        <v>4</v>
      </c>
      <c r="F1321" t="s">
        <v>129</v>
      </c>
      <c r="G1321" t="s">
        <v>142</v>
      </c>
      <c r="H1321" t="s">
        <v>21</v>
      </c>
      <c r="I1321" t="e">
        <f t="shared" ca="1" si="105"/>
        <v>#REF!</v>
      </c>
      <c r="J1321" t="str">
        <f>VLOOKUP($G1321,DefinitionArrays!$I$6:$J$12,2,FALSE)</f>
        <v>Workweek</v>
      </c>
    </row>
    <row r="1322" spans="1:10">
      <c r="A1322" s="159" t="str">
        <f t="shared" si="101"/>
        <v>$E$1:$E$92</v>
      </c>
      <c r="B1322" s="159" t="str">
        <f t="shared" si="102"/>
        <v>$F$1:$F$92</v>
      </c>
      <c r="C1322" s="159" t="str">
        <f t="shared" si="103"/>
        <v>October!$E$1:$E$92</v>
      </c>
      <c r="D1322" s="159" t="str">
        <f t="shared" si="104"/>
        <v>October!$F$1:$F$92</v>
      </c>
      <c r="E1322" t="s">
        <v>4</v>
      </c>
      <c r="F1322" t="s">
        <v>129</v>
      </c>
      <c r="G1322" t="s">
        <v>142</v>
      </c>
      <c r="H1322" t="s">
        <v>22</v>
      </c>
      <c r="I1322" t="e">
        <f t="shared" ca="1" si="105"/>
        <v>#REF!</v>
      </c>
      <c r="J1322" t="str">
        <f>VLOOKUP($G1322,DefinitionArrays!$I$6:$J$12,2,FALSE)</f>
        <v>Workweek</v>
      </c>
    </row>
    <row r="1323" spans="1:10">
      <c r="A1323" s="159" t="str">
        <f t="shared" si="101"/>
        <v>$E$1:$E$92</v>
      </c>
      <c r="B1323" s="159" t="str">
        <f t="shared" si="102"/>
        <v>$F$1:$F$92</v>
      </c>
      <c r="C1323" s="159" t="str">
        <f t="shared" si="103"/>
        <v>October!$E$1:$E$92</v>
      </c>
      <c r="D1323" s="159" t="str">
        <f t="shared" si="104"/>
        <v>October!$F$1:$F$92</v>
      </c>
      <c r="E1323" t="s">
        <v>4</v>
      </c>
      <c r="F1323" t="s">
        <v>129</v>
      </c>
      <c r="G1323" t="s">
        <v>142</v>
      </c>
      <c r="H1323" t="s">
        <v>23</v>
      </c>
      <c r="I1323" t="e">
        <f t="shared" ca="1" si="105"/>
        <v>#REF!</v>
      </c>
      <c r="J1323" t="str">
        <f>VLOOKUP($G1323,DefinitionArrays!$I$6:$J$12,2,FALSE)</f>
        <v>Workweek</v>
      </c>
    </row>
    <row r="1324" spans="1:10">
      <c r="A1324" s="159" t="str">
        <f t="shared" si="101"/>
        <v>$E$1:$E$92</v>
      </c>
      <c r="B1324" s="159" t="str">
        <f t="shared" si="102"/>
        <v>$F$1:$F$92</v>
      </c>
      <c r="C1324" s="159" t="str">
        <f t="shared" si="103"/>
        <v>October!$E$1:$E$92</v>
      </c>
      <c r="D1324" s="159" t="str">
        <f t="shared" si="104"/>
        <v>October!$F$1:$F$92</v>
      </c>
      <c r="E1324" t="s">
        <v>4</v>
      </c>
      <c r="F1324" t="s">
        <v>129</v>
      </c>
      <c r="G1324" t="s">
        <v>142</v>
      </c>
      <c r="H1324" t="s">
        <v>24</v>
      </c>
      <c r="I1324" t="e">
        <f t="shared" ca="1" si="105"/>
        <v>#REF!</v>
      </c>
      <c r="J1324" t="str">
        <f>VLOOKUP($G1324,DefinitionArrays!$I$6:$J$12,2,FALSE)</f>
        <v>Workweek</v>
      </c>
    </row>
    <row r="1325" spans="1:10">
      <c r="A1325" s="159" t="str">
        <f t="shared" si="101"/>
        <v>$E$1:$E$92</v>
      </c>
      <c r="B1325" s="159" t="str">
        <f t="shared" si="102"/>
        <v>$F$1:$F$92</v>
      </c>
      <c r="C1325" s="159" t="str">
        <f t="shared" si="103"/>
        <v>October!$E$1:$E$92</v>
      </c>
      <c r="D1325" s="159" t="str">
        <f t="shared" si="104"/>
        <v>October!$F$1:$F$92</v>
      </c>
      <c r="E1325" t="s">
        <v>4</v>
      </c>
      <c r="F1325" t="s">
        <v>129</v>
      </c>
      <c r="G1325" t="s">
        <v>142</v>
      </c>
      <c r="H1325" t="s">
        <v>179</v>
      </c>
      <c r="I1325" t="e">
        <f t="shared" ca="1" si="105"/>
        <v>#REF!</v>
      </c>
      <c r="J1325" t="str">
        <f>VLOOKUP($G1325,DefinitionArrays!$I$6:$J$12,2,FALSE)</f>
        <v>Workweek</v>
      </c>
    </row>
    <row r="1326" spans="1:10">
      <c r="A1326" s="159" t="str">
        <f t="shared" si="101"/>
        <v>$E$1:$E$92</v>
      </c>
      <c r="B1326" s="159" t="str">
        <f t="shared" si="102"/>
        <v>$F$1:$F$92</v>
      </c>
      <c r="C1326" s="159" t="str">
        <f t="shared" si="103"/>
        <v>October!$E$1:$E$92</v>
      </c>
      <c r="D1326" s="159" t="str">
        <f t="shared" si="104"/>
        <v>October!$F$1:$F$92</v>
      </c>
      <c r="E1326" t="s">
        <v>4</v>
      </c>
      <c r="F1326" t="s">
        <v>129</v>
      </c>
      <c r="G1326" t="s">
        <v>142</v>
      </c>
      <c r="H1326" t="s">
        <v>180</v>
      </c>
      <c r="I1326" t="e">
        <f t="shared" ca="1" si="105"/>
        <v>#REF!</v>
      </c>
      <c r="J1326" t="str">
        <f>VLOOKUP($G1326,DefinitionArrays!$I$6:$J$12,2,FALSE)</f>
        <v>Workweek</v>
      </c>
    </row>
    <row r="1327" spans="1:10">
      <c r="A1327" s="159" t="str">
        <f t="shared" si="101"/>
        <v>$E$1:$E$92</v>
      </c>
      <c r="B1327" s="159" t="str">
        <f t="shared" si="102"/>
        <v>$F$1:$F$92</v>
      </c>
      <c r="C1327" s="159" t="str">
        <f t="shared" si="103"/>
        <v>October!$E$1:$E$92</v>
      </c>
      <c r="D1327" s="159" t="str">
        <f t="shared" si="104"/>
        <v>October!$F$1:$F$92</v>
      </c>
      <c r="E1327" t="s">
        <v>4</v>
      </c>
      <c r="F1327" t="s">
        <v>129</v>
      </c>
      <c r="G1327" t="s">
        <v>142</v>
      </c>
      <c r="H1327" t="s">
        <v>44</v>
      </c>
      <c r="I1327" t="e">
        <f t="shared" ca="1" si="105"/>
        <v>#REF!</v>
      </c>
      <c r="J1327" t="str">
        <f>VLOOKUP($G1327,DefinitionArrays!$I$6:$J$12,2,FALSE)</f>
        <v>Workweek</v>
      </c>
    </row>
    <row r="1328" spans="1:10">
      <c r="A1328" s="159" t="str">
        <f t="shared" si="101"/>
        <v>$H$1:$H$92</v>
      </c>
      <c r="B1328" s="159" t="str">
        <f t="shared" si="102"/>
        <v>$I$1:$I$92</v>
      </c>
      <c r="C1328" s="159" t="str">
        <f t="shared" si="103"/>
        <v>October!$H$1:$H$92</v>
      </c>
      <c r="D1328" s="159" t="str">
        <f t="shared" si="104"/>
        <v>October!$I$1:$I$92</v>
      </c>
      <c r="E1328" t="s">
        <v>4</v>
      </c>
      <c r="F1328" t="s">
        <v>129</v>
      </c>
      <c r="G1328" t="s">
        <v>143</v>
      </c>
      <c r="H1328" t="s">
        <v>159</v>
      </c>
      <c r="I1328" t="e">
        <f t="shared" ca="1" si="105"/>
        <v>#REF!</v>
      </c>
      <c r="J1328" t="str">
        <f>VLOOKUP($G1328,DefinitionArrays!$I$6:$J$12,2,FALSE)</f>
        <v>Workweek</v>
      </c>
    </row>
    <row r="1329" spans="1:10">
      <c r="A1329" s="159" t="str">
        <f t="shared" si="101"/>
        <v>$H$1:$H$92</v>
      </c>
      <c r="B1329" s="159" t="str">
        <f t="shared" si="102"/>
        <v>$I$1:$I$92</v>
      </c>
      <c r="C1329" s="159" t="str">
        <f t="shared" si="103"/>
        <v>October!$H$1:$H$92</v>
      </c>
      <c r="D1329" s="159" t="str">
        <f t="shared" si="104"/>
        <v>October!$I$1:$I$92</v>
      </c>
      <c r="E1329" t="s">
        <v>4</v>
      </c>
      <c r="F1329" t="s">
        <v>129</v>
      </c>
      <c r="G1329" t="s">
        <v>143</v>
      </c>
      <c r="H1329" t="s">
        <v>18</v>
      </c>
      <c r="I1329" t="e">
        <f t="shared" ca="1" si="105"/>
        <v>#REF!</v>
      </c>
      <c r="J1329" t="str">
        <f>VLOOKUP($G1329,DefinitionArrays!$I$6:$J$12,2,FALSE)</f>
        <v>Workweek</v>
      </c>
    </row>
    <row r="1330" spans="1:10">
      <c r="A1330" s="159" t="str">
        <f t="shared" si="101"/>
        <v>$H$1:$H$92</v>
      </c>
      <c r="B1330" s="159" t="str">
        <f t="shared" si="102"/>
        <v>$I$1:$I$92</v>
      </c>
      <c r="C1330" s="159" t="str">
        <f t="shared" si="103"/>
        <v>October!$H$1:$H$92</v>
      </c>
      <c r="D1330" s="159" t="str">
        <f t="shared" si="104"/>
        <v>October!$I$1:$I$92</v>
      </c>
      <c r="E1330" t="s">
        <v>4</v>
      </c>
      <c r="F1330" t="s">
        <v>129</v>
      </c>
      <c r="G1330" t="s">
        <v>143</v>
      </c>
      <c r="H1330" t="s">
        <v>153</v>
      </c>
      <c r="I1330" t="e">
        <f t="shared" ca="1" si="105"/>
        <v>#REF!</v>
      </c>
      <c r="J1330" t="str">
        <f>VLOOKUP($G1330,DefinitionArrays!$I$6:$J$12,2,FALSE)</f>
        <v>Workweek</v>
      </c>
    </row>
    <row r="1331" spans="1:10">
      <c r="A1331" s="159" t="str">
        <f t="shared" si="101"/>
        <v>$H$1:$H$92</v>
      </c>
      <c r="B1331" s="159" t="str">
        <f t="shared" si="102"/>
        <v>$I$1:$I$92</v>
      </c>
      <c r="C1331" s="159" t="str">
        <f t="shared" si="103"/>
        <v>October!$H$1:$H$92</v>
      </c>
      <c r="D1331" s="159" t="str">
        <f t="shared" si="104"/>
        <v>October!$I$1:$I$92</v>
      </c>
      <c r="E1331" t="s">
        <v>4</v>
      </c>
      <c r="F1331" t="s">
        <v>129</v>
      </c>
      <c r="G1331" t="s">
        <v>143</v>
      </c>
      <c r="H1331" t="s">
        <v>19</v>
      </c>
      <c r="I1331" t="e">
        <f t="shared" ca="1" si="105"/>
        <v>#REF!</v>
      </c>
      <c r="J1331" t="str">
        <f>VLOOKUP($G1331,DefinitionArrays!$I$6:$J$12,2,FALSE)</f>
        <v>Workweek</v>
      </c>
    </row>
    <row r="1332" spans="1:10">
      <c r="A1332" s="159" t="str">
        <f t="shared" si="101"/>
        <v>$H$1:$H$92</v>
      </c>
      <c r="B1332" s="159" t="str">
        <f t="shared" si="102"/>
        <v>$I$1:$I$92</v>
      </c>
      <c r="C1332" s="159" t="str">
        <f t="shared" si="103"/>
        <v>October!$H$1:$H$92</v>
      </c>
      <c r="D1332" s="159" t="str">
        <f t="shared" si="104"/>
        <v>October!$I$1:$I$92</v>
      </c>
      <c r="E1332" t="s">
        <v>4</v>
      </c>
      <c r="F1332" t="s">
        <v>129</v>
      </c>
      <c r="G1332" t="s">
        <v>143</v>
      </c>
      <c r="H1332" t="s">
        <v>20</v>
      </c>
      <c r="I1332" t="e">
        <f t="shared" ca="1" si="105"/>
        <v>#REF!</v>
      </c>
      <c r="J1332" t="str">
        <f>VLOOKUP($G1332,DefinitionArrays!$I$6:$J$12,2,FALSE)</f>
        <v>Workweek</v>
      </c>
    </row>
    <row r="1333" spans="1:10">
      <c r="A1333" s="159" t="str">
        <f t="shared" si="101"/>
        <v>$H$1:$H$92</v>
      </c>
      <c r="B1333" s="159" t="str">
        <f t="shared" si="102"/>
        <v>$I$1:$I$92</v>
      </c>
      <c r="C1333" s="159" t="str">
        <f t="shared" si="103"/>
        <v>October!$H$1:$H$92</v>
      </c>
      <c r="D1333" s="159" t="str">
        <f t="shared" si="104"/>
        <v>October!$I$1:$I$92</v>
      </c>
      <c r="E1333" t="s">
        <v>4</v>
      </c>
      <c r="F1333" t="s">
        <v>129</v>
      </c>
      <c r="G1333" t="s">
        <v>143</v>
      </c>
      <c r="H1333" t="s">
        <v>21</v>
      </c>
      <c r="I1333" t="e">
        <f t="shared" ca="1" si="105"/>
        <v>#REF!</v>
      </c>
      <c r="J1333" t="str">
        <f>VLOOKUP($G1333,DefinitionArrays!$I$6:$J$12,2,FALSE)</f>
        <v>Workweek</v>
      </c>
    </row>
    <row r="1334" spans="1:10">
      <c r="A1334" s="159" t="str">
        <f t="shared" si="101"/>
        <v>$H$1:$H$92</v>
      </c>
      <c r="B1334" s="159" t="str">
        <f t="shared" si="102"/>
        <v>$I$1:$I$92</v>
      </c>
      <c r="C1334" s="159" t="str">
        <f t="shared" si="103"/>
        <v>October!$H$1:$H$92</v>
      </c>
      <c r="D1334" s="159" t="str">
        <f t="shared" si="104"/>
        <v>October!$I$1:$I$92</v>
      </c>
      <c r="E1334" t="s">
        <v>4</v>
      </c>
      <c r="F1334" t="s">
        <v>129</v>
      </c>
      <c r="G1334" t="s">
        <v>143</v>
      </c>
      <c r="H1334" t="s">
        <v>22</v>
      </c>
      <c r="I1334" t="e">
        <f t="shared" ca="1" si="105"/>
        <v>#REF!</v>
      </c>
      <c r="J1334" t="str">
        <f>VLOOKUP($G1334,DefinitionArrays!$I$6:$J$12,2,FALSE)</f>
        <v>Workweek</v>
      </c>
    </row>
    <row r="1335" spans="1:10">
      <c r="A1335" s="159" t="str">
        <f t="shared" si="101"/>
        <v>$H$1:$H$92</v>
      </c>
      <c r="B1335" s="159" t="str">
        <f t="shared" si="102"/>
        <v>$I$1:$I$92</v>
      </c>
      <c r="C1335" s="159" t="str">
        <f t="shared" si="103"/>
        <v>October!$H$1:$H$92</v>
      </c>
      <c r="D1335" s="159" t="str">
        <f t="shared" si="104"/>
        <v>October!$I$1:$I$92</v>
      </c>
      <c r="E1335" t="s">
        <v>4</v>
      </c>
      <c r="F1335" t="s">
        <v>129</v>
      </c>
      <c r="G1335" t="s">
        <v>143</v>
      </c>
      <c r="H1335" t="s">
        <v>23</v>
      </c>
      <c r="I1335" t="e">
        <f t="shared" ca="1" si="105"/>
        <v>#REF!</v>
      </c>
      <c r="J1335" t="str">
        <f>VLOOKUP($G1335,DefinitionArrays!$I$6:$J$12,2,FALSE)</f>
        <v>Workweek</v>
      </c>
    </row>
    <row r="1336" spans="1:10">
      <c r="A1336" s="159" t="str">
        <f t="shared" si="101"/>
        <v>$H$1:$H$92</v>
      </c>
      <c r="B1336" s="159" t="str">
        <f t="shared" si="102"/>
        <v>$I$1:$I$92</v>
      </c>
      <c r="C1336" s="159" t="str">
        <f t="shared" si="103"/>
        <v>October!$H$1:$H$92</v>
      </c>
      <c r="D1336" s="159" t="str">
        <f t="shared" si="104"/>
        <v>October!$I$1:$I$92</v>
      </c>
      <c r="E1336" t="s">
        <v>4</v>
      </c>
      <c r="F1336" t="s">
        <v>129</v>
      </c>
      <c r="G1336" t="s">
        <v>143</v>
      </c>
      <c r="H1336" t="s">
        <v>24</v>
      </c>
      <c r="I1336" t="e">
        <f t="shared" ca="1" si="105"/>
        <v>#REF!</v>
      </c>
      <c r="J1336" t="str">
        <f>VLOOKUP($G1336,DefinitionArrays!$I$6:$J$12,2,FALSE)</f>
        <v>Workweek</v>
      </c>
    </row>
    <row r="1337" spans="1:10">
      <c r="A1337" s="159" t="str">
        <f t="shared" si="101"/>
        <v>$H$1:$H$92</v>
      </c>
      <c r="B1337" s="159" t="str">
        <f t="shared" si="102"/>
        <v>$I$1:$I$92</v>
      </c>
      <c r="C1337" s="159" t="str">
        <f t="shared" si="103"/>
        <v>October!$H$1:$H$92</v>
      </c>
      <c r="D1337" s="159" t="str">
        <f t="shared" si="104"/>
        <v>October!$I$1:$I$92</v>
      </c>
      <c r="E1337" t="s">
        <v>4</v>
      </c>
      <c r="F1337" t="s">
        <v>129</v>
      </c>
      <c r="G1337" t="s">
        <v>143</v>
      </c>
      <c r="H1337" t="s">
        <v>179</v>
      </c>
      <c r="I1337" t="e">
        <f t="shared" ca="1" si="105"/>
        <v>#REF!</v>
      </c>
      <c r="J1337" t="str">
        <f>VLOOKUP($G1337,DefinitionArrays!$I$6:$J$12,2,FALSE)</f>
        <v>Workweek</v>
      </c>
    </row>
    <row r="1338" spans="1:10">
      <c r="A1338" s="159" t="str">
        <f t="shared" si="101"/>
        <v>$H$1:$H$92</v>
      </c>
      <c r="B1338" s="159" t="str">
        <f t="shared" si="102"/>
        <v>$I$1:$I$92</v>
      </c>
      <c r="C1338" s="159" t="str">
        <f t="shared" si="103"/>
        <v>October!$H$1:$H$92</v>
      </c>
      <c r="D1338" s="159" t="str">
        <f t="shared" si="104"/>
        <v>October!$I$1:$I$92</v>
      </c>
      <c r="E1338" t="s">
        <v>4</v>
      </c>
      <c r="F1338" t="s">
        <v>129</v>
      </c>
      <c r="G1338" t="s">
        <v>143</v>
      </c>
      <c r="H1338" t="s">
        <v>180</v>
      </c>
      <c r="I1338" t="e">
        <f t="shared" ca="1" si="105"/>
        <v>#REF!</v>
      </c>
      <c r="J1338" t="str">
        <f>VLOOKUP($G1338,DefinitionArrays!$I$6:$J$12,2,FALSE)</f>
        <v>Workweek</v>
      </c>
    </row>
    <row r="1339" spans="1:10">
      <c r="A1339" s="159" t="str">
        <f t="shared" si="101"/>
        <v>$H$1:$H$92</v>
      </c>
      <c r="B1339" s="159" t="str">
        <f t="shared" si="102"/>
        <v>$I$1:$I$92</v>
      </c>
      <c r="C1339" s="159" t="str">
        <f t="shared" si="103"/>
        <v>October!$H$1:$H$92</v>
      </c>
      <c r="D1339" s="159" t="str">
        <f t="shared" si="104"/>
        <v>October!$I$1:$I$92</v>
      </c>
      <c r="E1339" t="s">
        <v>4</v>
      </c>
      <c r="F1339" t="s">
        <v>129</v>
      </c>
      <c r="G1339" t="s">
        <v>143</v>
      </c>
      <c r="H1339" t="s">
        <v>44</v>
      </c>
      <c r="I1339" t="e">
        <f t="shared" ca="1" si="105"/>
        <v>#REF!</v>
      </c>
      <c r="J1339" t="str">
        <f>VLOOKUP($G1339,DefinitionArrays!$I$6:$J$12,2,FALSE)</f>
        <v>Workweek</v>
      </c>
    </row>
    <row r="1340" spans="1:10">
      <c r="A1340" s="159" t="str">
        <f t="shared" si="101"/>
        <v>$K$1:$K$92</v>
      </c>
      <c r="B1340" s="159" t="str">
        <f t="shared" si="102"/>
        <v>$L$1:$L$92</v>
      </c>
      <c r="C1340" s="159" t="str">
        <f t="shared" si="103"/>
        <v>October!$K$1:$K$92</v>
      </c>
      <c r="D1340" s="159" t="str">
        <f t="shared" si="104"/>
        <v>October!$L$1:$L$92</v>
      </c>
      <c r="E1340" t="s">
        <v>4</v>
      </c>
      <c r="F1340" t="s">
        <v>129</v>
      </c>
      <c r="G1340" t="s">
        <v>144</v>
      </c>
      <c r="H1340" t="s">
        <v>159</v>
      </c>
      <c r="I1340" t="e">
        <f t="shared" ca="1" si="105"/>
        <v>#REF!</v>
      </c>
      <c r="J1340" t="str">
        <f>VLOOKUP($G1340,DefinitionArrays!$I$6:$J$12,2,FALSE)</f>
        <v>Workweek</v>
      </c>
    </row>
    <row r="1341" spans="1:10">
      <c r="A1341" s="159" t="str">
        <f t="shared" si="101"/>
        <v>$K$1:$K$92</v>
      </c>
      <c r="B1341" s="159" t="str">
        <f t="shared" si="102"/>
        <v>$L$1:$L$92</v>
      </c>
      <c r="C1341" s="159" t="str">
        <f t="shared" si="103"/>
        <v>October!$K$1:$K$92</v>
      </c>
      <c r="D1341" s="159" t="str">
        <f t="shared" si="104"/>
        <v>October!$L$1:$L$92</v>
      </c>
      <c r="E1341" t="s">
        <v>4</v>
      </c>
      <c r="F1341" t="s">
        <v>129</v>
      </c>
      <c r="G1341" t="s">
        <v>144</v>
      </c>
      <c r="H1341" t="s">
        <v>18</v>
      </c>
      <c r="I1341" t="e">
        <f t="shared" ca="1" si="105"/>
        <v>#REF!</v>
      </c>
      <c r="J1341" t="str">
        <f>VLOOKUP($G1341,DefinitionArrays!$I$6:$J$12,2,FALSE)</f>
        <v>Workweek</v>
      </c>
    </row>
    <row r="1342" spans="1:10">
      <c r="A1342" s="159" t="str">
        <f t="shared" si="101"/>
        <v>$K$1:$K$92</v>
      </c>
      <c r="B1342" s="159" t="str">
        <f t="shared" si="102"/>
        <v>$L$1:$L$92</v>
      </c>
      <c r="C1342" s="159" t="str">
        <f t="shared" si="103"/>
        <v>October!$K$1:$K$92</v>
      </c>
      <c r="D1342" s="159" t="str">
        <f t="shared" si="104"/>
        <v>October!$L$1:$L$92</v>
      </c>
      <c r="E1342" t="s">
        <v>4</v>
      </c>
      <c r="F1342" t="s">
        <v>129</v>
      </c>
      <c r="G1342" t="s">
        <v>144</v>
      </c>
      <c r="H1342" t="s">
        <v>153</v>
      </c>
      <c r="I1342" t="e">
        <f t="shared" ca="1" si="105"/>
        <v>#REF!</v>
      </c>
      <c r="J1342" t="str">
        <f>VLOOKUP($G1342,DefinitionArrays!$I$6:$J$12,2,FALSE)</f>
        <v>Workweek</v>
      </c>
    </row>
    <row r="1343" spans="1:10">
      <c r="A1343" s="159" t="str">
        <f t="shared" si="101"/>
        <v>$K$1:$K$92</v>
      </c>
      <c r="B1343" s="159" t="str">
        <f t="shared" si="102"/>
        <v>$L$1:$L$92</v>
      </c>
      <c r="C1343" s="159" t="str">
        <f t="shared" si="103"/>
        <v>October!$K$1:$K$92</v>
      </c>
      <c r="D1343" s="159" t="str">
        <f t="shared" si="104"/>
        <v>October!$L$1:$L$92</v>
      </c>
      <c r="E1343" t="s">
        <v>4</v>
      </c>
      <c r="F1343" t="s">
        <v>129</v>
      </c>
      <c r="G1343" t="s">
        <v>144</v>
      </c>
      <c r="H1343" t="s">
        <v>19</v>
      </c>
      <c r="I1343" t="e">
        <f t="shared" ca="1" si="105"/>
        <v>#REF!</v>
      </c>
      <c r="J1343" t="str">
        <f>VLOOKUP($G1343,DefinitionArrays!$I$6:$J$12,2,FALSE)</f>
        <v>Workweek</v>
      </c>
    </row>
    <row r="1344" spans="1:10">
      <c r="A1344" s="159" t="str">
        <f t="shared" si="101"/>
        <v>$K$1:$K$92</v>
      </c>
      <c r="B1344" s="159" t="str">
        <f t="shared" si="102"/>
        <v>$L$1:$L$92</v>
      </c>
      <c r="C1344" s="159" t="str">
        <f t="shared" si="103"/>
        <v>October!$K$1:$K$92</v>
      </c>
      <c r="D1344" s="159" t="str">
        <f t="shared" si="104"/>
        <v>October!$L$1:$L$92</v>
      </c>
      <c r="E1344" t="s">
        <v>4</v>
      </c>
      <c r="F1344" t="s">
        <v>129</v>
      </c>
      <c r="G1344" t="s">
        <v>144</v>
      </c>
      <c r="H1344" t="s">
        <v>20</v>
      </c>
      <c r="I1344" t="e">
        <f t="shared" ca="1" si="105"/>
        <v>#REF!</v>
      </c>
      <c r="J1344" t="str">
        <f>VLOOKUP($G1344,DefinitionArrays!$I$6:$J$12,2,FALSE)</f>
        <v>Workweek</v>
      </c>
    </row>
    <row r="1345" spans="1:10">
      <c r="A1345" s="159" t="str">
        <f t="shared" si="101"/>
        <v>$K$1:$K$92</v>
      </c>
      <c r="B1345" s="159" t="str">
        <f t="shared" si="102"/>
        <v>$L$1:$L$92</v>
      </c>
      <c r="C1345" s="159" t="str">
        <f t="shared" si="103"/>
        <v>October!$K$1:$K$92</v>
      </c>
      <c r="D1345" s="159" t="str">
        <f t="shared" si="104"/>
        <v>October!$L$1:$L$92</v>
      </c>
      <c r="E1345" t="s">
        <v>4</v>
      </c>
      <c r="F1345" t="s">
        <v>129</v>
      </c>
      <c r="G1345" t="s">
        <v>144</v>
      </c>
      <c r="H1345" t="s">
        <v>21</v>
      </c>
      <c r="I1345" t="e">
        <f t="shared" ca="1" si="105"/>
        <v>#REF!</v>
      </c>
      <c r="J1345" t="str">
        <f>VLOOKUP($G1345,DefinitionArrays!$I$6:$J$12,2,FALSE)</f>
        <v>Workweek</v>
      </c>
    </row>
    <row r="1346" spans="1:10">
      <c r="A1346" s="159" t="str">
        <f t="shared" ref="A1346:A1409" si="106">VLOOKUP($G1346,Fx_Code,2,FALSE)</f>
        <v>$K$1:$K$92</v>
      </c>
      <c r="B1346" s="159" t="str">
        <f t="shared" ref="B1346:B1409" si="107">VLOOKUP($G1346,Fx_Code,3,FALSE)</f>
        <v>$L$1:$L$92</v>
      </c>
      <c r="C1346" s="159" t="str">
        <f t="shared" ref="C1346:C1409" si="108">CONCATENATE($F1346,$K$1,A1346)</f>
        <v>October!$K$1:$K$92</v>
      </c>
      <c r="D1346" s="159" t="str">
        <f t="shared" ref="D1346:D1409" si="109">CONCATENATE($F1346,$K$1,B1346)</f>
        <v>October!$L$1:$L$92</v>
      </c>
      <c r="E1346" t="s">
        <v>4</v>
      </c>
      <c r="F1346" t="s">
        <v>129</v>
      </c>
      <c r="G1346" t="s">
        <v>144</v>
      </c>
      <c r="H1346" t="s">
        <v>22</v>
      </c>
      <c r="I1346" t="e">
        <f t="shared" ca="1" si="105"/>
        <v>#REF!</v>
      </c>
      <c r="J1346" t="str">
        <f>VLOOKUP($G1346,DefinitionArrays!$I$6:$J$12,2,FALSE)</f>
        <v>Workweek</v>
      </c>
    </row>
    <row r="1347" spans="1:10">
      <c r="A1347" s="159" t="str">
        <f t="shared" si="106"/>
        <v>$K$1:$K$92</v>
      </c>
      <c r="B1347" s="159" t="str">
        <f t="shared" si="107"/>
        <v>$L$1:$L$92</v>
      </c>
      <c r="C1347" s="159" t="str">
        <f t="shared" si="108"/>
        <v>October!$K$1:$K$92</v>
      </c>
      <c r="D1347" s="159" t="str">
        <f t="shared" si="109"/>
        <v>October!$L$1:$L$92</v>
      </c>
      <c r="E1347" t="s">
        <v>4</v>
      </c>
      <c r="F1347" t="s">
        <v>129</v>
      </c>
      <c r="G1347" t="s">
        <v>144</v>
      </c>
      <c r="H1347" t="s">
        <v>23</v>
      </c>
      <c r="I1347" t="e">
        <f t="shared" ca="1" si="105"/>
        <v>#REF!</v>
      </c>
      <c r="J1347" t="str">
        <f>VLOOKUP($G1347,DefinitionArrays!$I$6:$J$12,2,FALSE)</f>
        <v>Workweek</v>
      </c>
    </row>
    <row r="1348" spans="1:10">
      <c r="A1348" s="159" t="str">
        <f t="shared" si="106"/>
        <v>$K$1:$K$92</v>
      </c>
      <c r="B1348" s="159" t="str">
        <f t="shared" si="107"/>
        <v>$L$1:$L$92</v>
      </c>
      <c r="C1348" s="159" t="str">
        <f t="shared" si="108"/>
        <v>October!$K$1:$K$92</v>
      </c>
      <c r="D1348" s="159" t="str">
        <f t="shared" si="109"/>
        <v>October!$L$1:$L$92</v>
      </c>
      <c r="E1348" t="s">
        <v>4</v>
      </c>
      <c r="F1348" t="s">
        <v>129</v>
      </c>
      <c r="G1348" t="s">
        <v>144</v>
      </c>
      <c r="H1348" t="s">
        <v>24</v>
      </c>
      <c r="I1348" t="e">
        <f t="shared" ca="1" si="105"/>
        <v>#REF!</v>
      </c>
      <c r="J1348" t="str">
        <f>VLOOKUP($G1348,DefinitionArrays!$I$6:$J$12,2,FALSE)</f>
        <v>Workweek</v>
      </c>
    </row>
    <row r="1349" spans="1:10">
      <c r="A1349" s="159" t="str">
        <f t="shared" si="106"/>
        <v>$K$1:$K$92</v>
      </c>
      <c r="B1349" s="159" t="str">
        <f t="shared" si="107"/>
        <v>$L$1:$L$92</v>
      </c>
      <c r="C1349" s="159" t="str">
        <f t="shared" si="108"/>
        <v>October!$K$1:$K$92</v>
      </c>
      <c r="D1349" s="159" t="str">
        <f t="shared" si="109"/>
        <v>October!$L$1:$L$92</v>
      </c>
      <c r="E1349" t="s">
        <v>4</v>
      </c>
      <c r="F1349" t="s">
        <v>129</v>
      </c>
      <c r="G1349" t="s">
        <v>144</v>
      </c>
      <c r="H1349" t="s">
        <v>179</v>
      </c>
      <c r="I1349" t="e">
        <f t="shared" ca="1" si="105"/>
        <v>#REF!</v>
      </c>
      <c r="J1349" t="str">
        <f>VLOOKUP($G1349,DefinitionArrays!$I$6:$J$12,2,FALSE)</f>
        <v>Workweek</v>
      </c>
    </row>
    <row r="1350" spans="1:10">
      <c r="A1350" s="159" t="str">
        <f t="shared" si="106"/>
        <v>$K$1:$K$92</v>
      </c>
      <c r="B1350" s="159" t="str">
        <f t="shared" si="107"/>
        <v>$L$1:$L$92</v>
      </c>
      <c r="C1350" s="159" t="str">
        <f t="shared" si="108"/>
        <v>October!$K$1:$K$92</v>
      </c>
      <c r="D1350" s="159" t="str">
        <f t="shared" si="109"/>
        <v>October!$L$1:$L$92</v>
      </c>
      <c r="E1350" t="s">
        <v>4</v>
      </c>
      <c r="F1350" t="s">
        <v>129</v>
      </c>
      <c r="G1350" t="s">
        <v>144</v>
      </c>
      <c r="H1350" t="s">
        <v>180</v>
      </c>
      <c r="I1350" t="e">
        <f t="shared" ca="1" si="105"/>
        <v>#REF!</v>
      </c>
      <c r="J1350" t="str">
        <f>VLOOKUP($G1350,DefinitionArrays!$I$6:$J$12,2,FALSE)</f>
        <v>Workweek</v>
      </c>
    </row>
    <row r="1351" spans="1:10">
      <c r="A1351" s="159" t="str">
        <f t="shared" si="106"/>
        <v>$K$1:$K$92</v>
      </c>
      <c r="B1351" s="159" t="str">
        <f t="shared" si="107"/>
        <v>$L$1:$L$92</v>
      </c>
      <c r="C1351" s="159" t="str">
        <f t="shared" si="108"/>
        <v>October!$K$1:$K$92</v>
      </c>
      <c r="D1351" s="159" t="str">
        <f t="shared" si="109"/>
        <v>October!$L$1:$L$92</v>
      </c>
      <c r="E1351" t="s">
        <v>4</v>
      </c>
      <c r="F1351" t="s">
        <v>129</v>
      </c>
      <c r="G1351" t="s">
        <v>144</v>
      </c>
      <c r="H1351" t="s">
        <v>44</v>
      </c>
      <c r="I1351" t="e">
        <f t="shared" ca="1" si="105"/>
        <v>#REF!</v>
      </c>
      <c r="J1351" t="str">
        <f>VLOOKUP($G1351,DefinitionArrays!$I$6:$J$12,2,FALSE)</f>
        <v>Workweek</v>
      </c>
    </row>
    <row r="1352" spans="1:10">
      <c r="A1352" s="159" t="str">
        <f t="shared" si="106"/>
        <v>$N$1:$N$92</v>
      </c>
      <c r="B1352" s="159" t="str">
        <f t="shared" si="107"/>
        <v>$O$1:$O$92</v>
      </c>
      <c r="C1352" s="159" t="str">
        <f t="shared" si="108"/>
        <v>October!$N$1:$N$92</v>
      </c>
      <c r="D1352" s="159" t="str">
        <f t="shared" si="109"/>
        <v>October!$O$1:$O$92</v>
      </c>
      <c r="E1352" t="s">
        <v>4</v>
      </c>
      <c r="F1352" t="s">
        <v>129</v>
      </c>
      <c r="G1352" t="s">
        <v>145</v>
      </c>
      <c r="H1352" t="s">
        <v>159</v>
      </c>
      <c r="I1352" t="e">
        <f t="shared" ca="1" si="105"/>
        <v>#REF!</v>
      </c>
      <c r="J1352" t="str">
        <f>VLOOKUP($G1352,DefinitionArrays!$I$6:$J$12,2,FALSE)</f>
        <v>Weekend</v>
      </c>
    </row>
    <row r="1353" spans="1:10">
      <c r="A1353" s="159" t="str">
        <f t="shared" si="106"/>
        <v>$N$1:$N$92</v>
      </c>
      <c r="B1353" s="159" t="str">
        <f t="shared" si="107"/>
        <v>$O$1:$O$92</v>
      </c>
      <c r="C1353" s="159" t="str">
        <f t="shared" si="108"/>
        <v>October!$N$1:$N$92</v>
      </c>
      <c r="D1353" s="159" t="str">
        <f t="shared" si="109"/>
        <v>October!$O$1:$O$92</v>
      </c>
      <c r="E1353" t="s">
        <v>4</v>
      </c>
      <c r="F1353" t="s">
        <v>129</v>
      </c>
      <c r="G1353" t="s">
        <v>145</v>
      </c>
      <c r="H1353" t="s">
        <v>18</v>
      </c>
      <c r="I1353" t="e">
        <f t="shared" ca="1" si="105"/>
        <v>#REF!</v>
      </c>
      <c r="J1353" t="str">
        <f>VLOOKUP($G1353,DefinitionArrays!$I$6:$J$12,2,FALSE)</f>
        <v>Weekend</v>
      </c>
    </row>
    <row r="1354" spans="1:10">
      <c r="A1354" s="159" t="str">
        <f t="shared" si="106"/>
        <v>$N$1:$N$92</v>
      </c>
      <c r="B1354" s="159" t="str">
        <f t="shared" si="107"/>
        <v>$O$1:$O$92</v>
      </c>
      <c r="C1354" s="159" t="str">
        <f t="shared" si="108"/>
        <v>October!$N$1:$N$92</v>
      </c>
      <c r="D1354" s="159" t="str">
        <f t="shared" si="109"/>
        <v>October!$O$1:$O$92</v>
      </c>
      <c r="E1354" t="s">
        <v>4</v>
      </c>
      <c r="F1354" t="s">
        <v>129</v>
      </c>
      <c r="G1354" t="s">
        <v>145</v>
      </c>
      <c r="H1354" t="s">
        <v>153</v>
      </c>
      <c r="I1354" t="e">
        <f t="shared" ca="1" si="105"/>
        <v>#REF!</v>
      </c>
      <c r="J1354" t="str">
        <f>VLOOKUP($G1354,DefinitionArrays!$I$6:$J$12,2,FALSE)</f>
        <v>Weekend</v>
      </c>
    </row>
    <row r="1355" spans="1:10">
      <c r="A1355" s="159" t="str">
        <f t="shared" si="106"/>
        <v>$N$1:$N$92</v>
      </c>
      <c r="B1355" s="159" t="str">
        <f t="shared" si="107"/>
        <v>$O$1:$O$92</v>
      </c>
      <c r="C1355" s="159" t="str">
        <f t="shared" si="108"/>
        <v>October!$N$1:$N$92</v>
      </c>
      <c r="D1355" s="159" t="str">
        <f t="shared" si="109"/>
        <v>October!$O$1:$O$92</v>
      </c>
      <c r="E1355" t="s">
        <v>4</v>
      </c>
      <c r="F1355" t="s">
        <v>129</v>
      </c>
      <c r="G1355" t="s">
        <v>145</v>
      </c>
      <c r="H1355" t="s">
        <v>19</v>
      </c>
      <c r="I1355" t="e">
        <f t="shared" ca="1" si="105"/>
        <v>#REF!</v>
      </c>
      <c r="J1355" t="str">
        <f>VLOOKUP($G1355,DefinitionArrays!$I$6:$J$12,2,FALSE)</f>
        <v>Weekend</v>
      </c>
    </row>
    <row r="1356" spans="1:10">
      <c r="A1356" s="159" t="str">
        <f t="shared" si="106"/>
        <v>$N$1:$N$92</v>
      </c>
      <c r="B1356" s="159" t="str">
        <f t="shared" si="107"/>
        <v>$O$1:$O$92</v>
      </c>
      <c r="C1356" s="159" t="str">
        <f t="shared" si="108"/>
        <v>October!$N$1:$N$92</v>
      </c>
      <c r="D1356" s="159" t="str">
        <f t="shared" si="109"/>
        <v>October!$O$1:$O$92</v>
      </c>
      <c r="E1356" t="s">
        <v>4</v>
      </c>
      <c r="F1356" t="s">
        <v>129</v>
      </c>
      <c r="G1356" t="s">
        <v>145</v>
      </c>
      <c r="H1356" t="s">
        <v>20</v>
      </c>
      <c r="I1356" t="e">
        <f t="shared" ca="1" si="105"/>
        <v>#REF!</v>
      </c>
      <c r="J1356" t="str">
        <f>VLOOKUP($G1356,DefinitionArrays!$I$6:$J$12,2,FALSE)</f>
        <v>Weekend</v>
      </c>
    </row>
    <row r="1357" spans="1:10">
      <c r="A1357" s="159" t="str">
        <f t="shared" si="106"/>
        <v>$N$1:$N$92</v>
      </c>
      <c r="B1357" s="159" t="str">
        <f t="shared" si="107"/>
        <v>$O$1:$O$92</v>
      </c>
      <c r="C1357" s="159" t="str">
        <f t="shared" si="108"/>
        <v>October!$N$1:$N$92</v>
      </c>
      <c r="D1357" s="159" t="str">
        <f t="shared" si="109"/>
        <v>October!$O$1:$O$92</v>
      </c>
      <c r="E1357" t="s">
        <v>4</v>
      </c>
      <c r="F1357" t="s">
        <v>129</v>
      </c>
      <c r="G1357" t="s">
        <v>145</v>
      </c>
      <c r="H1357" t="s">
        <v>21</v>
      </c>
      <c r="I1357" t="e">
        <f t="shared" ca="1" si="105"/>
        <v>#REF!</v>
      </c>
      <c r="J1357" t="str">
        <f>VLOOKUP($G1357,DefinitionArrays!$I$6:$J$12,2,FALSE)</f>
        <v>Weekend</v>
      </c>
    </row>
    <row r="1358" spans="1:10">
      <c r="A1358" s="159" t="str">
        <f t="shared" si="106"/>
        <v>$N$1:$N$92</v>
      </c>
      <c r="B1358" s="159" t="str">
        <f t="shared" si="107"/>
        <v>$O$1:$O$92</v>
      </c>
      <c r="C1358" s="159" t="str">
        <f t="shared" si="108"/>
        <v>October!$N$1:$N$92</v>
      </c>
      <c r="D1358" s="159" t="str">
        <f t="shared" si="109"/>
        <v>October!$O$1:$O$92</v>
      </c>
      <c r="E1358" t="s">
        <v>4</v>
      </c>
      <c r="F1358" t="s">
        <v>129</v>
      </c>
      <c r="G1358" t="s">
        <v>145</v>
      </c>
      <c r="H1358" t="s">
        <v>22</v>
      </c>
      <c r="I1358" t="e">
        <f t="shared" ca="1" si="105"/>
        <v>#REF!</v>
      </c>
      <c r="J1358" t="str">
        <f>VLOOKUP($G1358,DefinitionArrays!$I$6:$J$12,2,FALSE)</f>
        <v>Weekend</v>
      </c>
    </row>
    <row r="1359" spans="1:10">
      <c r="A1359" s="159" t="str">
        <f t="shared" si="106"/>
        <v>$N$1:$N$92</v>
      </c>
      <c r="B1359" s="159" t="str">
        <f t="shared" si="107"/>
        <v>$O$1:$O$92</v>
      </c>
      <c r="C1359" s="159" t="str">
        <f t="shared" si="108"/>
        <v>October!$N$1:$N$92</v>
      </c>
      <c r="D1359" s="159" t="str">
        <f t="shared" si="109"/>
        <v>October!$O$1:$O$92</v>
      </c>
      <c r="E1359" t="s">
        <v>4</v>
      </c>
      <c r="F1359" t="s">
        <v>129</v>
      </c>
      <c r="G1359" t="s">
        <v>145</v>
      </c>
      <c r="H1359" t="s">
        <v>23</v>
      </c>
      <c r="I1359" t="e">
        <f t="shared" ca="1" si="105"/>
        <v>#REF!</v>
      </c>
      <c r="J1359" t="str">
        <f>VLOOKUP($G1359,DefinitionArrays!$I$6:$J$12,2,FALSE)</f>
        <v>Weekend</v>
      </c>
    </row>
    <row r="1360" spans="1:10">
      <c r="A1360" s="159" t="str">
        <f t="shared" si="106"/>
        <v>$N$1:$N$92</v>
      </c>
      <c r="B1360" s="159" t="str">
        <f t="shared" si="107"/>
        <v>$O$1:$O$92</v>
      </c>
      <c r="C1360" s="159" t="str">
        <f t="shared" si="108"/>
        <v>October!$N$1:$N$92</v>
      </c>
      <c r="D1360" s="159" t="str">
        <f t="shared" si="109"/>
        <v>October!$O$1:$O$92</v>
      </c>
      <c r="E1360" t="s">
        <v>4</v>
      </c>
      <c r="F1360" t="s">
        <v>129</v>
      </c>
      <c r="G1360" t="s">
        <v>145</v>
      </c>
      <c r="H1360" t="s">
        <v>24</v>
      </c>
      <c r="I1360" t="e">
        <f t="shared" ca="1" si="105"/>
        <v>#REF!</v>
      </c>
      <c r="J1360" t="str">
        <f>VLOOKUP($G1360,DefinitionArrays!$I$6:$J$12,2,FALSE)</f>
        <v>Weekend</v>
      </c>
    </row>
    <row r="1361" spans="1:10">
      <c r="A1361" s="159" t="str">
        <f t="shared" si="106"/>
        <v>$N$1:$N$92</v>
      </c>
      <c r="B1361" s="159" t="str">
        <f t="shared" si="107"/>
        <v>$O$1:$O$92</v>
      </c>
      <c r="C1361" s="159" t="str">
        <f t="shared" si="108"/>
        <v>October!$N$1:$N$92</v>
      </c>
      <c r="D1361" s="159" t="str">
        <f t="shared" si="109"/>
        <v>October!$O$1:$O$92</v>
      </c>
      <c r="E1361" t="s">
        <v>4</v>
      </c>
      <c r="F1361" t="s">
        <v>129</v>
      </c>
      <c r="G1361" t="s">
        <v>145</v>
      </c>
      <c r="H1361" t="s">
        <v>179</v>
      </c>
      <c r="I1361" t="e">
        <f t="shared" ca="1" si="105"/>
        <v>#REF!</v>
      </c>
      <c r="J1361" t="str">
        <f>VLOOKUP($G1361,DefinitionArrays!$I$6:$J$12,2,FALSE)</f>
        <v>Weekend</v>
      </c>
    </row>
    <row r="1362" spans="1:10">
      <c r="A1362" s="159" t="str">
        <f t="shared" si="106"/>
        <v>$N$1:$N$92</v>
      </c>
      <c r="B1362" s="159" t="str">
        <f t="shared" si="107"/>
        <v>$O$1:$O$92</v>
      </c>
      <c r="C1362" s="159" t="str">
        <f t="shared" si="108"/>
        <v>October!$N$1:$N$92</v>
      </c>
      <c r="D1362" s="159" t="str">
        <f t="shared" si="109"/>
        <v>October!$O$1:$O$92</v>
      </c>
      <c r="E1362" t="s">
        <v>4</v>
      </c>
      <c r="F1362" t="s">
        <v>129</v>
      </c>
      <c r="G1362" t="s">
        <v>145</v>
      </c>
      <c r="H1362" t="s">
        <v>180</v>
      </c>
      <c r="I1362" t="e">
        <f t="shared" ca="1" si="105"/>
        <v>#REF!</v>
      </c>
      <c r="J1362" t="str">
        <f>VLOOKUP($G1362,DefinitionArrays!$I$6:$J$12,2,FALSE)</f>
        <v>Weekend</v>
      </c>
    </row>
    <row r="1363" spans="1:10">
      <c r="A1363" s="159" t="str">
        <f t="shared" si="106"/>
        <v>$N$1:$N$92</v>
      </c>
      <c r="B1363" s="159" t="str">
        <f t="shared" si="107"/>
        <v>$O$1:$O$92</v>
      </c>
      <c r="C1363" s="159" t="str">
        <f t="shared" si="108"/>
        <v>October!$N$1:$N$92</v>
      </c>
      <c r="D1363" s="159" t="str">
        <f t="shared" si="109"/>
        <v>October!$O$1:$O$92</v>
      </c>
      <c r="E1363" t="s">
        <v>4</v>
      </c>
      <c r="F1363" t="s">
        <v>129</v>
      </c>
      <c r="G1363" t="s">
        <v>145</v>
      </c>
      <c r="H1363" t="s">
        <v>44</v>
      </c>
      <c r="I1363" t="e">
        <f t="shared" ca="1" si="105"/>
        <v>#REF!</v>
      </c>
      <c r="J1363" t="str">
        <f>VLOOKUP($G1363,DefinitionArrays!$I$6:$J$12,2,FALSE)</f>
        <v>Weekend</v>
      </c>
    </row>
    <row r="1364" spans="1:10">
      <c r="A1364" s="159" t="str">
        <f t="shared" si="106"/>
        <v>$Q$1:$Q$92</v>
      </c>
      <c r="B1364" s="159" t="str">
        <f t="shared" si="107"/>
        <v>$R$1:$R$92</v>
      </c>
      <c r="C1364" s="159" t="str">
        <f t="shared" si="108"/>
        <v>October!$Q$1:$Q$92</v>
      </c>
      <c r="D1364" s="159" t="str">
        <f t="shared" si="109"/>
        <v>October!$R$1:$R$92</v>
      </c>
      <c r="E1364" t="s">
        <v>4</v>
      </c>
      <c r="F1364" t="s">
        <v>129</v>
      </c>
      <c r="G1364" t="s">
        <v>146</v>
      </c>
      <c r="H1364" t="s">
        <v>159</v>
      </c>
      <c r="I1364" t="e">
        <f t="shared" ca="1" si="105"/>
        <v>#REF!</v>
      </c>
      <c r="J1364" t="str">
        <f>VLOOKUP($G1364,DefinitionArrays!$I$6:$J$12,2,FALSE)</f>
        <v>Weekend</v>
      </c>
    </row>
    <row r="1365" spans="1:10">
      <c r="A1365" s="159" t="str">
        <f t="shared" si="106"/>
        <v>$T$1:$T$92</v>
      </c>
      <c r="B1365" s="159" t="str">
        <f t="shared" si="107"/>
        <v>$U$1:$U$92</v>
      </c>
      <c r="C1365" s="159" t="str">
        <f t="shared" si="108"/>
        <v>October!$T$1:$T$92</v>
      </c>
      <c r="D1365" s="159" t="str">
        <f t="shared" si="109"/>
        <v>October!$U$1:$U$92</v>
      </c>
      <c r="E1365" t="s">
        <v>4</v>
      </c>
      <c r="F1365" t="s">
        <v>129</v>
      </c>
      <c r="G1365" t="s">
        <v>141</v>
      </c>
      <c r="H1365" t="s">
        <v>159</v>
      </c>
      <c r="I1365" t="e">
        <f t="shared" ca="1" si="105"/>
        <v>#REF!</v>
      </c>
      <c r="J1365" t="str">
        <f>VLOOKUP($G1365,DefinitionArrays!$I$6:$J$12,2,FALSE)</f>
        <v>Weekend</v>
      </c>
    </row>
    <row r="1366" spans="1:10">
      <c r="A1366" s="159" t="str">
        <f t="shared" si="106"/>
        <v>$B$1:$B$92</v>
      </c>
      <c r="B1366" s="159" t="str">
        <f t="shared" si="107"/>
        <v>$C$1:$C$92</v>
      </c>
      <c r="C1366" s="159" t="str">
        <f t="shared" si="108"/>
        <v>November!$B$1:$B$92</v>
      </c>
      <c r="D1366" s="159" t="str">
        <f t="shared" si="109"/>
        <v>November!$C$1:$C$92</v>
      </c>
      <c r="E1366" t="s">
        <v>4</v>
      </c>
      <c r="F1366" t="s">
        <v>130</v>
      </c>
      <c r="G1366" t="s">
        <v>13</v>
      </c>
      <c r="H1366" t="s">
        <v>159</v>
      </c>
      <c r="I1366" t="e">
        <f ca="1">COUNTIFS(INDIRECT($C1366),$E1366,INDIRECT($D1366),$H1366)</f>
        <v>#REF!</v>
      </c>
      <c r="J1366" t="str">
        <f>VLOOKUP($G1366,DefinitionArrays!$I$6:$J$12,2,FALSE)</f>
        <v>Workweek</v>
      </c>
    </row>
    <row r="1367" spans="1:10">
      <c r="A1367" s="159" t="str">
        <f t="shared" si="106"/>
        <v>$B$1:$B$92</v>
      </c>
      <c r="B1367" s="159" t="str">
        <f t="shared" si="107"/>
        <v>$C$1:$C$92</v>
      </c>
      <c r="C1367" s="159" t="str">
        <f t="shared" si="108"/>
        <v>November!$B$1:$B$92</v>
      </c>
      <c r="D1367" s="159" t="str">
        <f t="shared" si="109"/>
        <v>November!$C$1:$C$92</v>
      </c>
      <c r="E1367" t="s">
        <v>4</v>
      </c>
      <c r="F1367" t="s">
        <v>130</v>
      </c>
      <c r="G1367" t="s">
        <v>13</v>
      </c>
      <c r="H1367" t="s">
        <v>18</v>
      </c>
      <c r="I1367" t="e">
        <f t="shared" ref="I1367:I1427" ca="1" si="110">COUNTIFS(INDIRECT($C1367),$E1367,INDIRECT($D1367),$H1367)</f>
        <v>#REF!</v>
      </c>
      <c r="J1367" t="str">
        <f>VLOOKUP($G1367,DefinitionArrays!$I$6:$J$12,2,FALSE)</f>
        <v>Workweek</v>
      </c>
    </row>
    <row r="1368" spans="1:10">
      <c r="A1368" s="159" t="str">
        <f t="shared" si="106"/>
        <v>$B$1:$B$92</v>
      </c>
      <c r="B1368" s="159" t="str">
        <f t="shared" si="107"/>
        <v>$C$1:$C$92</v>
      </c>
      <c r="C1368" s="159" t="str">
        <f t="shared" si="108"/>
        <v>November!$B$1:$B$92</v>
      </c>
      <c r="D1368" s="159" t="str">
        <f t="shared" si="109"/>
        <v>November!$C$1:$C$92</v>
      </c>
      <c r="E1368" t="s">
        <v>4</v>
      </c>
      <c r="F1368" t="s">
        <v>130</v>
      </c>
      <c r="G1368" t="s">
        <v>13</v>
      </c>
      <c r="H1368" t="s">
        <v>153</v>
      </c>
      <c r="I1368" t="e">
        <f t="shared" ca="1" si="110"/>
        <v>#REF!</v>
      </c>
      <c r="J1368" t="str">
        <f>VLOOKUP($G1368,DefinitionArrays!$I$6:$J$12,2,FALSE)</f>
        <v>Workweek</v>
      </c>
    </row>
    <row r="1369" spans="1:10">
      <c r="A1369" s="159" t="str">
        <f t="shared" si="106"/>
        <v>$B$1:$B$92</v>
      </c>
      <c r="B1369" s="159" t="str">
        <f t="shared" si="107"/>
        <v>$C$1:$C$92</v>
      </c>
      <c r="C1369" s="159" t="str">
        <f t="shared" si="108"/>
        <v>November!$B$1:$B$92</v>
      </c>
      <c r="D1369" s="159" t="str">
        <f t="shared" si="109"/>
        <v>November!$C$1:$C$92</v>
      </c>
      <c r="E1369" t="s">
        <v>4</v>
      </c>
      <c r="F1369" t="s">
        <v>130</v>
      </c>
      <c r="G1369" t="s">
        <v>13</v>
      </c>
      <c r="H1369" t="s">
        <v>19</v>
      </c>
      <c r="I1369" t="e">
        <f t="shared" ca="1" si="110"/>
        <v>#REF!</v>
      </c>
      <c r="J1369" t="str">
        <f>VLOOKUP($G1369,DefinitionArrays!$I$6:$J$12,2,FALSE)</f>
        <v>Workweek</v>
      </c>
    </row>
    <row r="1370" spans="1:10">
      <c r="A1370" s="159" t="str">
        <f t="shared" si="106"/>
        <v>$B$1:$B$92</v>
      </c>
      <c r="B1370" s="159" t="str">
        <f t="shared" si="107"/>
        <v>$C$1:$C$92</v>
      </c>
      <c r="C1370" s="159" t="str">
        <f t="shared" si="108"/>
        <v>November!$B$1:$B$92</v>
      </c>
      <c r="D1370" s="159" t="str">
        <f t="shared" si="109"/>
        <v>November!$C$1:$C$92</v>
      </c>
      <c r="E1370" t="s">
        <v>4</v>
      </c>
      <c r="F1370" t="s">
        <v>130</v>
      </c>
      <c r="G1370" t="s">
        <v>13</v>
      </c>
      <c r="H1370" t="s">
        <v>20</v>
      </c>
      <c r="I1370" t="e">
        <f t="shared" ca="1" si="110"/>
        <v>#REF!</v>
      </c>
      <c r="J1370" t="str">
        <f>VLOOKUP($G1370,DefinitionArrays!$I$6:$J$12,2,FALSE)</f>
        <v>Workweek</v>
      </c>
    </row>
    <row r="1371" spans="1:10">
      <c r="A1371" s="159" t="str">
        <f t="shared" si="106"/>
        <v>$B$1:$B$92</v>
      </c>
      <c r="B1371" s="159" t="str">
        <f t="shared" si="107"/>
        <v>$C$1:$C$92</v>
      </c>
      <c r="C1371" s="159" t="str">
        <f t="shared" si="108"/>
        <v>November!$B$1:$B$92</v>
      </c>
      <c r="D1371" s="159" t="str">
        <f t="shared" si="109"/>
        <v>November!$C$1:$C$92</v>
      </c>
      <c r="E1371" t="s">
        <v>4</v>
      </c>
      <c r="F1371" t="s">
        <v>130</v>
      </c>
      <c r="G1371" t="s">
        <v>13</v>
      </c>
      <c r="H1371" t="s">
        <v>21</v>
      </c>
      <c r="I1371" t="e">
        <f t="shared" ca="1" si="110"/>
        <v>#REF!</v>
      </c>
      <c r="J1371" t="str">
        <f>VLOOKUP($G1371,DefinitionArrays!$I$6:$J$12,2,FALSE)</f>
        <v>Workweek</v>
      </c>
    </row>
    <row r="1372" spans="1:10">
      <c r="A1372" s="159" t="str">
        <f t="shared" si="106"/>
        <v>$B$1:$B$92</v>
      </c>
      <c r="B1372" s="159" t="str">
        <f t="shared" si="107"/>
        <v>$C$1:$C$92</v>
      </c>
      <c r="C1372" s="159" t="str">
        <f t="shared" si="108"/>
        <v>November!$B$1:$B$92</v>
      </c>
      <c r="D1372" s="159" t="str">
        <f t="shared" si="109"/>
        <v>November!$C$1:$C$92</v>
      </c>
      <c r="E1372" t="s">
        <v>4</v>
      </c>
      <c r="F1372" t="s">
        <v>130</v>
      </c>
      <c r="G1372" t="s">
        <v>13</v>
      </c>
      <c r="H1372" t="s">
        <v>22</v>
      </c>
      <c r="I1372" t="e">
        <f t="shared" ca="1" si="110"/>
        <v>#REF!</v>
      </c>
      <c r="J1372" t="str">
        <f>VLOOKUP($G1372,DefinitionArrays!$I$6:$J$12,2,FALSE)</f>
        <v>Workweek</v>
      </c>
    </row>
    <row r="1373" spans="1:10">
      <c r="A1373" s="159" t="str">
        <f t="shared" si="106"/>
        <v>$B$1:$B$92</v>
      </c>
      <c r="B1373" s="159" t="str">
        <f t="shared" si="107"/>
        <v>$C$1:$C$92</v>
      </c>
      <c r="C1373" s="159" t="str">
        <f t="shared" si="108"/>
        <v>November!$B$1:$B$92</v>
      </c>
      <c r="D1373" s="159" t="str">
        <f t="shared" si="109"/>
        <v>November!$C$1:$C$92</v>
      </c>
      <c r="E1373" t="s">
        <v>4</v>
      </c>
      <c r="F1373" t="s">
        <v>130</v>
      </c>
      <c r="G1373" t="s">
        <v>13</v>
      </c>
      <c r="H1373" t="s">
        <v>23</v>
      </c>
      <c r="I1373" t="e">
        <f t="shared" ca="1" si="110"/>
        <v>#REF!</v>
      </c>
      <c r="J1373" t="str">
        <f>VLOOKUP($G1373,DefinitionArrays!$I$6:$J$12,2,FALSE)</f>
        <v>Workweek</v>
      </c>
    </row>
    <row r="1374" spans="1:10">
      <c r="A1374" s="159" t="str">
        <f t="shared" si="106"/>
        <v>$B$1:$B$92</v>
      </c>
      <c r="B1374" s="159" t="str">
        <f t="shared" si="107"/>
        <v>$C$1:$C$92</v>
      </c>
      <c r="C1374" s="159" t="str">
        <f t="shared" si="108"/>
        <v>November!$B$1:$B$92</v>
      </c>
      <c r="D1374" s="159" t="str">
        <f t="shared" si="109"/>
        <v>November!$C$1:$C$92</v>
      </c>
      <c r="E1374" t="s">
        <v>4</v>
      </c>
      <c r="F1374" t="s">
        <v>130</v>
      </c>
      <c r="G1374" t="s">
        <v>13</v>
      </c>
      <c r="H1374" t="s">
        <v>24</v>
      </c>
      <c r="I1374" t="e">
        <f t="shared" ca="1" si="110"/>
        <v>#REF!</v>
      </c>
      <c r="J1374" t="str">
        <f>VLOOKUP($G1374,DefinitionArrays!$I$6:$J$12,2,FALSE)</f>
        <v>Workweek</v>
      </c>
    </row>
    <row r="1375" spans="1:10">
      <c r="A1375" s="159" t="str">
        <f t="shared" si="106"/>
        <v>$B$1:$B$92</v>
      </c>
      <c r="B1375" s="159" t="str">
        <f t="shared" si="107"/>
        <v>$C$1:$C$92</v>
      </c>
      <c r="C1375" s="159" t="str">
        <f t="shared" si="108"/>
        <v>November!$B$1:$B$92</v>
      </c>
      <c r="D1375" s="159" t="str">
        <f t="shared" si="109"/>
        <v>November!$C$1:$C$92</v>
      </c>
      <c r="E1375" t="s">
        <v>4</v>
      </c>
      <c r="F1375" t="s">
        <v>130</v>
      </c>
      <c r="G1375" t="s">
        <v>13</v>
      </c>
      <c r="H1375" t="s">
        <v>179</v>
      </c>
      <c r="I1375" t="e">
        <f t="shared" ca="1" si="110"/>
        <v>#REF!</v>
      </c>
      <c r="J1375" t="str">
        <f>VLOOKUP($G1375,DefinitionArrays!$I$6:$J$12,2,FALSE)</f>
        <v>Workweek</v>
      </c>
    </row>
    <row r="1376" spans="1:10">
      <c r="A1376" s="159" t="str">
        <f t="shared" si="106"/>
        <v>$B$1:$B$92</v>
      </c>
      <c r="B1376" s="159" t="str">
        <f t="shared" si="107"/>
        <v>$C$1:$C$92</v>
      </c>
      <c r="C1376" s="159" t="str">
        <f t="shared" si="108"/>
        <v>November!$B$1:$B$92</v>
      </c>
      <c r="D1376" s="159" t="str">
        <f t="shared" si="109"/>
        <v>November!$C$1:$C$92</v>
      </c>
      <c r="E1376" t="s">
        <v>4</v>
      </c>
      <c r="F1376" t="s">
        <v>130</v>
      </c>
      <c r="G1376" t="s">
        <v>13</v>
      </c>
      <c r="H1376" t="s">
        <v>180</v>
      </c>
      <c r="I1376" t="e">
        <f t="shared" ca="1" si="110"/>
        <v>#REF!</v>
      </c>
      <c r="J1376" t="str">
        <f>VLOOKUP($G1376,DefinitionArrays!$I$6:$J$12,2,FALSE)</f>
        <v>Workweek</v>
      </c>
    </row>
    <row r="1377" spans="1:10">
      <c r="A1377" s="159" t="str">
        <f t="shared" si="106"/>
        <v>$B$1:$B$92</v>
      </c>
      <c r="B1377" s="159" t="str">
        <f t="shared" si="107"/>
        <v>$C$1:$C$92</v>
      </c>
      <c r="C1377" s="159" t="str">
        <f t="shared" si="108"/>
        <v>November!$B$1:$B$92</v>
      </c>
      <c r="D1377" s="159" t="str">
        <f t="shared" si="109"/>
        <v>November!$C$1:$C$92</v>
      </c>
      <c r="E1377" t="s">
        <v>4</v>
      </c>
      <c r="F1377" t="s">
        <v>130</v>
      </c>
      <c r="G1377" t="s">
        <v>13</v>
      </c>
      <c r="H1377" t="s">
        <v>44</v>
      </c>
      <c r="I1377" t="e">
        <f t="shared" ca="1" si="110"/>
        <v>#REF!</v>
      </c>
      <c r="J1377" t="str">
        <f>VLOOKUP($G1377,DefinitionArrays!$I$6:$J$12,2,FALSE)</f>
        <v>Workweek</v>
      </c>
    </row>
    <row r="1378" spans="1:10">
      <c r="A1378" s="159" t="str">
        <f t="shared" si="106"/>
        <v>$E$1:$E$92</v>
      </c>
      <c r="B1378" s="159" t="str">
        <f t="shared" si="107"/>
        <v>$F$1:$F$92</v>
      </c>
      <c r="C1378" s="159" t="str">
        <f t="shared" si="108"/>
        <v>November!$E$1:$E$92</v>
      </c>
      <c r="D1378" s="159" t="str">
        <f t="shared" si="109"/>
        <v>November!$F$1:$F$92</v>
      </c>
      <c r="E1378" t="s">
        <v>4</v>
      </c>
      <c r="F1378" t="s">
        <v>130</v>
      </c>
      <c r="G1378" t="s">
        <v>142</v>
      </c>
      <c r="H1378" t="s">
        <v>159</v>
      </c>
      <c r="I1378" t="e">
        <f t="shared" ca="1" si="110"/>
        <v>#REF!</v>
      </c>
      <c r="J1378" t="str">
        <f>VLOOKUP($G1378,DefinitionArrays!$I$6:$J$12,2,FALSE)</f>
        <v>Workweek</v>
      </c>
    </row>
    <row r="1379" spans="1:10">
      <c r="A1379" s="159" t="str">
        <f t="shared" si="106"/>
        <v>$E$1:$E$92</v>
      </c>
      <c r="B1379" s="159" t="str">
        <f t="shared" si="107"/>
        <v>$F$1:$F$92</v>
      </c>
      <c r="C1379" s="159" t="str">
        <f t="shared" si="108"/>
        <v>November!$E$1:$E$92</v>
      </c>
      <c r="D1379" s="159" t="str">
        <f t="shared" si="109"/>
        <v>November!$F$1:$F$92</v>
      </c>
      <c r="E1379" t="s">
        <v>4</v>
      </c>
      <c r="F1379" t="s">
        <v>130</v>
      </c>
      <c r="G1379" t="s">
        <v>142</v>
      </c>
      <c r="H1379" t="s">
        <v>18</v>
      </c>
      <c r="I1379" t="e">
        <f t="shared" ca="1" si="110"/>
        <v>#REF!</v>
      </c>
      <c r="J1379" t="str">
        <f>VLOOKUP($G1379,DefinitionArrays!$I$6:$J$12,2,FALSE)</f>
        <v>Workweek</v>
      </c>
    </row>
    <row r="1380" spans="1:10">
      <c r="A1380" s="159" t="str">
        <f t="shared" si="106"/>
        <v>$E$1:$E$92</v>
      </c>
      <c r="B1380" s="159" t="str">
        <f t="shared" si="107"/>
        <v>$F$1:$F$92</v>
      </c>
      <c r="C1380" s="159" t="str">
        <f t="shared" si="108"/>
        <v>November!$E$1:$E$92</v>
      </c>
      <c r="D1380" s="159" t="str">
        <f t="shared" si="109"/>
        <v>November!$F$1:$F$92</v>
      </c>
      <c r="E1380" t="s">
        <v>4</v>
      </c>
      <c r="F1380" t="s">
        <v>130</v>
      </c>
      <c r="G1380" t="s">
        <v>142</v>
      </c>
      <c r="H1380" t="s">
        <v>153</v>
      </c>
      <c r="I1380" t="e">
        <f t="shared" ca="1" si="110"/>
        <v>#REF!</v>
      </c>
      <c r="J1380" t="str">
        <f>VLOOKUP($G1380,DefinitionArrays!$I$6:$J$12,2,FALSE)</f>
        <v>Workweek</v>
      </c>
    </row>
    <row r="1381" spans="1:10">
      <c r="A1381" s="159" t="str">
        <f t="shared" si="106"/>
        <v>$E$1:$E$92</v>
      </c>
      <c r="B1381" s="159" t="str">
        <f t="shared" si="107"/>
        <v>$F$1:$F$92</v>
      </c>
      <c r="C1381" s="159" t="str">
        <f t="shared" si="108"/>
        <v>November!$E$1:$E$92</v>
      </c>
      <c r="D1381" s="159" t="str">
        <f t="shared" si="109"/>
        <v>November!$F$1:$F$92</v>
      </c>
      <c r="E1381" t="s">
        <v>4</v>
      </c>
      <c r="F1381" t="s">
        <v>130</v>
      </c>
      <c r="G1381" t="s">
        <v>142</v>
      </c>
      <c r="H1381" t="s">
        <v>19</v>
      </c>
      <c r="I1381" t="e">
        <f t="shared" ca="1" si="110"/>
        <v>#REF!</v>
      </c>
      <c r="J1381" t="str">
        <f>VLOOKUP($G1381,DefinitionArrays!$I$6:$J$12,2,FALSE)</f>
        <v>Workweek</v>
      </c>
    </row>
    <row r="1382" spans="1:10">
      <c r="A1382" s="159" t="str">
        <f t="shared" si="106"/>
        <v>$E$1:$E$92</v>
      </c>
      <c r="B1382" s="159" t="str">
        <f t="shared" si="107"/>
        <v>$F$1:$F$92</v>
      </c>
      <c r="C1382" s="159" t="str">
        <f t="shared" si="108"/>
        <v>November!$E$1:$E$92</v>
      </c>
      <c r="D1382" s="159" t="str">
        <f t="shared" si="109"/>
        <v>November!$F$1:$F$92</v>
      </c>
      <c r="E1382" t="s">
        <v>4</v>
      </c>
      <c r="F1382" t="s">
        <v>130</v>
      </c>
      <c r="G1382" t="s">
        <v>142</v>
      </c>
      <c r="H1382" t="s">
        <v>20</v>
      </c>
      <c r="I1382" t="e">
        <f t="shared" ca="1" si="110"/>
        <v>#REF!</v>
      </c>
      <c r="J1382" t="str">
        <f>VLOOKUP($G1382,DefinitionArrays!$I$6:$J$12,2,FALSE)</f>
        <v>Workweek</v>
      </c>
    </row>
    <row r="1383" spans="1:10">
      <c r="A1383" s="159" t="str">
        <f t="shared" si="106"/>
        <v>$E$1:$E$92</v>
      </c>
      <c r="B1383" s="159" t="str">
        <f t="shared" si="107"/>
        <v>$F$1:$F$92</v>
      </c>
      <c r="C1383" s="159" t="str">
        <f t="shared" si="108"/>
        <v>November!$E$1:$E$92</v>
      </c>
      <c r="D1383" s="159" t="str">
        <f t="shared" si="109"/>
        <v>November!$F$1:$F$92</v>
      </c>
      <c r="E1383" t="s">
        <v>4</v>
      </c>
      <c r="F1383" t="s">
        <v>130</v>
      </c>
      <c r="G1383" t="s">
        <v>142</v>
      </c>
      <c r="H1383" t="s">
        <v>21</v>
      </c>
      <c r="I1383" t="e">
        <f t="shared" ca="1" si="110"/>
        <v>#REF!</v>
      </c>
      <c r="J1383" t="str">
        <f>VLOOKUP($G1383,DefinitionArrays!$I$6:$J$12,2,FALSE)</f>
        <v>Workweek</v>
      </c>
    </row>
    <row r="1384" spans="1:10">
      <c r="A1384" s="159" t="str">
        <f t="shared" si="106"/>
        <v>$E$1:$E$92</v>
      </c>
      <c r="B1384" s="159" t="str">
        <f t="shared" si="107"/>
        <v>$F$1:$F$92</v>
      </c>
      <c r="C1384" s="159" t="str">
        <f t="shared" si="108"/>
        <v>November!$E$1:$E$92</v>
      </c>
      <c r="D1384" s="159" t="str">
        <f t="shared" si="109"/>
        <v>November!$F$1:$F$92</v>
      </c>
      <c r="E1384" t="s">
        <v>4</v>
      </c>
      <c r="F1384" t="s">
        <v>130</v>
      </c>
      <c r="G1384" t="s">
        <v>142</v>
      </c>
      <c r="H1384" t="s">
        <v>22</v>
      </c>
      <c r="I1384" t="e">
        <f t="shared" ca="1" si="110"/>
        <v>#REF!</v>
      </c>
      <c r="J1384" t="str">
        <f>VLOOKUP($G1384,DefinitionArrays!$I$6:$J$12,2,FALSE)</f>
        <v>Workweek</v>
      </c>
    </row>
    <row r="1385" spans="1:10">
      <c r="A1385" s="159" t="str">
        <f t="shared" si="106"/>
        <v>$E$1:$E$92</v>
      </c>
      <c r="B1385" s="159" t="str">
        <f t="shared" si="107"/>
        <v>$F$1:$F$92</v>
      </c>
      <c r="C1385" s="159" t="str">
        <f t="shared" si="108"/>
        <v>November!$E$1:$E$92</v>
      </c>
      <c r="D1385" s="159" t="str">
        <f t="shared" si="109"/>
        <v>November!$F$1:$F$92</v>
      </c>
      <c r="E1385" t="s">
        <v>4</v>
      </c>
      <c r="F1385" t="s">
        <v>130</v>
      </c>
      <c r="G1385" t="s">
        <v>142</v>
      </c>
      <c r="H1385" t="s">
        <v>23</v>
      </c>
      <c r="I1385" t="e">
        <f t="shared" ca="1" si="110"/>
        <v>#REF!</v>
      </c>
      <c r="J1385" t="str">
        <f>VLOOKUP($G1385,DefinitionArrays!$I$6:$J$12,2,FALSE)</f>
        <v>Workweek</v>
      </c>
    </row>
    <row r="1386" spans="1:10">
      <c r="A1386" s="159" t="str">
        <f t="shared" si="106"/>
        <v>$E$1:$E$92</v>
      </c>
      <c r="B1386" s="159" t="str">
        <f t="shared" si="107"/>
        <v>$F$1:$F$92</v>
      </c>
      <c r="C1386" s="159" t="str">
        <f t="shared" si="108"/>
        <v>November!$E$1:$E$92</v>
      </c>
      <c r="D1386" s="159" t="str">
        <f t="shared" si="109"/>
        <v>November!$F$1:$F$92</v>
      </c>
      <c r="E1386" t="s">
        <v>4</v>
      </c>
      <c r="F1386" t="s">
        <v>130</v>
      </c>
      <c r="G1386" t="s">
        <v>142</v>
      </c>
      <c r="H1386" t="s">
        <v>24</v>
      </c>
      <c r="I1386" t="e">
        <f t="shared" ca="1" si="110"/>
        <v>#REF!</v>
      </c>
      <c r="J1386" t="str">
        <f>VLOOKUP($G1386,DefinitionArrays!$I$6:$J$12,2,FALSE)</f>
        <v>Workweek</v>
      </c>
    </row>
    <row r="1387" spans="1:10">
      <c r="A1387" s="159" t="str">
        <f t="shared" si="106"/>
        <v>$E$1:$E$92</v>
      </c>
      <c r="B1387" s="159" t="str">
        <f t="shared" si="107"/>
        <v>$F$1:$F$92</v>
      </c>
      <c r="C1387" s="159" t="str">
        <f t="shared" si="108"/>
        <v>November!$E$1:$E$92</v>
      </c>
      <c r="D1387" s="159" t="str">
        <f t="shared" si="109"/>
        <v>November!$F$1:$F$92</v>
      </c>
      <c r="E1387" t="s">
        <v>4</v>
      </c>
      <c r="F1387" t="s">
        <v>130</v>
      </c>
      <c r="G1387" t="s">
        <v>142</v>
      </c>
      <c r="H1387" t="s">
        <v>179</v>
      </c>
      <c r="I1387" t="e">
        <f t="shared" ca="1" si="110"/>
        <v>#REF!</v>
      </c>
      <c r="J1387" t="str">
        <f>VLOOKUP($G1387,DefinitionArrays!$I$6:$J$12,2,FALSE)</f>
        <v>Workweek</v>
      </c>
    </row>
    <row r="1388" spans="1:10">
      <c r="A1388" s="159" t="str">
        <f t="shared" si="106"/>
        <v>$E$1:$E$92</v>
      </c>
      <c r="B1388" s="159" t="str">
        <f t="shared" si="107"/>
        <v>$F$1:$F$92</v>
      </c>
      <c r="C1388" s="159" t="str">
        <f t="shared" si="108"/>
        <v>November!$E$1:$E$92</v>
      </c>
      <c r="D1388" s="159" t="str">
        <f t="shared" si="109"/>
        <v>November!$F$1:$F$92</v>
      </c>
      <c r="E1388" t="s">
        <v>4</v>
      </c>
      <c r="F1388" t="s">
        <v>130</v>
      </c>
      <c r="G1388" t="s">
        <v>142</v>
      </c>
      <c r="H1388" t="s">
        <v>180</v>
      </c>
      <c r="I1388" t="e">
        <f t="shared" ca="1" si="110"/>
        <v>#REF!</v>
      </c>
      <c r="J1388" t="str">
        <f>VLOOKUP($G1388,DefinitionArrays!$I$6:$J$12,2,FALSE)</f>
        <v>Workweek</v>
      </c>
    </row>
    <row r="1389" spans="1:10">
      <c r="A1389" s="159" t="str">
        <f t="shared" si="106"/>
        <v>$E$1:$E$92</v>
      </c>
      <c r="B1389" s="159" t="str">
        <f t="shared" si="107"/>
        <v>$F$1:$F$92</v>
      </c>
      <c r="C1389" s="159" t="str">
        <f t="shared" si="108"/>
        <v>November!$E$1:$E$92</v>
      </c>
      <c r="D1389" s="159" t="str">
        <f t="shared" si="109"/>
        <v>November!$F$1:$F$92</v>
      </c>
      <c r="E1389" t="s">
        <v>4</v>
      </c>
      <c r="F1389" t="s">
        <v>130</v>
      </c>
      <c r="G1389" t="s">
        <v>142</v>
      </c>
      <c r="H1389" t="s">
        <v>44</v>
      </c>
      <c r="I1389" t="e">
        <f t="shared" ca="1" si="110"/>
        <v>#REF!</v>
      </c>
      <c r="J1389" t="str">
        <f>VLOOKUP($G1389,DefinitionArrays!$I$6:$J$12,2,FALSE)</f>
        <v>Workweek</v>
      </c>
    </row>
    <row r="1390" spans="1:10">
      <c r="A1390" s="159" t="str">
        <f t="shared" si="106"/>
        <v>$H$1:$H$92</v>
      </c>
      <c r="B1390" s="159" t="str">
        <f t="shared" si="107"/>
        <v>$I$1:$I$92</v>
      </c>
      <c r="C1390" s="159" t="str">
        <f t="shared" si="108"/>
        <v>November!$H$1:$H$92</v>
      </c>
      <c r="D1390" s="159" t="str">
        <f t="shared" si="109"/>
        <v>November!$I$1:$I$92</v>
      </c>
      <c r="E1390" t="s">
        <v>4</v>
      </c>
      <c r="F1390" t="s">
        <v>130</v>
      </c>
      <c r="G1390" t="s">
        <v>143</v>
      </c>
      <c r="H1390" t="s">
        <v>159</v>
      </c>
      <c r="I1390" t="e">
        <f t="shared" ca="1" si="110"/>
        <v>#REF!</v>
      </c>
      <c r="J1390" t="str">
        <f>VLOOKUP($G1390,DefinitionArrays!$I$6:$J$12,2,FALSE)</f>
        <v>Workweek</v>
      </c>
    </row>
    <row r="1391" spans="1:10">
      <c r="A1391" s="159" t="str">
        <f t="shared" si="106"/>
        <v>$H$1:$H$92</v>
      </c>
      <c r="B1391" s="159" t="str">
        <f t="shared" si="107"/>
        <v>$I$1:$I$92</v>
      </c>
      <c r="C1391" s="159" t="str">
        <f t="shared" si="108"/>
        <v>November!$H$1:$H$92</v>
      </c>
      <c r="D1391" s="159" t="str">
        <f t="shared" si="109"/>
        <v>November!$I$1:$I$92</v>
      </c>
      <c r="E1391" t="s">
        <v>4</v>
      </c>
      <c r="F1391" t="s">
        <v>130</v>
      </c>
      <c r="G1391" t="s">
        <v>143</v>
      </c>
      <c r="H1391" t="s">
        <v>18</v>
      </c>
      <c r="I1391" t="e">
        <f t="shared" ca="1" si="110"/>
        <v>#REF!</v>
      </c>
      <c r="J1391" t="str">
        <f>VLOOKUP($G1391,DefinitionArrays!$I$6:$J$12,2,FALSE)</f>
        <v>Workweek</v>
      </c>
    </row>
    <row r="1392" spans="1:10">
      <c r="A1392" s="159" t="str">
        <f t="shared" si="106"/>
        <v>$H$1:$H$92</v>
      </c>
      <c r="B1392" s="159" t="str">
        <f t="shared" si="107"/>
        <v>$I$1:$I$92</v>
      </c>
      <c r="C1392" s="159" t="str">
        <f t="shared" si="108"/>
        <v>November!$H$1:$H$92</v>
      </c>
      <c r="D1392" s="159" t="str">
        <f t="shared" si="109"/>
        <v>November!$I$1:$I$92</v>
      </c>
      <c r="E1392" t="s">
        <v>4</v>
      </c>
      <c r="F1392" t="s">
        <v>130</v>
      </c>
      <c r="G1392" t="s">
        <v>143</v>
      </c>
      <c r="H1392" t="s">
        <v>153</v>
      </c>
      <c r="I1392" t="e">
        <f t="shared" ca="1" si="110"/>
        <v>#REF!</v>
      </c>
      <c r="J1392" t="str">
        <f>VLOOKUP($G1392,DefinitionArrays!$I$6:$J$12,2,FALSE)</f>
        <v>Workweek</v>
      </c>
    </row>
    <row r="1393" spans="1:10">
      <c r="A1393" s="159" t="str">
        <f t="shared" si="106"/>
        <v>$H$1:$H$92</v>
      </c>
      <c r="B1393" s="159" t="str">
        <f t="shared" si="107"/>
        <v>$I$1:$I$92</v>
      </c>
      <c r="C1393" s="159" t="str">
        <f t="shared" si="108"/>
        <v>November!$H$1:$H$92</v>
      </c>
      <c r="D1393" s="159" t="str">
        <f t="shared" si="109"/>
        <v>November!$I$1:$I$92</v>
      </c>
      <c r="E1393" t="s">
        <v>4</v>
      </c>
      <c r="F1393" t="s">
        <v>130</v>
      </c>
      <c r="G1393" t="s">
        <v>143</v>
      </c>
      <c r="H1393" t="s">
        <v>19</v>
      </c>
      <c r="I1393" t="e">
        <f t="shared" ca="1" si="110"/>
        <v>#REF!</v>
      </c>
      <c r="J1393" t="str">
        <f>VLOOKUP($G1393,DefinitionArrays!$I$6:$J$12,2,FALSE)</f>
        <v>Workweek</v>
      </c>
    </row>
    <row r="1394" spans="1:10">
      <c r="A1394" s="159" t="str">
        <f t="shared" si="106"/>
        <v>$H$1:$H$92</v>
      </c>
      <c r="B1394" s="159" t="str">
        <f t="shared" si="107"/>
        <v>$I$1:$I$92</v>
      </c>
      <c r="C1394" s="159" t="str">
        <f t="shared" si="108"/>
        <v>November!$H$1:$H$92</v>
      </c>
      <c r="D1394" s="159" t="str">
        <f t="shared" si="109"/>
        <v>November!$I$1:$I$92</v>
      </c>
      <c r="E1394" t="s">
        <v>4</v>
      </c>
      <c r="F1394" t="s">
        <v>130</v>
      </c>
      <c r="G1394" t="s">
        <v>143</v>
      </c>
      <c r="H1394" t="s">
        <v>20</v>
      </c>
      <c r="I1394" t="e">
        <f t="shared" ca="1" si="110"/>
        <v>#REF!</v>
      </c>
      <c r="J1394" t="str">
        <f>VLOOKUP($G1394,DefinitionArrays!$I$6:$J$12,2,FALSE)</f>
        <v>Workweek</v>
      </c>
    </row>
    <row r="1395" spans="1:10">
      <c r="A1395" s="159" t="str">
        <f t="shared" si="106"/>
        <v>$H$1:$H$92</v>
      </c>
      <c r="B1395" s="159" t="str">
        <f t="shared" si="107"/>
        <v>$I$1:$I$92</v>
      </c>
      <c r="C1395" s="159" t="str">
        <f t="shared" si="108"/>
        <v>November!$H$1:$H$92</v>
      </c>
      <c r="D1395" s="159" t="str">
        <f t="shared" si="109"/>
        <v>November!$I$1:$I$92</v>
      </c>
      <c r="E1395" t="s">
        <v>4</v>
      </c>
      <c r="F1395" t="s">
        <v>130</v>
      </c>
      <c r="G1395" t="s">
        <v>143</v>
      </c>
      <c r="H1395" t="s">
        <v>21</v>
      </c>
      <c r="I1395" t="e">
        <f t="shared" ca="1" si="110"/>
        <v>#REF!</v>
      </c>
      <c r="J1395" t="str">
        <f>VLOOKUP($G1395,DefinitionArrays!$I$6:$J$12,2,FALSE)</f>
        <v>Workweek</v>
      </c>
    </row>
    <row r="1396" spans="1:10">
      <c r="A1396" s="159" t="str">
        <f t="shared" si="106"/>
        <v>$H$1:$H$92</v>
      </c>
      <c r="B1396" s="159" t="str">
        <f t="shared" si="107"/>
        <v>$I$1:$I$92</v>
      </c>
      <c r="C1396" s="159" t="str">
        <f t="shared" si="108"/>
        <v>November!$H$1:$H$92</v>
      </c>
      <c r="D1396" s="159" t="str">
        <f t="shared" si="109"/>
        <v>November!$I$1:$I$92</v>
      </c>
      <c r="E1396" t="s">
        <v>4</v>
      </c>
      <c r="F1396" t="s">
        <v>130</v>
      </c>
      <c r="G1396" t="s">
        <v>143</v>
      </c>
      <c r="H1396" t="s">
        <v>22</v>
      </c>
      <c r="I1396" t="e">
        <f t="shared" ca="1" si="110"/>
        <v>#REF!</v>
      </c>
      <c r="J1396" t="str">
        <f>VLOOKUP($G1396,DefinitionArrays!$I$6:$J$12,2,FALSE)</f>
        <v>Workweek</v>
      </c>
    </row>
    <row r="1397" spans="1:10">
      <c r="A1397" s="159" t="str">
        <f t="shared" si="106"/>
        <v>$H$1:$H$92</v>
      </c>
      <c r="B1397" s="159" t="str">
        <f t="shared" si="107"/>
        <v>$I$1:$I$92</v>
      </c>
      <c r="C1397" s="159" t="str">
        <f t="shared" si="108"/>
        <v>November!$H$1:$H$92</v>
      </c>
      <c r="D1397" s="159" t="str">
        <f t="shared" si="109"/>
        <v>November!$I$1:$I$92</v>
      </c>
      <c r="E1397" t="s">
        <v>4</v>
      </c>
      <c r="F1397" t="s">
        <v>130</v>
      </c>
      <c r="G1397" t="s">
        <v>143</v>
      </c>
      <c r="H1397" t="s">
        <v>23</v>
      </c>
      <c r="I1397" t="e">
        <f t="shared" ca="1" si="110"/>
        <v>#REF!</v>
      </c>
      <c r="J1397" t="str">
        <f>VLOOKUP($G1397,DefinitionArrays!$I$6:$J$12,2,FALSE)</f>
        <v>Workweek</v>
      </c>
    </row>
    <row r="1398" spans="1:10">
      <c r="A1398" s="159" t="str">
        <f t="shared" si="106"/>
        <v>$H$1:$H$92</v>
      </c>
      <c r="B1398" s="159" t="str">
        <f t="shared" si="107"/>
        <v>$I$1:$I$92</v>
      </c>
      <c r="C1398" s="159" t="str">
        <f t="shared" si="108"/>
        <v>November!$H$1:$H$92</v>
      </c>
      <c r="D1398" s="159" t="str">
        <f t="shared" si="109"/>
        <v>November!$I$1:$I$92</v>
      </c>
      <c r="E1398" t="s">
        <v>4</v>
      </c>
      <c r="F1398" t="s">
        <v>130</v>
      </c>
      <c r="G1398" t="s">
        <v>143</v>
      </c>
      <c r="H1398" t="s">
        <v>24</v>
      </c>
      <c r="I1398" t="e">
        <f t="shared" ca="1" si="110"/>
        <v>#REF!</v>
      </c>
      <c r="J1398" t="str">
        <f>VLOOKUP($G1398,DefinitionArrays!$I$6:$J$12,2,FALSE)</f>
        <v>Workweek</v>
      </c>
    </row>
    <row r="1399" spans="1:10">
      <c r="A1399" s="159" t="str">
        <f t="shared" si="106"/>
        <v>$H$1:$H$92</v>
      </c>
      <c r="B1399" s="159" t="str">
        <f t="shared" si="107"/>
        <v>$I$1:$I$92</v>
      </c>
      <c r="C1399" s="159" t="str">
        <f t="shared" si="108"/>
        <v>November!$H$1:$H$92</v>
      </c>
      <c r="D1399" s="159" t="str">
        <f t="shared" si="109"/>
        <v>November!$I$1:$I$92</v>
      </c>
      <c r="E1399" t="s">
        <v>4</v>
      </c>
      <c r="F1399" t="s">
        <v>130</v>
      </c>
      <c r="G1399" t="s">
        <v>143</v>
      </c>
      <c r="H1399" t="s">
        <v>179</v>
      </c>
      <c r="I1399" t="e">
        <f t="shared" ca="1" si="110"/>
        <v>#REF!</v>
      </c>
      <c r="J1399" t="str">
        <f>VLOOKUP($G1399,DefinitionArrays!$I$6:$J$12,2,FALSE)</f>
        <v>Workweek</v>
      </c>
    </row>
    <row r="1400" spans="1:10">
      <c r="A1400" s="159" t="str">
        <f t="shared" si="106"/>
        <v>$H$1:$H$92</v>
      </c>
      <c r="B1400" s="159" t="str">
        <f t="shared" si="107"/>
        <v>$I$1:$I$92</v>
      </c>
      <c r="C1400" s="159" t="str">
        <f t="shared" si="108"/>
        <v>November!$H$1:$H$92</v>
      </c>
      <c r="D1400" s="159" t="str">
        <f t="shared" si="109"/>
        <v>November!$I$1:$I$92</v>
      </c>
      <c r="E1400" t="s">
        <v>4</v>
      </c>
      <c r="F1400" t="s">
        <v>130</v>
      </c>
      <c r="G1400" t="s">
        <v>143</v>
      </c>
      <c r="H1400" t="s">
        <v>180</v>
      </c>
      <c r="I1400" t="e">
        <f t="shared" ca="1" si="110"/>
        <v>#REF!</v>
      </c>
      <c r="J1400" t="str">
        <f>VLOOKUP($G1400,DefinitionArrays!$I$6:$J$12,2,FALSE)</f>
        <v>Workweek</v>
      </c>
    </row>
    <row r="1401" spans="1:10">
      <c r="A1401" s="159" t="str">
        <f t="shared" si="106"/>
        <v>$H$1:$H$92</v>
      </c>
      <c r="B1401" s="159" t="str">
        <f t="shared" si="107"/>
        <v>$I$1:$I$92</v>
      </c>
      <c r="C1401" s="159" t="str">
        <f t="shared" si="108"/>
        <v>November!$H$1:$H$92</v>
      </c>
      <c r="D1401" s="159" t="str">
        <f t="shared" si="109"/>
        <v>November!$I$1:$I$92</v>
      </c>
      <c r="E1401" t="s">
        <v>4</v>
      </c>
      <c r="F1401" t="s">
        <v>130</v>
      </c>
      <c r="G1401" t="s">
        <v>143</v>
      </c>
      <c r="H1401" t="s">
        <v>44</v>
      </c>
      <c r="I1401" t="e">
        <f t="shared" ca="1" si="110"/>
        <v>#REF!</v>
      </c>
      <c r="J1401" t="str">
        <f>VLOOKUP($G1401,DefinitionArrays!$I$6:$J$12,2,FALSE)</f>
        <v>Workweek</v>
      </c>
    </row>
    <row r="1402" spans="1:10">
      <c r="A1402" s="159" t="str">
        <f t="shared" si="106"/>
        <v>$K$1:$K$92</v>
      </c>
      <c r="B1402" s="159" t="str">
        <f t="shared" si="107"/>
        <v>$L$1:$L$92</v>
      </c>
      <c r="C1402" s="159" t="str">
        <f t="shared" si="108"/>
        <v>November!$K$1:$K$92</v>
      </c>
      <c r="D1402" s="159" t="str">
        <f t="shared" si="109"/>
        <v>November!$L$1:$L$92</v>
      </c>
      <c r="E1402" t="s">
        <v>4</v>
      </c>
      <c r="F1402" t="s">
        <v>130</v>
      </c>
      <c r="G1402" t="s">
        <v>144</v>
      </c>
      <c r="H1402" t="s">
        <v>159</v>
      </c>
      <c r="I1402" t="e">
        <f t="shared" ca="1" si="110"/>
        <v>#REF!</v>
      </c>
      <c r="J1402" t="str">
        <f>VLOOKUP($G1402,DefinitionArrays!$I$6:$J$12,2,FALSE)</f>
        <v>Workweek</v>
      </c>
    </row>
    <row r="1403" spans="1:10">
      <c r="A1403" s="159" t="str">
        <f t="shared" si="106"/>
        <v>$K$1:$K$92</v>
      </c>
      <c r="B1403" s="159" t="str">
        <f t="shared" si="107"/>
        <v>$L$1:$L$92</v>
      </c>
      <c r="C1403" s="159" t="str">
        <f t="shared" si="108"/>
        <v>November!$K$1:$K$92</v>
      </c>
      <c r="D1403" s="159" t="str">
        <f t="shared" si="109"/>
        <v>November!$L$1:$L$92</v>
      </c>
      <c r="E1403" t="s">
        <v>4</v>
      </c>
      <c r="F1403" t="s">
        <v>130</v>
      </c>
      <c r="G1403" t="s">
        <v>144</v>
      </c>
      <c r="H1403" t="s">
        <v>18</v>
      </c>
      <c r="I1403" t="e">
        <f t="shared" ca="1" si="110"/>
        <v>#REF!</v>
      </c>
      <c r="J1403" t="str">
        <f>VLOOKUP($G1403,DefinitionArrays!$I$6:$J$12,2,FALSE)</f>
        <v>Workweek</v>
      </c>
    </row>
    <row r="1404" spans="1:10">
      <c r="A1404" s="159" t="str">
        <f t="shared" si="106"/>
        <v>$K$1:$K$92</v>
      </c>
      <c r="B1404" s="159" t="str">
        <f t="shared" si="107"/>
        <v>$L$1:$L$92</v>
      </c>
      <c r="C1404" s="159" t="str">
        <f t="shared" si="108"/>
        <v>November!$K$1:$K$92</v>
      </c>
      <c r="D1404" s="159" t="str">
        <f t="shared" si="109"/>
        <v>November!$L$1:$L$92</v>
      </c>
      <c r="E1404" t="s">
        <v>4</v>
      </c>
      <c r="F1404" t="s">
        <v>130</v>
      </c>
      <c r="G1404" t="s">
        <v>144</v>
      </c>
      <c r="H1404" t="s">
        <v>153</v>
      </c>
      <c r="I1404" t="e">
        <f t="shared" ca="1" si="110"/>
        <v>#REF!</v>
      </c>
      <c r="J1404" t="str">
        <f>VLOOKUP($G1404,DefinitionArrays!$I$6:$J$12,2,FALSE)</f>
        <v>Workweek</v>
      </c>
    </row>
    <row r="1405" spans="1:10">
      <c r="A1405" s="159" t="str">
        <f t="shared" si="106"/>
        <v>$K$1:$K$92</v>
      </c>
      <c r="B1405" s="159" t="str">
        <f t="shared" si="107"/>
        <v>$L$1:$L$92</v>
      </c>
      <c r="C1405" s="159" t="str">
        <f t="shared" si="108"/>
        <v>November!$K$1:$K$92</v>
      </c>
      <c r="D1405" s="159" t="str">
        <f t="shared" si="109"/>
        <v>November!$L$1:$L$92</v>
      </c>
      <c r="E1405" t="s">
        <v>4</v>
      </c>
      <c r="F1405" t="s">
        <v>130</v>
      </c>
      <c r="G1405" t="s">
        <v>144</v>
      </c>
      <c r="H1405" t="s">
        <v>19</v>
      </c>
      <c r="I1405" t="e">
        <f t="shared" ca="1" si="110"/>
        <v>#REF!</v>
      </c>
      <c r="J1405" t="str">
        <f>VLOOKUP($G1405,DefinitionArrays!$I$6:$J$12,2,FALSE)</f>
        <v>Workweek</v>
      </c>
    </row>
    <row r="1406" spans="1:10">
      <c r="A1406" s="159" t="str">
        <f t="shared" si="106"/>
        <v>$K$1:$K$92</v>
      </c>
      <c r="B1406" s="159" t="str">
        <f t="shared" si="107"/>
        <v>$L$1:$L$92</v>
      </c>
      <c r="C1406" s="159" t="str">
        <f t="shared" si="108"/>
        <v>November!$K$1:$K$92</v>
      </c>
      <c r="D1406" s="159" t="str">
        <f t="shared" si="109"/>
        <v>November!$L$1:$L$92</v>
      </c>
      <c r="E1406" t="s">
        <v>4</v>
      </c>
      <c r="F1406" t="s">
        <v>130</v>
      </c>
      <c r="G1406" t="s">
        <v>144</v>
      </c>
      <c r="H1406" t="s">
        <v>20</v>
      </c>
      <c r="I1406" t="e">
        <f t="shared" ca="1" si="110"/>
        <v>#REF!</v>
      </c>
      <c r="J1406" t="str">
        <f>VLOOKUP($G1406,DefinitionArrays!$I$6:$J$12,2,FALSE)</f>
        <v>Workweek</v>
      </c>
    </row>
    <row r="1407" spans="1:10">
      <c r="A1407" s="159" t="str">
        <f t="shared" si="106"/>
        <v>$K$1:$K$92</v>
      </c>
      <c r="B1407" s="159" t="str">
        <f t="shared" si="107"/>
        <v>$L$1:$L$92</v>
      </c>
      <c r="C1407" s="159" t="str">
        <f t="shared" si="108"/>
        <v>November!$K$1:$K$92</v>
      </c>
      <c r="D1407" s="159" t="str">
        <f t="shared" si="109"/>
        <v>November!$L$1:$L$92</v>
      </c>
      <c r="E1407" t="s">
        <v>4</v>
      </c>
      <c r="F1407" t="s">
        <v>130</v>
      </c>
      <c r="G1407" t="s">
        <v>144</v>
      </c>
      <c r="H1407" t="s">
        <v>21</v>
      </c>
      <c r="I1407" t="e">
        <f t="shared" ca="1" si="110"/>
        <v>#REF!</v>
      </c>
      <c r="J1407" t="str">
        <f>VLOOKUP($G1407,DefinitionArrays!$I$6:$J$12,2,FALSE)</f>
        <v>Workweek</v>
      </c>
    </row>
    <row r="1408" spans="1:10">
      <c r="A1408" s="159" t="str">
        <f t="shared" si="106"/>
        <v>$K$1:$K$92</v>
      </c>
      <c r="B1408" s="159" t="str">
        <f t="shared" si="107"/>
        <v>$L$1:$L$92</v>
      </c>
      <c r="C1408" s="159" t="str">
        <f t="shared" si="108"/>
        <v>November!$K$1:$K$92</v>
      </c>
      <c r="D1408" s="159" t="str">
        <f t="shared" si="109"/>
        <v>November!$L$1:$L$92</v>
      </c>
      <c r="E1408" t="s">
        <v>4</v>
      </c>
      <c r="F1408" t="s">
        <v>130</v>
      </c>
      <c r="G1408" t="s">
        <v>144</v>
      </c>
      <c r="H1408" t="s">
        <v>22</v>
      </c>
      <c r="I1408" t="e">
        <f t="shared" ca="1" si="110"/>
        <v>#REF!</v>
      </c>
      <c r="J1408" t="str">
        <f>VLOOKUP($G1408,DefinitionArrays!$I$6:$J$12,2,FALSE)</f>
        <v>Workweek</v>
      </c>
    </row>
    <row r="1409" spans="1:10">
      <c r="A1409" s="159" t="str">
        <f t="shared" si="106"/>
        <v>$K$1:$K$92</v>
      </c>
      <c r="B1409" s="159" t="str">
        <f t="shared" si="107"/>
        <v>$L$1:$L$92</v>
      </c>
      <c r="C1409" s="159" t="str">
        <f t="shared" si="108"/>
        <v>November!$K$1:$K$92</v>
      </c>
      <c r="D1409" s="159" t="str">
        <f t="shared" si="109"/>
        <v>November!$L$1:$L$92</v>
      </c>
      <c r="E1409" t="s">
        <v>4</v>
      </c>
      <c r="F1409" t="s">
        <v>130</v>
      </c>
      <c r="G1409" t="s">
        <v>144</v>
      </c>
      <c r="H1409" t="s">
        <v>23</v>
      </c>
      <c r="I1409" t="e">
        <f t="shared" ca="1" si="110"/>
        <v>#REF!</v>
      </c>
      <c r="J1409" t="str">
        <f>VLOOKUP($G1409,DefinitionArrays!$I$6:$J$12,2,FALSE)</f>
        <v>Workweek</v>
      </c>
    </row>
    <row r="1410" spans="1:10">
      <c r="A1410" s="159" t="str">
        <f t="shared" ref="A1410:A1473" si="111">VLOOKUP($G1410,Fx_Code,2,FALSE)</f>
        <v>$K$1:$K$92</v>
      </c>
      <c r="B1410" s="159" t="str">
        <f t="shared" ref="B1410:B1473" si="112">VLOOKUP($G1410,Fx_Code,3,FALSE)</f>
        <v>$L$1:$L$92</v>
      </c>
      <c r="C1410" s="159" t="str">
        <f t="shared" ref="C1410:C1473" si="113">CONCATENATE($F1410,$K$1,A1410)</f>
        <v>November!$K$1:$K$92</v>
      </c>
      <c r="D1410" s="159" t="str">
        <f t="shared" ref="D1410:D1473" si="114">CONCATENATE($F1410,$K$1,B1410)</f>
        <v>November!$L$1:$L$92</v>
      </c>
      <c r="E1410" t="s">
        <v>4</v>
      </c>
      <c r="F1410" t="s">
        <v>130</v>
      </c>
      <c r="G1410" t="s">
        <v>144</v>
      </c>
      <c r="H1410" t="s">
        <v>24</v>
      </c>
      <c r="I1410" t="e">
        <f t="shared" ca="1" si="110"/>
        <v>#REF!</v>
      </c>
      <c r="J1410" t="str">
        <f>VLOOKUP($G1410,DefinitionArrays!$I$6:$J$12,2,FALSE)</f>
        <v>Workweek</v>
      </c>
    </row>
    <row r="1411" spans="1:10">
      <c r="A1411" s="159" t="str">
        <f t="shared" si="111"/>
        <v>$K$1:$K$92</v>
      </c>
      <c r="B1411" s="159" t="str">
        <f t="shared" si="112"/>
        <v>$L$1:$L$92</v>
      </c>
      <c r="C1411" s="159" t="str">
        <f t="shared" si="113"/>
        <v>November!$K$1:$K$92</v>
      </c>
      <c r="D1411" s="159" t="str">
        <f t="shared" si="114"/>
        <v>November!$L$1:$L$92</v>
      </c>
      <c r="E1411" t="s">
        <v>4</v>
      </c>
      <c r="F1411" t="s">
        <v>130</v>
      </c>
      <c r="G1411" t="s">
        <v>144</v>
      </c>
      <c r="H1411" t="s">
        <v>179</v>
      </c>
      <c r="I1411" t="e">
        <f t="shared" ca="1" si="110"/>
        <v>#REF!</v>
      </c>
      <c r="J1411" t="str">
        <f>VLOOKUP($G1411,DefinitionArrays!$I$6:$J$12,2,FALSE)</f>
        <v>Workweek</v>
      </c>
    </row>
    <row r="1412" spans="1:10">
      <c r="A1412" s="159" t="str">
        <f t="shared" si="111"/>
        <v>$K$1:$K$92</v>
      </c>
      <c r="B1412" s="159" t="str">
        <f t="shared" si="112"/>
        <v>$L$1:$L$92</v>
      </c>
      <c r="C1412" s="159" t="str">
        <f t="shared" si="113"/>
        <v>November!$K$1:$K$92</v>
      </c>
      <c r="D1412" s="159" t="str">
        <f t="shared" si="114"/>
        <v>November!$L$1:$L$92</v>
      </c>
      <c r="E1412" t="s">
        <v>4</v>
      </c>
      <c r="F1412" t="s">
        <v>130</v>
      </c>
      <c r="G1412" t="s">
        <v>144</v>
      </c>
      <c r="H1412" t="s">
        <v>180</v>
      </c>
      <c r="I1412" t="e">
        <f t="shared" ca="1" si="110"/>
        <v>#REF!</v>
      </c>
      <c r="J1412" t="str">
        <f>VLOOKUP($G1412,DefinitionArrays!$I$6:$J$12,2,FALSE)</f>
        <v>Workweek</v>
      </c>
    </row>
    <row r="1413" spans="1:10">
      <c r="A1413" s="159" t="str">
        <f t="shared" si="111"/>
        <v>$K$1:$K$92</v>
      </c>
      <c r="B1413" s="159" t="str">
        <f t="shared" si="112"/>
        <v>$L$1:$L$92</v>
      </c>
      <c r="C1413" s="159" t="str">
        <f t="shared" si="113"/>
        <v>November!$K$1:$K$92</v>
      </c>
      <c r="D1413" s="159" t="str">
        <f t="shared" si="114"/>
        <v>November!$L$1:$L$92</v>
      </c>
      <c r="E1413" t="s">
        <v>4</v>
      </c>
      <c r="F1413" t="s">
        <v>130</v>
      </c>
      <c r="G1413" t="s">
        <v>144</v>
      </c>
      <c r="H1413" t="s">
        <v>44</v>
      </c>
      <c r="I1413" t="e">
        <f t="shared" ca="1" si="110"/>
        <v>#REF!</v>
      </c>
      <c r="J1413" t="str">
        <f>VLOOKUP($G1413,DefinitionArrays!$I$6:$J$12,2,FALSE)</f>
        <v>Workweek</v>
      </c>
    </row>
    <row r="1414" spans="1:10">
      <c r="A1414" s="159" t="str">
        <f t="shared" si="111"/>
        <v>$N$1:$N$92</v>
      </c>
      <c r="B1414" s="159" t="str">
        <f t="shared" si="112"/>
        <v>$O$1:$O$92</v>
      </c>
      <c r="C1414" s="159" t="str">
        <f t="shared" si="113"/>
        <v>November!$N$1:$N$92</v>
      </c>
      <c r="D1414" s="159" t="str">
        <f t="shared" si="114"/>
        <v>November!$O$1:$O$92</v>
      </c>
      <c r="E1414" t="s">
        <v>4</v>
      </c>
      <c r="F1414" t="s">
        <v>130</v>
      </c>
      <c r="G1414" t="s">
        <v>145</v>
      </c>
      <c r="H1414" t="s">
        <v>159</v>
      </c>
      <c r="I1414" t="e">
        <f t="shared" ca="1" si="110"/>
        <v>#REF!</v>
      </c>
      <c r="J1414" t="str">
        <f>VLOOKUP($G1414,DefinitionArrays!$I$6:$J$12,2,FALSE)</f>
        <v>Weekend</v>
      </c>
    </row>
    <row r="1415" spans="1:10">
      <c r="A1415" s="159" t="str">
        <f t="shared" si="111"/>
        <v>$N$1:$N$92</v>
      </c>
      <c r="B1415" s="159" t="str">
        <f t="shared" si="112"/>
        <v>$O$1:$O$92</v>
      </c>
      <c r="C1415" s="159" t="str">
        <f t="shared" si="113"/>
        <v>November!$N$1:$N$92</v>
      </c>
      <c r="D1415" s="159" t="str">
        <f t="shared" si="114"/>
        <v>November!$O$1:$O$92</v>
      </c>
      <c r="E1415" t="s">
        <v>4</v>
      </c>
      <c r="F1415" t="s">
        <v>130</v>
      </c>
      <c r="G1415" t="s">
        <v>145</v>
      </c>
      <c r="H1415" t="s">
        <v>18</v>
      </c>
      <c r="I1415" t="e">
        <f t="shared" ca="1" si="110"/>
        <v>#REF!</v>
      </c>
      <c r="J1415" t="str">
        <f>VLOOKUP($G1415,DefinitionArrays!$I$6:$J$12,2,FALSE)</f>
        <v>Weekend</v>
      </c>
    </row>
    <row r="1416" spans="1:10">
      <c r="A1416" s="159" t="str">
        <f t="shared" si="111"/>
        <v>$N$1:$N$92</v>
      </c>
      <c r="B1416" s="159" t="str">
        <f t="shared" si="112"/>
        <v>$O$1:$O$92</v>
      </c>
      <c r="C1416" s="159" t="str">
        <f t="shared" si="113"/>
        <v>November!$N$1:$N$92</v>
      </c>
      <c r="D1416" s="159" t="str">
        <f t="shared" si="114"/>
        <v>November!$O$1:$O$92</v>
      </c>
      <c r="E1416" t="s">
        <v>4</v>
      </c>
      <c r="F1416" t="s">
        <v>130</v>
      </c>
      <c r="G1416" t="s">
        <v>145</v>
      </c>
      <c r="H1416" t="s">
        <v>153</v>
      </c>
      <c r="I1416" t="e">
        <f t="shared" ca="1" si="110"/>
        <v>#REF!</v>
      </c>
      <c r="J1416" t="str">
        <f>VLOOKUP($G1416,DefinitionArrays!$I$6:$J$12,2,FALSE)</f>
        <v>Weekend</v>
      </c>
    </row>
    <row r="1417" spans="1:10">
      <c r="A1417" s="159" t="str">
        <f t="shared" si="111"/>
        <v>$N$1:$N$92</v>
      </c>
      <c r="B1417" s="159" t="str">
        <f t="shared" si="112"/>
        <v>$O$1:$O$92</v>
      </c>
      <c r="C1417" s="159" t="str">
        <f t="shared" si="113"/>
        <v>November!$N$1:$N$92</v>
      </c>
      <c r="D1417" s="159" t="str">
        <f t="shared" si="114"/>
        <v>November!$O$1:$O$92</v>
      </c>
      <c r="E1417" t="s">
        <v>4</v>
      </c>
      <c r="F1417" t="s">
        <v>130</v>
      </c>
      <c r="G1417" t="s">
        <v>145</v>
      </c>
      <c r="H1417" t="s">
        <v>19</v>
      </c>
      <c r="I1417" t="e">
        <f t="shared" ca="1" si="110"/>
        <v>#REF!</v>
      </c>
      <c r="J1417" t="str">
        <f>VLOOKUP($G1417,DefinitionArrays!$I$6:$J$12,2,FALSE)</f>
        <v>Weekend</v>
      </c>
    </row>
    <row r="1418" spans="1:10">
      <c r="A1418" s="159" t="str">
        <f t="shared" si="111"/>
        <v>$N$1:$N$92</v>
      </c>
      <c r="B1418" s="159" t="str">
        <f t="shared" si="112"/>
        <v>$O$1:$O$92</v>
      </c>
      <c r="C1418" s="159" t="str">
        <f t="shared" si="113"/>
        <v>November!$N$1:$N$92</v>
      </c>
      <c r="D1418" s="159" t="str">
        <f t="shared" si="114"/>
        <v>November!$O$1:$O$92</v>
      </c>
      <c r="E1418" t="s">
        <v>4</v>
      </c>
      <c r="F1418" t="s">
        <v>130</v>
      </c>
      <c r="G1418" t="s">
        <v>145</v>
      </c>
      <c r="H1418" t="s">
        <v>20</v>
      </c>
      <c r="I1418" t="e">
        <f t="shared" ca="1" si="110"/>
        <v>#REF!</v>
      </c>
      <c r="J1418" t="str">
        <f>VLOOKUP($G1418,DefinitionArrays!$I$6:$J$12,2,FALSE)</f>
        <v>Weekend</v>
      </c>
    </row>
    <row r="1419" spans="1:10">
      <c r="A1419" s="159" t="str">
        <f t="shared" si="111"/>
        <v>$N$1:$N$92</v>
      </c>
      <c r="B1419" s="159" t="str">
        <f t="shared" si="112"/>
        <v>$O$1:$O$92</v>
      </c>
      <c r="C1419" s="159" t="str">
        <f t="shared" si="113"/>
        <v>November!$N$1:$N$92</v>
      </c>
      <c r="D1419" s="159" t="str">
        <f t="shared" si="114"/>
        <v>November!$O$1:$O$92</v>
      </c>
      <c r="E1419" t="s">
        <v>4</v>
      </c>
      <c r="F1419" t="s">
        <v>130</v>
      </c>
      <c r="G1419" t="s">
        <v>145</v>
      </c>
      <c r="H1419" t="s">
        <v>21</v>
      </c>
      <c r="I1419" t="e">
        <f t="shared" ca="1" si="110"/>
        <v>#REF!</v>
      </c>
      <c r="J1419" t="str">
        <f>VLOOKUP($G1419,DefinitionArrays!$I$6:$J$12,2,FALSE)</f>
        <v>Weekend</v>
      </c>
    </row>
    <row r="1420" spans="1:10">
      <c r="A1420" s="159" t="str">
        <f t="shared" si="111"/>
        <v>$N$1:$N$92</v>
      </c>
      <c r="B1420" s="159" t="str">
        <f t="shared" si="112"/>
        <v>$O$1:$O$92</v>
      </c>
      <c r="C1420" s="159" t="str">
        <f t="shared" si="113"/>
        <v>November!$N$1:$N$92</v>
      </c>
      <c r="D1420" s="159" t="str">
        <f t="shared" si="114"/>
        <v>November!$O$1:$O$92</v>
      </c>
      <c r="E1420" t="s">
        <v>4</v>
      </c>
      <c r="F1420" t="s">
        <v>130</v>
      </c>
      <c r="G1420" t="s">
        <v>145</v>
      </c>
      <c r="H1420" t="s">
        <v>22</v>
      </c>
      <c r="I1420" t="e">
        <f t="shared" ca="1" si="110"/>
        <v>#REF!</v>
      </c>
      <c r="J1420" t="str">
        <f>VLOOKUP($G1420,DefinitionArrays!$I$6:$J$12,2,FALSE)</f>
        <v>Weekend</v>
      </c>
    </row>
    <row r="1421" spans="1:10">
      <c r="A1421" s="159" t="str">
        <f t="shared" si="111"/>
        <v>$N$1:$N$92</v>
      </c>
      <c r="B1421" s="159" t="str">
        <f t="shared" si="112"/>
        <v>$O$1:$O$92</v>
      </c>
      <c r="C1421" s="159" t="str">
        <f t="shared" si="113"/>
        <v>November!$N$1:$N$92</v>
      </c>
      <c r="D1421" s="159" t="str">
        <f t="shared" si="114"/>
        <v>November!$O$1:$O$92</v>
      </c>
      <c r="E1421" t="s">
        <v>4</v>
      </c>
      <c r="F1421" t="s">
        <v>130</v>
      </c>
      <c r="G1421" t="s">
        <v>145</v>
      </c>
      <c r="H1421" t="s">
        <v>23</v>
      </c>
      <c r="I1421" t="e">
        <f t="shared" ca="1" si="110"/>
        <v>#REF!</v>
      </c>
      <c r="J1421" t="str">
        <f>VLOOKUP($G1421,DefinitionArrays!$I$6:$J$12,2,FALSE)</f>
        <v>Weekend</v>
      </c>
    </row>
    <row r="1422" spans="1:10">
      <c r="A1422" s="159" t="str">
        <f t="shared" si="111"/>
        <v>$N$1:$N$92</v>
      </c>
      <c r="B1422" s="159" t="str">
        <f t="shared" si="112"/>
        <v>$O$1:$O$92</v>
      </c>
      <c r="C1422" s="159" t="str">
        <f t="shared" si="113"/>
        <v>November!$N$1:$N$92</v>
      </c>
      <c r="D1422" s="159" t="str">
        <f t="shared" si="114"/>
        <v>November!$O$1:$O$92</v>
      </c>
      <c r="E1422" t="s">
        <v>4</v>
      </c>
      <c r="F1422" t="s">
        <v>130</v>
      </c>
      <c r="G1422" t="s">
        <v>145</v>
      </c>
      <c r="H1422" t="s">
        <v>24</v>
      </c>
      <c r="I1422" t="e">
        <f t="shared" ca="1" si="110"/>
        <v>#REF!</v>
      </c>
      <c r="J1422" t="str">
        <f>VLOOKUP($G1422,DefinitionArrays!$I$6:$J$12,2,FALSE)</f>
        <v>Weekend</v>
      </c>
    </row>
    <row r="1423" spans="1:10">
      <c r="A1423" s="159" t="str">
        <f t="shared" si="111"/>
        <v>$N$1:$N$92</v>
      </c>
      <c r="B1423" s="159" t="str">
        <f t="shared" si="112"/>
        <v>$O$1:$O$92</v>
      </c>
      <c r="C1423" s="159" t="str">
        <f t="shared" si="113"/>
        <v>November!$N$1:$N$92</v>
      </c>
      <c r="D1423" s="159" t="str">
        <f t="shared" si="114"/>
        <v>November!$O$1:$O$92</v>
      </c>
      <c r="E1423" t="s">
        <v>4</v>
      </c>
      <c r="F1423" t="s">
        <v>130</v>
      </c>
      <c r="G1423" t="s">
        <v>145</v>
      </c>
      <c r="H1423" t="s">
        <v>179</v>
      </c>
      <c r="I1423" t="e">
        <f t="shared" ca="1" si="110"/>
        <v>#REF!</v>
      </c>
      <c r="J1423" t="str">
        <f>VLOOKUP($G1423,DefinitionArrays!$I$6:$J$12,2,FALSE)</f>
        <v>Weekend</v>
      </c>
    </row>
    <row r="1424" spans="1:10">
      <c r="A1424" s="159" t="str">
        <f t="shared" si="111"/>
        <v>$N$1:$N$92</v>
      </c>
      <c r="B1424" s="159" t="str">
        <f t="shared" si="112"/>
        <v>$O$1:$O$92</v>
      </c>
      <c r="C1424" s="159" t="str">
        <f t="shared" si="113"/>
        <v>November!$N$1:$N$92</v>
      </c>
      <c r="D1424" s="159" t="str">
        <f t="shared" si="114"/>
        <v>November!$O$1:$O$92</v>
      </c>
      <c r="E1424" t="s">
        <v>4</v>
      </c>
      <c r="F1424" t="s">
        <v>130</v>
      </c>
      <c r="G1424" t="s">
        <v>145</v>
      </c>
      <c r="H1424" t="s">
        <v>180</v>
      </c>
      <c r="I1424" t="e">
        <f t="shared" ca="1" si="110"/>
        <v>#REF!</v>
      </c>
      <c r="J1424" t="str">
        <f>VLOOKUP($G1424,DefinitionArrays!$I$6:$J$12,2,FALSE)</f>
        <v>Weekend</v>
      </c>
    </row>
    <row r="1425" spans="1:10">
      <c r="A1425" s="159" t="str">
        <f t="shared" si="111"/>
        <v>$N$1:$N$92</v>
      </c>
      <c r="B1425" s="159" t="str">
        <f t="shared" si="112"/>
        <v>$O$1:$O$92</v>
      </c>
      <c r="C1425" s="159" t="str">
        <f t="shared" si="113"/>
        <v>November!$N$1:$N$92</v>
      </c>
      <c r="D1425" s="159" t="str">
        <f t="shared" si="114"/>
        <v>November!$O$1:$O$92</v>
      </c>
      <c r="E1425" t="s">
        <v>4</v>
      </c>
      <c r="F1425" t="s">
        <v>130</v>
      </c>
      <c r="G1425" t="s">
        <v>145</v>
      </c>
      <c r="H1425" t="s">
        <v>44</v>
      </c>
      <c r="I1425" t="e">
        <f t="shared" ca="1" si="110"/>
        <v>#REF!</v>
      </c>
      <c r="J1425" t="str">
        <f>VLOOKUP($G1425,DefinitionArrays!$I$6:$J$12,2,FALSE)</f>
        <v>Weekend</v>
      </c>
    </row>
    <row r="1426" spans="1:10">
      <c r="A1426" s="159" t="str">
        <f t="shared" si="111"/>
        <v>$Q$1:$Q$92</v>
      </c>
      <c r="B1426" s="159" t="str">
        <f t="shared" si="112"/>
        <v>$R$1:$R$92</v>
      </c>
      <c r="C1426" s="159" t="str">
        <f t="shared" si="113"/>
        <v>November!$Q$1:$Q$92</v>
      </c>
      <c r="D1426" s="159" t="str">
        <f t="shared" si="114"/>
        <v>November!$R$1:$R$92</v>
      </c>
      <c r="E1426" t="s">
        <v>4</v>
      </c>
      <c r="F1426" t="s">
        <v>130</v>
      </c>
      <c r="G1426" t="s">
        <v>146</v>
      </c>
      <c r="H1426" t="s">
        <v>159</v>
      </c>
      <c r="I1426" t="e">
        <f t="shared" ca="1" si="110"/>
        <v>#REF!</v>
      </c>
      <c r="J1426" t="str">
        <f>VLOOKUP($G1426,DefinitionArrays!$I$6:$J$12,2,FALSE)</f>
        <v>Weekend</v>
      </c>
    </row>
    <row r="1427" spans="1:10">
      <c r="A1427" s="159" t="str">
        <f t="shared" si="111"/>
        <v>$T$1:$T$92</v>
      </c>
      <c r="B1427" s="159" t="str">
        <f t="shared" si="112"/>
        <v>$U$1:$U$92</v>
      </c>
      <c r="C1427" s="159" t="str">
        <f t="shared" si="113"/>
        <v>November!$T$1:$T$92</v>
      </c>
      <c r="D1427" s="159" t="str">
        <f t="shared" si="114"/>
        <v>November!$U$1:$U$92</v>
      </c>
      <c r="E1427" t="s">
        <v>4</v>
      </c>
      <c r="F1427" t="s">
        <v>130</v>
      </c>
      <c r="G1427" t="s">
        <v>141</v>
      </c>
      <c r="H1427" t="s">
        <v>159</v>
      </c>
      <c r="I1427" t="e">
        <f t="shared" ca="1" si="110"/>
        <v>#REF!</v>
      </c>
      <c r="J1427" t="str">
        <f>VLOOKUP($G1427,DefinitionArrays!$I$6:$J$12,2,FALSE)</f>
        <v>Weekend</v>
      </c>
    </row>
    <row r="1428" spans="1:10">
      <c r="A1428" s="159" t="str">
        <f t="shared" si="111"/>
        <v>$B$1:$B$92</v>
      </c>
      <c r="B1428" s="159" t="str">
        <f t="shared" si="112"/>
        <v>$C$1:$C$92</v>
      </c>
      <c r="C1428" s="159" t="str">
        <f t="shared" si="113"/>
        <v>December!$B$1:$B$92</v>
      </c>
      <c r="D1428" s="159" t="str">
        <f t="shared" si="114"/>
        <v>December!$C$1:$C$92</v>
      </c>
      <c r="E1428" t="s">
        <v>4</v>
      </c>
      <c r="F1428" t="s">
        <v>131</v>
      </c>
      <c r="G1428" t="s">
        <v>13</v>
      </c>
      <c r="H1428" t="s">
        <v>159</v>
      </c>
      <c r="I1428" t="e">
        <f ca="1">COUNTIFS(INDIRECT($C1428),$E1428,INDIRECT($D1428),$H1428)</f>
        <v>#REF!</v>
      </c>
      <c r="J1428" t="str">
        <f>VLOOKUP($G1428,DefinitionArrays!$I$6:$J$12,2,FALSE)</f>
        <v>Workweek</v>
      </c>
    </row>
    <row r="1429" spans="1:10">
      <c r="A1429" s="159" t="str">
        <f t="shared" si="111"/>
        <v>$B$1:$B$92</v>
      </c>
      <c r="B1429" s="159" t="str">
        <f t="shared" si="112"/>
        <v>$C$1:$C$92</v>
      </c>
      <c r="C1429" s="159" t="str">
        <f t="shared" si="113"/>
        <v>December!$B$1:$B$92</v>
      </c>
      <c r="D1429" s="159" t="str">
        <f t="shared" si="114"/>
        <v>December!$C$1:$C$92</v>
      </c>
      <c r="E1429" t="s">
        <v>4</v>
      </c>
      <c r="F1429" t="s">
        <v>131</v>
      </c>
      <c r="G1429" t="s">
        <v>13</v>
      </c>
      <c r="H1429" t="s">
        <v>18</v>
      </c>
      <c r="I1429" t="e">
        <f t="shared" ref="I1429:I1489" ca="1" si="115">COUNTIFS(INDIRECT($C1429),$E1429,INDIRECT($D1429),$H1429)</f>
        <v>#REF!</v>
      </c>
      <c r="J1429" t="str">
        <f>VLOOKUP($G1429,DefinitionArrays!$I$6:$J$12,2,FALSE)</f>
        <v>Workweek</v>
      </c>
    </row>
    <row r="1430" spans="1:10">
      <c r="A1430" s="159" t="str">
        <f t="shared" si="111"/>
        <v>$B$1:$B$92</v>
      </c>
      <c r="B1430" s="159" t="str">
        <f t="shared" si="112"/>
        <v>$C$1:$C$92</v>
      </c>
      <c r="C1430" s="159" t="str">
        <f t="shared" si="113"/>
        <v>December!$B$1:$B$92</v>
      </c>
      <c r="D1430" s="159" t="str">
        <f t="shared" si="114"/>
        <v>December!$C$1:$C$92</v>
      </c>
      <c r="E1430" t="s">
        <v>4</v>
      </c>
      <c r="F1430" t="s">
        <v>131</v>
      </c>
      <c r="G1430" t="s">
        <v>13</v>
      </c>
      <c r="H1430" t="s">
        <v>153</v>
      </c>
      <c r="I1430" t="e">
        <f t="shared" ca="1" si="115"/>
        <v>#REF!</v>
      </c>
      <c r="J1430" t="str">
        <f>VLOOKUP($G1430,DefinitionArrays!$I$6:$J$12,2,FALSE)</f>
        <v>Workweek</v>
      </c>
    </row>
    <row r="1431" spans="1:10">
      <c r="A1431" s="159" t="str">
        <f t="shared" si="111"/>
        <v>$B$1:$B$92</v>
      </c>
      <c r="B1431" s="159" t="str">
        <f t="shared" si="112"/>
        <v>$C$1:$C$92</v>
      </c>
      <c r="C1431" s="159" t="str">
        <f t="shared" si="113"/>
        <v>December!$B$1:$B$92</v>
      </c>
      <c r="D1431" s="159" t="str">
        <f t="shared" si="114"/>
        <v>December!$C$1:$C$92</v>
      </c>
      <c r="E1431" t="s">
        <v>4</v>
      </c>
      <c r="F1431" t="s">
        <v>131</v>
      </c>
      <c r="G1431" t="s">
        <v>13</v>
      </c>
      <c r="H1431" t="s">
        <v>19</v>
      </c>
      <c r="I1431" t="e">
        <f t="shared" ca="1" si="115"/>
        <v>#REF!</v>
      </c>
      <c r="J1431" t="str">
        <f>VLOOKUP($G1431,DefinitionArrays!$I$6:$J$12,2,FALSE)</f>
        <v>Workweek</v>
      </c>
    </row>
    <row r="1432" spans="1:10">
      <c r="A1432" s="159" t="str">
        <f t="shared" si="111"/>
        <v>$B$1:$B$92</v>
      </c>
      <c r="B1432" s="159" t="str">
        <f t="shared" si="112"/>
        <v>$C$1:$C$92</v>
      </c>
      <c r="C1432" s="159" t="str">
        <f t="shared" si="113"/>
        <v>December!$B$1:$B$92</v>
      </c>
      <c r="D1432" s="159" t="str">
        <f t="shared" si="114"/>
        <v>December!$C$1:$C$92</v>
      </c>
      <c r="E1432" t="s">
        <v>4</v>
      </c>
      <c r="F1432" t="s">
        <v>131</v>
      </c>
      <c r="G1432" t="s">
        <v>13</v>
      </c>
      <c r="H1432" t="s">
        <v>20</v>
      </c>
      <c r="I1432" t="e">
        <f t="shared" ca="1" si="115"/>
        <v>#REF!</v>
      </c>
      <c r="J1432" t="str">
        <f>VLOOKUP($G1432,DefinitionArrays!$I$6:$J$12,2,FALSE)</f>
        <v>Workweek</v>
      </c>
    </row>
    <row r="1433" spans="1:10">
      <c r="A1433" s="159" t="str">
        <f t="shared" si="111"/>
        <v>$B$1:$B$92</v>
      </c>
      <c r="B1433" s="159" t="str">
        <f t="shared" si="112"/>
        <v>$C$1:$C$92</v>
      </c>
      <c r="C1433" s="159" t="str">
        <f t="shared" si="113"/>
        <v>December!$B$1:$B$92</v>
      </c>
      <c r="D1433" s="159" t="str">
        <f t="shared" si="114"/>
        <v>December!$C$1:$C$92</v>
      </c>
      <c r="E1433" t="s">
        <v>4</v>
      </c>
      <c r="F1433" t="s">
        <v>131</v>
      </c>
      <c r="G1433" t="s">
        <v>13</v>
      </c>
      <c r="H1433" t="s">
        <v>21</v>
      </c>
      <c r="I1433" t="e">
        <f t="shared" ca="1" si="115"/>
        <v>#REF!</v>
      </c>
      <c r="J1433" t="str">
        <f>VLOOKUP($G1433,DefinitionArrays!$I$6:$J$12,2,FALSE)</f>
        <v>Workweek</v>
      </c>
    </row>
    <row r="1434" spans="1:10">
      <c r="A1434" s="159" t="str">
        <f t="shared" si="111"/>
        <v>$B$1:$B$92</v>
      </c>
      <c r="B1434" s="159" t="str">
        <f t="shared" si="112"/>
        <v>$C$1:$C$92</v>
      </c>
      <c r="C1434" s="159" t="str">
        <f t="shared" si="113"/>
        <v>December!$B$1:$B$92</v>
      </c>
      <c r="D1434" s="159" t="str">
        <f t="shared" si="114"/>
        <v>December!$C$1:$C$92</v>
      </c>
      <c r="E1434" t="s">
        <v>4</v>
      </c>
      <c r="F1434" t="s">
        <v>131</v>
      </c>
      <c r="G1434" t="s">
        <v>13</v>
      </c>
      <c r="H1434" t="s">
        <v>22</v>
      </c>
      <c r="I1434" t="e">
        <f t="shared" ca="1" si="115"/>
        <v>#REF!</v>
      </c>
      <c r="J1434" t="str">
        <f>VLOOKUP($G1434,DefinitionArrays!$I$6:$J$12,2,FALSE)</f>
        <v>Workweek</v>
      </c>
    </row>
    <row r="1435" spans="1:10">
      <c r="A1435" s="159" t="str">
        <f t="shared" si="111"/>
        <v>$B$1:$B$92</v>
      </c>
      <c r="B1435" s="159" t="str">
        <f t="shared" si="112"/>
        <v>$C$1:$C$92</v>
      </c>
      <c r="C1435" s="159" t="str">
        <f t="shared" si="113"/>
        <v>December!$B$1:$B$92</v>
      </c>
      <c r="D1435" s="159" t="str">
        <f t="shared" si="114"/>
        <v>December!$C$1:$C$92</v>
      </c>
      <c r="E1435" t="s">
        <v>4</v>
      </c>
      <c r="F1435" t="s">
        <v>131</v>
      </c>
      <c r="G1435" t="s">
        <v>13</v>
      </c>
      <c r="H1435" t="s">
        <v>23</v>
      </c>
      <c r="I1435" t="e">
        <f t="shared" ca="1" si="115"/>
        <v>#REF!</v>
      </c>
      <c r="J1435" t="str">
        <f>VLOOKUP($G1435,DefinitionArrays!$I$6:$J$12,2,FALSE)</f>
        <v>Workweek</v>
      </c>
    </row>
    <row r="1436" spans="1:10">
      <c r="A1436" s="159" t="str">
        <f t="shared" si="111"/>
        <v>$B$1:$B$92</v>
      </c>
      <c r="B1436" s="159" t="str">
        <f t="shared" si="112"/>
        <v>$C$1:$C$92</v>
      </c>
      <c r="C1436" s="159" t="str">
        <f t="shared" si="113"/>
        <v>December!$B$1:$B$92</v>
      </c>
      <c r="D1436" s="159" t="str">
        <f t="shared" si="114"/>
        <v>December!$C$1:$C$92</v>
      </c>
      <c r="E1436" t="s">
        <v>4</v>
      </c>
      <c r="F1436" t="s">
        <v>131</v>
      </c>
      <c r="G1436" t="s">
        <v>13</v>
      </c>
      <c r="H1436" t="s">
        <v>24</v>
      </c>
      <c r="I1436" t="e">
        <f t="shared" ca="1" si="115"/>
        <v>#REF!</v>
      </c>
      <c r="J1436" t="str">
        <f>VLOOKUP($G1436,DefinitionArrays!$I$6:$J$12,2,FALSE)</f>
        <v>Workweek</v>
      </c>
    </row>
    <row r="1437" spans="1:10">
      <c r="A1437" s="159" t="str">
        <f t="shared" si="111"/>
        <v>$B$1:$B$92</v>
      </c>
      <c r="B1437" s="159" t="str">
        <f t="shared" si="112"/>
        <v>$C$1:$C$92</v>
      </c>
      <c r="C1437" s="159" t="str">
        <f t="shared" si="113"/>
        <v>December!$B$1:$B$92</v>
      </c>
      <c r="D1437" s="159" t="str">
        <f t="shared" si="114"/>
        <v>December!$C$1:$C$92</v>
      </c>
      <c r="E1437" t="s">
        <v>4</v>
      </c>
      <c r="F1437" t="s">
        <v>131</v>
      </c>
      <c r="G1437" t="s">
        <v>13</v>
      </c>
      <c r="H1437" t="s">
        <v>179</v>
      </c>
      <c r="I1437" t="e">
        <f t="shared" ca="1" si="115"/>
        <v>#REF!</v>
      </c>
      <c r="J1437" t="str">
        <f>VLOOKUP($G1437,DefinitionArrays!$I$6:$J$12,2,FALSE)</f>
        <v>Workweek</v>
      </c>
    </row>
    <row r="1438" spans="1:10">
      <c r="A1438" s="159" t="str">
        <f t="shared" si="111"/>
        <v>$B$1:$B$92</v>
      </c>
      <c r="B1438" s="159" t="str">
        <f t="shared" si="112"/>
        <v>$C$1:$C$92</v>
      </c>
      <c r="C1438" s="159" t="str">
        <f t="shared" si="113"/>
        <v>December!$B$1:$B$92</v>
      </c>
      <c r="D1438" s="159" t="str">
        <f t="shared" si="114"/>
        <v>December!$C$1:$C$92</v>
      </c>
      <c r="E1438" t="s">
        <v>4</v>
      </c>
      <c r="F1438" t="s">
        <v>131</v>
      </c>
      <c r="G1438" t="s">
        <v>13</v>
      </c>
      <c r="H1438" t="s">
        <v>180</v>
      </c>
      <c r="I1438" t="e">
        <f t="shared" ca="1" si="115"/>
        <v>#REF!</v>
      </c>
      <c r="J1438" t="str">
        <f>VLOOKUP($G1438,DefinitionArrays!$I$6:$J$12,2,FALSE)</f>
        <v>Workweek</v>
      </c>
    </row>
    <row r="1439" spans="1:10">
      <c r="A1439" s="159" t="str">
        <f t="shared" si="111"/>
        <v>$B$1:$B$92</v>
      </c>
      <c r="B1439" s="159" t="str">
        <f t="shared" si="112"/>
        <v>$C$1:$C$92</v>
      </c>
      <c r="C1439" s="159" t="str">
        <f t="shared" si="113"/>
        <v>December!$B$1:$B$92</v>
      </c>
      <c r="D1439" s="159" t="str">
        <f t="shared" si="114"/>
        <v>December!$C$1:$C$92</v>
      </c>
      <c r="E1439" t="s">
        <v>4</v>
      </c>
      <c r="F1439" t="s">
        <v>131</v>
      </c>
      <c r="G1439" t="s">
        <v>13</v>
      </c>
      <c r="H1439" t="s">
        <v>44</v>
      </c>
      <c r="I1439" t="e">
        <f t="shared" ca="1" si="115"/>
        <v>#REF!</v>
      </c>
      <c r="J1439" t="str">
        <f>VLOOKUP($G1439,DefinitionArrays!$I$6:$J$12,2,FALSE)</f>
        <v>Workweek</v>
      </c>
    </row>
    <row r="1440" spans="1:10">
      <c r="A1440" s="159" t="str">
        <f t="shared" si="111"/>
        <v>$E$1:$E$92</v>
      </c>
      <c r="B1440" s="159" t="str">
        <f t="shared" si="112"/>
        <v>$F$1:$F$92</v>
      </c>
      <c r="C1440" s="159" t="str">
        <f t="shared" si="113"/>
        <v>December!$E$1:$E$92</v>
      </c>
      <c r="D1440" s="159" t="str">
        <f t="shared" si="114"/>
        <v>December!$F$1:$F$92</v>
      </c>
      <c r="E1440" t="s">
        <v>4</v>
      </c>
      <c r="F1440" t="s">
        <v>131</v>
      </c>
      <c r="G1440" t="s">
        <v>142</v>
      </c>
      <c r="H1440" t="s">
        <v>159</v>
      </c>
      <c r="I1440" t="e">
        <f t="shared" ca="1" si="115"/>
        <v>#REF!</v>
      </c>
      <c r="J1440" t="str">
        <f>VLOOKUP($G1440,DefinitionArrays!$I$6:$J$12,2,FALSE)</f>
        <v>Workweek</v>
      </c>
    </row>
    <row r="1441" spans="1:10">
      <c r="A1441" s="159" t="str">
        <f t="shared" si="111"/>
        <v>$E$1:$E$92</v>
      </c>
      <c r="B1441" s="159" t="str">
        <f t="shared" si="112"/>
        <v>$F$1:$F$92</v>
      </c>
      <c r="C1441" s="159" t="str">
        <f t="shared" si="113"/>
        <v>December!$E$1:$E$92</v>
      </c>
      <c r="D1441" s="159" t="str">
        <f t="shared" si="114"/>
        <v>December!$F$1:$F$92</v>
      </c>
      <c r="E1441" t="s">
        <v>4</v>
      </c>
      <c r="F1441" t="s">
        <v>131</v>
      </c>
      <c r="G1441" t="s">
        <v>142</v>
      </c>
      <c r="H1441" t="s">
        <v>18</v>
      </c>
      <c r="I1441" t="e">
        <f t="shared" ca="1" si="115"/>
        <v>#REF!</v>
      </c>
      <c r="J1441" t="str">
        <f>VLOOKUP($G1441,DefinitionArrays!$I$6:$J$12,2,FALSE)</f>
        <v>Workweek</v>
      </c>
    </row>
    <row r="1442" spans="1:10">
      <c r="A1442" s="159" t="str">
        <f t="shared" si="111"/>
        <v>$E$1:$E$92</v>
      </c>
      <c r="B1442" s="159" t="str">
        <f t="shared" si="112"/>
        <v>$F$1:$F$92</v>
      </c>
      <c r="C1442" s="159" t="str">
        <f t="shared" si="113"/>
        <v>December!$E$1:$E$92</v>
      </c>
      <c r="D1442" s="159" t="str">
        <f t="shared" si="114"/>
        <v>December!$F$1:$F$92</v>
      </c>
      <c r="E1442" t="s">
        <v>4</v>
      </c>
      <c r="F1442" t="s">
        <v>131</v>
      </c>
      <c r="G1442" t="s">
        <v>142</v>
      </c>
      <c r="H1442" t="s">
        <v>153</v>
      </c>
      <c r="I1442" t="e">
        <f t="shared" ca="1" si="115"/>
        <v>#REF!</v>
      </c>
      <c r="J1442" t="str">
        <f>VLOOKUP($G1442,DefinitionArrays!$I$6:$J$12,2,FALSE)</f>
        <v>Workweek</v>
      </c>
    </row>
    <row r="1443" spans="1:10">
      <c r="A1443" s="159" t="str">
        <f t="shared" si="111"/>
        <v>$E$1:$E$92</v>
      </c>
      <c r="B1443" s="159" t="str">
        <f t="shared" si="112"/>
        <v>$F$1:$F$92</v>
      </c>
      <c r="C1443" s="159" t="str">
        <f t="shared" si="113"/>
        <v>December!$E$1:$E$92</v>
      </c>
      <c r="D1443" s="159" t="str">
        <f t="shared" si="114"/>
        <v>December!$F$1:$F$92</v>
      </c>
      <c r="E1443" t="s">
        <v>4</v>
      </c>
      <c r="F1443" t="s">
        <v>131</v>
      </c>
      <c r="G1443" t="s">
        <v>142</v>
      </c>
      <c r="H1443" t="s">
        <v>19</v>
      </c>
      <c r="I1443" t="e">
        <f t="shared" ca="1" si="115"/>
        <v>#REF!</v>
      </c>
      <c r="J1443" t="str">
        <f>VLOOKUP($G1443,DefinitionArrays!$I$6:$J$12,2,FALSE)</f>
        <v>Workweek</v>
      </c>
    </row>
    <row r="1444" spans="1:10">
      <c r="A1444" s="159" t="str">
        <f t="shared" si="111"/>
        <v>$E$1:$E$92</v>
      </c>
      <c r="B1444" s="159" t="str">
        <f t="shared" si="112"/>
        <v>$F$1:$F$92</v>
      </c>
      <c r="C1444" s="159" t="str">
        <f t="shared" si="113"/>
        <v>December!$E$1:$E$92</v>
      </c>
      <c r="D1444" s="159" t="str">
        <f t="shared" si="114"/>
        <v>December!$F$1:$F$92</v>
      </c>
      <c r="E1444" t="s">
        <v>4</v>
      </c>
      <c r="F1444" t="s">
        <v>131</v>
      </c>
      <c r="G1444" t="s">
        <v>142</v>
      </c>
      <c r="H1444" t="s">
        <v>20</v>
      </c>
      <c r="I1444" t="e">
        <f t="shared" ca="1" si="115"/>
        <v>#REF!</v>
      </c>
      <c r="J1444" t="str">
        <f>VLOOKUP($G1444,DefinitionArrays!$I$6:$J$12,2,FALSE)</f>
        <v>Workweek</v>
      </c>
    </row>
    <row r="1445" spans="1:10">
      <c r="A1445" s="159" t="str">
        <f t="shared" si="111"/>
        <v>$E$1:$E$92</v>
      </c>
      <c r="B1445" s="159" t="str">
        <f t="shared" si="112"/>
        <v>$F$1:$F$92</v>
      </c>
      <c r="C1445" s="159" t="str">
        <f t="shared" si="113"/>
        <v>December!$E$1:$E$92</v>
      </c>
      <c r="D1445" s="159" t="str">
        <f t="shared" si="114"/>
        <v>December!$F$1:$F$92</v>
      </c>
      <c r="E1445" t="s">
        <v>4</v>
      </c>
      <c r="F1445" t="s">
        <v>131</v>
      </c>
      <c r="G1445" t="s">
        <v>142</v>
      </c>
      <c r="H1445" t="s">
        <v>21</v>
      </c>
      <c r="I1445" t="e">
        <f t="shared" ca="1" si="115"/>
        <v>#REF!</v>
      </c>
      <c r="J1445" t="str">
        <f>VLOOKUP($G1445,DefinitionArrays!$I$6:$J$12,2,FALSE)</f>
        <v>Workweek</v>
      </c>
    </row>
    <row r="1446" spans="1:10">
      <c r="A1446" s="159" t="str">
        <f t="shared" si="111"/>
        <v>$E$1:$E$92</v>
      </c>
      <c r="B1446" s="159" t="str">
        <f t="shared" si="112"/>
        <v>$F$1:$F$92</v>
      </c>
      <c r="C1446" s="159" t="str">
        <f t="shared" si="113"/>
        <v>December!$E$1:$E$92</v>
      </c>
      <c r="D1446" s="159" t="str">
        <f t="shared" si="114"/>
        <v>December!$F$1:$F$92</v>
      </c>
      <c r="E1446" t="s">
        <v>4</v>
      </c>
      <c r="F1446" t="s">
        <v>131</v>
      </c>
      <c r="G1446" t="s">
        <v>142</v>
      </c>
      <c r="H1446" t="s">
        <v>22</v>
      </c>
      <c r="I1446" t="e">
        <f t="shared" ca="1" si="115"/>
        <v>#REF!</v>
      </c>
      <c r="J1446" t="str">
        <f>VLOOKUP($G1446,DefinitionArrays!$I$6:$J$12,2,FALSE)</f>
        <v>Workweek</v>
      </c>
    </row>
    <row r="1447" spans="1:10">
      <c r="A1447" s="159" t="str">
        <f t="shared" si="111"/>
        <v>$E$1:$E$92</v>
      </c>
      <c r="B1447" s="159" t="str">
        <f t="shared" si="112"/>
        <v>$F$1:$F$92</v>
      </c>
      <c r="C1447" s="159" t="str">
        <f t="shared" si="113"/>
        <v>December!$E$1:$E$92</v>
      </c>
      <c r="D1447" s="159" t="str">
        <f t="shared" si="114"/>
        <v>December!$F$1:$F$92</v>
      </c>
      <c r="E1447" t="s">
        <v>4</v>
      </c>
      <c r="F1447" t="s">
        <v>131</v>
      </c>
      <c r="G1447" t="s">
        <v>142</v>
      </c>
      <c r="H1447" t="s">
        <v>23</v>
      </c>
      <c r="I1447" t="e">
        <f t="shared" ca="1" si="115"/>
        <v>#REF!</v>
      </c>
      <c r="J1447" t="str">
        <f>VLOOKUP($G1447,DefinitionArrays!$I$6:$J$12,2,FALSE)</f>
        <v>Workweek</v>
      </c>
    </row>
    <row r="1448" spans="1:10">
      <c r="A1448" s="159" t="str">
        <f t="shared" si="111"/>
        <v>$E$1:$E$92</v>
      </c>
      <c r="B1448" s="159" t="str">
        <f t="shared" si="112"/>
        <v>$F$1:$F$92</v>
      </c>
      <c r="C1448" s="159" t="str">
        <f t="shared" si="113"/>
        <v>December!$E$1:$E$92</v>
      </c>
      <c r="D1448" s="159" t="str">
        <f t="shared" si="114"/>
        <v>December!$F$1:$F$92</v>
      </c>
      <c r="E1448" t="s">
        <v>4</v>
      </c>
      <c r="F1448" t="s">
        <v>131</v>
      </c>
      <c r="G1448" t="s">
        <v>142</v>
      </c>
      <c r="H1448" t="s">
        <v>24</v>
      </c>
      <c r="I1448" t="e">
        <f t="shared" ca="1" si="115"/>
        <v>#REF!</v>
      </c>
      <c r="J1448" t="str">
        <f>VLOOKUP($G1448,DefinitionArrays!$I$6:$J$12,2,FALSE)</f>
        <v>Workweek</v>
      </c>
    </row>
    <row r="1449" spans="1:10">
      <c r="A1449" s="159" t="str">
        <f t="shared" si="111"/>
        <v>$E$1:$E$92</v>
      </c>
      <c r="B1449" s="159" t="str">
        <f t="shared" si="112"/>
        <v>$F$1:$F$92</v>
      </c>
      <c r="C1449" s="159" t="str">
        <f t="shared" si="113"/>
        <v>December!$E$1:$E$92</v>
      </c>
      <c r="D1449" s="159" t="str">
        <f t="shared" si="114"/>
        <v>December!$F$1:$F$92</v>
      </c>
      <c r="E1449" t="s">
        <v>4</v>
      </c>
      <c r="F1449" t="s">
        <v>131</v>
      </c>
      <c r="G1449" t="s">
        <v>142</v>
      </c>
      <c r="H1449" t="s">
        <v>179</v>
      </c>
      <c r="I1449" t="e">
        <f t="shared" ca="1" si="115"/>
        <v>#REF!</v>
      </c>
      <c r="J1449" t="str">
        <f>VLOOKUP($G1449,DefinitionArrays!$I$6:$J$12,2,FALSE)</f>
        <v>Workweek</v>
      </c>
    </row>
    <row r="1450" spans="1:10">
      <c r="A1450" s="159" t="str">
        <f t="shared" si="111"/>
        <v>$E$1:$E$92</v>
      </c>
      <c r="B1450" s="159" t="str">
        <f t="shared" si="112"/>
        <v>$F$1:$F$92</v>
      </c>
      <c r="C1450" s="159" t="str">
        <f t="shared" si="113"/>
        <v>December!$E$1:$E$92</v>
      </c>
      <c r="D1450" s="159" t="str">
        <f t="shared" si="114"/>
        <v>December!$F$1:$F$92</v>
      </c>
      <c r="E1450" t="s">
        <v>4</v>
      </c>
      <c r="F1450" t="s">
        <v>131</v>
      </c>
      <c r="G1450" t="s">
        <v>142</v>
      </c>
      <c r="H1450" t="s">
        <v>180</v>
      </c>
      <c r="I1450" t="e">
        <f t="shared" ca="1" si="115"/>
        <v>#REF!</v>
      </c>
      <c r="J1450" t="str">
        <f>VLOOKUP($G1450,DefinitionArrays!$I$6:$J$12,2,FALSE)</f>
        <v>Workweek</v>
      </c>
    </row>
    <row r="1451" spans="1:10">
      <c r="A1451" s="159" t="str">
        <f t="shared" si="111"/>
        <v>$E$1:$E$92</v>
      </c>
      <c r="B1451" s="159" t="str">
        <f t="shared" si="112"/>
        <v>$F$1:$F$92</v>
      </c>
      <c r="C1451" s="159" t="str">
        <f t="shared" si="113"/>
        <v>December!$E$1:$E$92</v>
      </c>
      <c r="D1451" s="159" t="str">
        <f t="shared" si="114"/>
        <v>December!$F$1:$F$92</v>
      </c>
      <c r="E1451" t="s">
        <v>4</v>
      </c>
      <c r="F1451" t="s">
        <v>131</v>
      </c>
      <c r="G1451" t="s">
        <v>142</v>
      </c>
      <c r="H1451" t="s">
        <v>44</v>
      </c>
      <c r="I1451" t="e">
        <f t="shared" ca="1" si="115"/>
        <v>#REF!</v>
      </c>
      <c r="J1451" t="str">
        <f>VLOOKUP($G1451,DefinitionArrays!$I$6:$J$12,2,FALSE)</f>
        <v>Workweek</v>
      </c>
    </row>
    <row r="1452" spans="1:10">
      <c r="A1452" s="159" t="str">
        <f t="shared" si="111"/>
        <v>$H$1:$H$92</v>
      </c>
      <c r="B1452" s="159" t="str">
        <f t="shared" si="112"/>
        <v>$I$1:$I$92</v>
      </c>
      <c r="C1452" s="159" t="str">
        <f t="shared" si="113"/>
        <v>December!$H$1:$H$92</v>
      </c>
      <c r="D1452" s="159" t="str">
        <f t="shared" si="114"/>
        <v>December!$I$1:$I$92</v>
      </c>
      <c r="E1452" t="s">
        <v>4</v>
      </c>
      <c r="F1452" t="s">
        <v>131</v>
      </c>
      <c r="G1452" t="s">
        <v>143</v>
      </c>
      <c r="H1452" t="s">
        <v>159</v>
      </c>
      <c r="I1452" t="e">
        <f t="shared" ca="1" si="115"/>
        <v>#REF!</v>
      </c>
      <c r="J1452" t="str">
        <f>VLOOKUP($G1452,DefinitionArrays!$I$6:$J$12,2,FALSE)</f>
        <v>Workweek</v>
      </c>
    </row>
    <row r="1453" spans="1:10">
      <c r="A1453" s="159" t="str">
        <f t="shared" si="111"/>
        <v>$H$1:$H$92</v>
      </c>
      <c r="B1453" s="159" t="str">
        <f t="shared" si="112"/>
        <v>$I$1:$I$92</v>
      </c>
      <c r="C1453" s="159" t="str">
        <f t="shared" si="113"/>
        <v>December!$H$1:$H$92</v>
      </c>
      <c r="D1453" s="159" t="str">
        <f t="shared" si="114"/>
        <v>December!$I$1:$I$92</v>
      </c>
      <c r="E1453" t="s">
        <v>4</v>
      </c>
      <c r="F1453" t="s">
        <v>131</v>
      </c>
      <c r="G1453" t="s">
        <v>143</v>
      </c>
      <c r="H1453" t="s">
        <v>18</v>
      </c>
      <c r="I1453" t="e">
        <f t="shared" ca="1" si="115"/>
        <v>#REF!</v>
      </c>
      <c r="J1453" t="str">
        <f>VLOOKUP($G1453,DefinitionArrays!$I$6:$J$12,2,FALSE)</f>
        <v>Workweek</v>
      </c>
    </row>
    <row r="1454" spans="1:10">
      <c r="A1454" s="159" t="str">
        <f t="shared" si="111"/>
        <v>$H$1:$H$92</v>
      </c>
      <c r="B1454" s="159" t="str">
        <f t="shared" si="112"/>
        <v>$I$1:$I$92</v>
      </c>
      <c r="C1454" s="159" t="str">
        <f t="shared" si="113"/>
        <v>December!$H$1:$H$92</v>
      </c>
      <c r="D1454" s="159" t="str">
        <f t="shared" si="114"/>
        <v>December!$I$1:$I$92</v>
      </c>
      <c r="E1454" t="s">
        <v>4</v>
      </c>
      <c r="F1454" t="s">
        <v>131</v>
      </c>
      <c r="G1454" t="s">
        <v>143</v>
      </c>
      <c r="H1454" t="s">
        <v>153</v>
      </c>
      <c r="I1454" t="e">
        <f t="shared" ca="1" si="115"/>
        <v>#REF!</v>
      </c>
      <c r="J1454" t="str">
        <f>VLOOKUP($G1454,DefinitionArrays!$I$6:$J$12,2,FALSE)</f>
        <v>Workweek</v>
      </c>
    </row>
    <row r="1455" spans="1:10">
      <c r="A1455" s="159" t="str">
        <f t="shared" si="111"/>
        <v>$H$1:$H$92</v>
      </c>
      <c r="B1455" s="159" t="str">
        <f t="shared" si="112"/>
        <v>$I$1:$I$92</v>
      </c>
      <c r="C1455" s="159" t="str">
        <f t="shared" si="113"/>
        <v>December!$H$1:$H$92</v>
      </c>
      <c r="D1455" s="159" t="str">
        <f t="shared" si="114"/>
        <v>December!$I$1:$I$92</v>
      </c>
      <c r="E1455" t="s">
        <v>4</v>
      </c>
      <c r="F1455" t="s">
        <v>131</v>
      </c>
      <c r="G1455" t="s">
        <v>143</v>
      </c>
      <c r="H1455" t="s">
        <v>19</v>
      </c>
      <c r="I1455" t="e">
        <f t="shared" ca="1" si="115"/>
        <v>#REF!</v>
      </c>
      <c r="J1455" t="str">
        <f>VLOOKUP($G1455,DefinitionArrays!$I$6:$J$12,2,FALSE)</f>
        <v>Workweek</v>
      </c>
    </row>
    <row r="1456" spans="1:10">
      <c r="A1456" s="159" t="str">
        <f t="shared" si="111"/>
        <v>$H$1:$H$92</v>
      </c>
      <c r="B1456" s="159" t="str">
        <f t="shared" si="112"/>
        <v>$I$1:$I$92</v>
      </c>
      <c r="C1456" s="159" t="str">
        <f t="shared" si="113"/>
        <v>December!$H$1:$H$92</v>
      </c>
      <c r="D1456" s="159" t="str">
        <f t="shared" si="114"/>
        <v>December!$I$1:$I$92</v>
      </c>
      <c r="E1456" t="s">
        <v>4</v>
      </c>
      <c r="F1456" t="s">
        <v>131</v>
      </c>
      <c r="G1456" t="s">
        <v>143</v>
      </c>
      <c r="H1456" t="s">
        <v>20</v>
      </c>
      <c r="I1456" t="e">
        <f t="shared" ca="1" si="115"/>
        <v>#REF!</v>
      </c>
      <c r="J1456" t="str">
        <f>VLOOKUP($G1456,DefinitionArrays!$I$6:$J$12,2,FALSE)</f>
        <v>Workweek</v>
      </c>
    </row>
    <row r="1457" spans="1:10">
      <c r="A1457" s="159" t="str">
        <f t="shared" si="111"/>
        <v>$H$1:$H$92</v>
      </c>
      <c r="B1457" s="159" t="str">
        <f t="shared" si="112"/>
        <v>$I$1:$I$92</v>
      </c>
      <c r="C1457" s="159" t="str">
        <f t="shared" si="113"/>
        <v>December!$H$1:$H$92</v>
      </c>
      <c r="D1457" s="159" t="str">
        <f t="shared" si="114"/>
        <v>December!$I$1:$I$92</v>
      </c>
      <c r="E1457" t="s">
        <v>4</v>
      </c>
      <c r="F1457" t="s">
        <v>131</v>
      </c>
      <c r="G1457" t="s">
        <v>143</v>
      </c>
      <c r="H1457" t="s">
        <v>21</v>
      </c>
      <c r="I1457" t="e">
        <f t="shared" ca="1" si="115"/>
        <v>#REF!</v>
      </c>
      <c r="J1457" t="str">
        <f>VLOOKUP($G1457,DefinitionArrays!$I$6:$J$12,2,FALSE)</f>
        <v>Workweek</v>
      </c>
    </row>
    <row r="1458" spans="1:10">
      <c r="A1458" s="159" t="str">
        <f t="shared" si="111"/>
        <v>$H$1:$H$92</v>
      </c>
      <c r="B1458" s="159" t="str">
        <f t="shared" si="112"/>
        <v>$I$1:$I$92</v>
      </c>
      <c r="C1458" s="159" t="str">
        <f t="shared" si="113"/>
        <v>December!$H$1:$H$92</v>
      </c>
      <c r="D1458" s="159" t="str">
        <f t="shared" si="114"/>
        <v>December!$I$1:$I$92</v>
      </c>
      <c r="E1458" t="s">
        <v>4</v>
      </c>
      <c r="F1458" t="s">
        <v>131</v>
      </c>
      <c r="G1458" t="s">
        <v>143</v>
      </c>
      <c r="H1458" t="s">
        <v>22</v>
      </c>
      <c r="I1458" t="e">
        <f t="shared" ca="1" si="115"/>
        <v>#REF!</v>
      </c>
      <c r="J1458" t="str">
        <f>VLOOKUP($G1458,DefinitionArrays!$I$6:$J$12,2,FALSE)</f>
        <v>Workweek</v>
      </c>
    </row>
    <row r="1459" spans="1:10">
      <c r="A1459" s="159" t="str">
        <f t="shared" si="111"/>
        <v>$H$1:$H$92</v>
      </c>
      <c r="B1459" s="159" t="str">
        <f t="shared" si="112"/>
        <v>$I$1:$I$92</v>
      </c>
      <c r="C1459" s="159" t="str">
        <f t="shared" si="113"/>
        <v>December!$H$1:$H$92</v>
      </c>
      <c r="D1459" s="159" t="str">
        <f t="shared" si="114"/>
        <v>December!$I$1:$I$92</v>
      </c>
      <c r="E1459" t="s">
        <v>4</v>
      </c>
      <c r="F1459" t="s">
        <v>131</v>
      </c>
      <c r="G1459" t="s">
        <v>143</v>
      </c>
      <c r="H1459" t="s">
        <v>23</v>
      </c>
      <c r="I1459" t="e">
        <f t="shared" ca="1" si="115"/>
        <v>#REF!</v>
      </c>
      <c r="J1459" t="str">
        <f>VLOOKUP($G1459,DefinitionArrays!$I$6:$J$12,2,FALSE)</f>
        <v>Workweek</v>
      </c>
    </row>
    <row r="1460" spans="1:10">
      <c r="A1460" s="159" t="str">
        <f t="shared" si="111"/>
        <v>$H$1:$H$92</v>
      </c>
      <c r="B1460" s="159" t="str">
        <f t="shared" si="112"/>
        <v>$I$1:$I$92</v>
      </c>
      <c r="C1460" s="159" t="str">
        <f t="shared" si="113"/>
        <v>December!$H$1:$H$92</v>
      </c>
      <c r="D1460" s="159" t="str">
        <f t="shared" si="114"/>
        <v>December!$I$1:$I$92</v>
      </c>
      <c r="E1460" t="s">
        <v>4</v>
      </c>
      <c r="F1460" t="s">
        <v>131</v>
      </c>
      <c r="G1460" t="s">
        <v>143</v>
      </c>
      <c r="H1460" t="s">
        <v>24</v>
      </c>
      <c r="I1460" t="e">
        <f t="shared" ca="1" si="115"/>
        <v>#REF!</v>
      </c>
      <c r="J1460" t="str">
        <f>VLOOKUP($G1460,DefinitionArrays!$I$6:$J$12,2,FALSE)</f>
        <v>Workweek</v>
      </c>
    </row>
    <row r="1461" spans="1:10">
      <c r="A1461" s="159" t="str">
        <f t="shared" si="111"/>
        <v>$H$1:$H$92</v>
      </c>
      <c r="B1461" s="159" t="str">
        <f t="shared" si="112"/>
        <v>$I$1:$I$92</v>
      </c>
      <c r="C1461" s="159" t="str">
        <f t="shared" si="113"/>
        <v>December!$H$1:$H$92</v>
      </c>
      <c r="D1461" s="159" t="str">
        <f t="shared" si="114"/>
        <v>December!$I$1:$I$92</v>
      </c>
      <c r="E1461" t="s">
        <v>4</v>
      </c>
      <c r="F1461" t="s">
        <v>131</v>
      </c>
      <c r="G1461" t="s">
        <v>143</v>
      </c>
      <c r="H1461" t="s">
        <v>179</v>
      </c>
      <c r="I1461" t="e">
        <f t="shared" ca="1" si="115"/>
        <v>#REF!</v>
      </c>
      <c r="J1461" t="str">
        <f>VLOOKUP($G1461,DefinitionArrays!$I$6:$J$12,2,FALSE)</f>
        <v>Workweek</v>
      </c>
    </row>
    <row r="1462" spans="1:10">
      <c r="A1462" s="159" t="str">
        <f t="shared" si="111"/>
        <v>$H$1:$H$92</v>
      </c>
      <c r="B1462" s="159" t="str">
        <f t="shared" si="112"/>
        <v>$I$1:$I$92</v>
      </c>
      <c r="C1462" s="159" t="str">
        <f t="shared" si="113"/>
        <v>December!$H$1:$H$92</v>
      </c>
      <c r="D1462" s="159" t="str">
        <f t="shared" si="114"/>
        <v>December!$I$1:$I$92</v>
      </c>
      <c r="E1462" t="s">
        <v>4</v>
      </c>
      <c r="F1462" t="s">
        <v>131</v>
      </c>
      <c r="G1462" t="s">
        <v>143</v>
      </c>
      <c r="H1462" t="s">
        <v>180</v>
      </c>
      <c r="I1462" t="e">
        <f t="shared" ca="1" si="115"/>
        <v>#REF!</v>
      </c>
      <c r="J1462" t="str">
        <f>VLOOKUP($G1462,DefinitionArrays!$I$6:$J$12,2,FALSE)</f>
        <v>Workweek</v>
      </c>
    </row>
    <row r="1463" spans="1:10">
      <c r="A1463" s="159" t="str">
        <f t="shared" si="111"/>
        <v>$H$1:$H$92</v>
      </c>
      <c r="B1463" s="159" t="str">
        <f t="shared" si="112"/>
        <v>$I$1:$I$92</v>
      </c>
      <c r="C1463" s="159" t="str">
        <f t="shared" si="113"/>
        <v>December!$H$1:$H$92</v>
      </c>
      <c r="D1463" s="159" t="str">
        <f t="shared" si="114"/>
        <v>December!$I$1:$I$92</v>
      </c>
      <c r="E1463" t="s">
        <v>4</v>
      </c>
      <c r="F1463" t="s">
        <v>131</v>
      </c>
      <c r="G1463" t="s">
        <v>143</v>
      </c>
      <c r="H1463" t="s">
        <v>44</v>
      </c>
      <c r="I1463" t="e">
        <f t="shared" ca="1" si="115"/>
        <v>#REF!</v>
      </c>
      <c r="J1463" t="str">
        <f>VLOOKUP($G1463,DefinitionArrays!$I$6:$J$12,2,FALSE)</f>
        <v>Workweek</v>
      </c>
    </row>
    <row r="1464" spans="1:10">
      <c r="A1464" s="159" t="str">
        <f t="shared" si="111"/>
        <v>$K$1:$K$92</v>
      </c>
      <c r="B1464" s="159" t="str">
        <f t="shared" si="112"/>
        <v>$L$1:$L$92</v>
      </c>
      <c r="C1464" s="159" t="str">
        <f t="shared" si="113"/>
        <v>December!$K$1:$K$92</v>
      </c>
      <c r="D1464" s="159" t="str">
        <f t="shared" si="114"/>
        <v>December!$L$1:$L$92</v>
      </c>
      <c r="E1464" t="s">
        <v>4</v>
      </c>
      <c r="F1464" t="s">
        <v>131</v>
      </c>
      <c r="G1464" t="s">
        <v>144</v>
      </c>
      <c r="H1464" t="s">
        <v>159</v>
      </c>
      <c r="I1464" t="e">
        <f t="shared" ca="1" si="115"/>
        <v>#REF!</v>
      </c>
      <c r="J1464" t="str">
        <f>VLOOKUP($G1464,DefinitionArrays!$I$6:$J$12,2,FALSE)</f>
        <v>Workweek</v>
      </c>
    </row>
    <row r="1465" spans="1:10">
      <c r="A1465" s="159" t="str">
        <f t="shared" si="111"/>
        <v>$K$1:$K$92</v>
      </c>
      <c r="B1465" s="159" t="str">
        <f t="shared" si="112"/>
        <v>$L$1:$L$92</v>
      </c>
      <c r="C1465" s="159" t="str">
        <f t="shared" si="113"/>
        <v>December!$K$1:$K$92</v>
      </c>
      <c r="D1465" s="159" t="str">
        <f t="shared" si="114"/>
        <v>December!$L$1:$L$92</v>
      </c>
      <c r="E1465" t="s">
        <v>4</v>
      </c>
      <c r="F1465" t="s">
        <v>131</v>
      </c>
      <c r="G1465" t="s">
        <v>144</v>
      </c>
      <c r="H1465" t="s">
        <v>18</v>
      </c>
      <c r="I1465" t="e">
        <f t="shared" ca="1" si="115"/>
        <v>#REF!</v>
      </c>
      <c r="J1465" t="str">
        <f>VLOOKUP($G1465,DefinitionArrays!$I$6:$J$12,2,FALSE)</f>
        <v>Workweek</v>
      </c>
    </row>
    <row r="1466" spans="1:10">
      <c r="A1466" s="159" t="str">
        <f t="shared" si="111"/>
        <v>$K$1:$K$92</v>
      </c>
      <c r="B1466" s="159" t="str">
        <f t="shared" si="112"/>
        <v>$L$1:$L$92</v>
      </c>
      <c r="C1466" s="159" t="str">
        <f t="shared" si="113"/>
        <v>December!$K$1:$K$92</v>
      </c>
      <c r="D1466" s="159" t="str">
        <f t="shared" si="114"/>
        <v>December!$L$1:$L$92</v>
      </c>
      <c r="E1466" t="s">
        <v>4</v>
      </c>
      <c r="F1466" t="s">
        <v>131</v>
      </c>
      <c r="G1466" t="s">
        <v>144</v>
      </c>
      <c r="H1466" t="s">
        <v>153</v>
      </c>
      <c r="I1466" t="e">
        <f t="shared" ca="1" si="115"/>
        <v>#REF!</v>
      </c>
      <c r="J1466" t="str">
        <f>VLOOKUP($G1466,DefinitionArrays!$I$6:$J$12,2,FALSE)</f>
        <v>Workweek</v>
      </c>
    </row>
    <row r="1467" spans="1:10">
      <c r="A1467" s="159" t="str">
        <f t="shared" si="111"/>
        <v>$K$1:$K$92</v>
      </c>
      <c r="B1467" s="159" t="str">
        <f t="shared" si="112"/>
        <v>$L$1:$L$92</v>
      </c>
      <c r="C1467" s="159" t="str">
        <f t="shared" si="113"/>
        <v>December!$K$1:$K$92</v>
      </c>
      <c r="D1467" s="159" t="str">
        <f t="shared" si="114"/>
        <v>December!$L$1:$L$92</v>
      </c>
      <c r="E1467" t="s">
        <v>4</v>
      </c>
      <c r="F1467" t="s">
        <v>131</v>
      </c>
      <c r="G1467" t="s">
        <v>144</v>
      </c>
      <c r="H1467" t="s">
        <v>19</v>
      </c>
      <c r="I1467" t="e">
        <f t="shared" ca="1" si="115"/>
        <v>#REF!</v>
      </c>
      <c r="J1467" t="str">
        <f>VLOOKUP($G1467,DefinitionArrays!$I$6:$J$12,2,FALSE)</f>
        <v>Workweek</v>
      </c>
    </row>
    <row r="1468" spans="1:10">
      <c r="A1468" s="159" t="str">
        <f t="shared" si="111"/>
        <v>$K$1:$K$92</v>
      </c>
      <c r="B1468" s="159" t="str">
        <f t="shared" si="112"/>
        <v>$L$1:$L$92</v>
      </c>
      <c r="C1468" s="159" t="str">
        <f t="shared" si="113"/>
        <v>December!$K$1:$K$92</v>
      </c>
      <c r="D1468" s="159" t="str">
        <f t="shared" si="114"/>
        <v>December!$L$1:$L$92</v>
      </c>
      <c r="E1468" t="s">
        <v>4</v>
      </c>
      <c r="F1468" t="s">
        <v>131</v>
      </c>
      <c r="G1468" t="s">
        <v>144</v>
      </c>
      <c r="H1468" t="s">
        <v>20</v>
      </c>
      <c r="I1468" t="e">
        <f t="shared" ca="1" si="115"/>
        <v>#REF!</v>
      </c>
      <c r="J1468" t="str">
        <f>VLOOKUP($G1468,DefinitionArrays!$I$6:$J$12,2,FALSE)</f>
        <v>Workweek</v>
      </c>
    </row>
    <row r="1469" spans="1:10">
      <c r="A1469" s="159" t="str">
        <f t="shared" si="111"/>
        <v>$K$1:$K$92</v>
      </c>
      <c r="B1469" s="159" t="str">
        <f t="shared" si="112"/>
        <v>$L$1:$L$92</v>
      </c>
      <c r="C1469" s="159" t="str">
        <f t="shared" si="113"/>
        <v>December!$K$1:$K$92</v>
      </c>
      <c r="D1469" s="159" t="str">
        <f t="shared" si="114"/>
        <v>December!$L$1:$L$92</v>
      </c>
      <c r="E1469" t="s">
        <v>4</v>
      </c>
      <c r="F1469" t="s">
        <v>131</v>
      </c>
      <c r="G1469" t="s">
        <v>144</v>
      </c>
      <c r="H1469" t="s">
        <v>21</v>
      </c>
      <c r="I1469" t="e">
        <f t="shared" ca="1" si="115"/>
        <v>#REF!</v>
      </c>
      <c r="J1469" t="str">
        <f>VLOOKUP($G1469,DefinitionArrays!$I$6:$J$12,2,FALSE)</f>
        <v>Workweek</v>
      </c>
    </row>
    <row r="1470" spans="1:10">
      <c r="A1470" s="159" t="str">
        <f t="shared" si="111"/>
        <v>$K$1:$K$92</v>
      </c>
      <c r="B1470" s="159" t="str">
        <f t="shared" si="112"/>
        <v>$L$1:$L$92</v>
      </c>
      <c r="C1470" s="159" t="str">
        <f t="shared" si="113"/>
        <v>December!$K$1:$K$92</v>
      </c>
      <c r="D1470" s="159" t="str">
        <f t="shared" si="114"/>
        <v>December!$L$1:$L$92</v>
      </c>
      <c r="E1470" t="s">
        <v>4</v>
      </c>
      <c r="F1470" t="s">
        <v>131</v>
      </c>
      <c r="G1470" t="s">
        <v>144</v>
      </c>
      <c r="H1470" t="s">
        <v>22</v>
      </c>
      <c r="I1470" t="e">
        <f t="shared" ca="1" si="115"/>
        <v>#REF!</v>
      </c>
      <c r="J1470" t="str">
        <f>VLOOKUP($G1470,DefinitionArrays!$I$6:$J$12,2,FALSE)</f>
        <v>Workweek</v>
      </c>
    </row>
    <row r="1471" spans="1:10">
      <c r="A1471" s="159" t="str">
        <f t="shared" si="111"/>
        <v>$K$1:$K$92</v>
      </c>
      <c r="B1471" s="159" t="str">
        <f t="shared" si="112"/>
        <v>$L$1:$L$92</v>
      </c>
      <c r="C1471" s="159" t="str">
        <f t="shared" si="113"/>
        <v>December!$K$1:$K$92</v>
      </c>
      <c r="D1471" s="159" t="str">
        <f t="shared" si="114"/>
        <v>December!$L$1:$L$92</v>
      </c>
      <c r="E1471" t="s">
        <v>4</v>
      </c>
      <c r="F1471" t="s">
        <v>131</v>
      </c>
      <c r="G1471" t="s">
        <v>144</v>
      </c>
      <c r="H1471" t="s">
        <v>23</v>
      </c>
      <c r="I1471" t="e">
        <f t="shared" ca="1" si="115"/>
        <v>#REF!</v>
      </c>
      <c r="J1471" t="str">
        <f>VLOOKUP($G1471,DefinitionArrays!$I$6:$J$12,2,FALSE)</f>
        <v>Workweek</v>
      </c>
    </row>
    <row r="1472" spans="1:10">
      <c r="A1472" s="159" t="str">
        <f t="shared" si="111"/>
        <v>$K$1:$K$92</v>
      </c>
      <c r="B1472" s="159" t="str">
        <f t="shared" si="112"/>
        <v>$L$1:$L$92</v>
      </c>
      <c r="C1472" s="159" t="str">
        <f t="shared" si="113"/>
        <v>December!$K$1:$K$92</v>
      </c>
      <c r="D1472" s="159" t="str">
        <f t="shared" si="114"/>
        <v>December!$L$1:$L$92</v>
      </c>
      <c r="E1472" t="s">
        <v>4</v>
      </c>
      <c r="F1472" t="s">
        <v>131</v>
      </c>
      <c r="G1472" t="s">
        <v>144</v>
      </c>
      <c r="H1472" t="s">
        <v>24</v>
      </c>
      <c r="I1472" t="e">
        <f t="shared" ca="1" si="115"/>
        <v>#REF!</v>
      </c>
      <c r="J1472" t="str">
        <f>VLOOKUP($G1472,DefinitionArrays!$I$6:$J$12,2,FALSE)</f>
        <v>Workweek</v>
      </c>
    </row>
    <row r="1473" spans="1:10">
      <c r="A1473" s="159" t="str">
        <f t="shared" si="111"/>
        <v>$K$1:$K$92</v>
      </c>
      <c r="B1473" s="159" t="str">
        <f t="shared" si="112"/>
        <v>$L$1:$L$92</v>
      </c>
      <c r="C1473" s="159" t="str">
        <f t="shared" si="113"/>
        <v>December!$K$1:$K$92</v>
      </c>
      <c r="D1473" s="159" t="str">
        <f t="shared" si="114"/>
        <v>December!$L$1:$L$92</v>
      </c>
      <c r="E1473" t="s">
        <v>4</v>
      </c>
      <c r="F1473" t="s">
        <v>131</v>
      </c>
      <c r="G1473" t="s">
        <v>144</v>
      </c>
      <c r="H1473" t="s">
        <v>179</v>
      </c>
      <c r="I1473" t="e">
        <f t="shared" ca="1" si="115"/>
        <v>#REF!</v>
      </c>
      <c r="J1473" t="str">
        <f>VLOOKUP($G1473,DefinitionArrays!$I$6:$J$12,2,FALSE)</f>
        <v>Workweek</v>
      </c>
    </row>
    <row r="1474" spans="1:10">
      <c r="A1474" s="159" t="str">
        <f t="shared" ref="A1474:A1537" si="116">VLOOKUP($G1474,Fx_Code,2,FALSE)</f>
        <v>$K$1:$K$92</v>
      </c>
      <c r="B1474" s="159" t="str">
        <f t="shared" ref="B1474:B1537" si="117">VLOOKUP($G1474,Fx_Code,3,FALSE)</f>
        <v>$L$1:$L$92</v>
      </c>
      <c r="C1474" s="159" t="str">
        <f t="shared" ref="C1474:C1537" si="118">CONCATENATE($F1474,$K$1,A1474)</f>
        <v>December!$K$1:$K$92</v>
      </c>
      <c r="D1474" s="159" t="str">
        <f t="shared" ref="D1474:D1537" si="119">CONCATENATE($F1474,$K$1,B1474)</f>
        <v>December!$L$1:$L$92</v>
      </c>
      <c r="E1474" t="s">
        <v>4</v>
      </c>
      <c r="F1474" t="s">
        <v>131</v>
      </c>
      <c r="G1474" t="s">
        <v>144</v>
      </c>
      <c r="H1474" t="s">
        <v>180</v>
      </c>
      <c r="I1474" t="e">
        <f t="shared" ca="1" si="115"/>
        <v>#REF!</v>
      </c>
      <c r="J1474" t="str">
        <f>VLOOKUP($G1474,DefinitionArrays!$I$6:$J$12,2,FALSE)</f>
        <v>Workweek</v>
      </c>
    </row>
    <row r="1475" spans="1:10">
      <c r="A1475" s="159" t="str">
        <f t="shared" si="116"/>
        <v>$K$1:$K$92</v>
      </c>
      <c r="B1475" s="159" t="str">
        <f t="shared" si="117"/>
        <v>$L$1:$L$92</v>
      </c>
      <c r="C1475" s="159" t="str">
        <f t="shared" si="118"/>
        <v>December!$K$1:$K$92</v>
      </c>
      <c r="D1475" s="159" t="str">
        <f t="shared" si="119"/>
        <v>December!$L$1:$L$92</v>
      </c>
      <c r="E1475" t="s">
        <v>4</v>
      </c>
      <c r="F1475" t="s">
        <v>131</v>
      </c>
      <c r="G1475" t="s">
        <v>144</v>
      </c>
      <c r="H1475" t="s">
        <v>44</v>
      </c>
      <c r="I1475" t="e">
        <f t="shared" ca="1" si="115"/>
        <v>#REF!</v>
      </c>
      <c r="J1475" t="str">
        <f>VLOOKUP($G1475,DefinitionArrays!$I$6:$J$12,2,FALSE)</f>
        <v>Workweek</v>
      </c>
    </row>
    <row r="1476" spans="1:10">
      <c r="A1476" s="159" t="str">
        <f t="shared" si="116"/>
        <v>$N$1:$N$92</v>
      </c>
      <c r="B1476" s="159" t="str">
        <f t="shared" si="117"/>
        <v>$O$1:$O$92</v>
      </c>
      <c r="C1476" s="159" t="str">
        <f t="shared" si="118"/>
        <v>December!$N$1:$N$92</v>
      </c>
      <c r="D1476" s="159" t="str">
        <f t="shared" si="119"/>
        <v>December!$O$1:$O$92</v>
      </c>
      <c r="E1476" t="s">
        <v>4</v>
      </c>
      <c r="F1476" t="s">
        <v>131</v>
      </c>
      <c r="G1476" t="s">
        <v>145</v>
      </c>
      <c r="H1476" t="s">
        <v>159</v>
      </c>
      <c r="I1476" t="e">
        <f t="shared" ca="1" si="115"/>
        <v>#REF!</v>
      </c>
      <c r="J1476" t="str">
        <f>VLOOKUP($G1476,DefinitionArrays!$I$6:$J$12,2,FALSE)</f>
        <v>Weekend</v>
      </c>
    </row>
    <row r="1477" spans="1:10">
      <c r="A1477" s="159" t="str">
        <f t="shared" si="116"/>
        <v>$N$1:$N$92</v>
      </c>
      <c r="B1477" s="159" t="str">
        <f t="shared" si="117"/>
        <v>$O$1:$O$92</v>
      </c>
      <c r="C1477" s="159" t="str">
        <f t="shared" si="118"/>
        <v>December!$N$1:$N$92</v>
      </c>
      <c r="D1477" s="159" t="str">
        <f t="shared" si="119"/>
        <v>December!$O$1:$O$92</v>
      </c>
      <c r="E1477" t="s">
        <v>4</v>
      </c>
      <c r="F1477" t="s">
        <v>131</v>
      </c>
      <c r="G1477" t="s">
        <v>145</v>
      </c>
      <c r="H1477" t="s">
        <v>18</v>
      </c>
      <c r="I1477" t="e">
        <f t="shared" ca="1" si="115"/>
        <v>#REF!</v>
      </c>
      <c r="J1477" t="str">
        <f>VLOOKUP($G1477,DefinitionArrays!$I$6:$J$12,2,FALSE)</f>
        <v>Weekend</v>
      </c>
    </row>
    <row r="1478" spans="1:10">
      <c r="A1478" s="159" t="str">
        <f t="shared" si="116"/>
        <v>$N$1:$N$92</v>
      </c>
      <c r="B1478" s="159" t="str">
        <f t="shared" si="117"/>
        <v>$O$1:$O$92</v>
      </c>
      <c r="C1478" s="159" t="str">
        <f t="shared" si="118"/>
        <v>December!$N$1:$N$92</v>
      </c>
      <c r="D1478" s="159" t="str">
        <f t="shared" si="119"/>
        <v>December!$O$1:$O$92</v>
      </c>
      <c r="E1478" t="s">
        <v>4</v>
      </c>
      <c r="F1478" t="s">
        <v>131</v>
      </c>
      <c r="G1478" t="s">
        <v>145</v>
      </c>
      <c r="H1478" t="s">
        <v>153</v>
      </c>
      <c r="I1478" t="e">
        <f t="shared" ca="1" si="115"/>
        <v>#REF!</v>
      </c>
      <c r="J1478" t="str">
        <f>VLOOKUP($G1478,DefinitionArrays!$I$6:$J$12,2,FALSE)</f>
        <v>Weekend</v>
      </c>
    </row>
    <row r="1479" spans="1:10">
      <c r="A1479" s="159" t="str">
        <f t="shared" si="116"/>
        <v>$N$1:$N$92</v>
      </c>
      <c r="B1479" s="159" t="str">
        <f t="shared" si="117"/>
        <v>$O$1:$O$92</v>
      </c>
      <c r="C1479" s="159" t="str">
        <f t="shared" si="118"/>
        <v>December!$N$1:$N$92</v>
      </c>
      <c r="D1479" s="159" t="str">
        <f t="shared" si="119"/>
        <v>December!$O$1:$O$92</v>
      </c>
      <c r="E1479" t="s">
        <v>4</v>
      </c>
      <c r="F1479" t="s">
        <v>131</v>
      </c>
      <c r="G1479" t="s">
        <v>145</v>
      </c>
      <c r="H1479" t="s">
        <v>19</v>
      </c>
      <c r="I1479" t="e">
        <f t="shared" ca="1" si="115"/>
        <v>#REF!</v>
      </c>
      <c r="J1479" t="str">
        <f>VLOOKUP($G1479,DefinitionArrays!$I$6:$J$12,2,FALSE)</f>
        <v>Weekend</v>
      </c>
    </row>
    <row r="1480" spans="1:10">
      <c r="A1480" s="159" t="str">
        <f t="shared" si="116"/>
        <v>$N$1:$N$92</v>
      </c>
      <c r="B1480" s="159" t="str">
        <f t="shared" si="117"/>
        <v>$O$1:$O$92</v>
      </c>
      <c r="C1480" s="159" t="str">
        <f t="shared" si="118"/>
        <v>December!$N$1:$N$92</v>
      </c>
      <c r="D1480" s="159" t="str">
        <f t="shared" si="119"/>
        <v>December!$O$1:$O$92</v>
      </c>
      <c r="E1480" t="s">
        <v>4</v>
      </c>
      <c r="F1480" t="s">
        <v>131</v>
      </c>
      <c r="G1480" t="s">
        <v>145</v>
      </c>
      <c r="H1480" t="s">
        <v>20</v>
      </c>
      <c r="I1480" t="e">
        <f t="shared" ca="1" si="115"/>
        <v>#REF!</v>
      </c>
      <c r="J1480" t="str">
        <f>VLOOKUP($G1480,DefinitionArrays!$I$6:$J$12,2,FALSE)</f>
        <v>Weekend</v>
      </c>
    </row>
    <row r="1481" spans="1:10">
      <c r="A1481" s="159" t="str">
        <f t="shared" si="116"/>
        <v>$N$1:$N$92</v>
      </c>
      <c r="B1481" s="159" t="str">
        <f t="shared" si="117"/>
        <v>$O$1:$O$92</v>
      </c>
      <c r="C1481" s="159" t="str">
        <f t="shared" si="118"/>
        <v>December!$N$1:$N$92</v>
      </c>
      <c r="D1481" s="159" t="str">
        <f t="shared" si="119"/>
        <v>December!$O$1:$O$92</v>
      </c>
      <c r="E1481" t="s">
        <v>4</v>
      </c>
      <c r="F1481" t="s">
        <v>131</v>
      </c>
      <c r="G1481" t="s">
        <v>145</v>
      </c>
      <c r="H1481" t="s">
        <v>21</v>
      </c>
      <c r="I1481" t="e">
        <f t="shared" ca="1" si="115"/>
        <v>#REF!</v>
      </c>
      <c r="J1481" t="str">
        <f>VLOOKUP($G1481,DefinitionArrays!$I$6:$J$12,2,FALSE)</f>
        <v>Weekend</v>
      </c>
    </row>
    <row r="1482" spans="1:10">
      <c r="A1482" s="159" t="str">
        <f t="shared" si="116"/>
        <v>$N$1:$N$92</v>
      </c>
      <c r="B1482" s="159" t="str">
        <f t="shared" si="117"/>
        <v>$O$1:$O$92</v>
      </c>
      <c r="C1482" s="159" t="str">
        <f t="shared" si="118"/>
        <v>December!$N$1:$N$92</v>
      </c>
      <c r="D1482" s="159" t="str">
        <f t="shared" si="119"/>
        <v>December!$O$1:$O$92</v>
      </c>
      <c r="E1482" t="s">
        <v>4</v>
      </c>
      <c r="F1482" t="s">
        <v>131</v>
      </c>
      <c r="G1482" t="s">
        <v>145</v>
      </c>
      <c r="H1482" t="s">
        <v>22</v>
      </c>
      <c r="I1482" t="e">
        <f t="shared" ca="1" si="115"/>
        <v>#REF!</v>
      </c>
      <c r="J1482" t="str">
        <f>VLOOKUP($G1482,DefinitionArrays!$I$6:$J$12,2,FALSE)</f>
        <v>Weekend</v>
      </c>
    </row>
    <row r="1483" spans="1:10">
      <c r="A1483" s="159" t="str">
        <f t="shared" si="116"/>
        <v>$N$1:$N$92</v>
      </c>
      <c r="B1483" s="159" t="str">
        <f t="shared" si="117"/>
        <v>$O$1:$O$92</v>
      </c>
      <c r="C1483" s="159" t="str">
        <f t="shared" si="118"/>
        <v>December!$N$1:$N$92</v>
      </c>
      <c r="D1483" s="159" t="str">
        <f t="shared" si="119"/>
        <v>December!$O$1:$O$92</v>
      </c>
      <c r="E1483" t="s">
        <v>4</v>
      </c>
      <c r="F1483" t="s">
        <v>131</v>
      </c>
      <c r="G1483" t="s">
        <v>145</v>
      </c>
      <c r="H1483" t="s">
        <v>23</v>
      </c>
      <c r="I1483" t="e">
        <f t="shared" ca="1" si="115"/>
        <v>#REF!</v>
      </c>
      <c r="J1483" t="str">
        <f>VLOOKUP($G1483,DefinitionArrays!$I$6:$J$12,2,FALSE)</f>
        <v>Weekend</v>
      </c>
    </row>
    <row r="1484" spans="1:10">
      <c r="A1484" s="159" t="str">
        <f t="shared" si="116"/>
        <v>$N$1:$N$92</v>
      </c>
      <c r="B1484" s="159" t="str">
        <f t="shared" si="117"/>
        <v>$O$1:$O$92</v>
      </c>
      <c r="C1484" s="159" t="str">
        <f t="shared" si="118"/>
        <v>December!$N$1:$N$92</v>
      </c>
      <c r="D1484" s="159" t="str">
        <f t="shared" si="119"/>
        <v>December!$O$1:$O$92</v>
      </c>
      <c r="E1484" t="s">
        <v>4</v>
      </c>
      <c r="F1484" t="s">
        <v>131</v>
      </c>
      <c r="G1484" t="s">
        <v>145</v>
      </c>
      <c r="H1484" t="s">
        <v>24</v>
      </c>
      <c r="I1484" t="e">
        <f t="shared" ca="1" si="115"/>
        <v>#REF!</v>
      </c>
      <c r="J1484" t="str">
        <f>VLOOKUP($G1484,DefinitionArrays!$I$6:$J$12,2,FALSE)</f>
        <v>Weekend</v>
      </c>
    </row>
    <row r="1485" spans="1:10">
      <c r="A1485" s="159" t="str">
        <f t="shared" si="116"/>
        <v>$N$1:$N$92</v>
      </c>
      <c r="B1485" s="159" t="str">
        <f t="shared" si="117"/>
        <v>$O$1:$O$92</v>
      </c>
      <c r="C1485" s="159" t="str">
        <f t="shared" si="118"/>
        <v>December!$N$1:$N$92</v>
      </c>
      <c r="D1485" s="159" t="str">
        <f t="shared" si="119"/>
        <v>December!$O$1:$O$92</v>
      </c>
      <c r="E1485" t="s">
        <v>4</v>
      </c>
      <c r="F1485" t="s">
        <v>131</v>
      </c>
      <c r="G1485" t="s">
        <v>145</v>
      </c>
      <c r="H1485" t="s">
        <v>179</v>
      </c>
      <c r="I1485" t="e">
        <f t="shared" ca="1" si="115"/>
        <v>#REF!</v>
      </c>
      <c r="J1485" t="str">
        <f>VLOOKUP($G1485,DefinitionArrays!$I$6:$J$12,2,FALSE)</f>
        <v>Weekend</v>
      </c>
    </row>
    <row r="1486" spans="1:10">
      <c r="A1486" s="159" t="str">
        <f t="shared" si="116"/>
        <v>$N$1:$N$92</v>
      </c>
      <c r="B1486" s="159" t="str">
        <f t="shared" si="117"/>
        <v>$O$1:$O$92</v>
      </c>
      <c r="C1486" s="159" t="str">
        <f t="shared" si="118"/>
        <v>December!$N$1:$N$92</v>
      </c>
      <c r="D1486" s="159" t="str">
        <f t="shared" si="119"/>
        <v>December!$O$1:$O$92</v>
      </c>
      <c r="E1486" t="s">
        <v>4</v>
      </c>
      <c r="F1486" t="s">
        <v>131</v>
      </c>
      <c r="G1486" t="s">
        <v>145</v>
      </c>
      <c r="H1486" t="s">
        <v>180</v>
      </c>
      <c r="I1486" t="e">
        <f t="shared" ca="1" si="115"/>
        <v>#REF!</v>
      </c>
      <c r="J1486" t="str">
        <f>VLOOKUP($G1486,DefinitionArrays!$I$6:$J$12,2,FALSE)</f>
        <v>Weekend</v>
      </c>
    </row>
    <row r="1487" spans="1:10">
      <c r="A1487" s="159" t="str">
        <f t="shared" si="116"/>
        <v>$N$1:$N$92</v>
      </c>
      <c r="B1487" s="159" t="str">
        <f t="shared" si="117"/>
        <v>$O$1:$O$92</v>
      </c>
      <c r="C1487" s="159" t="str">
        <f t="shared" si="118"/>
        <v>December!$N$1:$N$92</v>
      </c>
      <c r="D1487" s="159" t="str">
        <f t="shared" si="119"/>
        <v>December!$O$1:$O$92</v>
      </c>
      <c r="E1487" t="s">
        <v>4</v>
      </c>
      <c r="F1487" t="s">
        <v>131</v>
      </c>
      <c r="G1487" t="s">
        <v>145</v>
      </c>
      <c r="H1487" t="s">
        <v>44</v>
      </c>
      <c r="I1487" t="e">
        <f t="shared" ca="1" si="115"/>
        <v>#REF!</v>
      </c>
      <c r="J1487" t="str">
        <f>VLOOKUP($G1487,DefinitionArrays!$I$6:$J$12,2,FALSE)</f>
        <v>Weekend</v>
      </c>
    </row>
    <row r="1488" spans="1:10">
      <c r="A1488" s="159" t="str">
        <f t="shared" si="116"/>
        <v>$Q$1:$Q$92</v>
      </c>
      <c r="B1488" s="159" t="str">
        <f t="shared" si="117"/>
        <v>$R$1:$R$92</v>
      </c>
      <c r="C1488" s="159" t="str">
        <f t="shared" si="118"/>
        <v>December!$Q$1:$Q$92</v>
      </c>
      <c r="D1488" s="159" t="str">
        <f t="shared" si="119"/>
        <v>December!$R$1:$R$92</v>
      </c>
      <c r="E1488" t="s">
        <v>4</v>
      </c>
      <c r="F1488" t="s">
        <v>131</v>
      </c>
      <c r="G1488" t="s">
        <v>146</v>
      </c>
      <c r="H1488" t="s">
        <v>159</v>
      </c>
      <c r="I1488" t="e">
        <f t="shared" ca="1" si="115"/>
        <v>#REF!</v>
      </c>
      <c r="J1488" t="str">
        <f>VLOOKUP($G1488,DefinitionArrays!$I$6:$J$12,2,FALSE)</f>
        <v>Weekend</v>
      </c>
    </row>
    <row r="1489" spans="1:10">
      <c r="A1489" s="159" t="str">
        <f t="shared" si="116"/>
        <v>$T$1:$T$92</v>
      </c>
      <c r="B1489" s="159" t="str">
        <f t="shared" si="117"/>
        <v>$U$1:$U$92</v>
      </c>
      <c r="C1489" s="159" t="str">
        <f t="shared" si="118"/>
        <v>December!$T$1:$T$92</v>
      </c>
      <c r="D1489" s="159" t="str">
        <f t="shared" si="119"/>
        <v>December!$U$1:$U$92</v>
      </c>
      <c r="E1489" t="s">
        <v>4</v>
      </c>
      <c r="F1489" t="s">
        <v>131</v>
      </c>
      <c r="G1489" t="s">
        <v>141</v>
      </c>
      <c r="H1489" t="s">
        <v>159</v>
      </c>
      <c r="I1489" t="e">
        <f t="shared" ca="1" si="115"/>
        <v>#REF!</v>
      </c>
      <c r="J1489" t="str">
        <f>VLOOKUP($G1489,DefinitionArrays!$I$6:$J$12,2,FALSE)</f>
        <v>Weekend</v>
      </c>
    </row>
    <row r="1490" spans="1:10">
      <c r="A1490" s="159" t="str">
        <f t="shared" si="116"/>
        <v>$B$1:$B$92</v>
      </c>
      <c r="B1490" s="159" t="str">
        <f t="shared" si="117"/>
        <v>$C$1:$C$92</v>
      </c>
      <c r="C1490" s="159" t="str">
        <f t="shared" si="118"/>
        <v>January!$B$1:$B$92</v>
      </c>
      <c r="D1490" s="159" t="str">
        <f t="shared" si="119"/>
        <v>January!$C$1:$C$92</v>
      </c>
      <c r="E1490" t="s">
        <v>5</v>
      </c>
      <c r="F1490" t="s">
        <v>48</v>
      </c>
      <c r="G1490" t="s">
        <v>13</v>
      </c>
      <c r="H1490" t="s">
        <v>159</v>
      </c>
      <c r="I1490" t="e">
        <f ca="1">COUNTIFS(INDIRECT($C1490),$E1490,INDIRECT($D1490),$H1490)</f>
        <v>#REF!</v>
      </c>
      <c r="J1490" t="str">
        <f>VLOOKUP($G1490,DefinitionArrays!$I$6:$J$12,2,FALSE)</f>
        <v>Workweek</v>
      </c>
    </row>
    <row r="1491" spans="1:10">
      <c r="A1491" s="159" t="str">
        <f t="shared" si="116"/>
        <v>$B$1:$B$92</v>
      </c>
      <c r="B1491" s="159" t="str">
        <f t="shared" si="117"/>
        <v>$C$1:$C$92</v>
      </c>
      <c r="C1491" s="159" t="str">
        <f t="shared" si="118"/>
        <v>January!$B$1:$B$92</v>
      </c>
      <c r="D1491" s="159" t="str">
        <f t="shared" si="119"/>
        <v>January!$C$1:$C$92</v>
      </c>
      <c r="E1491" t="s">
        <v>5</v>
      </c>
      <c r="F1491" t="s">
        <v>48</v>
      </c>
      <c r="G1491" t="s">
        <v>13</v>
      </c>
      <c r="H1491" t="s">
        <v>18</v>
      </c>
      <c r="I1491" t="e">
        <f t="shared" ref="I1491:I1551" ca="1" si="120">COUNTIFS(INDIRECT($C1491),$E1491,INDIRECT($D1491),$H1491)</f>
        <v>#REF!</v>
      </c>
      <c r="J1491" t="str">
        <f>VLOOKUP($G1491,DefinitionArrays!$I$6:$J$12,2,FALSE)</f>
        <v>Workweek</v>
      </c>
    </row>
    <row r="1492" spans="1:10">
      <c r="A1492" s="159" t="str">
        <f t="shared" si="116"/>
        <v>$B$1:$B$92</v>
      </c>
      <c r="B1492" s="159" t="str">
        <f t="shared" si="117"/>
        <v>$C$1:$C$92</v>
      </c>
      <c r="C1492" s="159" t="str">
        <f t="shared" si="118"/>
        <v>January!$B$1:$B$92</v>
      </c>
      <c r="D1492" s="159" t="str">
        <f t="shared" si="119"/>
        <v>January!$C$1:$C$92</v>
      </c>
      <c r="E1492" t="s">
        <v>5</v>
      </c>
      <c r="F1492" t="s">
        <v>48</v>
      </c>
      <c r="G1492" t="s">
        <v>13</v>
      </c>
      <c r="H1492" t="s">
        <v>153</v>
      </c>
      <c r="I1492" t="e">
        <f t="shared" ca="1" si="120"/>
        <v>#REF!</v>
      </c>
      <c r="J1492" t="str">
        <f>VLOOKUP($G1492,DefinitionArrays!$I$6:$J$12,2,FALSE)</f>
        <v>Workweek</v>
      </c>
    </row>
    <row r="1493" spans="1:10">
      <c r="A1493" s="159" t="str">
        <f t="shared" si="116"/>
        <v>$B$1:$B$92</v>
      </c>
      <c r="B1493" s="159" t="str">
        <f t="shared" si="117"/>
        <v>$C$1:$C$92</v>
      </c>
      <c r="C1493" s="159" t="str">
        <f t="shared" si="118"/>
        <v>January!$B$1:$B$92</v>
      </c>
      <c r="D1493" s="159" t="str">
        <f t="shared" si="119"/>
        <v>January!$C$1:$C$92</v>
      </c>
      <c r="E1493" t="s">
        <v>5</v>
      </c>
      <c r="F1493" t="s">
        <v>48</v>
      </c>
      <c r="G1493" t="s">
        <v>13</v>
      </c>
      <c r="H1493" t="s">
        <v>19</v>
      </c>
      <c r="I1493" t="e">
        <f t="shared" ca="1" si="120"/>
        <v>#REF!</v>
      </c>
      <c r="J1493" t="str">
        <f>VLOOKUP($G1493,DefinitionArrays!$I$6:$J$12,2,FALSE)</f>
        <v>Workweek</v>
      </c>
    </row>
    <row r="1494" spans="1:10">
      <c r="A1494" s="159" t="str">
        <f t="shared" si="116"/>
        <v>$B$1:$B$92</v>
      </c>
      <c r="B1494" s="159" t="str">
        <f t="shared" si="117"/>
        <v>$C$1:$C$92</v>
      </c>
      <c r="C1494" s="159" t="str">
        <f t="shared" si="118"/>
        <v>January!$B$1:$B$92</v>
      </c>
      <c r="D1494" s="159" t="str">
        <f t="shared" si="119"/>
        <v>January!$C$1:$C$92</v>
      </c>
      <c r="E1494" t="s">
        <v>5</v>
      </c>
      <c r="F1494" t="s">
        <v>48</v>
      </c>
      <c r="G1494" t="s">
        <v>13</v>
      </c>
      <c r="H1494" t="s">
        <v>20</v>
      </c>
      <c r="I1494" t="e">
        <f t="shared" ca="1" si="120"/>
        <v>#REF!</v>
      </c>
      <c r="J1494" t="str">
        <f>VLOOKUP($G1494,DefinitionArrays!$I$6:$J$12,2,FALSE)</f>
        <v>Workweek</v>
      </c>
    </row>
    <row r="1495" spans="1:10">
      <c r="A1495" s="159" t="str">
        <f t="shared" si="116"/>
        <v>$B$1:$B$92</v>
      </c>
      <c r="B1495" s="159" t="str">
        <f t="shared" si="117"/>
        <v>$C$1:$C$92</v>
      </c>
      <c r="C1495" s="159" t="str">
        <f t="shared" si="118"/>
        <v>January!$B$1:$B$92</v>
      </c>
      <c r="D1495" s="159" t="str">
        <f t="shared" si="119"/>
        <v>January!$C$1:$C$92</v>
      </c>
      <c r="E1495" t="s">
        <v>5</v>
      </c>
      <c r="F1495" t="s">
        <v>48</v>
      </c>
      <c r="G1495" t="s">
        <v>13</v>
      </c>
      <c r="H1495" t="s">
        <v>21</v>
      </c>
      <c r="I1495" t="e">
        <f t="shared" ca="1" si="120"/>
        <v>#REF!</v>
      </c>
      <c r="J1495" t="str">
        <f>VLOOKUP($G1495,DefinitionArrays!$I$6:$J$12,2,FALSE)</f>
        <v>Workweek</v>
      </c>
    </row>
    <row r="1496" spans="1:10">
      <c r="A1496" s="159" t="str">
        <f t="shared" si="116"/>
        <v>$B$1:$B$92</v>
      </c>
      <c r="B1496" s="159" t="str">
        <f t="shared" si="117"/>
        <v>$C$1:$C$92</v>
      </c>
      <c r="C1496" s="159" t="str">
        <f t="shared" si="118"/>
        <v>January!$B$1:$B$92</v>
      </c>
      <c r="D1496" s="159" t="str">
        <f t="shared" si="119"/>
        <v>January!$C$1:$C$92</v>
      </c>
      <c r="E1496" t="s">
        <v>5</v>
      </c>
      <c r="F1496" t="s">
        <v>48</v>
      </c>
      <c r="G1496" t="s">
        <v>13</v>
      </c>
      <c r="H1496" t="s">
        <v>22</v>
      </c>
      <c r="I1496" t="e">
        <f t="shared" ca="1" si="120"/>
        <v>#REF!</v>
      </c>
      <c r="J1496" t="str">
        <f>VLOOKUP($G1496,DefinitionArrays!$I$6:$J$12,2,FALSE)</f>
        <v>Workweek</v>
      </c>
    </row>
    <row r="1497" spans="1:10">
      <c r="A1497" s="159" t="str">
        <f t="shared" si="116"/>
        <v>$B$1:$B$92</v>
      </c>
      <c r="B1497" s="159" t="str">
        <f t="shared" si="117"/>
        <v>$C$1:$C$92</v>
      </c>
      <c r="C1497" s="159" t="str">
        <f t="shared" si="118"/>
        <v>January!$B$1:$B$92</v>
      </c>
      <c r="D1497" s="159" t="str">
        <f t="shared" si="119"/>
        <v>January!$C$1:$C$92</v>
      </c>
      <c r="E1497" t="s">
        <v>5</v>
      </c>
      <c r="F1497" t="s">
        <v>48</v>
      </c>
      <c r="G1497" t="s">
        <v>13</v>
      </c>
      <c r="H1497" t="s">
        <v>23</v>
      </c>
      <c r="I1497" t="e">
        <f t="shared" ca="1" si="120"/>
        <v>#REF!</v>
      </c>
      <c r="J1497" t="str">
        <f>VLOOKUP($G1497,DefinitionArrays!$I$6:$J$12,2,FALSE)</f>
        <v>Workweek</v>
      </c>
    </row>
    <row r="1498" spans="1:10">
      <c r="A1498" s="159" t="str">
        <f t="shared" si="116"/>
        <v>$B$1:$B$92</v>
      </c>
      <c r="B1498" s="159" t="str">
        <f t="shared" si="117"/>
        <v>$C$1:$C$92</v>
      </c>
      <c r="C1498" s="159" t="str">
        <f t="shared" si="118"/>
        <v>January!$B$1:$B$92</v>
      </c>
      <c r="D1498" s="159" t="str">
        <f t="shared" si="119"/>
        <v>January!$C$1:$C$92</v>
      </c>
      <c r="E1498" t="s">
        <v>5</v>
      </c>
      <c r="F1498" t="s">
        <v>48</v>
      </c>
      <c r="G1498" t="s">
        <v>13</v>
      </c>
      <c r="H1498" t="s">
        <v>24</v>
      </c>
      <c r="I1498" t="e">
        <f t="shared" ca="1" si="120"/>
        <v>#REF!</v>
      </c>
      <c r="J1498" t="str">
        <f>VLOOKUP($G1498,DefinitionArrays!$I$6:$J$12,2,FALSE)</f>
        <v>Workweek</v>
      </c>
    </row>
    <row r="1499" spans="1:10">
      <c r="A1499" s="159" t="str">
        <f t="shared" si="116"/>
        <v>$B$1:$B$92</v>
      </c>
      <c r="B1499" s="159" t="str">
        <f t="shared" si="117"/>
        <v>$C$1:$C$92</v>
      </c>
      <c r="C1499" s="159" t="str">
        <f t="shared" si="118"/>
        <v>January!$B$1:$B$92</v>
      </c>
      <c r="D1499" s="159" t="str">
        <f t="shared" si="119"/>
        <v>January!$C$1:$C$92</v>
      </c>
      <c r="E1499" t="s">
        <v>5</v>
      </c>
      <c r="F1499" t="s">
        <v>48</v>
      </c>
      <c r="G1499" t="s">
        <v>13</v>
      </c>
      <c r="H1499" t="s">
        <v>179</v>
      </c>
      <c r="I1499" t="e">
        <f t="shared" ca="1" si="120"/>
        <v>#REF!</v>
      </c>
      <c r="J1499" t="str">
        <f>VLOOKUP($G1499,DefinitionArrays!$I$6:$J$12,2,FALSE)</f>
        <v>Workweek</v>
      </c>
    </row>
    <row r="1500" spans="1:10">
      <c r="A1500" s="159" t="str">
        <f t="shared" si="116"/>
        <v>$B$1:$B$92</v>
      </c>
      <c r="B1500" s="159" t="str">
        <f t="shared" si="117"/>
        <v>$C$1:$C$92</v>
      </c>
      <c r="C1500" s="159" t="str">
        <f t="shared" si="118"/>
        <v>January!$B$1:$B$92</v>
      </c>
      <c r="D1500" s="159" t="str">
        <f t="shared" si="119"/>
        <v>January!$C$1:$C$92</v>
      </c>
      <c r="E1500" t="s">
        <v>5</v>
      </c>
      <c r="F1500" t="s">
        <v>48</v>
      </c>
      <c r="G1500" t="s">
        <v>13</v>
      </c>
      <c r="H1500" t="s">
        <v>180</v>
      </c>
      <c r="I1500" t="e">
        <f t="shared" ca="1" si="120"/>
        <v>#REF!</v>
      </c>
      <c r="J1500" t="str">
        <f>VLOOKUP($G1500,DefinitionArrays!$I$6:$J$12,2,FALSE)</f>
        <v>Workweek</v>
      </c>
    </row>
    <row r="1501" spans="1:10">
      <c r="A1501" s="159" t="str">
        <f t="shared" si="116"/>
        <v>$B$1:$B$92</v>
      </c>
      <c r="B1501" s="159" t="str">
        <f t="shared" si="117"/>
        <v>$C$1:$C$92</v>
      </c>
      <c r="C1501" s="159" t="str">
        <f t="shared" si="118"/>
        <v>January!$B$1:$B$92</v>
      </c>
      <c r="D1501" s="159" t="str">
        <f t="shared" si="119"/>
        <v>January!$C$1:$C$92</v>
      </c>
      <c r="E1501" t="s">
        <v>5</v>
      </c>
      <c r="F1501" t="s">
        <v>48</v>
      </c>
      <c r="G1501" t="s">
        <v>13</v>
      </c>
      <c r="H1501" t="s">
        <v>44</v>
      </c>
      <c r="I1501" t="e">
        <f t="shared" ca="1" si="120"/>
        <v>#REF!</v>
      </c>
      <c r="J1501" t="str">
        <f>VLOOKUP($G1501,DefinitionArrays!$I$6:$J$12,2,FALSE)</f>
        <v>Workweek</v>
      </c>
    </row>
    <row r="1502" spans="1:10">
      <c r="A1502" s="159" t="str">
        <f t="shared" si="116"/>
        <v>$E$1:$E$92</v>
      </c>
      <c r="B1502" s="159" t="str">
        <f t="shared" si="117"/>
        <v>$F$1:$F$92</v>
      </c>
      <c r="C1502" s="159" t="str">
        <f t="shared" si="118"/>
        <v>January!$E$1:$E$92</v>
      </c>
      <c r="D1502" s="159" t="str">
        <f t="shared" si="119"/>
        <v>January!$F$1:$F$92</v>
      </c>
      <c r="E1502" t="s">
        <v>5</v>
      </c>
      <c r="F1502" t="s">
        <v>48</v>
      </c>
      <c r="G1502" t="s">
        <v>142</v>
      </c>
      <c r="H1502" t="s">
        <v>159</v>
      </c>
      <c r="I1502" t="e">
        <f t="shared" ca="1" si="120"/>
        <v>#REF!</v>
      </c>
      <c r="J1502" t="str">
        <f>VLOOKUP($G1502,DefinitionArrays!$I$6:$J$12,2,FALSE)</f>
        <v>Workweek</v>
      </c>
    </row>
    <row r="1503" spans="1:10">
      <c r="A1503" s="159" t="str">
        <f t="shared" si="116"/>
        <v>$E$1:$E$92</v>
      </c>
      <c r="B1503" s="159" t="str">
        <f t="shared" si="117"/>
        <v>$F$1:$F$92</v>
      </c>
      <c r="C1503" s="159" t="str">
        <f t="shared" si="118"/>
        <v>January!$E$1:$E$92</v>
      </c>
      <c r="D1503" s="159" t="str">
        <f t="shared" si="119"/>
        <v>January!$F$1:$F$92</v>
      </c>
      <c r="E1503" t="s">
        <v>5</v>
      </c>
      <c r="F1503" t="s">
        <v>48</v>
      </c>
      <c r="G1503" t="s">
        <v>142</v>
      </c>
      <c r="H1503" t="s">
        <v>18</v>
      </c>
      <c r="I1503" t="e">
        <f t="shared" ca="1" si="120"/>
        <v>#REF!</v>
      </c>
      <c r="J1503" t="str">
        <f>VLOOKUP($G1503,DefinitionArrays!$I$6:$J$12,2,FALSE)</f>
        <v>Workweek</v>
      </c>
    </row>
    <row r="1504" spans="1:10">
      <c r="A1504" s="159" t="str">
        <f t="shared" si="116"/>
        <v>$E$1:$E$92</v>
      </c>
      <c r="B1504" s="159" t="str">
        <f t="shared" si="117"/>
        <v>$F$1:$F$92</v>
      </c>
      <c r="C1504" s="159" t="str">
        <f t="shared" si="118"/>
        <v>January!$E$1:$E$92</v>
      </c>
      <c r="D1504" s="159" t="str">
        <f t="shared" si="119"/>
        <v>January!$F$1:$F$92</v>
      </c>
      <c r="E1504" t="s">
        <v>5</v>
      </c>
      <c r="F1504" t="s">
        <v>48</v>
      </c>
      <c r="G1504" t="s">
        <v>142</v>
      </c>
      <c r="H1504" t="s">
        <v>153</v>
      </c>
      <c r="I1504" t="e">
        <f t="shared" ca="1" si="120"/>
        <v>#REF!</v>
      </c>
      <c r="J1504" t="str">
        <f>VLOOKUP($G1504,DefinitionArrays!$I$6:$J$12,2,FALSE)</f>
        <v>Workweek</v>
      </c>
    </row>
    <row r="1505" spans="1:10">
      <c r="A1505" s="159" t="str">
        <f t="shared" si="116"/>
        <v>$E$1:$E$92</v>
      </c>
      <c r="B1505" s="159" t="str">
        <f t="shared" si="117"/>
        <v>$F$1:$F$92</v>
      </c>
      <c r="C1505" s="159" t="str">
        <f t="shared" si="118"/>
        <v>January!$E$1:$E$92</v>
      </c>
      <c r="D1505" s="159" t="str">
        <f t="shared" si="119"/>
        <v>January!$F$1:$F$92</v>
      </c>
      <c r="E1505" t="s">
        <v>5</v>
      </c>
      <c r="F1505" t="s">
        <v>48</v>
      </c>
      <c r="G1505" t="s">
        <v>142</v>
      </c>
      <c r="H1505" t="s">
        <v>19</v>
      </c>
      <c r="I1505" t="e">
        <f t="shared" ca="1" si="120"/>
        <v>#REF!</v>
      </c>
      <c r="J1505" t="str">
        <f>VLOOKUP($G1505,DefinitionArrays!$I$6:$J$12,2,FALSE)</f>
        <v>Workweek</v>
      </c>
    </row>
    <row r="1506" spans="1:10">
      <c r="A1506" s="159" t="str">
        <f t="shared" si="116"/>
        <v>$E$1:$E$92</v>
      </c>
      <c r="B1506" s="159" t="str">
        <f t="shared" si="117"/>
        <v>$F$1:$F$92</v>
      </c>
      <c r="C1506" s="159" t="str">
        <f t="shared" si="118"/>
        <v>January!$E$1:$E$92</v>
      </c>
      <c r="D1506" s="159" t="str">
        <f t="shared" si="119"/>
        <v>January!$F$1:$F$92</v>
      </c>
      <c r="E1506" t="s">
        <v>5</v>
      </c>
      <c r="F1506" t="s">
        <v>48</v>
      </c>
      <c r="G1506" t="s">
        <v>142</v>
      </c>
      <c r="H1506" t="s">
        <v>20</v>
      </c>
      <c r="I1506" t="e">
        <f t="shared" ca="1" si="120"/>
        <v>#REF!</v>
      </c>
      <c r="J1506" t="str">
        <f>VLOOKUP($G1506,DefinitionArrays!$I$6:$J$12,2,FALSE)</f>
        <v>Workweek</v>
      </c>
    </row>
    <row r="1507" spans="1:10">
      <c r="A1507" s="159" t="str">
        <f t="shared" si="116"/>
        <v>$E$1:$E$92</v>
      </c>
      <c r="B1507" s="159" t="str">
        <f t="shared" si="117"/>
        <v>$F$1:$F$92</v>
      </c>
      <c r="C1507" s="159" t="str">
        <f t="shared" si="118"/>
        <v>January!$E$1:$E$92</v>
      </c>
      <c r="D1507" s="159" t="str">
        <f t="shared" si="119"/>
        <v>January!$F$1:$F$92</v>
      </c>
      <c r="E1507" t="s">
        <v>5</v>
      </c>
      <c r="F1507" t="s">
        <v>48</v>
      </c>
      <c r="G1507" t="s">
        <v>142</v>
      </c>
      <c r="H1507" t="s">
        <v>21</v>
      </c>
      <c r="I1507" t="e">
        <f t="shared" ca="1" si="120"/>
        <v>#REF!</v>
      </c>
      <c r="J1507" t="str">
        <f>VLOOKUP($G1507,DefinitionArrays!$I$6:$J$12,2,FALSE)</f>
        <v>Workweek</v>
      </c>
    </row>
    <row r="1508" spans="1:10">
      <c r="A1508" s="159" t="str">
        <f t="shared" si="116"/>
        <v>$E$1:$E$92</v>
      </c>
      <c r="B1508" s="159" t="str">
        <f t="shared" si="117"/>
        <v>$F$1:$F$92</v>
      </c>
      <c r="C1508" s="159" t="str">
        <f t="shared" si="118"/>
        <v>January!$E$1:$E$92</v>
      </c>
      <c r="D1508" s="159" t="str">
        <f t="shared" si="119"/>
        <v>January!$F$1:$F$92</v>
      </c>
      <c r="E1508" t="s">
        <v>5</v>
      </c>
      <c r="F1508" t="s">
        <v>48</v>
      </c>
      <c r="G1508" t="s">
        <v>142</v>
      </c>
      <c r="H1508" t="s">
        <v>22</v>
      </c>
      <c r="I1508" t="e">
        <f t="shared" ca="1" si="120"/>
        <v>#REF!</v>
      </c>
      <c r="J1508" t="str">
        <f>VLOOKUP($G1508,DefinitionArrays!$I$6:$J$12,2,FALSE)</f>
        <v>Workweek</v>
      </c>
    </row>
    <row r="1509" spans="1:10">
      <c r="A1509" s="159" t="str">
        <f t="shared" si="116"/>
        <v>$E$1:$E$92</v>
      </c>
      <c r="B1509" s="159" t="str">
        <f t="shared" si="117"/>
        <v>$F$1:$F$92</v>
      </c>
      <c r="C1509" s="159" t="str">
        <f t="shared" si="118"/>
        <v>January!$E$1:$E$92</v>
      </c>
      <c r="D1509" s="159" t="str">
        <f t="shared" si="119"/>
        <v>January!$F$1:$F$92</v>
      </c>
      <c r="E1509" t="s">
        <v>5</v>
      </c>
      <c r="F1509" t="s">
        <v>48</v>
      </c>
      <c r="G1509" t="s">
        <v>142</v>
      </c>
      <c r="H1509" t="s">
        <v>23</v>
      </c>
      <c r="I1509" t="e">
        <f t="shared" ca="1" si="120"/>
        <v>#REF!</v>
      </c>
      <c r="J1509" t="str">
        <f>VLOOKUP($G1509,DefinitionArrays!$I$6:$J$12,2,FALSE)</f>
        <v>Workweek</v>
      </c>
    </row>
    <row r="1510" spans="1:10">
      <c r="A1510" s="159" t="str">
        <f t="shared" si="116"/>
        <v>$E$1:$E$92</v>
      </c>
      <c r="B1510" s="159" t="str">
        <f t="shared" si="117"/>
        <v>$F$1:$F$92</v>
      </c>
      <c r="C1510" s="159" t="str">
        <f t="shared" si="118"/>
        <v>January!$E$1:$E$92</v>
      </c>
      <c r="D1510" s="159" t="str">
        <f t="shared" si="119"/>
        <v>January!$F$1:$F$92</v>
      </c>
      <c r="E1510" t="s">
        <v>5</v>
      </c>
      <c r="F1510" t="s">
        <v>48</v>
      </c>
      <c r="G1510" t="s">
        <v>142</v>
      </c>
      <c r="H1510" t="s">
        <v>24</v>
      </c>
      <c r="I1510" t="e">
        <f t="shared" ca="1" si="120"/>
        <v>#REF!</v>
      </c>
      <c r="J1510" t="str">
        <f>VLOOKUP($G1510,DefinitionArrays!$I$6:$J$12,2,FALSE)</f>
        <v>Workweek</v>
      </c>
    </row>
    <row r="1511" spans="1:10">
      <c r="A1511" s="159" t="str">
        <f t="shared" si="116"/>
        <v>$E$1:$E$92</v>
      </c>
      <c r="B1511" s="159" t="str">
        <f t="shared" si="117"/>
        <v>$F$1:$F$92</v>
      </c>
      <c r="C1511" s="159" t="str">
        <f t="shared" si="118"/>
        <v>January!$E$1:$E$92</v>
      </c>
      <c r="D1511" s="159" t="str">
        <f t="shared" si="119"/>
        <v>January!$F$1:$F$92</v>
      </c>
      <c r="E1511" t="s">
        <v>5</v>
      </c>
      <c r="F1511" t="s">
        <v>48</v>
      </c>
      <c r="G1511" t="s">
        <v>142</v>
      </c>
      <c r="H1511" t="s">
        <v>179</v>
      </c>
      <c r="I1511" t="e">
        <f t="shared" ca="1" si="120"/>
        <v>#REF!</v>
      </c>
      <c r="J1511" t="str">
        <f>VLOOKUP($G1511,DefinitionArrays!$I$6:$J$12,2,FALSE)</f>
        <v>Workweek</v>
      </c>
    </row>
    <row r="1512" spans="1:10">
      <c r="A1512" s="159" t="str">
        <f t="shared" si="116"/>
        <v>$E$1:$E$92</v>
      </c>
      <c r="B1512" s="159" t="str">
        <f t="shared" si="117"/>
        <v>$F$1:$F$92</v>
      </c>
      <c r="C1512" s="159" t="str">
        <f t="shared" si="118"/>
        <v>January!$E$1:$E$92</v>
      </c>
      <c r="D1512" s="159" t="str">
        <f t="shared" si="119"/>
        <v>January!$F$1:$F$92</v>
      </c>
      <c r="E1512" t="s">
        <v>5</v>
      </c>
      <c r="F1512" t="s">
        <v>48</v>
      </c>
      <c r="G1512" t="s">
        <v>142</v>
      </c>
      <c r="H1512" t="s">
        <v>180</v>
      </c>
      <c r="I1512" t="e">
        <f t="shared" ca="1" si="120"/>
        <v>#REF!</v>
      </c>
      <c r="J1512" t="str">
        <f>VLOOKUP($G1512,DefinitionArrays!$I$6:$J$12,2,FALSE)</f>
        <v>Workweek</v>
      </c>
    </row>
    <row r="1513" spans="1:10">
      <c r="A1513" s="159" t="str">
        <f t="shared" si="116"/>
        <v>$E$1:$E$92</v>
      </c>
      <c r="B1513" s="159" t="str">
        <f t="shared" si="117"/>
        <v>$F$1:$F$92</v>
      </c>
      <c r="C1513" s="159" t="str">
        <f t="shared" si="118"/>
        <v>January!$E$1:$E$92</v>
      </c>
      <c r="D1513" s="159" t="str">
        <f t="shared" si="119"/>
        <v>January!$F$1:$F$92</v>
      </c>
      <c r="E1513" t="s">
        <v>5</v>
      </c>
      <c r="F1513" t="s">
        <v>48</v>
      </c>
      <c r="G1513" t="s">
        <v>142</v>
      </c>
      <c r="H1513" t="s">
        <v>44</v>
      </c>
      <c r="I1513" t="e">
        <f t="shared" ca="1" si="120"/>
        <v>#REF!</v>
      </c>
      <c r="J1513" t="str">
        <f>VLOOKUP($G1513,DefinitionArrays!$I$6:$J$12,2,FALSE)</f>
        <v>Workweek</v>
      </c>
    </row>
    <row r="1514" spans="1:10">
      <c r="A1514" s="159" t="str">
        <f t="shared" si="116"/>
        <v>$H$1:$H$92</v>
      </c>
      <c r="B1514" s="159" t="str">
        <f t="shared" si="117"/>
        <v>$I$1:$I$92</v>
      </c>
      <c r="C1514" s="159" t="str">
        <f t="shared" si="118"/>
        <v>January!$H$1:$H$92</v>
      </c>
      <c r="D1514" s="159" t="str">
        <f t="shared" si="119"/>
        <v>January!$I$1:$I$92</v>
      </c>
      <c r="E1514" t="s">
        <v>5</v>
      </c>
      <c r="F1514" t="s">
        <v>48</v>
      </c>
      <c r="G1514" t="s">
        <v>143</v>
      </c>
      <c r="H1514" t="s">
        <v>159</v>
      </c>
      <c r="I1514" t="e">
        <f t="shared" ca="1" si="120"/>
        <v>#REF!</v>
      </c>
      <c r="J1514" t="str">
        <f>VLOOKUP($G1514,DefinitionArrays!$I$6:$J$12,2,FALSE)</f>
        <v>Workweek</v>
      </c>
    </row>
    <row r="1515" spans="1:10">
      <c r="A1515" s="159" t="str">
        <f t="shared" si="116"/>
        <v>$H$1:$H$92</v>
      </c>
      <c r="B1515" s="159" t="str">
        <f t="shared" si="117"/>
        <v>$I$1:$I$92</v>
      </c>
      <c r="C1515" s="159" t="str">
        <f t="shared" si="118"/>
        <v>January!$H$1:$H$92</v>
      </c>
      <c r="D1515" s="159" t="str">
        <f t="shared" si="119"/>
        <v>January!$I$1:$I$92</v>
      </c>
      <c r="E1515" t="s">
        <v>5</v>
      </c>
      <c r="F1515" t="s">
        <v>48</v>
      </c>
      <c r="G1515" t="s">
        <v>143</v>
      </c>
      <c r="H1515" t="s">
        <v>18</v>
      </c>
      <c r="I1515" t="e">
        <f t="shared" ca="1" si="120"/>
        <v>#REF!</v>
      </c>
      <c r="J1515" t="str">
        <f>VLOOKUP($G1515,DefinitionArrays!$I$6:$J$12,2,FALSE)</f>
        <v>Workweek</v>
      </c>
    </row>
    <row r="1516" spans="1:10">
      <c r="A1516" s="159" t="str">
        <f t="shared" si="116"/>
        <v>$H$1:$H$92</v>
      </c>
      <c r="B1516" s="159" t="str">
        <f t="shared" si="117"/>
        <v>$I$1:$I$92</v>
      </c>
      <c r="C1516" s="159" t="str">
        <f t="shared" si="118"/>
        <v>January!$H$1:$H$92</v>
      </c>
      <c r="D1516" s="159" t="str">
        <f t="shared" si="119"/>
        <v>January!$I$1:$I$92</v>
      </c>
      <c r="E1516" t="s">
        <v>5</v>
      </c>
      <c r="F1516" t="s">
        <v>48</v>
      </c>
      <c r="G1516" t="s">
        <v>143</v>
      </c>
      <c r="H1516" t="s">
        <v>153</v>
      </c>
      <c r="I1516" t="e">
        <f t="shared" ca="1" si="120"/>
        <v>#REF!</v>
      </c>
      <c r="J1516" t="str">
        <f>VLOOKUP($G1516,DefinitionArrays!$I$6:$J$12,2,FALSE)</f>
        <v>Workweek</v>
      </c>
    </row>
    <row r="1517" spans="1:10">
      <c r="A1517" s="159" t="str">
        <f t="shared" si="116"/>
        <v>$H$1:$H$92</v>
      </c>
      <c r="B1517" s="159" t="str">
        <f t="shared" si="117"/>
        <v>$I$1:$I$92</v>
      </c>
      <c r="C1517" s="159" t="str">
        <f t="shared" si="118"/>
        <v>January!$H$1:$H$92</v>
      </c>
      <c r="D1517" s="159" t="str">
        <f t="shared" si="119"/>
        <v>January!$I$1:$I$92</v>
      </c>
      <c r="E1517" t="s">
        <v>5</v>
      </c>
      <c r="F1517" t="s">
        <v>48</v>
      </c>
      <c r="G1517" t="s">
        <v>143</v>
      </c>
      <c r="H1517" t="s">
        <v>19</v>
      </c>
      <c r="I1517" t="e">
        <f t="shared" ca="1" si="120"/>
        <v>#REF!</v>
      </c>
      <c r="J1517" t="str">
        <f>VLOOKUP($G1517,DefinitionArrays!$I$6:$J$12,2,FALSE)</f>
        <v>Workweek</v>
      </c>
    </row>
    <row r="1518" spans="1:10">
      <c r="A1518" s="159" t="str">
        <f t="shared" si="116"/>
        <v>$H$1:$H$92</v>
      </c>
      <c r="B1518" s="159" t="str">
        <f t="shared" si="117"/>
        <v>$I$1:$I$92</v>
      </c>
      <c r="C1518" s="159" t="str">
        <f t="shared" si="118"/>
        <v>January!$H$1:$H$92</v>
      </c>
      <c r="D1518" s="159" t="str">
        <f t="shared" si="119"/>
        <v>January!$I$1:$I$92</v>
      </c>
      <c r="E1518" t="s">
        <v>5</v>
      </c>
      <c r="F1518" t="s">
        <v>48</v>
      </c>
      <c r="G1518" t="s">
        <v>143</v>
      </c>
      <c r="H1518" t="s">
        <v>20</v>
      </c>
      <c r="I1518" t="e">
        <f t="shared" ca="1" si="120"/>
        <v>#REF!</v>
      </c>
      <c r="J1518" t="str">
        <f>VLOOKUP($G1518,DefinitionArrays!$I$6:$J$12,2,FALSE)</f>
        <v>Workweek</v>
      </c>
    </row>
    <row r="1519" spans="1:10">
      <c r="A1519" s="159" t="str">
        <f t="shared" si="116"/>
        <v>$H$1:$H$92</v>
      </c>
      <c r="B1519" s="159" t="str">
        <f t="shared" si="117"/>
        <v>$I$1:$I$92</v>
      </c>
      <c r="C1519" s="159" t="str">
        <f t="shared" si="118"/>
        <v>January!$H$1:$H$92</v>
      </c>
      <c r="D1519" s="159" t="str">
        <f t="shared" si="119"/>
        <v>January!$I$1:$I$92</v>
      </c>
      <c r="E1519" t="s">
        <v>5</v>
      </c>
      <c r="F1519" t="s">
        <v>48</v>
      </c>
      <c r="G1519" t="s">
        <v>143</v>
      </c>
      <c r="H1519" t="s">
        <v>21</v>
      </c>
      <c r="I1519" t="e">
        <f t="shared" ca="1" si="120"/>
        <v>#REF!</v>
      </c>
      <c r="J1519" t="str">
        <f>VLOOKUP($G1519,DefinitionArrays!$I$6:$J$12,2,FALSE)</f>
        <v>Workweek</v>
      </c>
    </row>
    <row r="1520" spans="1:10">
      <c r="A1520" s="159" t="str">
        <f t="shared" si="116"/>
        <v>$H$1:$H$92</v>
      </c>
      <c r="B1520" s="159" t="str">
        <f t="shared" si="117"/>
        <v>$I$1:$I$92</v>
      </c>
      <c r="C1520" s="159" t="str">
        <f t="shared" si="118"/>
        <v>January!$H$1:$H$92</v>
      </c>
      <c r="D1520" s="159" t="str">
        <f t="shared" si="119"/>
        <v>January!$I$1:$I$92</v>
      </c>
      <c r="E1520" t="s">
        <v>5</v>
      </c>
      <c r="F1520" t="s">
        <v>48</v>
      </c>
      <c r="G1520" t="s">
        <v>143</v>
      </c>
      <c r="H1520" t="s">
        <v>22</v>
      </c>
      <c r="I1520" t="e">
        <f t="shared" ca="1" si="120"/>
        <v>#REF!</v>
      </c>
      <c r="J1520" t="str">
        <f>VLOOKUP($G1520,DefinitionArrays!$I$6:$J$12,2,FALSE)</f>
        <v>Workweek</v>
      </c>
    </row>
    <row r="1521" spans="1:10">
      <c r="A1521" s="159" t="str">
        <f t="shared" si="116"/>
        <v>$H$1:$H$92</v>
      </c>
      <c r="B1521" s="159" t="str">
        <f t="shared" si="117"/>
        <v>$I$1:$I$92</v>
      </c>
      <c r="C1521" s="159" t="str">
        <f t="shared" si="118"/>
        <v>January!$H$1:$H$92</v>
      </c>
      <c r="D1521" s="159" t="str">
        <f t="shared" si="119"/>
        <v>January!$I$1:$I$92</v>
      </c>
      <c r="E1521" t="s">
        <v>5</v>
      </c>
      <c r="F1521" t="s">
        <v>48</v>
      </c>
      <c r="G1521" t="s">
        <v>143</v>
      </c>
      <c r="H1521" t="s">
        <v>23</v>
      </c>
      <c r="I1521" t="e">
        <f t="shared" ca="1" si="120"/>
        <v>#REF!</v>
      </c>
      <c r="J1521" t="str">
        <f>VLOOKUP($G1521,DefinitionArrays!$I$6:$J$12,2,FALSE)</f>
        <v>Workweek</v>
      </c>
    </row>
    <row r="1522" spans="1:10">
      <c r="A1522" s="159" t="str">
        <f t="shared" si="116"/>
        <v>$H$1:$H$92</v>
      </c>
      <c r="B1522" s="159" t="str">
        <f t="shared" si="117"/>
        <v>$I$1:$I$92</v>
      </c>
      <c r="C1522" s="159" t="str">
        <f t="shared" si="118"/>
        <v>January!$H$1:$H$92</v>
      </c>
      <c r="D1522" s="159" t="str">
        <f t="shared" si="119"/>
        <v>January!$I$1:$I$92</v>
      </c>
      <c r="E1522" t="s">
        <v>5</v>
      </c>
      <c r="F1522" t="s">
        <v>48</v>
      </c>
      <c r="G1522" t="s">
        <v>143</v>
      </c>
      <c r="H1522" t="s">
        <v>24</v>
      </c>
      <c r="I1522" t="e">
        <f t="shared" ca="1" si="120"/>
        <v>#REF!</v>
      </c>
      <c r="J1522" t="str">
        <f>VLOOKUP($G1522,DefinitionArrays!$I$6:$J$12,2,FALSE)</f>
        <v>Workweek</v>
      </c>
    </row>
    <row r="1523" spans="1:10">
      <c r="A1523" s="159" t="str">
        <f t="shared" si="116"/>
        <v>$H$1:$H$92</v>
      </c>
      <c r="B1523" s="159" t="str">
        <f t="shared" si="117"/>
        <v>$I$1:$I$92</v>
      </c>
      <c r="C1523" s="159" t="str">
        <f t="shared" si="118"/>
        <v>January!$H$1:$H$92</v>
      </c>
      <c r="D1523" s="159" t="str">
        <f t="shared" si="119"/>
        <v>January!$I$1:$I$92</v>
      </c>
      <c r="E1523" t="s">
        <v>5</v>
      </c>
      <c r="F1523" t="s">
        <v>48</v>
      </c>
      <c r="G1523" t="s">
        <v>143</v>
      </c>
      <c r="H1523" t="s">
        <v>179</v>
      </c>
      <c r="I1523" t="e">
        <f t="shared" ca="1" si="120"/>
        <v>#REF!</v>
      </c>
      <c r="J1523" t="str">
        <f>VLOOKUP($G1523,DefinitionArrays!$I$6:$J$12,2,FALSE)</f>
        <v>Workweek</v>
      </c>
    </row>
    <row r="1524" spans="1:10">
      <c r="A1524" s="159" t="str">
        <f t="shared" si="116"/>
        <v>$H$1:$H$92</v>
      </c>
      <c r="B1524" s="159" t="str">
        <f t="shared" si="117"/>
        <v>$I$1:$I$92</v>
      </c>
      <c r="C1524" s="159" t="str">
        <f t="shared" si="118"/>
        <v>January!$H$1:$H$92</v>
      </c>
      <c r="D1524" s="159" t="str">
        <f t="shared" si="119"/>
        <v>January!$I$1:$I$92</v>
      </c>
      <c r="E1524" t="s">
        <v>5</v>
      </c>
      <c r="F1524" t="s">
        <v>48</v>
      </c>
      <c r="G1524" t="s">
        <v>143</v>
      </c>
      <c r="H1524" t="s">
        <v>180</v>
      </c>
      <c r="I1524" t="e">
        <f t="shared" ca="1" si="120"/>
        <v>#REF!</v>
      </c>
      <c r="J1524" t="str">
        <f>VLOOKUP($G1524,DefinitionArrays!$I$6:$J$12,2,FALSE)</f>
        <v>Workweek</v>
      </c>
    </row>
    <row r="1525" spans="1:10">
      <c r="A1525" s="159" t="str">
        <f t="shared" si="116"/>
        <v>$H$1:$H$92</v>
      </c>
      <c r="B1525" s="159" t="str">
        <f t="shared" si="117"/>
        <v>$I$1:$I$92</v>
      </c>
      <c r="C1525" s="159" t="str">
        <f t="shared" si="118"/>
        <v>January!$H$1:$H$92</v>
      </c>
      <c r="D1525" s="159" t="str">
        <f t="shared" si="119"/>
        <v>January!$I$1:$I$92</v>
      </c>
      <c r="E1525" t="s">
        <v>5</v>
      </c>
      <c r="F1525" t="s">
        <v>48</v>
      </c>
      <c r="G1525" t="s">
        <v>143</v>
      </c>
      <c r="H1525" t="s">
        <v>44</v>
      </c>
      <c r="I1525" t="e">
        <f t="shared" ca="1" si="120"/>
        <v>#REF!</v>
      </c>
      <c r="J1525" t="str">
        <f>VLOOKUP($G1525,DefinitionArrays!$I$6:$J$12,2,FALSE)</f>
        <v>Workweek</v>
      </c>
    </row>
    <row r="1526" spans="1:10">
      <c r="A1526" s="159" t="str">
        <f t="shared" si="116"/>
        <v>$K$1:$K$92</v>
      </c>
      <c r="B1526" s="159" t="str">
        <f t="shared" si="117"/>
        <v>$L$1:$L$92</v>
      </c>
      <c r="C1526" s="159" t="str">
        <f t="shared" si="118"/>
        <v>January!$K$1:$K$92</v>
      </c>
      <c r="D1526" s="159" t="str">
        <f t="shared" si="119"/>
        <v>January!$L$1:$L$92</v>
      </c>
      <c r="E1526" t="s">
        <v>5</v>
      </c>
      <c r="F1526" t="s">
        <v>48</v>
      </c>
      <c r="G1526" t="s">
        <v>144</v>
      </c>
      <c r="H1526" t="s">
        <v>159</v>
      </c>
      <c r="I1526" t="e">
        <f t="shared" ca="1" si="120"/>
        <v>#REF!</v>
      </c>
      <c r="J1526" t="str">
        <f>VLOOKUP($G1526,DefinitionArrays!$I$6:$J$12,2,FALSE)</f>
        <v>Workweek</v>
      </c>
    </row>
    <row r="1527" spans="1:10">
      <c r="A1527" s="159" t="str">
        <f t="shared" si="116"/>
        <v>$K$1:$K$92</v>
      </c>
      <c r="B1527" s="159" t="str">
        <f t="shared" si="117"/>
        <v>$L$1:$L$92</v>
      </c>
      <c r="C1527" s="159" t="str">
        <f t="shared" si="118"/>
        <v>January!$K$1:$K$92</v>
      </c>
      <c r="D1527" s="159" t="str">
        <f t="shared" si="119"/>
        <v>January!$L$1:$L$92</v>
      </c>
      <c r="E1527" t="s">
        <v>5</v>
      </c>
      <c r="F1527" t="s">
        <v>48</v>
      </c>
      <c r="G1527" t="s">
        <v>144</v>
      </c>
      <c r="H1527" t="s">
        <v>18</v>
      </c>
      <c r="I1527" t="e">
        <f t="shared" ca="1" si="120"/>
        <v>#REF!</v>
      </c>
      <c r="J1527" t="str">
        <f>VLOOKUP($G1527,DefinitionArrays!$I$6:$J$12,2,FALSE)</f>
        <v>Workweek</v>
      </c>
    </row>
    <row r="1528" spans="1:10">
      <c r="A1528" s="159" t="str">
        <f t="shared" si="116"/>
        <v>$K$1:$K$92</v>
      </c>
      <c r="B1528" s="159" t="str">
        <f t="shared" si="117"/>
        <v>$L$1:$L$92</v>
      </c>
      <c r="C1528" s="159" t="str">
        <f t="shared" si="118"/>
        <v>January!$K$1:$K$92</v>
      </c>
      <c r="D1528" s="159" t="str">
        <f t="shared" si="119"/>
        <v>January!$L$1:$L$92</v>
      </c>
      <c r="E1528" t="s">
        <v>5</v>
      </c>
      <c r="F1528" t="s">
        <v>48</v>
      </c>
      <c r="G1528" t="s">
        <v>144</v>
      </c>
      <c r="H1528" t="s">
        <v>153</v>
      </c>
      <c r="I1528" t="e">
        <f t="shared" ca="1" si="120"/>
        <v>#REF!</v>
      </c>
      <c r="J1528" t="str">
        <f>VLOOKUP($G1528,DefinitionArrays!$I$6:$J$12,2,FALSE)</f>
        <v>Workweek</v>
      </c>
    </row>
    <row r="1529" spans="1:10">
      <c r="A1529" s="159" t="str">
        <f t="shared" si="116"/>
        <v>$K$1:$K$92</v>
      </c>
      <c r="B1529" s="159" t="str">
        <f t="shared" si="117"/>
        <v>$L$1:$L$92</v>
      </c>
      <c r="C1529" s="159" t="str">
        <f t="shared" si="118"/>
        <v>January!$K$1:$K$92</v>
      </c>
      <c r="D1529" s="159" t="str">
        <f t="shared" si="119"/>
        <v>January!$L$1:$L$92</v>
      </c>
      <c r="E1529" t="s">
        <v>5</v>
      </c>
      <c r="F1529" t="s">
        <v>48</v>
      </c>
      <c r="G1529" t="s">
        <v>144</v>
      </c>
      <c r="H1529" t="s">
        <v>19</v>
      </c>
      <c r="I1529" t="e">
        <f t="shared" ca="1" si="120"/>
        <v>#REF!</v>
      </c>
      <c r="J1529" t="str">
        <f>VLOOKUP($G1529,DefinitionArrays!$I$6:$J$12,2,FALSE)</f>
        <v>Workweek</v>
      </c>
    </row>
    <row r="1530" spans="1:10">
      <c r="A1530" s="159" t="str">
        <f t="shared" si="116"/>
        <v>$K$1:$K$92</v>
      </c>
      <c r="B1530" s="159" t="str">
        <f t="shared" si="117"/>
        <v>$L$1:$L$92</v>
      </c>
      <c r="C1530" s="159" t="str">
        <f t="shared" si="118"/>
        <v>January!$K$1:$K$92</v>
      </c>
      <c r="D1530" s="159" t="str">
        <f t="shared" si="119"/>
        <v>January!$L$1:$L$92</v>
      </c>
      <c r="E1530" t="s">
        <v>5</v>
      </c>
      <c r="F1530" t="s">
        <v>48</v>
      </c>
      <c r="G1530" t="s">
        <v>144</v>
      </c>
      <c r="H1530" t="s">
        <v>20</v>
      </c>
      <c r="I1530" t="e">
        <f t="shared" ca="1" si="120"/>
        <v>#REF!</v>
      </c>
      <c r="J1530" t="str">
        <f>VLOOKUP($G1530,DefinitionArrays!$I$6:$J$12,2,FALSE)</f>
        <v>Workweek</v>
      </c>
    </row>
    <row r="1531" spans="1:10">
      <c r="A1531" s="159" t="str">
        <f t="shared" si="116"/>
        <v>$K$1:$K$92</v>
      </c>
      <c r="B1531" s="159" t="str">
        <f t="shared" si="117"/>
        <v>$L$1:$L$92</v>
      </c>
      <c r="C1531" s="159" t="str">
        <f t="shared" si="118"/>
        <v>January!$K$1:$K$92</v>
      </c>
      <c r="D1531" s="159" t="str">
        <f t="shared" si="119"/>
        <v>January!$L$1:$L$92</v>
      </c>
      <c r="E1531" t="s">
        <v>5</v>
      </c>
      <c r="F1531" t="s">
        <v>48</v>
      </c>
      <c r="G1531" t="s">
        <v>144</v>
      </c>
      <c r="H1531" t="s">
        <v>21</v>
      </c>
      <c r="I1531" t="e">
        <f t="shared" ca="1" si="120"/>
        <v>#REF!</v>
      </c>
      <c r="J1531" t="str">
        <f>VLOOKUP($G1531,DefinitionArrays!$I$6:$J$12,2,FALSE)</f>
        <v>Workweek</v>
      </c>
    </row>
    <row r="1532" spans="1:10">
      <c r="A1532" s="159" t="str">
        <f t="shared" si="116"/>
        <v>$K$1:$K$92</v>
      </c>
      <c r="B1532" s="159" t="str">
        <f t="shared" si="117"/>
        <v>$L$1:$L$92</v>
      </c>
      <c r="C1532" s="159" t="str">
        <f t="shared" si="118"/>
        <v>January!$K$1:$K$92</v>
      </c>
      <c r="D1532" s="159" t="str">
        <f t="shared" si="119"/>
        <v>January!$L$1:$L$92</v>
      </c>
      <c r="E1532" t="s">
        <v>5</v>
      </c>
      <c r="F1532" t="s">
        <v>48</v>
      </c>
      <c r="G1532" t="s">
        <v>144</v>
      </c>
      <c r="H1532" t="s">
        <v>22</v>
      </c>
      <c r="I1532" t="e">
        <f t="shared" ca="1" si="120"/>
        <v>#REF!</v>
      </c>
      <c r="J1532" t="str">
        <f>VLOOKUP($G1532,DefinitionArrays!$I$6:$J$12,2,FALSE)</f>
        <v>Workweek</v>
      </c>
    </row>
    <row r="1533" spans="1:10">
      <c r="A1533" s="159" t="str">
        <f t="shared" si="116"/>
        <v>$K$1:$K$92</v>
      </c>
      <c r="B1533" s="159" t="str">
        <f t="shared" si="117"/>
        <v>$L$1:$L$92</v>
      </c>
      <c r="C1533" s="159" t="str">
        <f t="shared" si="118"/>
        <v>January!$K$1:$K$92</v>
      </c>
      <c r="D1533" s="159" t="str">
        <f t="shared" si="119"/>
        <v>January!$L$1:$L$92</v>
      </c>
      <c r="E1533" t="s">
        <v>5</v>
      </c>
      <c r="F1533" t="s">
        <v>48</v>
      </c>
      <c r="G1533" t="s">
        <v>144</v>
      </c>
      <c r="H1533" t="s">
        <v>23</v>
      </c>
      <c r="I1533" t="e">
        <f t="shared" ca="1" si="120"/>
        <v>#REF!</v>
      </c>
      <c r="J1533" t="str">
        <f>VLOOKUP($G1533,DefinitionArrays!$I$6:$J$12,2,FALSE)</f>
        <v>Workweek</v>
      </c>
    </row>
    <row r="1534" spans="1:10">
      <c r="A1534" s="159" t="str">
        <f t="shared" si="116"/>
        <v>$K$1:$K$92</v>
      </c>
      <c r="B1534" s="159" t="str">
        <f t="shared" si="117"/>
        <v>$L$1:$L$92</v>
      </c>
      <c r="C1534" s="159" t="str">
        <f t="shared" si="118"/>
        <v>January!$K$1:$K$92</v>
      </c>
      <c r="D1534" s="159" t="str">
        <f t="shared" si="119"/>
        <v>January!$L$1:$L$92</v>
      </c>
      <c r="E1534" t="s">
        <v>5</v>
      </c>
      <c r="F1534" t="s">
        <v>48</v>
      </c>
      <c r="G1534" t="s">
        <v>144</v>
      </c>
      <c r="H1534" t="s">
        <v>24</v>
      </c>
      <c r="I1534" t="e">
        <f t="shared" ca="1" si="120"/>
        <v>#REF!</v>
      </c>
      <c r="J1534" t="str">
        <f>VLOOKUP($G1534,DefinitionArrays!$I$6:$J$12,2,FALSE)</f>
        <v>Workweek</v>
      </c>
    </row>
    <row r="1535" spans="1:10">
      <c r="A1535" s="159" t="str">
        <f t="shared" si="116"/>
        <v>$K$1:$K$92</v>
      </c>
      <c r="B1535" s="159" t="str">
        <f t="shared" si="117"/>
        <v>$L$1:$L$92</v>
      </c>
      <c r="C1535" s="159" t="str">
        <f t="shared" si="118"/>
        <v>January!$K$1:$K$92</v>
      </c>
      <c r="D1535" s="159" t="str">
        <f t="shared" si="119"/>
        <v>January!$L$1:$L$92</v>
      </c>
      <c r="E1535" t="s">
        <v>5</v>
      </c>
      <c r="F1535" t="s">
        <v>48</v>
      </c>
      <c r="G1535" t="s">
        <v>144</v>
      </c>
      <c r="H1535" t="s">
        <v>179</v>
      </c>
      <c r="I1535" t="e">
        <f t="shared" ca="1" si="120"/>
        <v>#REF!</v>
      </c>
      <c r="J1535" t="str">
        <f>VLOOKUP($G1535,DefinitionArrays!$I$6:$J$12,2,FALSE)</f>
        <v>Workweek</v>
      </c>
    </row>
    <row r="1536" spans="1:10">
      <c r="A1536" s="159" t="str">
        <f t="shared" si="116"/>
        <v>$K$1:$K$92</v>
      </c>
      <c r="B1536" s="159" t="str">
        <f t="shared" si="117"/>
        <v>$L$1:$L$92</v>
      </c>
      <c r="C1536" s="159" t="str">
        <f t="shared" si="118"/>
        <v>January!$K$1:$K$92</v>
      </c>
      <c r="D1536" s="159" t="str">
        <f t="shared" si="119"/>
        <v>January!$L$1:$L$92</v>
      </c>
      <c r="E1536" t="s">
        <v>5</v>
      </c>
      <c r="F1536" t="s">
        <v>48</v>
      </c>
      <c r="G1536" t="s">
        <v>144</v>
      </c>
      <c r="H1536" t="s">
        <v>180</v>
      </c>
      <c r="I1536" t="e">
        <f t="shared" ca="1" si="120"/>
        <v>#REF!</v>
      </c>
      <c r="J1536" t="str">
        <f>VLOOKUP($G1536,DefinitionArrays!$I$6:$J$12,2,FALSE)</f>
        <v>Workweek</v>
      </c>
    </row>
    <row r="1537" spans="1:10">
      <c r="A1537" s="159" t="str">
        <f t="shared" si="116"/>
        <v>$K$1:$K$92</v>
      </c>
      <c r="B1537" s="159" t="str">
        <f t="shared" si="117"/>
        <v>$L$1:$L$92</v>
      </c>
      <c r="C1537" s="159" t="str">
        <f t="shared" si="118"/>
        <v>January!$K$1:$K$92</v>
      </c>
      <c r="D1537" s="159" t="str">
        <f t="shared" si="119"/>
        <v>January!$L$1:$L$92</v>
      </c>
      <c r="E1537" t="s">
        <v>5</v>
      </c>
      <c r="F1537" t="s">
        <v>48</v>
      </c>
      <c r="G1537" t="s">
        <v>144</v>
      </c>
      <c r="H1537" t="s">
        <v>44</v>
      </c>
      <c r="I1537" t="e">
        <f t="shared" ca="1" si="120"/>
        <v>#REF!</v>
      </c>
      <c r="J1537" t="str">
        <f>VLOOKUP($G1537,DefinitionArrays!$I$6:$J$12,2,FALSE)</f>
        <v>Workweek</v>
      </c>
    </row>
    <row r="1538" spans="1:10">
      <c r="A1538" s="159" t="str">
        <f t="shared" ref="A1538:A1601" si="121">VLOOKUP($G1538,Fx_Code,2,FALSE)</f>
        <v>$N$1:$N$92</v>
      </c>
      <c r="B1538" s="159" t="str">
        <f t="shared" ref="B1538:B1601" si="122">VLOOKUP($G1538,Fx_Code,3,FALSE)</f>
        <v>$O$1:$O$92</v>
      </c>
      <c r="C1538" s="159" t="str">
        <f t="shared" ref="C1538:C1601" si="123">CONCATENATE($F1538,$K$1,A1538)</f>
        <v>January!$N$1:$N$92</v>
      </c>
      <c r="D1538" s="159" t="str">
        <f t="shared" ref="D1538:D1601" si="124">CONCATENATE($F1538,$K$1,B1538)</f>
        <v>January!$O$1:$O$92</v>
      </c>
      <c r="E1538" t="s">
        <v>5</v>
      </c>
      <c r="F1538" t="s">
        <v>48</v>
      </c>
      <c r="G1538" t="s">
        <v>145</v>
      </c>
      <c r="H1538" t="s">
        <v>159</v>
      </c>
      <c r="I1538" t="e">
        <f t="shared" ca="1" si="120"/>
        <v>#REF!</v>
      </c>
      <c r="J1538" t="str">
        <f>VLOOKUP($G1538,DefinitionArrays!$I$6:$J$12,2,FALSE)</f>
        <v>Weekend</v>
      </c>
    </row>
    <row r="1539" spans="1:10">
      <c r="A1539" s="159" t="str">
        <f t="shared" si="121"/>
        <v>$N$1:$N$92</v>
      </c>
      <c r="B1539" s="159" t="str">
        <f t="shared" si="122"/>
        <v>$O$1:$O$92</v>
      </c>
      <c r="C1539" s="159" t="str">
        <f t="shared" si="123"/>
        <v>January!$N$1:$N$92</v>
      </c>
      <c r="D1539" s="159" t="str">
        <f t="shared" si="124"/>
        <v>January!$O$1:$O$92</v>
      </c>
      <c r="E1539" t="s">
        <v>5</v>
      </c>
      <c r="F1539" t="s">
        <v>48</v>
      </c>
      <c r="G1539" t="s">
        <v>145</v>
      </c>
      <c r="H1539" t="s">
        <v>18</v>
      </c>
      <c r="I1539" t="e">
        <f t="shared" ca="1" si="120"/>
        <v>#REF!</v>
      </c>
      <c r="J1539" t="str">
        <f>VLOOKUP($G1539,DefinitionArrays!$I$6:$J$12,2,FALSE)</f>
        <v>Weekend</v>
      </c>
    </row>
    <row r="1540" spans="1:10">
      <c r="A1540" s="159" t="str">
        <f t="shared" si="121"/>
        <v>$N$1:$N$92</v>
      </c>
      <c r="B1540" s="159" t="str">
        <f t="shared" si="122"/>
        <v>$O$1:$O$92</v>
      </c>
      <c r="C1540" s="159" t="str">
        <f t="shared" si="123"/>
        <v>January!$N$1:$N$92</v>
      </c>
      <c r="D1540" s="159" t="str">
        <f t="shared" si="124"/>
        <v>January!$O$1:$O$92</v>
      </c>
      <c r="E1540" t="s">
        <v>5</v>
      </c>
      <c r="F1540" t="s">
        <v>48</v>
      </c>
      <c r="G1540" t="s">
        <v>145</v>
      </c>
      <c r="H1540" t="s">
        <v>153</v>
      </c>
      <c r="I1540" t="e">
        <f t="shared" ca="1" si="120"/>
        <v>#REF!</v>
      </c>
      <c r="J1540" t="str">
        <f>VLOOKUP($G1540,DefinitionArrays!$I$6:$J$12,2,FALSE)</f>
        <v>Weekend</v>
      </c>
    </row>
    <row r="1541" spans="1:10">
      <c r="A1541" s="159" t="str">
        <f t="shared" si="121"/>
        <v>$N$1:$N$92</v>
      </c>
      <c r="B1541" s="159" t="str">
        <f t="shared" si="122"/>
        <v>$O$1:$O$92</v>
      </c>
      <c r="C1541" s="159" t="str">
        <f t="shared" si="123"/>
        <v>January!$N$1:$N$92</v>
      </c>
      <c r="D1541" s="159" t="str">
        <f t="shared" si="124"/>
        <v>January!$O$1:$O$92</v>
      </c>
      <c r="E1541" t="s">
        <v>5</v>
      </c>
      <c r="F1541" t="s">
        <v>48</v>
      </c>
      <c r="G1541" t="s">
        <v>145</v>
      </c>
      <c r="H1541" t="s">
        <v>19</v>
      </c>
      <c r="I1541" t="e">
        <f t="shared" ca="1" si="120"/>
        <v>#REF!</v>
      </c>
      <c r="J1541" t="str">
        <f>VLOOKUP($G1541,DefinitionArrays!$I$6:$J$12,2,FALSE)</f>
        <v>Weekend</v>
      </c>
    </row>
    <row r="1542" spans="1:10">
      <c r="A1542" s="159" t="str">
        <f t="shared" si="121"/>
        <v>$N$1:$N$92</v>
      </c>
      <c r="B1542" s="159" t="str">
        <f t="shared" si="122"/>
        <v>$O$1:$O$92</v>
      </c>
      <c r="C1542" s="159" t="str">
        <f t="shared" si="123"/>
        <v>January!$N$1:$N$92</v>
      </c>
      <c r="D1542" s="159" t="str">
        <f t="shared" si="124"/>
        <v>January!$O$1:$O$92</v>
      </c>
      <c r="E1542" t="s">
        <v>5</v>
      </c>
      <c r="F1542" t="s">
        <v>48</v>
      </c>
      <c r="G1542" t="s">
        <v>145</v>
      </c>
      <c r="H1542" t="s">
        <v>20</v>
      </c>
      <c r="I1542" t="e">
        <f t="shared" ca="1" si="120"/>
        <v>#REF!</v>
      </c>
      <c r="J1542" t="str">
        <f>VLOOKUP($G1542,DefinitionArrays!$I$6:$J$12,2,FALSE)</f>
        <v>Weekend</v>
      </c>
    </row>
    <row r="1543" spans="1:10">
      <c r="A1543" s="159" t="str">
        <f t="shared" si="121"/>
        <v>$N$1:$N$92</v>
      </c>
      <c r="B1543" s="159" t="str">
        <f t="shared" si="122"/>
        <v>$O$1:$O$92</v>
      </c>
      <c r="C1543" s="159" t="str">
        <f t="shared" si="123"/>
        <v>January!$N$1:$N$92</v>
      </c>
      <c r="D1543" s="159" t="str">
        <f t="shared" si="124"/>
        <v>January!$O$1:$O$92</v>
      </c>
      <c r="E1543" t="s">
        <v>5</v>
      </c>
      <c r="F1543" t="s">
        <v>48</v>
      </c>
      <c r="G1543" t="s">
        <v>145</v>
      </c>
      <c r="H1543" t="s">
        <v>21</v>
      </c>
      <c r="I1543" t="e">
        <f t="shared" ca="1" si="120"/>
        <v>#REF!</v>
      </c>
      <c r="J1543" t="str">
        <f>VLOOKUP($G1543,DefinitionArrays!$I$6:$J$12,2,FALSE)</f>
        <v>Weekend</v>
      </c>
    </row>
    <row r="1544" spans="1:10">
      <c r="A1544" s="159" t="str">
        <f t="shared" si="121"/>
        <v>$N$1:$N$92</v>
      </c>
      <c r="B1544" s="159" t="str">
        <f t="shared" si="122"/>
        <v>$O$1:$O$92</v>
      </c>
      <c r="C1544" s="159" t="str">
        <f t="shared" si="123"/>
        <v>January!$N$1:$N$92</v>
      </c>
      <c r="D1544" s="159" t="str">
        <f t="shared" si="124"/>
        <v>January!$O$1:$O$92</v>
      </c>
      <c r="E1544" t="s">
        <v>5</v>
      </c>
      <c r="F1544" t="s">
        <v>48</v>
      </c>
      <c r="G1544" t="s">
        <v>145</v>
      </c>
      <c r="H1544" t="s">
        <v>22</v>
      </c>
      <c r="I1544" t="e">
        <f t="shared" ca="1" si="120"/>
        <v>#REF!</v>
      </c>
      <c r="J1544" t="str">
        <f>VLOOKUP($G1544,DefinitionArrays!$I$6:$J$12,2,FALSE)</f>
        <v>Weekend</v>
      </c>
    </row>
    <row r="1545" spans="1:10">
      <c r="A1545" s="159" t="str">
        <f t="shared" si="121"/>
        <v>$N$1:$N$92</v>
      </c>
      <c r="B1545" s="159" t="str">
        <f t="shared" si="122"/>
        <v>$O$1:$O$92</v>
      </c>
      <c r="C1545" s="159" t="str">
        <f t="shared" si="123"/>
        <v>January!$N$1:$N$92</v>
      </c>
      <c r="D1545" s="159" t="str">
        <f t="shared" si="124"/>
        <v>January!$O$1:$O$92</v>
      </c>
      <c r="E1545" t="s">
        <v>5</v>
      </c>
      <c r="F1545" t="s">
        <v>48</v>
      </c>
      <c r="G1545" t="s">
        <v>145</v>
      </c>
      <c r="H1545" t="s">
        <v>23</v>
      </c>
      <c r="I1545" t="e">
        <f t="shared" ca="1" si="120"/>
        <v>#REF!</v>
      </c>
      <c r="J1545" t="str">
        <f>VLOOKUP($G1545,DefinitionArrays!$I$6:$J$12,2,FALSE)</f>
        <v>Weekend</v>
      </c>
    </row>
    <row r="1546" spans="1:10">
      <c r="A1546" s="159" t="str">
        <f t="shared" si="121"/>
        <v>$N$1:$N$92</v>
      </c>
      <c r="B1546" s="159" t="str">
        <f t="shared" si="122"/>
        <v>$O$1:$O$92</v>
      </c>
      <c r="C1546" s="159" t="str">
        <f t="shared" si="123"/>
        <v>January!$N$1:$N$92</v>
      </c>
      <c r="D1546" s="159" t="str">
        <f t="shared" si="124"/>
        <v>January!$O$1:$O$92</v>
      </c>
      <c r="E1546" t="s">
        <v>5</v>
      </c>
      <c r="F1546" t="s">
        <v>48</v>
      </c>
      <c r="G1546" t="s">
        <v>145</v>
      </c>
      <c r="H1546" t="s">
        <v>24</v>
      </c>
      <c r="I1546" t="e">
        <f t="shared" ca="1" si="120"/>
        <v>#REF!</v>
      </c>
      <c r="J1546" t="str">
        <f>VLOOKUP($G1546,DefinitionArrays!$I$6:$J$12,2,FALSE)</f>
        <v>Weekend</v>
      </c>
    </row>
    <row r="1547" spans="1:10">
      <c r="A1547" s="159" t="str">
        <f t="shared" si="121"/>
        <v>$N$1:$N$92</v>
      </c>
      <c r="B1547" s="159" t="str">
        <f t="shared" si="122"/>
        <v>$O$1:$O$92</v>
      </c>
      <c r="C1547" s="159" t="str">
        <f t="shared" si="123"/>
        <v>January!$N$1:$N$92</v>
      </c>
      <c r="D1547" s="159" t="str">
        <f t="shared" si="124"/>
        <v>January!$O$1:$O$92</v>
      </c>
      <c r="E1547" t="s">
        <v>5</v>
      </c>
      <c r="F1547" t="s">
        <v>48</v>
      </c>
      <c r="G1547" t="s">
        <v>145</v>
      </c>
      <c r="H1547" t="s">
        <v>179</v>
      </c>
      <c r="I1547" t="e">
        <f t="shared" ca="1" si="120"/>
        <v>#REF!</v>
      </c>
      <c r="J1547" t="str">
        <f>VLOOKUP($G1547,DefinitionArrays!$I$6:$J$12,2,FALSE)</f>
        <v>Weekend</v>
      </c>
    </row>
    <row r="1548" spans="1:10">
      <c r="A1548" s="159" t="str">
        <f t="shared" si="121"/>
        <v>$N$1:$N$92</v>
      </c>
      <c r="B1548" s="159" t="str">
        <f t="shared" si="122"/>
        <v>$O$1:$O$92</v>
      </c>
      <c r="C1548" s="159" t="str">
        <f t="shared" si="123"/>
        <v>January!$N$1:$N$92</v>
      </c>
      <c r="D1548" s="159" t="str">
        <f t="shared" si="124"/>
        <v>January!$O$1:$O$92</v>
      </c>
      <c r="E1548" t="s">
        <v>5</v>
      </c>
      <c r="F1548" t="s">
        <v>48</v>
      </c>
      <c r="G1548" t="s">
        <v>145</v>
      </c>
      <c r="H1548" t="s">
        <v>180</v>
      </c>
      <c r="I1548" t="e">
        <f t="shared" ca="1" si="120"/>
        <v>#REF!</v>
      </c>
      <c r="J1548" t="str">
        <f>VLOOKUP($G1548,DefinitionArrays!$I$6:$J$12,2,FALSE)</f>
        <v>Weekend</v>
      </c>
    </row>
    <row r="1549" spans="1:10">
      <c r="A1549" s="159" t="str">
        <f t="shared" si="121"/>
        <v>$N$1:$N$92</v>
      </c>
      <c r="B1549" s="159" t="str">
        <f t="shared" si="122"/>
        <v>$O$1:$O$92</v>
      </c>
      <c r="C1549" s="159" t="str">
        <f t="shared" si="123"/>
        <v>January!$N$1:$N$92</v>
      </c>
      <c r="D1549" s="159" t="str">
        <f t="shared" si="124"/>
        <v>January!$O$1:$O$92</v>
      </c>
      <c r="E1549" t="s">
        <v>5</v>
      </c>
      <c r="F1549" t="s">
        <v>48</v>
      </c>
      <c r="G1549" t="s">
        <v>145</v>
      </c>
      <c r="H1549" t="s">
        <v>44</v>
      </c>
      <c r="I1549" t="e">
        <f t="shared" ca="1" si="120"/>
        <v>#REF!</v>
      </c>
      <c r="J1549" t="str">
        <f>VLOOKUP($G1549,DefinitionArrays!$I$6:$J$12,2,FALSE)</f>
        <v>Weekend</v>
      </c>
    </row>
    <row r="1550" spans="1:10">
      <c r="A1550" s="159" t="str">
        <f t="shared" si="121"/>
        <v>$Q$1:$Q$92</v>
      </c>
      <c r="B1550" s="159" t="str">
        <f t="shared" si="122"/>
        <v>$R$1:$R$92</v>
      </c>
      <c r="C1550" s="159" t="str">
        <f t="shared" si="123"/>
        <v>January!$Q$1:$Q$92</v>
      </c>
      <c r="D1550" s="159" t="str">
        <f t="shared" si="124"/>
        <v>January!$R$1:$R$92</v>
      </c>
      <c r="E1550" t="s">
        <v>5</v>
      </c>
      <c r="F1550" t="s">
        <v>48</v>
      </c>
      <c r="G1550" t="s">
        <v>146</v>
      </c>
      <c r="H1550" t="s">
        <v>159</v>
      </c>
      <c r="I1550" t="e">
        <f t="shared" ca="1" si="120"/>
        <v>#REF!</v>
      </c>
      <c r="J1550" t="str">
        <f>VLOOKUP($G1550,DefinitionArrays!$I$6:$J$12,2,FALSE)</f>
        <v>Weekend</v>
      </c>
    </row>
    <row r="1551" spans="1:10">
      <c r="A1551" s="159" t="str">
        <f t="shared" si="121"/>
        <v>$T$1:$T$92</v>
      </c>
      <c r="B1551" s="159" t="str">
        <f t="shared" si="122"/>
        <v>$U$1:$U$92</v>
      </c>
      <c r="C1551" s="159" t="str">
        <f t="shared" si="123"/>
        <v>January!$T$1:$T$92</v>
      </c>
      <c r="D1551" s="159" t="str">
        <f t="shared" si="124"/>
        <v>January!$U$1:$U$92</v>
      </c>
      <c r="E1551" t="s">
        <v>5</v>
      </c>
      <c r="F1551" t="s">
        <v>48</v>
      </c>
      <c r="G1551" t="s">
        <v>141</v>
      </c>
      <c r="H1551" t="s">
        <v>159</v>
      </c>
      <c r="I1551" t="e">
        <f t="shared" ca="1" si="120"/>
        <v>#REF!</v>
      </c>
      <c r="J1551" t="str">
        <f>VLOOKUP($G1551,DefinitionArrays!$I$6:$J$12,2,FALSE)</f>
        <v>Weekend</v>
      </c>
    </row>
    <row r="1552" spans="1:10">
      <c r="A1552" s="159" t="str">
        <f t="shared" si="121"/>
        <v>$B$1:$B$92</v>
      </c>
      <c r="B1552" s="159" t="str">
        <f t="shared" si="122"/>
        <v>$C$1:$C$92</v>
      </c>
      <c r="C1552" s="159" t="str">
        <f t="shared" si="123"/>
        <v>February!$B$1:$B$92</v>
      </c>
      <c r="D1552" s="159" t="str">
        <f t="shared" si="124"/>
        <v>February!$C$1:$C$92</v>
      </c>
      <c r="E1552" t="s">
        <v>5</v>
      </c>
      <c r="F1552" t="s">
        <v>121</v>
      </c>
      <c r="G1552" t="s">
        <v>13</v>
      </c>
      <c r="H1552" t="s">
        <v>159</v>
      </c>
      <c r="I1552" t="e">
        <f ca="1">COUNTIFS(INDIRECT($C1552),$E1552,INDIRECT($D1552),$H1552)</f>
        <v>#REF!</v>
      </c>
      <c r="J1552" t="str">
        <f>VLOOKUP($G1552,DefinitionArrays!$I$6:$J$12,2,FALSE)</f>
        <v>Workweek</v>
      </c>
    </row>
    <row r="1553" spans="1:10">
      <c r="A1553" s="159" t="str">
        <f t="shared" si="121"/>
        <v>$B$1:$B$92</v>
      </c>
      <c r="B1553" s="159" t="str">
        <f t="shared" si="122"/>
        <v>$C$1:$C$92</v>
      </c>
      <c r="C1553" s="159" t="str">
        <f t="shared" si="123"/>
        <v>February!$B$1:$B$92</v>
      </c>
      <c r="D1553" s="159" t="str">
        <f t="shared" si="124"/>
        <v>February!$C$1:$C$92</v>
      </c>
      <c r="E1553" t="s">
        <v>5</v>
      </c>
      <c r="F1553" t="s">
        <v>121</v>
      </c>
      <c r="G1553" t="s">
        <v>13</v>
      </c>
      <c r="H1553" t="s">
        <v>18</v>
      </c>
      <c r="I1553" t="e">
        <f t="shared" ref="I1553:I1613" ca="1" si="125">COUNTIFS(INDIRECT($C1553),$E1553,INDIRECT($D1553),$H1553)</f>
        <v>#REF!</v>
      </c>
      <c r="J1553" t="str">
        <f>VLOOKUP($G1553,DefinitionArrays!$I$6:$J$12,2,FALSE)</f>
        <v>Workweek</v>
      </c>
    </row>
    <row r="1554" spans="1:10">
      <c r="A1554" s="159" t="str">
        <f t="shared" si="121"/>
        <v>$B$1:$B$92</v>
      </c>
      <c r="B1554" s="159" t="str">
        <f t="shared" si="122"/>
        <v>$C$1:$C$92</v>
      </c>
      <c r="C1554" s="159" t="str">
        <f t="shared" si="123"/>
        <v>February!$B$1:$B$92</v>
      </c>
      <c r="D1554" s="159" t="str">
        <f t="shared" si="124"/>
        <v>February!$C$1:$C$92</v>
      </c>
      <c r="E1554" t="s">
        <v>5</v>
      </c>
      <c r="F1554" t="s">
        <v>121</v>
      </c>
      <c r="G1554" t="s">
        <v>13</v>
      </c>
      <c r="H1554" t="s">
        <v>153</v>
      </c>
      <c r="I1554" t="e">
        <f t="shared" ca="1" si="125"/>
        <v>#REF!</v>
      </c>
      <c r="J1554" t="str">
        <f>VLOOKUP($G1554,DefinitionArrays!$I$6:$J$12,2,FALSE)</f>
        <v>Workweek</v>
      </c>
    </row>
    <row r="1555" spans="1:10">
      <c r="A1555" s="159" t="str">
        <f t="shared" si="121"/>
        <v>$B$1:$B$92</v>
      </c>
      <c r="B1555" s="159" t="str">
        <f t="shared" si="122"/>
        <v>$C$1:$C$92</v>
      </c>
      <c r="C1555" s="159" t="str">
        <f t="shared" si="123"/>
        <v>February!$B$1:$B$92</v>
      </c>
      <c r="D1555" s="159" t="str">
        <f t="shared" si="124"/>
        <v>February!$C$1:$C$92</v>
      </c>
      <c r="E1555" t="s">
        <v>5</v>
      </c>
      <c r="F1555" t="s">
        <v>121</v>
      </c>
      <c r="G1555" t="s">
        <v>13</v>
      </c>
      <c r="H1555" t="s">
        <v>19</v>
      </c>
      <c r="I1555" t="e">
        <f t="shared" ca="1" si="125"/>
        <v>#REF!</v>
      </c>
      <c r="J1555" t="str">
        <f>VLOOKUP($G1555,DefinitionArrays!$I$6:$J$12,2,FALSE)</f>
        <v>Workweek</v>
      </c>
    </row>
    <row r="1556" spans="1:10">
      <c r="A1556" s="159" t="str">
        <f t="shared" si="121"/>
        <v>$B$1:$B$92</v>
      </c>
      <c r="B1556" s="159" t="str">
        <f t="shared" si="122"/>
        <v>$C$1:$C$92</v>
      </c>
      <c r="C1556" s="159" t="str">
        <f t="shared" si="123"/>
        <v>February!$B$1:$B$92</v>
      </c>
      <c r="D1556" s="159" t="str">
        <f t="shared" si="124"/>
        <v>February!$C$1:$C$92</v>
      </c>
      <c r="E1556" t="s">
        <v>5</v>
      </c>
      <c r="F1556" t="s">
        <v>121</v>
      </c>
      <c r="G1556" t="s">
        <v>13</v>
      </c>
      <c r="H1556" t="s">
        <v>20</v>
      </c>
      <c r="I1556" t="e">
        <f t="shared" ca="1" si="125"/>
        <v>#REF!</v>
      </c>
      <c r="J1556" t="str">
        <f>VLOOKUP($G1556,DefinitionArrays!$I$6:$J$12,2,FALSE)</f>
        <v>Workweek</v>
      </c>
    </row>
    <row r="1557" spans="1:10">
      <c r="A1557" s="159" t="str">
        <f t="shared" si="121"/>
        <v>$B$1:$B$92</v>
      </c>
      <c r="B1557" s="159" t="str">
        <f t="shared" si="122"/>
        <v>$C$1:$C$92</v>
      </c>
      <c r="C1557" s="159" t="str">
        <f t="shared" si="123"/>
        <v>February!$B$1:$B$92</v>
      </c>
      <c r="D1557" s="159" t="str">
        <f t="shared" si="124"/>
        <v>February!$C$1:$C$92</v>
      </c>
      <c r="E1557" t="s">
        <v>5</v>
      </c>
      <c r="F1557" t="s">
        <v>121</v>
      </c>
      <c r="G1557" t="s">
        <v>13</v>
      </c>
      <c r="H1557" t="s">
        <v>21</v>
      </c>
      <c r="I1557" t="e">
        <f t="shared" ca="1" si="125"/>
        <v>#REF!</v>
      </c>
      <c r="J1557" t="str">
        <f>VLOOKUP($G1557,DefinitionArrays!$I$6:$J$12,2,FALSE)</f>
        <v>Workweek</v>
      </c>
    </row>
    <row r="1558" spans="1:10">
      <c r="A1558" s="159" t="str">
        <f t="shared" si="121"/>
        <v>$B$1:$B$92</v>
      </c>
      <c r="B1558" s="159" t="str">
        <f t="shared" si="122"/>
        <v>$C$1:$C$92</v>
      </c>
      <c r="C1558" s="159" t="str">
        <f t="shared" si="123"/>
        <v>February!$B$1:$B$92</v>
      </c>
      <c r="D1558" s="159" t="str">
        <f t="shared" si="124"/>
        <v>February!$C$1:$C$92</v>
      </c>
      <c r="E1558" t="s">
        <v>5</v>
      </c>
      <c r="F1558" t="s">
        <v>121</v>
      </c>
      <c r="G1558" t="s">
        <v>13</v>
      </c>
      <c r="H1558" t="s">
        <v>22</v>
      </c>
      <c r="I1558" t="e">
        <f t="shared" ca="1" si="125"/>
        <v>#REF!</v>
      </c>
      <c r="J1558" t="str">
        <f>VLOOKUP($G1558,DefinitionArrays!$I$6:$J$12,2,FALSE)</f>
        <v>Workweek</v>
      </c>
    </row>
    <row r="1559" spans="1:10">
      <c r="A1559" s="159" t="str">
        <f t="shared" si="121"/>
        <v>$B$1:$B$92</v>
      </c>
      <c r="B1559" s="159" t="str">
        <f t="shared" si="122"/>
        <v>$C$1:$C$92</v>
      </c>
      <c r="C1559" s="159" t="str">
        <f t="shared" si="123"/>
        <v>February!$B$1:$B$92</v>
      </c>
      <c r="D1559" s="159" t="str">
        <f t="shared" si="124"/>
        <v>February!$C$1:$C$92</v>
      </c>
      <c r="E1559" t="s">
        <v>5</v>
      </c>
      <c r="F1559" t="s">
        <v>121</v>
      </c>
      <c r="G1559" t="s">
        <v>13</v>
      </c>
      <c r="H1559" t="s">
        <v>23</v>
      </c>
      <c r="I1559" t="e">
        <f t="shared" ca="1" si="125"/>
        <v>#REF!</v>
      </c>
      <c r="J1559" t="str">
        <f>VLOOKUP($G1559,DefinitionArrays!$I$6:$J$12,2,FALSE)</f>
        <v>Workweek</v>
      </c>
    </row>
    <row r="1560" spans="1:10">
      <c r="A1560" s="159" t="str">
        <f t="shared" si="121"/>
        <v>$B$1:$B$92</v>
      </c>
      <c r="B1560" s="159" t="str">
        <f t="shared" si="122"/>
        <v>$C$1:$C$92</v>
      </c>
      <c r="C1560" s="159" t="str">
        <f t="shared" si="123"/>
        <v>February!$B$1:$B$92</v>
      </c>
      <c r="D1560" s="159" t="str">
        <f t="shared" si="124"/>
        <v>February!$C$1:$C$92</v>
      </c>
      <c r="E1560" t="s">
        <v>5</v>
      </c>
      <c r="F1560" t="s">
        <v>121</v>
      </c>
      <c r="G1560" t="s">
        <v>13</v>
      </c>
      <c r="H1560" t="s">
        <v>24</v>
      </c>
      <c r="I1560" t="e">
        <f t="shared" ca="1" si="125"/>
        <v>#REF!</v>
      </c>
      <c r="J1560" t="str">
        <f>VLOOKUP($G1560,DefinitionArrays!$I$6:$J$12,2,FALSE)</f>
        <v>Workweek</v>
      </c>
    </row>
    <row r="1561" spans="1:10">
      <c r="A1561" s="159" t="str">
        <f t="shared" si="121"/>
        <v>$B$1:$B$92</v>
      </c>
      <c r="B1561" s="159" t="str">
        <f t="shared" si="122"/>
        <v>$C$1:$C$92</v>
      </c>
      <c r="C1561" s="159" t="str">
        <f t="shared" si="123"/>
        <v>February!$B$1:$B$92</v>
      </c>
      <c r="D1561" s="159" t="str">
        <f t="shared" si="124"/>
        <v>February!$C$1:$C$92</v>
      </c>
      <c r="E1561" t="s">
        <v>5</v>
      </c>
      <c r="F1561" t="s">
        <v>121</v>
      </c>
      <c r="G1561" t="s">
        <v>13</v>
      </c>
      <c r="H1561" t="s">
        <v>179</v>
      </c>
      <c r="I1561" t="e">
        <f t="shared" ca="1" si="125"/>
        <v>#REF!</v>
      </c>
      <c r="J1561" t="str">
        <f>VLOOKUP($G1561,DefinitionArrays!$I$6:$J$12,2,FALSE)</f>
        <v>Workweek</v>
      </c>
    </row>
    <row r="1562" spans="1:10">
      <c r="A1562" s="159" t="str">
        <f t="shared" si="121"/>
        <v>$B$1:$B$92</v>
      </c>
      <c r="B1562" s="159" t="str">
        <f t="shared" si="122"/>
        <v>$C$1:$C$92</v>
      </c>
      <c r="C1562" s="159" t="str">
        <f t="shared" si="123"/>
        <v>February!$B$1:$B$92</v>
      </c>
      <c r="D1562" s="159" t="str">
        <f t="shared" si="124"/>
        <v>February!$C$1:$C$92</v>
      </c>
      <c r="E1562" t="s">
        <v>5</v>
      </c>
      <c r="F1562" t="s">
        <v>121</v>
      </c>
      <c r="G1562" t="s">
        <v>13</v>
      </c>
      <c r="H1562" t="s">
        <v>180</v>
      </c>
      <c r="I1562" t="e">
        <f t="shared" ca="1" si="125"/>
        <v>#REF!</v>
      </c>
      <c r="J1562" t="str">
        <f>VLOOKUP($G1562,DefinitionArrays!$I$6:$J$12,2,FALSE)</f>
        <v>Workweek</v>
      </c>
    </row>
    <row r="1563" spans="1:10">
      <c r="A1563" s="159" t="str">
        <f t="shared" si="121"/>
        <v>$B$1:$B$92</v>
      </c>
      <c r="B1563" s="159" t="str">
        <f t="shared" si="122"/>
        <v>$C$1:$C$92</v>
      </c>
      <c r="C1563" s="159" t="str">
        <f t="shared" si="123"/>
        <v>February!$B$1:$B$92</v>
      </c>
      <c r="D1563" s="159" t="str">
        <f t="shared" si="124"/>
        <v>February!$C$1:$C$92</v>
      </c>
      <c r="E1563" t="s">
        <v>5</v>
      </c>
      <c r="F1563" t="s">
        <v>121</v>
      </c>
      <c r="G1563" t="s">
        <v>13</v>
      </c>
      <c r="H1563" t="s">
        <v>44</v>
      </c>
      <c r="I1563" t="e">
        <f t="shared" ca="1" si="125"/>
        <v>#REF!</v>
      </c>
      <c r="J1563" t="str">
        <f>VLOOKUP($G1563,DefinitionArrays!$I$6:$J$12,2,FALSE)</f>
        <v>Workweek</v>
      </c>
    </row>
    <row r="1564" spans="1:10">
      <c r="A1564" s="159" t="str">
        <f t="shared" si="121"/>
        <v>$E$1:$E$92</v>
      </c>
      <c r="B1564" s="159" t="str">
        <f t="shared" si="122"/>
        <v>$F$1:$F$92</v>
      </c>
      <c r="C1564" s="159" t="str">
        <f t="shared" si="123"/>
        <v>February!$E$1:$E$92</v>
      </c>
      <c r="D1564" s="159" t="str">
        <f t="shared" si="124"/>
        <v>February!$F$1:$F$92</v>
      </c>
      <c r="E1564" t="s">
        <v>5</v>
      </c>
      <c r="F1564" t="s">
        <v>121</v>
      </c>
      <c r="G1564" t="s">
        <v>142</v>
      </c>
      <c r="H1564" t="s">
        <v>159</v>
      </c>
      <c r="I1564" t="e">
        <f t="shared" ca="1" si="125"/>
        <v>#REF!</v>
      </c>
      <c r="J1564" t="str">
        <f>VLOOKUP($G1564,DefinitionArrays!$I$6:$J$12,2,FALSE)</f>
        <v>Workweek</v>
      </c>
    </row>
    <row r="1565" spans="1:10">
      <c r="A1565" s="159" t="str">
        <f t="shared" si="121"/>
        <v>$E$1:$E$92</v>
      </c>
      <c r="B1565" s="159" t="str">
        <f t="shared" si="122"/>
        <v>$F$1:$F$92</v>
      </c>
      <c r="C1565" s="159" t="str">
        <f t="shared" si="123"/>
        <v>February!$E$1:$E$92</v>
      </c>
      <c r="D1565" s="159" t="str">
        <f t="shared" si="124"/>
        <v>February!$F$1:$F$92</v>
      </c>
      <c r="E1565" t="s">
        <v>5</v>
      </c>
      <c r="F1565" t="s">
        <v>121</v>
      </c>
      <c r="G1565" t="s">
        <v>142</v>
      </c>
      <c r="H1565" t="s">
        <v>18</v>
      </c>
      <c r="I1565" t="e">
        <f t="shared" ca="1" si="125"/>
        <v>#REF!</v>
      </c>
      <c r="J1565" t="str">
        <f>VLOOKUP($G1565,DefinitionArrays!$I$6:$J$12,2,FALSE)</f>
        <v>Workweek</v>
      </c>
    </row>
    <row r="1566" spans="1:10">
      <c r="A1566" s="159" t="str">
        <f t="shared" si="121"/>
        <v>$E$1:$E$92</v>
      </c>
      <c r="B1566" s="159" t="str">
        <f t="shared" si="122"/>
        <v>$F$1:$F$92</v>
      </c>
      <c r="C1566" s="159" t="str">
        <f t="shared" si="123"/>
        <v>February!$E$1:$E$92</v>
      </c>
      <c r="D1566" s="159" t="str">
        <f t="shared" si="124"/>
        <v>February!$F$1:$F$92</v>
      </c>
      <c r="E1566" t="s">
        <v>5</v>
      </c>
      <c r="F1566" t="s">
        <v>121</v>
      </c>
      <c r="G1566" t="s">
        <v>142</v>
      </c>
      <c r="H1566" t="s">
        <v>153</v>
      </c>
      <c r="I1566" t="e">
        <f t="shared" ca="1" si="125"/>
        <v>#REF!</v>
      </c>
      <c r="J1566" t="str">
        <f>VLOOKUP($G1566,DefinitionArrays!$I$6:$J$12,2,FALSE)</f>
        <v>Workweek</v>
      </c>
    </row>
    <row r="1567" spans="1:10">
      <c r="A1567" s="159" t="str">
        <f t="shared" si="121"/>
        <v>$E$1:$E$92</v>
      </c>
      <c r="B1567" s="159" t="str">
        <f t="shared" si="122"/>
        <v>$F$1:$F$92</v>
      </c>
      <c r="C1567" s="159" t="str">
        <f t="shared" si="123"/>
        <v>February!$E$1:$E$92</v>
      </c>
      <c r="D1567" s="159" t="str">
        <f t="shared" si="124"/>
        <v>February!$F$1:$F$92</v>
      </c>
      <c r="E1567" t="s">
        <v>5</v>
      </c>
      <c r="F1567" t="s">
        <v>121</v>
      </c>
      <c r="G1567" t="s">
        <v>142</v>
      </c>
      <c r="H1567" t="s">
        <v>19</v>
      </c>
      <c r="I1567" t="e">
        <f t="shared" ca="1" si="125"/>
        <v>#REF!</v>
      </c>
      <c r="J1567" t="str">
        <f>VLOOKUP($G1567,DefinitionArrays!$I$6:$J$12,2,FALSE)</f>
        <v>Workweek</v>
      </c>
    </row>
    <row r="1568" spans="1:10">
      <c r="A1568" s="159" t="str">
        <f t="shared" si="121"/>
        <v>$E$1:$E$92</v>
      </c>
      <c r="B1568" s="159" t="str">
        <f t="shared" si="122"/>
        <v>$F$1:$F$92</v>
      </c>
      <c r="C1568" s="159" t="str">
        <f t="shared" si="123"/>
        <v>February!$E$1:$E$92</v>
      </c>
      <c r="D1568" s="159" t="str">
        <f t="shared" si="124"/>
        <v>February!$F$1:$F$92</v>
      </c>
      <c r="E1568" t="s">
        <v>5</v>
      </c>
      <c r="F1568" t="s">
        <v>121</v>
      </c>
      <c r="G1568" t="s">
        <v>142</v>
      </c>
      <c r="H1568" t="s">
        <v>20</v>
      </c>
      <c r="I1568" t="e">
        <f t="shared" ca="1" si="125"/>
        <v>#REF!</v>
      </c>
      <c r="J1568" t="str">
        <f>VLOOKUP($G1568,DefinitionArrays!$I$6:$J$12,2,FALSE)</f>
        <v>Workweek</v>
      </c>
    </row>
    <row r="1569" spans="1:10">
      <c r="A1569" s="159" t="str">
        <f t="shared" si="121"/>
        <v>$E$1:$E$92</v>
      </c>
      <c r="B1569" s="159" t="str">
        <f t="shared" si="122"/>
        <v>$F$1:$F$92</v>
      </c>
      <c r="C1569" s="159" t="str">
        <f t="shared" si="123"/>
        <v>February!$E$1:$E$92</v>
      </c>
      <c r="D1569" s="159" t="str">
        <f t="shared" si="124"/>
        <v>February!$F$1:$F$92</v>
      </c>
      <c r="E1569" t="s">
        <v>5</v>
      </c>
      <c r="F1569" t="s">
        <v>121</v>
      </c>
      <c r="G1569" t="s">
        <v>142</v>
      </c>
      <c r="H1569" t="s">
        <v>21</v>
      </c>
      <c r="I1569" t="e">
        <f t="shared" ca="1" si="125"/>
        <v>#REF!</v>
      </c>
      <c r="J1569" t="str">
        <f>VLOOKUP($G1569,DefinitionArrays!$I$6:$J$12,2,FALSE)</f>
        <v>Workweek</v>
      </c>
    </row>
    <row r="1570" spans="1:10">
      <c r="A1570" s="159" t="str">
        <f t="shared" si="121"/>
        <v>$E$1:$E$92</v>
      </c>
      <c r="B1570" s="159" t="str">
        <f t="shared" si="122"/>
        <v>$F$1:$F$92</v>
      </c>
      <c r="C1570" s="159" t="str">
        <f t="shared" si="123"/>
        <v>February!$E$1:$E$92</v>
      </c>
      <c r="D1570" s="159" t="str">
        <f t="shared" si="124"/>
        <v>February!$F$1:$F$92</v>
      </c>
      <c r="E1570" t="s">
        <v>5</v>
      </c>
      <c r="F1570" t="s">
        <v>121</v>
      </c>
      <c r="G1570" t="s">
        <v>142</v>
      </c>
      <c r="H1570" t="s">
        <v>22</v>
      </c>
      <c r="I1570" t="e">
        <f t="shared" ca="1" si="125"/>
        <v>#REF!</v>
      </c>
      <c r="J1570" t="str">
        <f>VLOOKUP($G1570,DefinitionArrays!$I$6:$J$12,2,FALSE)</f>
        <v>Workweek</v>
      </c>
    </row>
    <row r="1571" spans="1:10">
      <c r="A1571" s="159" t="str">
        <f t="shared" si="121"/>
        <v>$E$1:$E$92</v>
      </c>
      <c r="B1571" s="159" t="str">
        <f t="shared" si="122"/>
        <v>$F$1:$F$92</v>
      </c>
      <c r="C1571" s="159" t="str">
        <f t="shared" si="123"/>
        <v>February!$E$1:$E$92</v>
      </c>
      <c r="D1571" s="159" t="str">
        <f t="shared" si="124"/>
        <v>February!$F$1:$F$92</v>
      </c>
      <c r="E1571" t="s">
        <v>5</v>
      </c>
      <c r="F1571" t="s">
        <v>121</v>
      </c>
      <c r="G1571" t="s">
        <v>142</v>
      </c>
      <c r="H1571" t="s">
        <v>23</v>
      </c>
      <c r="I1571" t="e">
        <f t="shared" ca="1" si="125"/>
        <v>#REF!</v>
      </c>
      <c r="J1571" t="str">
        <f>VLOOKUP($G1571,DefinitionArrays!$I$6:$J$12,2,FALSE)</f>
        <v>Workweek</v>
      </c>
    </row>
    <row r="1572" spans="1:10">
      <c r="A1572" s="159" t="str">
        <f t="shared" si="121"/>
        <v>$E$1:$E$92</v>
      </c>
      <c r="B1572" s="159" t="str">
        <f t="shared" si="122"/>
        <v>$F$1:$F$92</v>
      </c>
      <c r="C1572" s="159" t="str">
        <f t="shared" si="123"/>
        <v>February!$E$1:$E$92</v>
      </c>
      <c r="D1572" s="159" t="str">
        <f t="shared" si="124"/>
        <v>February!$F$1:$F$92</v>
      </c>
      <c r="E1572" t="s">
        <v>5</v>
      </c>
      <c r="F1572" t="s">
        <v>121</v>
      </c>
      <c r="G1572" t="s">
        <v>142</v>
      </c>
      <c r="H1572" t="s">
        <v>24</v>
      </c>
      <c r="I1572" t="e">
        <f t="shared" ca="1" si="125"/>
        <v>#REF!</v>
      </c>
      <c r="J1572" t="str">
        <f>VLOOKUP($G1572,DefinitionArrays!$I$6:$J$12,2,FALSE)</f>
        <v>Workweek</v>
      </c>
    </row>
    <row r="1573" spans="1:10">
      <c r="A1573" s="159" t="str">
        <f t="shared" si="121"/>
        <v>$E$1:$E$92</v>
      </c>
      <c r="B1573" s="159" t="str">
        <f t="shared" si="122"/>
        <v>$F$1:$F$92</v>
      </c>
      <c r="C1573" s="159" t="str">
        <f t="shared" si="123"/>
        <v>February!$E$1:$E$92</v>
      </c>
      <c r="D1573" s="159" t="str">
        <f t="shared" si="124"/>
        <v>February!$F$1:$F$92</v>
      </c>
      <c r="E1573" t="s">
        <v>5</v>
      </c>
      <c r="F1573" t="s">
        <v>121</v>
      </c>
      <c r="G1573" t="s">
        <v>142</v>
      </c>
      <c r="H1573" t="s">
        <v>179</v>
      </c>
      <c r="I1573" t="e">
        <f t="shared" ca="1" si="125"/>
        <v>#REF!</v>
      </c>
      <c r="J1573" t="str">
        <f>VLOOKUP($G1573,DefinitionArrays!$I$6:$J$12,2,FALSE)</f>
        <v>Workweek</v>
      </c>
    </row>
    <row r="1574" spans="1:10">
      <c r="A1574" s="159" t="str">
        <f t="shared" si="121"/>
        <v>$E$1:$E$92</v>
      </c>
      <c r="B1574" s="159" t="str">
        <f t="shared" si="122"/>
        <v>$F$1:$F$92</v>
      </c>
      <c r="C1574" s="159" t="str">
        <f t="shared" si="123"/>
        <v>February!$E$1:$E$92</v>
      </c>
      <c r="D1574" s="159" t="str">
        <f t="shared" si="124"/>
        <v>February!$F$1:$F$92</v>
      </c>
      <c r="E1574" t="s">
        <v>5</v>
      </c>
      <c r="F1574" t="s">
        <v>121</v>
      </c>
      <c r="G1574" t="s">
        <v>142</v>
      </c>
      <c r="H1574" t="s">
        <v>180</v>
      </c>
      <c r="I1574" t="e">
        <f t="shared" ca="1" si="125"/>
        <v>#REF!</v>
      </c>
      <c r="J1574" t="str">
        <f>VLOOKUP($G1574,DefinitionArrays!$I$6:$J$12,2,FALSE)</f>
        <v>Workweek</v>
      </c>
    </row>
    <row r="1575" spans="1:10">
      <c r="A1575" s="159" t="str">
        <f t="shared" si="121"/>
        <v>$E$1:$E$92</v>
      </c>
      <c r="B1575" s="159" t="str">
        <f t="shared" si="122"/>
        <v>$F$1:$F$92</v>
      </c>
      <c r="C1575" s="159" t="str">
        <f t="shared" si="123"/>
        <v>February!$E$1:$E$92</v>
      </c>
      <c r="D1575" s="159" t="str">
        <f t="shared" si="124"/>
        <v>February!$F$1:$F$92</v>
      </c>
      <c r="E1575" t="s">
        <v>5</v>
      </c>
      <c r="F1575" t="s">
        <v>121</v>
      </c>
      <c r="G1575" t="s">
        <v>142</v>
      </c>
      <c r="H1575" t="s">
        <v>44</v>
      </c>
      <c r="I1575" t="e">
        <f t="shared" ca="1" si="125"/>
        <v>#REF!</v>
      </c>
      <c r="J1575" t="str">
        <f>VLOOKUP($G1575,DefinitionArrays!$I$6:$J$12,2,FALSE)</f>
        <v>Workweek</v>
      </c>
    </row>
    <row r="1576" spans="1:10">
      <c r="A1576" s="159" t="str">
        <f t="shared" si="121"/>
        <v>$H$1:$H$92</v>
      </c>
      <c r="B1576" s="159" t="str">
        <f t="shared" si="122"/>
        <v>$I$1:$I$92</v>
      </c>
      <c r="C1576" s="159" t="str">
        <f t="shared" si="123"/>
        <v>February!$H$1:$H$92</v>
      </c>
      <c r="D1576" s="159" t="str">
        <f t="shared" si="124"/>
        <v>February!$I$1:$I$92</v>
      </c>
      <c r="E1576" t="s">
        <v>5</v>
      </c>
      <c r="F1576" t="s">
        <v>121</v>
      </c>
      <c r="G1576" t="s">
        <v>143</v>
      </c>
      <c r="H1576" t="s">
        <v>159</v>
      </c>
      <c r="I1576" t="e">
        <f t="shared" ca="1" si="125"/>
        <v>#REF!</v>
      </c>
      <c r="J1576" t="str">
        <f>VLOOKUP($G1576,DefinitionArrays!$I$6:$J$12,2,FALSE)</f>
        <v>Workweek</v>
      </c>
    </row>
    <row r="1577" spans="1:10">
      <c r="A1577" s="159" t="str">
        <f t="shared" si="121"/>
        <v>$H$1:$H$92</v>
      </c>
      <c r="B1577" s="159" t="str">
        <f t="shared" si="122"/>
        <v>$I$1:$I$92</v>
      </c>
      <c r="C1577" s="159" t="str">
        <f t="shared" si="123"/>
        <v>February!$H$1:$H$92</v>
      </c>
      <c r="D1577" s="159" t="str">
        <f t="shared" si="124"/>
        <v>February!$I$1:$I$92</v>
      </c>
      <c r="E1577" t="s">
        <v>5</v>
      </c>
      <c r="F1577" t="s">
        <v>121</v>
      </c>
      <c r="G1577" t="s">
        <v>143</v>
      </c>
      <c r="H1577" t="s">
        <v>18</v>
      </c>
      <c r="I1577" t="e">
        <f t="shared" ca="1" si="125"/>
        <v>#REF!</v>
      </c>
      <c r="J1577" t="str">
        <f>VLOOKUP($G1577,DefinitionArrays!$I$6:$J$12,2,FALSE)</f>
        <v>Workweek</v>
      </c>
    </row>
    <row r="1578" spans="1:10">
      <c r="A1578" s="159" t="str">
        <f t="shared" si="121"/>
        <v>$H$1:$H$92</v>
      </c>
      <c r="B1578" s="159" t="str">
        <f t="shared" si="122"/>
        <v>$I$1:$I$92</v>
      </c>
      <c r="C1578" s="159" t="str">
        <f t="shared" si="123"/>
        <v>February!$H$1:$H$92</v>
      </c>
      <c r="D1578" s="159" t="str">
        <f t="shared" si="124"/>
        <v>February!$I$1:$I$92</v>
      </c>
      <c r="E1578" t="s">
        <v>5</v>
      </c>
      <c r="F1578" t="s">
        <v>121</v>
      </c>
      <c r="G1578" t="s">
        <v>143</v>
      </c>
      <c r="H1578" t="s">
        <v>153</v>
      </c>
      <c r="I1578" t="e">
        <f t="shared" ca="1" si="125"/>
        <v>#REF!</v>
      </c>
      <c r="J1578" t="str">
        <f>VLOOKUP($G1578,DefinitionArrays!$I$6:$J$12,2,FALSE)</f>
        <v>Workweek</v>
      </c>
    </row>
    <row r="1579" spans="1:10">
      <c r="A1579" s="159" t="str">
        <f t="shared" si="121"/>
        <v>$H$1:$H$92</v>
      </c>
      <c r="B1579" s="159" t="str">
        <f t="shared" si="122"/>
        <v>$I$1:$I$92</v>
      </c>
      <c r="C1579" s="159" t="str">
        <f t="shared" si="123"/>
        <v>February!$H$1:$H$92</v>
      </c>
      <c r="D1579" s="159" t="str">
        <f t="shared" si="124"/>
        <v>February!$I$1:$I$92</v>
      </c>
      <c r="E1579" t="s">
        <v>5</v>
      </c>
      <c r="F1579" t="s">
        <v>121</v>
      </c>
      <c r="G1579" t="s">
        <v>143</v>
      </c>
      <c r="H1579" t="s">
        <v>19</v>
      </c>
      <c r="I1579" t="e">
        <f t="shared" ca="1" si="125"/>
        <v>#REF!</v>
      </c>
      <c r="J1579" t="str">
        <f>VLOOKUP($G1579,DefinitionArrays!$I$6:$J$12,2,FALSE)</f>
        <v>Workweek</v>
      </c>
    </row>
    <row r="1580" spans="1:10">
      <c r="A1580" s="159" t="str">
        <f t="shared" si="121"/>
        <v>$H$1:$H$92</v>
      </c>
      <c r="B1580" s="159" t="str">
        <f t="shared" si="122"/>
        <v>$I$1:$I$92</v>
      </c>
      <c r="C1580" s="159" t="str">
        <f t="shared" si="123"/>
        <v>February!$H$1:$H$92</v>
      </c>
      <c r="D1580" s="159" t="str">
        <f t="shared" si="124"/>
        <v>February!$I$1:$I$92</v>
      </c>
      <c r="E1580" t="s">
        <v>5</v>
      </c>
      <c r="F1580" t="s">
        <v>121</v>
      </c>
      <c r="G1580" t="s">
        <v>143</v>
      </c>
      <c r="H1580" t="s">
        <v>20</v>
      </c>
      <c r="I1580" t="e">
        <f t="shared" ca="1" si="125"/>
        <v>#REF!</v>
      </c>
      <c r="J1580" t="str">
        <f>VLOOKUP($G1580,DefinitionArrays!$I$6:$J$12,2,FALSE)</f>
        <v>Workweek</v>
      </c>
    </row>
    <row r="1581" spans="1:10">
      <c r="A1581" s="159" t="str">
        <f t="shared" si="121"/>
        <v>$H$1:$H$92</v>
      </c>
      <c r="B1581" s="159" t="str">
        <f t="shared" si="122"/>
        <v>$I$1:$I$92</v>
      </c>
      <c r="C1581" s="159" t="str">
        <f t="shared" si="123"/>
        <v>February!$H$1:$H$92</v>
      </c>
      <c r="D1581" s="159" t="str">
        <f t="shared" si="124"/>
        <v>February!$I$1:$I$92</v>
      </c>
      <c r="E1581" t="s">
        <v>5</v>
      </c>
      <c r="F1581" t="s">
        <v>121</v>
      </c>
      <c r="G1581" t="s">
        <v>143</v>
      </c>
      <c r="H1581" t="s">
        <v>21</v>
      </c>
      <c r="I1581" t="e">
        <f t="shared" ca="1" si="125"/>
        <v>#REF!</v>
      </c>
      <c r="J1581" t="str">
        <f>VLOOKUP($G1581,DefinitionArrays!$I$6:$J$12,2,FALSE)</f>
        <v>Workweek</v>
      </c>
    </row>
    <row r="1582" spans="1:10">
      <c r="A1582" s="159" t="str">
        <f t="shared" si="121"/>
        <v>$H$1:$H$92</v>
      </c>
      <c r="B1582" s="159" t="str">
        <f t="shared" si="122"/>
        <v>$I$1:$I$92</v>
      </c>
      <c r="C1582" s="159" t="str">
        <f t="shared" si="123"/>
        <v>February!$H$1:$H$92</v>
      </c>
      <c r="D1582" s="159" t="str">
        <f t="shared" si="124"/>
        <v>February!$I$1:$I$92</v>
      </c>
      <c r="E1582" t="s">
        <v>5</v>
      </c>
      <c r="F1582" t="s">
        <v>121</v>
      </c>
      <c r="G1582" t="s">
        <v>143</v>
      </c>
      <c r="H1582" t="s">
        <v>22</v>
      </c>
      <c r="I1582" t="e">
        <f t="shared" ca="1" si="125"/>
        <v>#REF!</v>
      </c>
      <c r="J1582" t="str">
        <f>VLOOKUP($G1582,DefinitionArrays!$I$6:$J$12,2,FALSE)</f>
        <v>Workweek</v>
      </c>
    </row>
    <row r="1583" spans="1:10">
      <c r="A1583" s="159" t="str">
        <f t="shared" si="121"/>
        <v>$H$1:$H$92</v>
      </c>
      <c r="B1583" s="159" t="str">
        <f t="shared" si="122"/>
        <v>$I$1:$I$92</v>
      </c>
      <c r="C1583" s="159" t="str">
        <f t="shared" si="123"/>
        <v>February!$H$1:$H$92</v>
      </c>
      <c r="D1583" s="159" t="str">
        <f t="shared" si="124"/>
        <v>February!$I$1:$I$92</v>
      </c>
      <c r="E1583" t="s">
        <v>5</v>
      </c>
      <c r="F1583" t="s">
        <v>121</v>
      </c>
      <c r="G1583" t="s">
        <v>143</v>
      </c>
      <c r="H1583" t="s">
        <v>23</v>
      </c>
      <c r="I1583" t="e">
        <f t="shared" ca="1" si="125"/>
        <v>#REF!</v>
      </c>
      <c r="J1583" t="str">
        <f>VLOOKUP($G1583,DefinitionArrays!$I$6:$J$12,2,FALSE)</f>
        <v>Workweek</v>
      </c>
    </row>
    <row r="1584" spans="1:10">
      <c r="A1584" s="159" t="str">
        <f t="shared" si="121"/>
        <v>$H$1:$H$92</v>
      </c>
      <c r="B1584" s="159" t="str">
        <f t="shared" si="122"/>
        <v>$I$1:$I$92</v>
      </c>
      <c r="C1584" s="159" t="str">
        <f t="shared" si="123"/>
        <v>February!$H$1:$H$92</v>
      </c>
      <c r="D1584" s="159" t="str">
        <f t="shared" si="124"/>
        <v>February!$I$1:$I$92</v>
      </c>
      <c r="E1584" t="s">
        <v>5</v>
      </c>
      <c r="F1584" t="s">
        <v>121</v>
      </c>
      <c r="G1584" t="s">
        <v>143</v>
      </c>
      <c r="H1584" t="s">
        <v>24</v>
      </c>
      <c r="I1584" t="e">
        <f t="shared" ca="1" si="125"/>
        <v>#REF!</v>
      </c>
      <c r="J1584" t="str">
        <f>VLOOKUP($G1584,DefinitionArrays!$I$6:$J$12,2,FALSE)</f>
        <v>Workweek</v>
      </c>
    </row>
    <row r="1585" spans="1:10">
      <c r="A1585" s="159" t="str">
        <f t="shared" si="121"/>
        <v>$H$1:$H$92</v>
      </c>
      <c r="B1585" s="159" t="str">
        <f t="shared" si="122"/>
        <v>$I$1:$I$92</v>
      </c>
      <c r="C1585" s="159" t="str">
        <f t="shared" si="123"/>
        <v>February!$H$1:$H$92</v>
      </c>
      <c r="D1585" s="159" t="str">
        <f t="shared" si="124"/>
        <v>February!$I$1:$I$92</v>
      </c>
      <c r="E1585" t="s">
        <v>5</v>
      </c>
      <c r="F1585" t="s">
        <v>121</v>
      </c>
      <c r="G1585" t="s">
        <v>143</v>
      </c>
      <c r="H1585" t="s">
        <v>179</v>
      </c>
      <c r="I1585" t="e">
        <f t="shared" ca="1" si="125"/>
        <v>#REF!</v>
      </c>
      <c r="J1585" t="str">
        <f>VLOOKUP($G1585,DefinitionArrays!$I$6:$J$12,2,FALSE)</f>
        <v>Workweek</v>
      </c>
    </row>
    <row r="1586" spans="1:10">
      <c r="A1586" s="159" t="str">
        <f t="shared" si="121"/>
        <v>$H$1:$H$92</v>
      </c>
      <c r="B1586" s="159" t="str">
        <f t="shared" si="122"/>
        <v>$I$1:$I$92</v>
      </c>
      <c r="C1586" s="159" t="str">
        <f t="shared" si="123"/>
        <v>February!$H$1:$H$92</v>
      </c>
      <c r="D1586" s="159" t="str">
        <f t="shared" si="124"/>
        <v>February!$I$1:$I$92</v>
      </c>
      <c r="E1586" t="s">
        <v>5</v>
      </c>
      <c r="F1586" t="s">
        <v>121</v>
      </c>
      <c r="G1586" t="s">
        <v>143</v>
      </c>
      <c r="H1586" t="s">
        <v>180</v>
      </c>
      <c r="I1586" t="e">
        <f t="shared" ca="1" si="125"/>
        <v>#REF!</v>
      </c>
      <c r="J1586" t="str">
        <f>VLOOKUP($G1586,DefinitionArrays!$I$6:$J$12,2,FALSE)</f>
        <v>Workweek</v>
      </c>
    </row>
    <row r="1587" spans="1:10">
      <c r="A1587" s="159" t="str">
        <f t="shared" si="121"/>
        <v>$H$1:$H$92</v>
      </c>
      <c r="B1587" s="159" t="str">
        <f t="shared" si="122"/>
        <v>$I$1:$I$92</v>
      </c>
      <c r="C1587" s="159" t="str">
        <f t="shared" si="123"/>
        <v>February!$H$1:$H$92</v>
      </c>
      <c r="D1587" s="159" t="str">
        <f t="shared" si="124"/>
        <v>February!$I$1:$I$92</v>
      </c>
      <c r="E1587" t="s">
        <v>5</v>
      </c>
      <c r="F1587" t="s">
        <v>121</v>
      </c>
      <c r="G1587" t="s">
        <v>143</v>
      </c>
      <c r="H1587" t="s">
        <v>44</v>
      </c>
      <c r="I1587" t="e">
        <f t="shared" ca="1" si="125"/>
        <v>#REF!</v>
      </c>
      <c r="J1587" t="str">
        <f>VLOOKUP($G1587,DefinitionArrays!$I$6:$J$12,2,FALSE)</f>
        <v>Workweek</v>
      </c>
    </row>
    <row r="1588" spans="1:10">
      <c r="A1588" s="159" t="str">
        <f t="shared" si="121"/>
        <v>$K$1:$K$92</v>
      </c>
      <c r="B1588" s="159" t="str">
        <f t="shared" si="122"/>
        <v>$L$1:$L$92</v>
      </c>
      <c r="C1588" s="159" t="str">
        <f t="shared" si="123"/>
        <v>February!$K$1:$K$92</v>
      </c>
      <c r="D1588" s="159" t="str">
        <f t="shared" si="124"/>
        <v>February!$L$1:$L$92</v>
      </c>
      <c r="E1588" t="s">
        <v>5</v>
      </c>
      <c r="F1588" t="s">
        <v>121</v>
      </c>
      <c r="G1588" t="s">
        <v>144</v>
      </c>
      <c r="H1588" t="s">
        <v>159</v>
      </c>
      <c r="I1588" t="e">
        <f t="shared" ca="1" si="125"/>
        <v>#REF!</v>
      </c>
      <c r="J1588" t="str">
        <f>VLOOKUP($G1588,DefinitionArrays!$I$6:$J$12,2,FALSE)</f>
        <v>Workweek</v>
      </c>
    </row>
    <row r="1589" spans="1:10">
      <c r="A1589" s="159" t="str">
        <f t="shared" si="121"/>
        <v>$K$1:$K$92</v>
      </c>
      <c r="B1589" s="159" t="str">
        <f t="shared" si="122"/>
        <v>$L$1:$L$92</v>
      </c>
      <c r="C1589" s="159" t="str">
        <f t="shared" si="123"/>
        <v>February!$K$1:$K$92</v>
      </c>
      <c r="D1589" s="159" t="str">
        <f t="shared" si="124"/>
        <v>February!$L$1:$L$92</v>
      </c>
      <c r="E1589" t="s">
        <v>5</v>
      </c>
      <c r="F1589" t="s">
        <v>121</v>
      </c>
      <c r="G1589" t="s">
        <v>144</v>
      </c>
      <c r="H1589" t="s">
        <v>18</v>
      </c>
      <c r="I1589" t="e">
        <f t="shared" ca="1" si="125"/>
        <v>#REF!</v>
      </c>
      <c r="J1589" t="str">
        <f>VLOOKUP($G1589,DefinitionArrays!$I$6:$J$12,2,FALSE)</f>
        <v>Workweek</v>
      </c>
    </row>
    <row r="1590" spans="1:10">
      <c r="A1590" s="159" t="str">
        <f t="shared" si="121"/>
        <v>$K$1:$K$92</v>
      </c>
      <c r="B1590" s="159" t="str">
        <f t="shared" si="122"/>
        <v>$L$1:$L$92</v>
      </c>
      <c r="C1590" s="159" t="str">
        <f t="shared" si="123"/>
        <v>February!$K$1:$K$92</v>
      </c>
      <c r="D1590" s="159" t="str">
        <f t="shared" si="124"/>
        <v>February!$L$1:$L$92</v>
      </c>
      <c r="E1590" t="s">
        <v>5</v>
      </c>
      <c r="F1590" t="s">
        <v>121</v>
      </c>
      <c r="G1590" t="s">
        <v>144</v>
      </c>
      <c r="H1590" t="s">
        <v>153</v>
      </c>
      <c r="I1590" t="e">
        <f t="shared" ca="1" si="125"/>
        <v>#REF!</v>
      </c>
      <c r="J1590" t="str">
        <f>VLOOKUP($G1590,DefinitionArrays!$I$6:$J$12,2,FALSE)</f>
        <v>Workweek</v>
      </c>
    </row>
    <row r="1591" spans="1:10">
      <c r="A1591" s="159" t="str">
        <f t="shared" si="121"/>
        <v>$K$1:$K$92</v>
      </c>
      <c r="B1591" s="159" t="str">
        <f t="shared" si="122"/>
        <v>$L$1:$L$92</v>
      </c>
      <c r="C1591" s="159" t="str">
        <f t="shared" si="123"/>
        <v>February!$K$1:$K$92</v>
      </c>
      <c r="D1591" s="159" t="str">
        <f t="shared" si="124"/>
        <v>February!$L$1:$L$92</v>
      </c>
      <c r="E1591" t="s">
        <v>5</v>
      </c>
      <c r="F1591" t="s">
        <v>121</v>
      </c>
      <c r="G1591" t="s">
        <v>144</v>
      </c>
      <c r="H1591" t="s">
        <v>19</v>
      </c>
      <c r="I1591" t="e">
        <f t="shared" ca="1" si="125"/>
        <v>#REF!</v>
      </c>
      <c r="J1591" t="str">
        <f>VLOOKUP($G1591,DefinitionArrays!$I$6:$J$12,2,FALSE)</f>
        <v>Workweek</v>
      </c>
    </row>
    <row r="1592" spans="1:10">
      <c r="A1592" s="159" t="str">
        <f t="shared" si="121"/>
        <v>$K$1:$K$92</v>
      </c>
      <c r="B1592" s="159" t="str">
        <f t="shared" si="122"/>
        <v>$L$1:$L$92</v>
      </c>
      <c r="C1592" s="159" t="str">
        <f t="shared" si="123"/>
        <v>February!$K$1:$K$92</v>
      </c>
      <c r="D1592" s="159" t="str">
        <f t="shared" si="124"/>
        <v>February!$L$1:$L$92</v>
      </c>
      <c r="E1592" t="s">
        <v>5</v>
      </c>
      <c r="F1592" t="s">
        <v>121</v>
      </c>
      <c r="G1592" t="s">
        <v>144</v>
      </c>
      <c r="H1592" t="s">
        <v>20</v>
      </c>
      <c r="I1592" t="e">
        <f t="shared" ca="1" si="125"/>
        <v>#REF!</v>
      </c>
      <c r="J1592" t="str">
        <f>VLOOKUP($G1592,DefinitionArrays!$I$6:$J$12,2,FALSE)</f>
        <v>Workweek</v>
      </c>
    </row>
    <row r="1593" spans="1:10">
      <c r="A1593" s="159" t="str">
        <f t="shared" si="121"/>
        <v>$K$1:$K$92</v>
      </c>
      <c r="B1593" s="159" t="str">
        <f t="shared" si="122"/>
        <v>$L$1:$L$92</v>
      </c>
      <c r="C1593" s="159" t="str">
        <f t="shared" si="123"/>
        <v>February!$K$1:$K$92</v>
      </c>
      <c r="D1593" s="159" t="str">
        <f t="shared" si="124"/>
        <v>February!$L$1:$L$92</v>
      </c>
      <c r="E1593" t="s">
        <v>5</v>
      </c>
      <c r="F1593" t="s">
        <v>121</v>
      </c>
      <c r="G1593" t="s">
        <v>144</v>
      </c>
      <c r="H1593" t="s">
        <v>21</v>
      </c>
      <c r="I1593" t="e">
        <f t="shared" ca="1" si="125"/>
        <v>#REF!</v>
      </c>
      <c r="J1593" t="str">
        <f>VLOOKUP($G1593,DefinitionArrays!$I$6:$J$12,2,FALSE)</f>
        <v>Workweek</v>
      </c>
    </row>
    <row r="1594" spans="1:10">
      <c r="A1594" s="159" t="str">
        <f t="shared" si="121"/>
        <v>$K$1:$K$92</v>
      </c>
      <c r="B1594" s="159" t="str">
        <f t="shared" si="122"/>
        <v>$L$1:$L$92</v>
      </c>
      <c r="C1594" s="159" t="str">
        <f t="shared" si="123"/>
        <v>February!$K$1:$K$92</v>
      </c>
      <c r="D1594" s="159" t="str">
        <f t="shared" si="124"/>
        <v>February!$L$1:$L$92</v>
      </c>
      <c r="E1594" t="s">
        <v>5</v>
      </c>
      <c r="F1594" t="s">
        <v>121</v>
      </c>
      <c r="G1594" t="s">
        <v>144</v>
      </c>
      <c r="H1594" t="s">
        <v>22</v>
      </c>
      <c r="I1594" t="e">
        <f t="shared" ca="1" si="125"/>
        <v>#REF!</v>
      </c>
      <c r="J1594" t="str">
        <f>VLOOKUP($G1594,DefinitionArrays!$I$6:$J$12,2,FALSE)</f>
        <v>Workweek</v>
      </c>
    </row>
    <row r="1595" spans="1:10">
      <c r="A1595" s="159" t="str">
        <f t="shared" si="121"/>
        <v>$K$1:$K$92</v>
      </c>
      <c r="B1595" s="159" t="str">
        <f t="shared" si="122"/>
        <v>$L$1:$L$92</v>
      </c>
      <c r="C1595" s="159" t="str">
        <f t="shared" si="123"/>
        <v>February!$K$1:$K$92</v>
      </c>
      <c r="D1595" s="159" t="str">
        <f t="shared" si="124"/>
        <v>February!$L$1:$L$92</v>
      </c>
      <c r="E1595" t="s">
        <v>5</v>
      </c>
      <c r="F1595" t="s">
        <v>121</v>
      </c>
      <c r="G1595" t="s">
        <v>144</v>
      </c>
      <c r="H1595" t="s">
        <v>23</v>
      </c>
      <c r="I1595" t="e">
        <f t="shared" ca="1" si="125"/>
        <v>#REF!</v>
      </c>
      <c r="J1595" t="str">
        <f>VLOOKUP($G1595,DefinitionArrays!$I$6:$J$12,2,FALSE)</f>
        <v>Workweek</v>
      </c>
    </row>
    <row r="1596" spans="1:10">
      <c r="A1596" s="159" t="str">
        <f t="shared" si="121"/>
        <v>$K$1:$K$92</v>
      </c>
      <c r="B1596" s="159" t="str">
        <f t="shared" si="122"/>
        <v>$L$1:$L$92</v>
      </c>
      <c r="C1596" s="159" t="str">
        <f t="shared" si="123"/>
        <v>February!$K$1:$K$92</v>
      </c>
      <c r="D1596" s="159" t="str">
        <f t="shared" si="124"/>
        <v>February!$L$1:$L$92</v>
      </c>
      <c r="E1596" t="s">
        <v>5</v>
      </c>
      <c r="F1596" t="s">
        <v>121</v>
      </c>
      <c r="G1596" t="s">
        <v>144</v>
      </c>
      <c r="H1596" t="s">
        <v>24</v>
      </c>
      <c r="I1596" t="e">
        <f t="shared" ca="1" si="125"/>
        <v>#REF!</v>
      </c>
      <c r="J1596" t="str">
        <f>VLOOKUP($G1596,DefinitionArrays!$I$6:$J$12,2,FALSE)</f>
        <v>Workweek</v>
      </c>
    </row>
    <row r="1597" spans="1:10">
      <c r="A1597" s="159" t="str">
        <f t="shared" si="121"/>
        <v>$K$1:$K$92</v>
      </c>
      <c r="B1597" s="159" t="str">
        <f t="shared" si="122"/>
        <v>$L$1:$L$92</v>
      </c>
      <c r="C1597" s="159" t="str">
        <f t="shared" si="123"/>
        <v>February!$K$1:$K$92</v>
      </c>
      <c r="D1597" s="159" t="str">
        <f t="shared" si="124"/>
        <v>February!$L$1:$L$92</v>
      </c>
      <c r="E1597" t="s">
        <v>5</v>
      </c>
      <c r="F1597" t="s">
        <v>121</v>
      </c>
      <c r="G1597" t="s">
        <v>144</v>
      </c>
      <c r="H1597" t="s">
        <v>179</v>
      </c>
      <c r="I1597" t="e">
        <f t="shared" ca="1" si="125"/>
        <v>#REF!</v>
      </c>
      <c r="J1597" t="str">
        <f>VLOOKUP($G1597,DefinitionArrays!$I$6:$J$12,2,FALSE)</f>
        <v>Workweek</v>
      </c>
    </row>
    <row r="1598" spans="1:10">
      <c r="A1598" s="159" t="str">
        <f t="shared" si="121"/>
        <v>$K$1:$K$92</v>
      </c>
      <c r="B1598" s="159" t="str">
        <f t="shared" si="122"/>
        <v>$L$1:$L$92</v>
      </c>
      <c r="C1598" s="159" t="str">
        <f t="shared" si="123"/>
        <v>February!$K$1:$K$92</v>
      </c>
      <c r="D1598" s="159" t="str">
        <f t="shared" si="124"/>
        <v>February!$L$1:$L$92</v>
      </c>
      <c r="E1598" t="s">
        <v>5</v>
      </c>
      <c r="F1598" t="s">
        <v>121</v>
      </c>
      <c r="G1598" t="s">
        <v>144</v>
      </c>
      <c r="H1598" t="s">
        <v>180</v>
      </c>
      <c r="I1598" t="e">
        <f t="shared" ca="1" si="125"/>
        <v>#REF!</v>
      </c>
      <c r="J1598" t="str">
        <f>VLOOKUP($G1598,DefinitionArrays!$I$6:$J$12,2,FALSE)</f>
        <v>Workweek</v>
      </c>
    </row>
    <row r="1599" spans="1:10">
      <c r="A1599" s="159" t="str">
        <f t="shared" si="121"/>
        <v>$K$1:$K$92</v>
      </c>
      <c r="B1599" s="159" t="str">
        <f t="shared" si="122"/>
        <v>$L$1:$L$92</v>
      </c>
      <c r="C1599" s="159" t="str">
        <f t="shared" si="123"/>
        <v>February!$K$1:$K$92</v>
      </c>
      <c r="D1599" s="159" t="str">
        <f t="shared" si="124"/>
        <v>February!$L$1:$L$92</v>
      </c>
      <c r="E1599" t="s">
        <v>5</v>
      </c>
      <c r="F1599" t="s">
        <v>121</v>
      </c>
      <c r="G1599" t="s">
        <v>144</v>
      </c>
      <c r="H1599" t="s">
        <v>44</v>
      </c>
      <c r="I1599" t="e">
        <f t="shared" ca="1" si="125"/>
        <v>#REF!</v>
      </c>
      <c r="J1599" t="str">
        <f>VLOOKUP($G1599,DefinitionArrays!$I$6:$J$12,2,FALSE)</f>
        <v>Workweek</v>
      </c>
    </row>
    <row r="1600" spans="1:10">
      <c r="A1600" s="159" t="str">
        <f t="shared" si="121"/>
        <v>$N$1:$N$92</v>
      </c>
      <c r="B1600" s="159" t="str">
        <f t="shared" si="122"/>
        <v>$O$1:$O$92</v>
      </c>
      <c r="C1600" s="159" t="str">
        <f t="shared" si="123"/>
        <v>February!$N$1:$N$92</v>
      </c>
      <c r="D1600" s="159" t="str">
        <f t="shared" si="124"/>
        <v>February!$O$1:$O$92</v>
      </c>
      <c r="E1600" t="s">
        <v>5</v>
      </c>
      <c r="F1600" t="s">
        <v>121</v>
      </c>
      <c r="G1600" t="s">
        <v>145</v>
      </c>
      <c r="H1600" t="s">
        <v>159</v>
      </c>
      <c r="I1600" t="e">
        <f t="shared" ca="1" si="125"/>
        <v>#REF!</v>
      </c>
      <c r="J1600" t="str">
        <f>VLOOKUP($G1600,DefinitionArrays!$I$6:$J$12,2,FALSE)</f>
        <v>Weekend</v>
      </c>
    </row>
    <row r="1601" spans="1:10">
      <c r="A1601" s="159" t="str">
        <f t="shared" si="121"/>
        <v>$N$1:$N$92</v>
      </c>
      <c r="B1601" s="159" t="str">
        <f t="shared" si="122"/>
        <v>$O$1:$O$92</v>
      </c>
      <c r="C1601" s="159" t="str">
        <f t="shared" si="123"/>
        <v>February!$N$1:$N$92</v>
      </c>
      <c r="D1601" s="159" t="str">
        <f t="shared" si="124"/>
        <v>February!$O$1:$O$92</v>
      </c>
      <c r="E1601" t="s">
        <v>5</v>
      </c>
      <c r="F1601" t="s">
        <v>121</v>
      </c>
      <c r="G1601" t="s">
        <v>145</v>
      </c>
      <c r="H1601" t="s">
        <v>18</v>
      </c>
      <c r="I1601" t="e">
        <f t="shared" ca="1" si="125"/>
        <v>#REF!</v>
      </c>
      <c r="J1601" t="str">
        <f>VLOOKUP($G1601,DefinitionArrays!$I$6:$J$12,2,FALSE)</f>
        <v>Weekend</v>
      </c>
    </row>
    <row r="1602" spans="1:10">
      <c r="A1602" s="159" t="str">
        <f t="shared" ref="A1602:A1665" si="126">VLOOKUP($G1602,Fx_Code,2,FALSE)</f>
        <v>$N$1:$N$92</v>
      </c>
      <c r="B1602" s="159" t="str">
        <f t="shared" ref="B1602:B1665" si="127">VLOOKUP($G1602,Fx_Code,3,FALSE)</f>
        <v>$O$1:$O$92</v>
      </c>
      <c r="C1602" s="159" t="str">
        <f t="shared" ref="C1602:C1665" si="128">CONCATENATE($F1602,$K$1,A1602)</f>
        <v>February!$N$1:$N$92</v>
      </c>
      <c r="D1602" s="159" t="str">
        <f t="shared" ref="D1602:D1665" si="129">CONCATENATE($F1602,$K$1,B1602)</f>
        <v>February!$O$1:$O$92</v>
      </c>
      <c r="E1602" t="s">
        <v>5</v>
      </c>
      <c r="F1602" t="s">
        <v>121</v>
      </c>
      <c r="G1602" t="s">
        <v>145</v>
      </c>
      <c r="H1602" t="s">
        <v>153</v>
      </c>
      <c r="I1602" t="e">
        <f t="shared" ca="1" si="125"/>
        <v>#REF!</v>
      </c>
      <c r="J1602" t="str">
        <f>VLOOKUP($G1602,DefinitionArrays!$I$6:$J$12,2,FALSE)</f>
        <v>Weekend</v>
      </c>
    </row>
    <row r="1603" spans="1:10">
      <c r="A1603" s="159" t="str">
        <f t="shared" si="126"/>
        <v>$N$1:$N$92</v>
      </c>
      <c r="B1603" s="159" t="str">
        <f t="shared" si="127"/>
        <v>$O$1:$O$92</v>
      </c>
      <c r="C1603" s="159" t="str">
        <f t="shared" si="128"/>
        <v>February!$N$1:$N$92</v>
      </c>
      <c r="D1603" s="159" t="str">
        <f t="shared" si="129"/>
        <v>February!$O$1:$O$92</v>
      </c>
      <c r="E1603" t="s">
        <v>5</v>
      </c>
      <c r="F1603" t="s">
        <v>121</v>
      </c>
      <c r="G1603" t="s">
        <v>145</v>
      </c>
      <c r="H1603" t="s">
        <v>19</v>
      </c>
      <c r="I1603" t="e">
        <f t="shared" ca="1" si="125"/>
        <v>#REF!</v>
      </c>
      <c r="J1603" t="str">
        <f>VLOOKUP($G1603,DefinitionArrays!$I$6:$J$12,2,FALSE)</f>
        <v>Weekend</v>
      </c>
    </row>
    <row r="1604" spans="1:10">
      <c r="A1604" s="159" t="str">
        <f t="shared" si="126"/>
        <v>$N$1:$N$92</v>
      </c>
      <c r="B1604" s="159" t="str">
        <f t="shared" si="127"/>
        <v>$O$1:$O$92</v>
      </c>
      <c r="C1604" s="159" t="str">
        <f t="shared" si="128"/>
        <v>February!$N$1:$N$92</v>
      </c>
      <c r="D1604" s="159" t="str">
        <f t="shared" si="129"/>
        <v>February!$O$1:$O$92</v>
      </c>
      <c r="E1604" t="s">
        <v>5</v>
      </c>
      <c r="F1604" t="s">
        <v>121</v>
      </c>
      <c r="G1604" t="s">
        <v>145</v>
      </c>
      <c r="H1604" t="s">
        <v>20</v>
      </c>
      <c r="I1604" t="e">
        <f t="shared" ca="1" si="125"/>
        <v>#REF!</v>
      </c>
      <c r="J1604" t="str">
        <f>VLOOKUP($G1604,DefinitionArrays!$I$6:$J$12,2,FALSE)</f>
        <v>Weekend</v>
      </c>
    </row>
    <row r="1605" spans="1:10">
      <c r="A1605" s="159" t="str">
        <f t="shared" si="126"/>
        <v>$N$1:$N$92</v>
      </c>
      <c r="B1605" s="159" t="str">
        <f t="shared" si="127"/>
        <v>$O$1:$O$92</v>
      </c>
      <c r="C1605" s="159" t="str">
        <f t="shared" si="128"/>
        <v>February!$N$1:$N$92</v>
      </c>
      <c r="D1605" s="159" t="str">
        <f t="shared" si="129"/>
        <v>February!$O$1:$O$92</v>
      </c>
      <c r="E1605" t="s">
        <v>5</v>
      </c>
      <c r="F1605" t="s">
        <v>121</v>
      </c>
      <c r="G1605" t="s">
        <v>145</v>
      </c>
      <c r="H1605" t="s">
        <v>21</v>
      </c>
      <c r="I1605" t="e">
        <f t="shared" ca="1" si="125"/>
        <v>#REF!</v>
      </c>
      <c r="J1605" t="str">
        <f>VLOOKUP($G1605,DefinitionArrays!$I$6:$J$12,2,FALSE)</f>
        <v>Weekend</v>
      </c>
    </row>
    <row r="1606" spans="1:10">
      <c r="A1606" s="159" t="str">
        <f t="shared" si="126"/>
        <v>$N$1:$N$92</v>
      </c>
      <c r="B1606" s="159" t="str">
        <f t="shared" si="127"/>
        <v>$O$1:$O$92</v>
      </c>
      <c r="C1606" s="159" t="str">
        <f t="shared" si="128"/>
        <v>February!$N$1:$N$92</v>
      </c>
      <c r="D1606" s="159" t="str">
        <f t="shared" si="129"/>
        <v>February!$O$1:$O$92</v>
      </c>
      <c r="E1606" t="s">
        <v>5</v>
      </c>
      <c r="F1606" t="s">
        <v>121</v>
      </c>
      <c r="G1606" t="s">
        <v>145</v>
      </c>
      <c r="H1606" t="s">
        <v>22</v>
      </c>
      <c r="I1606" t="e">
        <f t="shared" ca="1" si="125"/>
        <v>#REF!</v>
      </c>
      <c r="J1606" t="str">
        <f>VLOOKUP($G1606,DefinitionArrays!$I$6:$J$12,2,FALSE)</f>
        <v>Weekend</v>
      </c>
    </row>
    <row r="1607" spans="1:10">
      <c r="A1607" s="159" t="str">
        <f t="shared" si="126"/>
        <v>$N$1:$N$92</v>
      </c>
      <c r="B1607" s="159" t="str">
        <f t="shared" si="127"/>
        <v>$O$1:$O$92</v>
      </c>
      <c r="C1607" s="159" t="str">
        <f t="shared" si="128"/>
        <v>February!$N$1:$N$92</v>
      </c>
      <c r="D1607" s="159" t="str">
        <f t="shared" si="129"/>
        <v>February!$O$1:$O$92</v>
      </c>
      <c r="E1607" t="s">
        <v>5</v>
      </c>
      <c r="F1607" t="s">
        <v>121</v>
      </c>
      <c r="G1607" t="s">
        <v>145</v>
      </c>
      <c r="H1607" t="s">
        <v>23</v>
      </c>
      <c r="I1607" t="e">
        <f t="shared" ca="1" si="125"/>
        <v>#REF!</v>
      </c>
      <c r="J1607" t="str">
        <f>VLOOKUP($G1607,DefinitionArrays!$I$6:$J$12,2,FALSE)</f>
        <v>Weekend</v>
      </c>
    </row>
    <row r="1608" spans="1:10">
      <c r="A1608" s="159" t="str">
        <f t="shared" si="126"/>
        <v>$N$1:$N$92</v>
      </c>
      <c r="B1608" s="159" t="str">
        <f t="shared" si="127"/>
        <v>$O$1:$O$92</v>
      </c>
      <c r="C1608" s="159" t="str">
        <f t="shared" si="128"/>
        <v>February!$N$1:$N$92</v>
      </c>
      <c r="D1608" s="159" t="str">
        <f t="shared" si="129"/>
        <v>February!$O$1:$O$92</v>
      </c>
      <c r="E1608" t="s">
        <v>5</v>
      </c>
      <c r="F1608" t="s">
        <v>121</v>
      </c>
      <c r="G1608" t="s">
        <v>145</v>
      </c>
      <c r="H1608" t="s">
        <v>24</v>
      </c>
      <c r="I1608" t="e">
        <f t="shared" ca="1" si="125"/>
        <v>#REF!</v>
      </c>
      <c r="J1608" t="str">
        <f>VLOOKUP($G1608,DefinitionArrays!$I$6:$J$12,2,FALSE)</f>
        <v>Weekend</v>
      </c>
    </row>
    <row r="1609" spans="1:10">
      <c r="A1609" s="159" t="str">
        <f t="shared" si="126"/>
        <v>$N$1:$N$92</v>
      </c>
      <c r="B1609" s="159" t="str">
        <f t="shared" si="127"/>
        <v>$O$1:$O$92</v>
      </c>
      <c r="C1609" s="159" t="str">
        <f t="shared" si="128"/>
        <v>February!$N$1:$N$92</v>
      </c>
      <c r="D1609" s="159" t="str">
        <f t="shared" si="129"/>
        <v>February!$O$1:$O$92</v>
      </c>
      <c r="E1609" t="s">
        <v>5</v>
      </c>
      <c r="F1609" t="s">
        <v>121</v>
      </c>
      <c r="G1609" t="s">
        <v>145</v>
      </c>
      <c r="H1609" t="s">
        <v>179</v>
      </c>
      <c r="I1609" t="e">
        <f t="shared" ca="1" si="125"/>
        <v>#REF!</v>
      </c>
      <c r="J1609" t="str">
        <f>VLOOKUP($G1609,DefinitionArrays!$I$6:$J$12,2,FALSE)</f>
        <v>Weekend</v>
      </c>
    </row>
    <row r="1610" spans="1:10">
      <c r="A1610" s="159" t="str">
        <f t="shared" si="126"/>
        <v>$N$1:$N$92</v>
      </c>
      <c r="B1610" s="159" t="str">
        <f t="shared" si="127"/>
        <v>$O$1:$O$92</v>
      </c>
      <c r="C1610" s="159" t="str">
        <f t="shared" si="128"/>
        <v>February!$N$1:$N$92</v>
      </c>
      <c r="D1610" s="159" t="str">
        <f t="shared" si="129"/>
        <v>February!$O$1:$O$92</v>
      </c>
      <c r="E1610" t="s">
        <v>5</v>
      </c>
      <c r="F1610" t="s">
        <v>121</v>
      </c>
      <c r="G1610" t="s">
        <v>145</v>
      </c>
      <c r="H1610" t="s">
        <v>180</v>
      </c>
      <c r="I1610" t="e">
        <f t="shared" ca="1" si="125"/>
        <v>#REF!</v>
      </c>
      <c r="J1610" t="str">
        <f>VLOOKUP($G1610,DefinitionArrays!$I$6:$J$12,2,FALSE)</f>
        <v>Weekend</v>
      </c>
    </row>
    <row r="1611" spans="1:10">
      <c r="A1611" s="159" t="str">
        <f t="shared" si="126"/>
        <v>$N$1:$N$92</v>
      </c>
      <c r="B1611" s="159" t="str">
        <f t="shared" si="127"/>
        <v>$O$1:$O$92</v>
      </c>
      <c r="C1611" s="159" t="str">
        <f t="shared" si="128"/>
        <v>February!$N$1:$N$92</v>
      </c>
      <c r="D1611" s="159" t="str">
        <f t="shared" si="129"/>
        <v>February!$O$1:$O$92</v>
      </c>
      <c r="E1611" t="s">
        <v>5</v>
      </c>
      <c r="F1611" t="s">
        <v>121</v>
      </c>
      <c r="G1611" t="s">
        <v>145</v>
      </c>
      <c r="H1611" t="s">
        <v>44</v>
      </c>
      <c r="I1611" t="e">
        <f t="shared" ca="1" si="125"/>
        <v>#REF!</v>
      </c>
      <c r="J1611" t="str">
        <f>VLOOKUP($G1611,DefinitionArrays!$I$6:$J$12,2,FALSE)</f>
        <v>Weekend</v>
      </c>
    </row>
    <row r="1612" spans="1:10">
      <c r="A1612" s="159" t="str">
        <f t="shared" si="126"/>
        <v>$Q$1:$Q$92</v>
      </c>
      <c r="B1612" s="159" t="str">
        <f t="shared" si="127"/>
        <v>$R$1:$R$92</v>
      </c>
      <c r="C1612" s="159" t="str">
        <f t="shared" si="128"/>
        <v>February!$Q$1:$Q$92</v>
      </c>
      <c r="D1612" s="159" t="str">
        <f t="shared" si="129"/>
        <v>February!$R$1:$R$92</v>
      </c>
      <c r="E1612" t="s">
        <v>5</v>
      </c>
      <c r="F1612" t="s">
        <v>121</v>
      </c>
      <c r="G1612" t="s">
        <v>146</v>
      </c>
      <c r="H1612" t="s">
        <v>159</v>
      </c>
      <c r="I1612" t="e">
        <f t="shared" ca="1" si="125"/>
        <v>#REF!</v>
      </c>
      <c r="J1612" t="str">
        <f>VLOOKUP($G1612,DefinitionArrays!$I$6:$J$12,2,FALSE)</f>
        <v>Weekend</v>
      </c>
    </row>
    <row r="1613" spans="1:10">
      <c r="A1613" s="159" t="str">
        <f t="shared" si="126"/>
        <v>$T$1:$T$92</v>
      </c>
      <c r="B1613" s="159" t="str">
        <f t="shared" si="127"/>
        <v>$U$1:$U$92</v>
      </c>
      <c r="C1613" s="159" t="str">
        <f t="shared" si="128"/>
        <v>February!$T$1:$T$92</v>
      </c>
      <c r="D1613" s="159" t="str">
        <f t="shared" si="129"/>
        <v>February!$U$1:$U$92</v>
      </c>
      <c r="E1613" t="s">
        <v>5</v>
      </c>
      <c r="F1613" t="s">
        <v>121</v>
      </c>
      <c r="G1613" t="s">
        <v>141</v>
      </c>
      <c r="H1613" t="s">
        <v>159</v>
      </c>
      <c r="I1613" t="e">
        <f t="shared" ca="1" si="125"/>
        <v>#REF!</v>
      </c>
      <c r="J1613" t="str">
        <f>VLOOKUP($G1613,DefinitionArrays!$I$6:$J$12,2,FALSE)</f>
        <v>Weekend</v>
      </c>
    </row>
    <row r="1614" spans="1:10">
      <c r="A1614" s="159" t="str">
        <f t="shared" si="126"/>
        <v>$B$1:$B$92</v>
      </c>
      <c r="B1614" s="159" t="str">
        <f t="shared" si="127"/>
        <v>$C$1:$C$92</v>
      </c>
      <c r="C1614" s="159" t="str">
        <f t="shared" si="128"/>
        <v>March!$B$1:$B$92</v>
      </c>
      <c r="D1614" s="159" t="str">
        <f t="shared" si="129"/>
        <v>March!$C$1:$C$92</v>
      </c>
      <c r="E1614" t="s">
        <v>5</v>
      </c>
      <c r="F1614" t="s">
        <v>122</v>
      </c>
      <c r="G1614" t="s">
        <v>13</v>
      </c>
      <c r="H1614" t="s">
        <v>159</v>
      </c>
      <c r="I1614" t="e">
        <f ca="1">COUNTIFS(INDIRECT($C1614),$E1614,INDIRECT($D1614),$H1614)</f>
        <v>#REF!</v>
      </c>
      <c r="J1614" t="str">
        <f>VLOOKUP($G1614,DefinitionArrays!$I$6:$J$12,2,FALSE)</f>
        <v>Workweek</v>
      </c>
    </row>
    <row r="1615" spans="1:10">
      <c r="A1615" s="159" t="str">
        <f t="shared" si="126"/>
        <v>$B$1:$B$92</v>
      </c>
      <c r="B1615" s="159" t="str">
        <f t="shared" si="127"/>
        <v>$C$1:$C$92</v>
      </c>
      <c r="C1615" s="159" t="str">
        <f t="shared" si="128"/>
        <v>March!$B$1:$B$92</v>
      </c>
      <c r="D1615" s="159" t="str">
        <f t="shared" si="129"/>
        <v>March!$C$1:$C$92</v>
      </c>
      <c r="E1615" t="s">
        <v>5</v>
      </c>
      <c r="F1615" t="s">
        <v>122</v>
      </c>
      <c r="G1615" t="s">
        <v>13</v>
      </c>
      <c r="H1615" t="s">
        <v>18</v>
      </c>
      <c r="I1615" t="e">
        <f t="shared" ref="I1615:I1675" ca="1" si="130">COUNTIFS(INDIRECT($C1615),$E1615,INDIRECT($D1615),$H1615)</f>
        <v>#REF!</v>
      </c>
      <c r="J1615" t="str">
        <f>VLOOKUP($G1615,DefinitionArrays!$I$6:$J$12,2,FALSE)</f>
        <v>Workweek</v>
      </c>
    </row>
    <row r="1616" spans="1:10">
      <c r="A1616" s="159" t="str">
        <f t="shared" si="126"/>
        <v>$B$1:$B$92</v>
      </c>
      <c r="B1616" s="159" t="str">
        <f t="shared" si="127"/>
        <v>$C$1:$C$92</v>
      </c>
      <c r="C1616" s="159" t="str">
        <f t="shared" si="128"/>
        <v>March!$B$1:$B$92</v>
      </c>
      <c r="D1616" s="159" t="str">
        <f t="shared" si="129"/>
        <v>March!$C$1:$C$92</v>
      </c>
      <c r="E1616" t="s">
        <v>5</v>
      </c>
      <c r="F1616" t="s">
        <v>122</v>
      </c>
      <c r="G1616" t="s">
        <v>13</v>
      </c>
      <c r="H1616" t="s">
        <v>153</v>
      </c>
      <c r="I1616" t="e">
        <f t="shared" ca="1" si="130"/>
        <v>#REF!</v>
      </c>
      <c r="J1616" t="str">
        <f>VLOOKUP($G1616,DefinitionArrays!$I$6:$J$12,2,FALSE)</f>
        <v>Workweek</v>
      </c>
    </row>
    <row r="1617" spans="1:10">
      <c r="A1617" s="159" t="str">
        <f t="shared" si="126"/>
        <v>$B$1:$B$92</v>
      </c>
      <c r="B1617" s="159" t="str">
        <f t="shared" si="127"/>
        <v>$C$1:$C$92</v>
      </c>
      <c r="C1617" s="159" t="str">
        <f t="shared" si="128"/>
        <v>March!$B$1:$B$92</v>
      </c>
      <c r="D1617" s="159" t="str">
        <f t="shared" si="129"/>
        <v>March!$C$1:$C$92</v>
      </c>
      <c r="E1617" t="s">
        <v>5</v>
      </c>
      <c r="F1617" t="s">
        <v>122</v>
      </c>
      <c r="G1617" t="s">
        <v>13</v>
      </c>
      <c r="H1617" t="s">
        <v>19</v>
      </c>
      <c r="I1617" t="e">
        <f t="shared" ca="1" si="130"/>
        <v>#REF!</v>
      </c>
      <c r="J1617" t="str">
        <f>VLOOKUP($G1617,DefinitionArrays!$I$6:$J$12,2,FALSE)</f>
        <v>Workweek</v>
      </c>
    </row>
    <row r="1618" spans="1:10">
      <c r="A1618" s="159" t="str">
        <f t="shared" si="126"/>
        <v>$B$1:$B$92</v>
      </c>
      <c r="B1618" s="159" t="str">
        <f t="shared" si="127"/>
        <v>$C$1:$C$92</v>
      </c>
      <c r="C1618" s="159" t="str">
        <f t="shared" si="128"/>
        <v>March!$B$1:$B$92</v>
      </c>
      <c r="D1618" s="159" t="str">
        <f t="shared" si="129"/>
        <v>March!$C$1:$C$92</v>
      </c>
      <c r="E1618" t="s">
        <v>5</v>
      </c>
      <c r="F1618" t="s">
        <v>122</v>
      </c>
      <c r="G1618" t="s">
        <v>13</v>
      </c>
      <c r="H1618" t="s">
        <v>20</v>
      </c>
      <c r="I1618" t="e">
        <f t="shared" ca="1" si="130"/>
        <v>#REF!</v>
      </c>
      <c r="J1618" t="str">
        <f>VLOOKUP($G1618,DefinitionArrays!$I$6:$J$12,2,FALSE)</f>
        <v>Workweek</v>
      </c>
    </row>
    <row r="1619" spans="1:10">
      <c r="A1619" s="159" t="str">
        <f t="shared" si="126"/>
        <v>$B$1:$B$92</v>
      </c>
      <c r="B1619" s="159" t="str">
        <f t="shared" si="127"/>
        <v>$C$1:$C$92</v>
      </c>
      <c r="C1619" s="159" t="str">
        <f t="shared" si="128"/>
        <v>March!$B$1:$B$92</v>
      </c>
      <c r="D1619" s="159" t="str">
        <f t="shared" si="129"/>
        <v>March!$C$1:$C$92</v>
      </c>
      <c r="E1619" t="s">
        <v>5</v>
      </c>
      <c r="F1619" t="s">
        <v>122</v>
      </c>
      <c r="G1619" t="s">
        <v>13</v>
      </c>
      <c r="H1619" t="s">
        <v>21</v>
      </c>
      <c r="I1619" t="e">
        <f t="shared" ca="1" si="130"/>
        <v>#REF!</v>
      </c>
      <c r="J1619" t="str">
        <f>VLOOKUP($G1619,DefinitionArrays!$I$6:$J$12,2,FALSE)</f>
        <v>Workweek</v>
      </c>
    </row>
    <row r="1620" spans="1:10">
      <c r="A1620" s="159" t="str">
        <f t="shared" si="126"/>
        <v>$B$1:$B$92</v>
      </c>
      <c r="B1620" s="159" t="str">
        <f t="shared" si="127"/>
        <v>$C$1:$C$92</v>
      </c>
      <c r="C1620" s="159" t="str">
        <f t="shared" si="128"/>
        <v>March!$B$1:$B$92</v>
      </c>
      <c r="D1620" s="159" t="str">
        <f t="shared" si="129"/>
        <v>March!$C$1:$C$92</v>
      </c>
      <c r="E1620" t="s">
        <v>5</v>
      </c>
      <c r="F1620" t="s">
        <v>122</v>
      </c>
      <c r="G1620" t="s">
        <v>13</v>
      </c>
      <c r="H1620" t="s">
        <v>22</v>
      </c>
      <c r="I1620" t="e">
        <f t="shared" ca="1" si="130"/>
        <v>#REF!</v>
      </c>
      <c r="J1620" t="str">
        <f>VLOOKUP($G1620,DefinitionArrays!$I$6:$J$12,2,FALSE)</f>
        <v>Workweek</v>
      </c>
    </row>
    <row r="1621" spans="1:10">
      <c r="A1621" s="159" t="str">
        <f t="shared" si="126"/>
        <v>$B$1:$B$92</v>
      </c>
      <c r="B1621" s="159" t="str">
        <f t="shared" si="127"/>
        <v>$C$1:$C$92</v>
      </c>
      <c r="C1621" s="159" t="str">
        <f t="shared" si="128"/>
        <v>March!$B$1:$B$92</v>
      </c>
      <c r="D1621" s="159" t="str">
        <f t="shared" si="129"/>
        <v>March!$C$1:$C$92</v>
      </c>
      <c r="E1621" t="s">
        <v>5</v>
      </c>
      <c r="F1621" t="s">
        <v>122</v>
      </c>
      <c r="G1621" t="s">
        <v>13</v>
      </c>
      <c r="H1621" t="s">
        <v>23</v>
      </c>
      <c r="I1621" t="e">
        <f t="shared" ca="1" si="130"/>
        <v>#REF!</v>
      </c>
      <c r="J1621" t="str">
        <f>VLOOKUP($G1621,DefinitionArrays!$I$6:$J$12,2,FALSE)</f>
        <v>Workweek</v>
      </c>
    </row>
    <row r="1622" spans="1:10">
      <c r="A1622" s="159" t="str">
        <f t="shared" si="126"/>
        <v>$B$1:$B$92</v>
      </c>
      <c r="B1622" s="159" t="str">
        <f t="shared" si="127"/>
        <v>$C$1:$C$92</v>
      </c>
      <c r="C1622" s="159" t="str">
        <f t="shared" si="128"/>
        <v>March!$B$1:$B$92</v>
      </c>
      <c r="D1622" s="159" t="str">
        <f t="shared" si="129"/>
        <v>March!$C$1:$C$92</v>
      </c>
      <c r="E1622" t="s">
        <v>5</v>
      </c>
      <c r="F1622" t="s">
        <v>122</v>
      </c>
      <c r="G1622" t="s">
        <v>13</v>
      </c>
      <c r="H1622" t="s">
        <v>24</v>
      </c>
      <c r="I1622" t="e">
        <f t="shared" ca="1" si="130"/>
        <v>#REF!</v>
      </c>
      <c r="J1622" t="str">
        <f>VLOOKUP($G1622,DefinitionArrays!$I$6:$J$12,2,FALSE)</f>
        <v>Workweek</v>
      </c>
    </row>
    <row r="1623" spans="1:10">
      <c r="A1623" s="159" t="str">
        <f t="shared" si="126"/>
        <v>$B$1:$B$92</v>
      </c>
      <c r="B1623" s="159" t="str">
        <f t="shared" si="127"/>
        <v>$C$1:$C$92</v>
      </c>
      <c r="C1623" s="159" t="str">
        <f t="shared" si="128"/>
        <v>March!$B$1:$B$92</v>
      </c>
      <c r="D1623" s="159" t="str">
        <f t="shared" si="129"/>
        <v>March!$C$1:$C$92</v>
      </c>
      <c r="E1623" t="s">
        <v>5</v>
      </c>
      <c r="F1623" t="s">
        <v>122</v>
      </c>
      <c r="G1623" t="s">
        <v>13</v>
      </c>
      <c r="H1623" t="s">
        <v>179</v>
      </c>
      <c r="I1623" t="e">
        <f t="shared" ca="1" si="130"/>
        <v>#REF!</v>
      </c>
      <c r="J1623" t="str">
        <f>VLOOKUP($G1623,DefinitionArrays!$I$6:$J$12,2,FALSE)</f>
        <v>Workweek</v>
      </c>
    </row>
    <row r="1624" spans="1:10">
      <c r="A1624" s="159" t="str">
        <f t="shared" si="126"/>
        <v>$B$1:$B$92</v>
      </c>
      <c r="B1624" s="159" t="str">
        <f t="shared" si="127"/>
        <v>$C$1:$C$92</v>
      </c>
      <c r="C1624" s="159" t="str">
        <f t="shared" si="128"/>
        <v>March!$B$1:$B$92</v>
      </c>
      <c r="D1624" s="159" t="str">
        <f t="shared" si="129"/>
        <v>March!$C$1:$C$92</v>
      </c>
      <c r="E1624" t="s">
        <v>5</v>
      </c>
      <c r="F1624" t="s">
        <v>122</v>
      </c>
      <c r="G1624" t="s">
        <v>13</v>
      </c>
      <c r="H1624" t="s">
        <v>180</v>
      </c>
      <c r="I1624" t="e">
        <f t="shared" ca="1" si="130"/>
        <v>#REF!</v>
      </c>
      <c r="J1624" t="str">
        <f>VLOOKUP($G1624,DefinitionArrays!$I$6:$J$12,2,FALSE)</f>
        <v>Workweek</v>
      </c>
    </row>
    <row r="1625" spans="1:10">
      <c r="A1625" s="159" t="str">
        <f t="shared" si="126"/>
        <v>$B$1:$B$92</v>
      </c>
      <c r="B1625" s="159" t="str">
        <f t="shared" si="127"/>
        <v>$C$1:$C$92</v>
      </c>
      <c r="C1625" s="159" t="str">
        <f t="shared" si="128"/>
        <v>March!$B$1:$B$92</v>
      </c>
      <c r="D1625" s="159" t="str">
        <f t="shared" si="129"/>
        <v>March!$C$1:$C$92</v>
      </c>
      <c r="E1625" t="s">
        <v>5</v>
      </c>
      <c r="F1625" t="s">
        <v>122</v>
      </c>
      <c r="G1625" t="s">
        <v>13</v>
      </c>
      <c r="H1625" t="s">
        <v>44</v>
      </c>
      <c r="I1625" t="e">
        <f t="shared" ca="1" si="130"/>
        <v>#REF!</v>
      </c>
      <c r="J1625" t="str">
        <f>VLOOKUP($G1625,DefinitionArrays!$I$6:$J$12,2,FALSE)</f>
        <v>Workweek</v>
      </c>
    </row>
    <row r="1626" spans="1:10">
      <c r="A1626" s="159" t="str">
        <f t="shared" si="126"/>
        <v>$E$1:$E$92</v>
      </c>
      <c r="B1626" s="159" t="str">
        <f t="shared" si="127"/>
        <v>$F$1:$F$92</v>
      </c>
      <c r="C1626" s="159" t="str">
        <f t="shared" si="128"/>
        <v>March!$E$1:$E$92</v>
      </c>
      <c r="D1626" s="159" t="str">
        <f t="shared" si="129"/>
        <v>March!$F$1:$F$92</v>
      </c>
      <c r="E1626" t="s">
        <v>5</v>
      </c>
      <c r="F1626" t="s">
        <v>122</v>
      </c>
      <c r="G1626" t="s">
        <v>142</v>
      </c>
      <c r="H1626" t="s">
        <v>159</v>
      </c>
      <c r="I1626" t="e">
        <f t="shared" ca="1" si="130"/>
        <v>#REF!</v>
      </c>
      <c r="J1626" t="str">
        <f>VLOOKUP($G1626,DefinitionArrays!$I$6:$J$12,2,FALSE)</f>
        <v>Workweek</v>
      </c>
    </row>
    <row r="1627" spans="1:10">
      <c r="A1627" s="159" t="str">
        <f t="shared" si="126"/>
        <v>$E$1:$E$92</v>
      </c>
      <c r="B1627" s="159" t="str">
        <f t="shared" si="127"/>
        <v>$F$1:$F$92</v>
      </c>
      <c r="C1627" s="159" t="str">
        <f t="shared" si="128"/>
        <v>March!$E$1:$E$92</v>
      </c>
      <c r="D1627" s="159" t="str">
        <f t="shared" si="129"/>
        <v>March!$F$1:$F$92</v>
      </c>
      <c r="E1627" t="s">
        <v>5</v>
      </c>
      <c r="F1627" t="s">
        <v>122</v>
      </c>
      <c r="G1627" t="s">
        <v>142</v>
      </c>
      <c r="H1627" t="s">
        <v>18</v>
      </c>
      <c r="I1627" t="e">
        <f t="shared" ca="1" si="130"/>
        <v>#REF!</v>
      </c>
      <c r="J1627" t="str">
        <f>VLOOKUP($G1627,DefinitionArrays!$I$6:$J$12,2,FALSE)</f>
        <v>Workweek</v>
      </c>
    </row>
    <row r="1628" spans="1:10">
      <c r="A1628" s="159" t="str">
        <f t="shared" si="126"/>
        <v>$E$1:$E$92</v>
      </c>
      <c r="B1628" s="159" t="str">
        <f t="shared" si="127"/>
        <v>$F$1:$F$92</v>
      </c>
      <c r="C1628" s="159" t="str">
        <f t="shared" si="128"/>
        <v>March!$E$1:$E$92</v>
      </c>
      <c r="D1628" s="159" t="str">
        <f t="shared" si="129"/>
        <v>March!$F$1:$F$92</v>
      </c>
      <c r="E1628" t="s">
        <v>5</v>
      </c>
      <c r="F1628" t="s">
        <v>122</v>
      </c>
      <c r="G1628" t="s">
        <v>142</v>
      </c>
      <c r="H1628" t="s">
        <v>153</v>
      </c>
      <c r="I1628" t="e">
        <f t="shared" ca="1" si="130"/>
        <v>#REF!</v>
      </c>
      <c r="J1628" t="str">
        <f>VLOOKUP($G1628,DefinitionArrays!$I$6:$J$12,2,FALSE)</f>
        <v>Workweek</v>
      </c>
    </row>
    <row r="1629" spans="1:10">
      <c r="A1629" s="159" t="str">
        <f t="shared" si="126"/>
        <v>$E$1:$E$92</v>
      </c>
      <c r="B1629" s="159" t="str">
        <f t="shared" si="127"/>
        <v>$F$1:$F$92</v>
      </c>
      <c r="C1629" s="159" t="str">
        <f t="shared" si="128"/>
        <v>March!$E$1:$E$92</v>
      </c>
      <c r="D1629" s="159" t="str">
        <f t="shared" si="129"/>
        <v>March!$F$1:$F$92</v>
      </c>
      <c r="E1629" t="s">
        <v>5</v>
      </c>
      <c r="F1629" t="s">
        <v>122</v>
      </c>
      <c r="G1629" t="s">
        <v>142</v>
      </c>
      <c r="H1629" t="s">
        <v>19</v>
      </c>
      <c r="I1629" t="e">
        <f t="shared" ca="1" si="130"/>
        <v>#REF!</v>
      </c>
      <c r="J1629" t="str">
        <f>VLOOKUP($G1629,DefinitionArrays!$I$6:$J$12,2,FALSE)</f>
        <v>Workweek</v>
      </c>
    </row>
    <row r="1630" spans="1:10">
      <c r="A1630" s="159" t="str">
        <f t="shared" si="126"/>
        <v>$E$1:$E$92</v>
      </c>
      <c r="B1630" s="159" t="str">
        <f t="shared" si="127"/>
        <v>$F$1:$F$92</v>
      </c>
      <c r="C1630" s="159" t="str">
        <f t="shared" si="128"/>
        <v>March!$E$1:$E$92</v>
      </c>
      <c r="D1630" s="159" t="str">
        <f t="shared" si="129"/>
        <v>March!$F$1:$F$92</v>
      </c>
      <c r="E1630" t="s">
        <v>5</v>
      </c>
      <c r="F1630" t="s">
        <v>122</v>
      </c>
      <c r="G1630" t="s">
        <v>142</v>
      </c>
      <c r="H1630" t="s">
        <v>20</v>
      </c>
      <c r="I1630" t="e">
        <f t="shared" ca="1" si="130"/>
        <v>#REF!</v>
      </c>
      <c r="J1630" t="str">
        <f>VLOOKUP($G1630,DefinitionArrays!$I$6:$J$12,2,FALSE)</f>
        <v>Workweek</v>
      </c>
    </row>
    <row r="1631" spans="1:10">
      <c r="A1631" s="159" t="str">
        <f t="shared" si="126"/>
        <v>$E$1:$E$92</v>
      </c>
      <c r="B1631" s="159" t="str">
        <f t="shared" si="127"/>
        <v>$F$1:$F$92</v>
      </c>
      <c r="C1631" s="159" t="str">
        <f t="shared" si="128"/>
        <v>March!$E$1:$E$92</v>
      </c>
      <c r="D1631" s="159" t="str">
        <f t="shared" si="129"/>
        <v>March!$F$1:$F$92</v>
      </c>
      <c r="E1631" t="s">
        <v>5</v>
      </c>
      <c r="F1631" t="s">
        <v>122</v>
      </c>
      <c r="G1631" t="s">
        <v>142</v>
      </c>
      <c r="H1631" t="s">
        <v>21</v>
      </c>
      <c r="I1631" t="e">
        <f t="shared" ca="1" si="130"/>
        <v>#REF!</v>
      </c>
      <c r="J1631" t="str">
        <f>VLOOKUP($G1631,DefinitionArrays!$I$6:$J$12,2,FALSE)</f>
        <v>Workweek</v>
      </c>
    </row>
    <row r="1632" spans="1:10">
      <c r="A1632" s="159" t="str">
        <f t="shared" si="126"/>
        <v>$E$1:$E$92</v>
      </c>
      <c r="B1632" s="159" t="str">
        <f t="shared" si="127"/>
        <v>$F$1:$F$92</v>
      </c>
      <c r="C1632" s="159" t="str">
        <f t="shared" si="128"/>
        <v>March!$E$1:$E$92</v>
      </c>
      <c r="D1632" s="159" t="str">
        <f t="shared" si="129"/>
        <v>March!$F$1:$F$92</v>
      </c>
      <c r="E1632" t="s">
        <v>5</v>
      </c>
      <c r="F1632" t="s">
        <v>122</v>
      </c>
      <c r="G1632" t="s">
        <v>142</v>
      </c>
      <c r="H1632" t="s">
        <v>22</v>
      </c>
      <c r="I1632" t="e">
        <f t="shared" ca="1" si="130"/>
        <v>#REF!</v>
      </c>
      <c r="J1632" t="str">
        <f>VLOOKUP($G1632,DefinitionArrays!$I$6:$J$12,2,FALSE)</f>
        <v>Workweek</v>
      </c>
    </row>
    <row r="1633" spans="1:10">
      <c r="A1633" s="159" t="str">
        <f t="shared" si="126"/>
        <v>$E$1:$E$92</v>
      </c>
      <c r="B1633" s="159" t="str">
        <f t="shared" si="127"/>
        <v>$F$1:$F$92</v>
      </c>
      <c r="C1633" s="159" t="str">
        <f t="shared" si="128"/>
        <v>March!$E$1:$E$92</v>
      </c>
      <c r="D1633" s="159" t="str">
        <f t="shared" si="129"/>
        <v>March!$F$1:$F$92</v>
      </c>
      <c r="E1633" t="s">
        <v>5</v>
      </c>
      <c r="F1633" t="s">
        <v>122</v>
      </c>
      <c r="G1633" t="s">
        <v>142</v>
      </c>
      <c r="H1633" t="s">
        <v>23</v>
      </c>
      <c r="I1633" t="e">
        <f t="shared" ca="1" si="130"/>
        <v>#REF!</v>
      </c>
      <c r="J1633" t="str">
        <f>VLOOKUP($G1633,DefinitionArrays!$I$6:$J$12,2,FALSE)</f>
        <v>Workweek</v>
      </c>
    </row>
    <row r="1634" spans="1:10">
      <c r="A1634" s="159" t="str">
        <f t="shared" si="126"/>
        <v>$E$1:$E$92</v>
      </c>
      <c r="B1634" s="159" t="str">
        <f t="shared" si="127"/>
        <v>$F$1:$F$92</v>
      </c>
      <c r="C1634" s="159" t="str">
        <f t="shared" si="128"/>
        <v>March!$E$1:$E$92</v>
      </c>
      <c r="D1634" s="159" t="str">
        <f t="shared" si="129"/>
        <v>March!$F$1:$F$92</v>
      </c>
      <c r="E1634" t="s">
        <v>5</v>
      </c>
      <c r="F1634" t="s">
        <v>122</v>
      </c>
      <c r="G1634" t="s">
        <v>142</v>
      </c>
      <c r="H1634" t="s">
        <v>24</v>
      </c>
      <c r="I1634" t="e">
        <f t="shared" ca="1" si="130"/>
        <v>#REF!</v>
      </c>
      <c r="J1634" t="str">
        <f>VLOOKUP($G1634,DefinitionArrays!$I$6:$J$12,2,FALSE)</f>
        <v>Workweek</v>
      </c>
    </row>
    <row r="1635" spans="1:10">
      <c r="A1635" s="159" t="str">
        <f t="shared" si="126"/>
        <v>$E$1:$E$92</v>
      </c>
      <c r="B1635" s="159" t="str">
        <f t="shared" si="127"/>
        <v>$F$1:$F$92</v>
      </c>
      <c r="C1635" s="159" t="str">
        <f t="shared" si="128"/>
        <v>March!$E$1:$E$92</v>
      </c>
      <c r="D1635" s="159" t="str">
        <f t="shared" si="129"/>
        <v>March!$F$1:$F$92</v>
      </c>
      <c r="E1635" t="s">
        <v>5</v>
      </c>
      <c r="F1635" t="s">
        <v>122</v>
      </c>
      <c r="G1635" t="s">
        <v>142</v>
      </c>
      <c r="H1635" t="s">
        <v>179</v>
      </c>
      <c r="I1635" t="e">
        <f t="shared" ca="1" si="130"/>
        <v>#REF!</v>
      </c>
      <c r="J1635" t="str">
        <f>VLOOKUP($G1635,DefinitionArrays!$I$6:$J$12,2,FALSE)</f>
        <v>Workweek</v>
      </c>
    </row>
    <row r="1636" spans="1:10">
      <c r="A1636" s="159" t="str">
        <f t="shared" si="126"/>
        <v>$E$1:$E$92</v>
      </c>
      <c r="B1636" s="159" t="str">
        <f t="shared" si="127"/>
        <v>$F$1:$F$92</v>
      </c>
      <c r="C1636" s="159" t="str">
        <f t="shared" si="128"/>
        <v>March!$E$1:$E$92</v>
      </c>
      <c r="D1636" s="159" t="str">
        <f t="shared" si="129"/>
        <v>March!$F$1:$F$92</v>
      </c>
      <c r="E1636" t="s">
        <v>5</v>
      </c>
      <c r="F1636" t="s">
        <v>122</v>
      </c>
      <c r="G1636" t="s">
        <v>142</v>
      </c>
      <c r="H1636" t="s">
        <v>180</v>
      </c>
      <c r="I1636" t="e">
        <f t="shared" ca="1" si="130"/>
        <v>#REF!</v>
      </c>
      <c r="J1636" t="str">
        <f>VLOOKUP($G1636,DefinitionArrays!$I$6:$J$12,2,FALSE)</f>
        <v>Workweek</v>
      </c>
    </row>
    <row r="1637" spans="1:10">
      <c r="A1637" s="159" t="str">
        <f t="shared" si="126"/>
        <v>$E$1:$E$92</v>
      </c>
      <c r="B1637" s="159" t="str">
        <f t="shared" si="127"/>
        <v>$F$1:$F$92</v>
      </c>
      <c r="C1637" s="159" t="str">
        <f t="shared" si="128"/>
        <v>March!$E$1:$E$92</v>
      </c>
      <c r="D1637" s="159" t="str">
        <f t="shared" si="129"/>
        <v>March!$F$1:$F$92</v>
      </c>
      <c r="E1637" t="s">
        <v>5</v>
      </c>
      <c r="F1637" t="s">
        <v>122</v>
      </c>
      <c r="G1637" t="s">
        <v>142</v>
      </c>
      <c r="H1637" t="s">
        <v>44</v>
      </c>
      <c r="I1637" t="e">
        <f t="shared" ca="1" si="130"/>
        <v>#REF!</v>
      </c>
      <c r="J1637" t="str">
        <f>VLOOKUP($G1637,DefinitionArrays!$I$6:$J$12,2,FALSE)</f>
        <v>Workweek</v>
      </c>
    </row>
    <row r="1638" spans="1:10">
      <c r="A1638" s="159" t="str">
        <f t="shared" si="126"/>
        <v>$H$1:$H$92</v>
      </c>
      <c r="B1638" s="159" t="str">
        <f t="shared" si="127"/>
        <v>$I$1:$I$92</v>
      </c>
      <c r="C1638" s="159" t="str">
        <f t="shared" si="128"/>
        <v>March!$H$1:$H$92</v>
      </c>
      <c r="D1638" s="159" t="str">
        <f t="shared" si="129"/>
        <v>March!$I$1:$I$92</v>
      </c>
      <c r="E1638" t="s">
        <v>5</v>
      </c>
      <c r="F1638" t="s">
        <v>122</v>
      </c>
      <c r="G1638" t="s">
        <v>143</v>
      </c>
      <c r="H1638" t="s">
        <v>159</v>
      </c>
      <c r="I1638" t="e">
        <f t="shared" ca="1" si="130"/>
        <v>#REF!</v>
      </c>
      <c r="J1638" t="str">
        <f>VLOOKUP($G1638,DefinitionArrays!$I$6:$J$12,2,FALSE)</f>
        <v>Workweek</v>
      </c>
    </row>
    <row r="1639" spans="1:10">
      <c r="A1639" s="159" t="str">
        <f t="shared" si="126"/>
        <v>$H$1:$H$92</v>
      </c>
      <c r="B1639" s="159" t="str">
        <f t="shared" si="127"/>
        <v>$I$1:$I$92</v>
      </c>
      <c r="C1639" s="159" t="str">
        <f t="shared" si="128"/>
        <v>March!$H$1:$H$92</v>
      </c>
      <c r="D1639" s="159" t="str">
        <f t="shared" si="129"/>
        <v>March!$I$1:$I$92</v>
      </c>
      <c r="E1639" t="s">
        <v>5</v>
      </c>
      <c r="F1639" t="s">
        <v>122</v>
      </c>
      <c r="G1639" t="s">
        <v>143</v>
      </c>
      <c r="H1639" t="s">
        <v>18</v>
      </c>
      <c r="I1639" t="e">
        <f t="shared" ca="1" si="130"/>
        <v>#REF!</v>
      </c>
      <c r="J1639" t="str">
        <f>VLOOKUP($G1639,DefinitionArrays!$I$6:$J$12,2,FALSE)</f>
        <v>Workweek</v>
      </c>
    </row>
    <row r="1640" spans="1:10">
      <c r="A1640" s="159" t="str">
        <f t="shared" si="126"/>
        <v>$H$1:$H$92</v>
      </c>
      <c r="B1640" s="159" t="str">
        <f t="shared" si="127"/>
        <v>$I$1:$I$92</v>
      </c>
      <c r="C1640" s="159" t="str">
        <f t="shared" si="128"/>
        <v>March!$H$1:$H$92</v>
      </c>
      <c r="D1640" s="159" t="str">
        <f t="shared" si="129"/>
        <v>March!$I$1:$I$92</v>
      </c>
      <c r="E1640" t="s">
        <v>5</v>
      </c>
      <c r="F1640" t="s">
        <v>122</v>
      </c>
      <c r="G1640" t="s">
        <v>143</v>
      </c>
      <c r="H1640" t="s">
        <v>153</v>
      </c>
      <c r="I1640" t="e">
        <f t="shared" ca="1" si="130"/>
        <v>#REF!</v>
      </c>
      <c r="J1640" t="str">
        <f>VLOOKUP($G1640,DefinitionArrays!$I$6:$J$12,2,FALSE)</f>
        <v>Workweek</v>
      </c>
    </row>
    <row r="1641" spans="1:10">
      <c r="A1641" s="159" t="str">
        <f t="shared" si="126"/>
        <v>$H$1:$H$92</v>
      </c>
      <c r="B1641" s="159" t="str">
        <f t="shared" si="127"/>
        <v>$I$1:$I$92</v>
      </c>
      <c r="C1641" s="159" t="str">
        <f t="shared" si="128"/>
        <v>March!$H$1:$H$92</v>
      </c>
      <c r="D1641" s="159" t="str">
        <f t="shared" si="129"/>
        <v>March!$I$1:$I$92</v>
      </c>
      <c r="E1641" t="s">
        <v>5</v>
      </c>
      <c r="F1641" t="s">
        <v>122</v>
      </c>
      <c r="G1641" t="s">
        <v>143</v>
      </c>
      <c r="H1641" t="s">
        <v>19</v>
      </c>
      <c r="I1641" t="e">
        <f t="shared" ca="1" si="130"/>
        <v>#REF!</v>
      </c>
      <c r="J1641" t="str">
        <f>VLOOKUP($G1641,DefinitionArrays!$I$6:$J$12,2,FALSE)</f>
        <v>Workweek</v>
      </c>
    </row>
    <row r="1642" spans="1:10">
      <c r="A1642" s="159" t="str">
        <f t="shared" si="126"/>
        <v>$H$1:$H$92</v>
      </c>
      <c r="B1642" s="159" t="str">
        <f t="shared" si="127"/>
        <v>$I$1:$I$92</v>
      </c>
      <c r="C1642" s="159" t="str">
        <f t="shared" si="128"/>
        <v>March!$H$1:$H$92</v>
      </c>
      <c r="D1642" s="159" t="str">
        <f t="shared" si="129"/>
        <v>March!$I$1:$I$92</v>
      </c>
      <c r="E1642" t="s">
        <v>5</v>
      </c>
      <c r="F1642" t="s">
        <v>122</v>
      </c>
      <c r="G1642" t="s">
        <v>143</v>
      </c>
      <c r="H1642" t="s">
        <v>20</v>
      </c>
      <c r="I1642" t="e">
        <f t="shared" ca="1" si="130"/>
        <v>#REF!</v>
      </c>
      <c r="J1642" t="str">
        <f>VLOOKUP($G1642,DefinitionArrays!$I$6:$J$12,2,FALSE)</f>
        <v>Workweek</v>
      </c>
    </row>
    <row r="1643" spans="1:10">
      <c r="A1643" s="159" t="str">
        <f t="shared" si="126"/>
        <v>$H$1:$H$92</v>
      </c>
      <c r="B1643" s="159" t="str">
        <f t="shared" si="127"/>
        <v>$I$1:$I$92</v>
      </c>
      <c r="C1643" s="159" t="str">
        <f t="shared" si="128"/>
        <v>March!$H$1:$H$92</v>
      </c>
      <c r="D1643" s="159" t="str">
        <f t="shared" si="129"/>
        <v>March!$I$1:$I$92</v>
      </c>
      <c r="E1643" t="s">
        <v>5</v>
      </c>
      <c r="F1643" t="s">
        <v>122</v>
      </c>
      <c r="G1643" t="s">
        <v>143</v>
      </c>
      <c r="H1643" t="s">
        <v>21</v>
      </c>
      <c r="I1643" t="e">
        <f t="shared" ca="1" si="130"/>
        <v>#REF!</v>
      </c>
      <c r="J1643" t="str">
        <f>VLOOKUP($G1643,DefinitionArrays!$I$6:$J$12,2,FALSE)</f>
        <v>Workweek</v>
      </c>
    </row>
    <row r="1644" spans="1:10">
      <c r="A1644" s="159" t="str">
        <f t="shared" si="126"/>
        <v>$H$1:$H$92</v>
      </c>
      <c r="B1644" s="159" t="str">
        <f t="shared" si="127"/>
        <v>$I$1:$I$92</v>
      </c>
      <c r="C1644" s="159" t="str">
        <f t="shared" si="128"/>
        <v>March!$H$1:$H$92</v>
      </c>
      <c r="D1644" s="159" t="str">
        <f t="shared" si="129"/>
        <v>March!$I$1:$I$92</v>
      </c>
      <c r="E1644" t="s">
        <v>5</v>
      </c>
      <c r="F1644" t="s">
        <v>122</v>
      </c>
      <c r="G1644" t="s">
        <v>143</v>
      </c>
      <c r="H1644" t="s">
        <v>22</v>
      </c>
      <c r="I1644" t="e">
        <f t="shared" ca="1" si="130"/>
        <v>#REF!</v>
      </c>
      <c r="J1644" t="str">
        <f>VLOOKUP($G1644,DefinitionArrays!$I$6:$J$12,2,FALSE)</f>
        <v>Workweek</v>
      </c>
    </row>
    <row r="1645" spans="1:10">
      <c r="A1645" s="159" t="str">
        <f t="shared" si="126"/>
        <v>$H$1:$H$92</v>
      </c>
      <c r="B1645" s="159" t="str">
        <f t="shared" si="127"/>
        <v>$I$1:$I$92</v>
      </c>
      <c r="C1645" s="159" t="str">
        <f t="shared" si="128"/>
        <v>March!$H$1:$H$92</v>
      </c>
      <c r="D1645" s="159" t="str">
        <f t="shared" si="129"/>
        <v>March!$I$1:$I$92</v>
      </c>
      <c r="E1645" t="s">
        <v>5</v>
      </c>
      <c r="F1645" t="s">
        <v>122</v>
      </c>
      <c r="G1645" t="s">
        <v>143</v>
      </c>
      <c r="H1645" t="s">
        <v>23</v>
      </c>
      <c r="I1645" t="e">
        <f t="shared" ca="1" si="130"/>
        <v>#REF!</v>
      </c>
      <c r="J1645" t="str">
        <f>VLOOKUP($G1645,DefinitionArrays!$I$6:$J$12,2,FALSE)</f>
        <v>Workweek</v>
      </c>
    </row>
    <row r="1646" spans="1:10">
      <c r="A1646" s="159" t="str">
        <f t="shared" si="126"/>
        <v>$H$1:$H$92</v>
      </c>
      <c r="B1646" s="159" t="str">
        <f t="shared" si="127"/>
        <v>$I$1:$I$92</v>
      </c>
      <c r="C1646" s="159" t="str">
        <f t="shared" si="128"/>
        <v>March!$H$1:$H$92</v>
      </c>
      <c r="D1646" s="159" t="str">
        <f t="shared" si="129"/>
        <v>March!$I$1:$I$92</v>
      </c>
      <c r="E1646" t="s">
        <v>5</v>
      </c>
      <c r="F1646" t="s">
        <v>122</v>
      </c>
      <c r="G1646" t="s">
        <v>143</v>
      </c>
      <c r="H1646" t="s">
        <v>24</v>
      </c>
      <c r="I1646" t="e">
        <f t="shared" ca="1" si="130"/>
        <v>#REF!</v>
      </c>
      <c r="J1646" t="str">
        <f>VLOOKUP($G1646,DefinitionArrays!$I$6:$J$12,2,FALSE)</f>
        <v>Workweek</v>
      </c>
    </row>
    <row r="1647" spans="1:10">
      <c r="A1647" s="159" t="str">
        <f t="shared" si="126"/>
        <v>$H$1:$H$92</v>
      </c>
      <c r="B1647" s="159" t="str">
        <f t="shared" si="127"/>
        <v>$I$1:$I$92</v>
      </c>
      <c r="C1647" s="159" t="str">
        <f t="shared" si="128"/>
        <v>March!$H$1:$H$92</v>
      </c>
      <c r="D1647" s="159" t="str">
        <f t="shared" si="129"/>
        <v>March!$I$1:$I$92</v>
      </c>
      <c r="E1647" t="s">
        <v>5</v>
      </c>
      <c r="F1647" t="s">
        <v>122</v>
      </c>
      <c r="G1647" t="s">
        <v>143</v>
      </c>
      <c r="H1647" t="s">
        <v>179</v>
      </c>
      <c r="I1647" t="e">
        <f t="shared" ca="1" si="130"/>
        <v>#REF!</v>
      </c>
      <c r="J1647" t="str">
        <f>VLOOKUP($G1647,DefinitionArrays!$I$6:$J$12,2,FALSE)</f>
        <v>Workweek</v>
      </c>
    </row>
    <row r="1648" spans="1:10">
      <c r="A1648" s="159" t="str">
        <f t="shared" si="126"/>
        <v>$H$1:$H$92</v>
      </c>
      <c r="B1648" s="159" t="str">
        <f t="shared" si="127"/>
        <v>$I$1:$I$92</v>
      </c>
      <c r="C1648" s="159" t="str">
        <f t="shared" si="128"/>
        <v>March!$H$1:$H$92</v>
      </c>
      <c r="D1648" s="159" t="str">
        <f t="shared" si="129"/>
        <v>March!$I$1:$I$92</v>
      </c>
      <c r="E1648" t="s">
        <v>5</v>
      </c>
      <c r="F1648" t="s">
        <v>122</v>
      </c>
      <c r="G1648" t="s">
        <v>143</v>
      </c>
      <c r="H1648" t="s">
        <v>180</v>
      </c>
      <c r="I1648" t="e">
        <f t="shared" ca="1" si="130"/>
        <v>#REF!</v>
      </c>
      <c r="J1648" t="str">
        <f>VLOOKUP($G1648,DefinitionArrays!$I$6:$J$12,2,FALSE)</f>
        <v>Workweek</v>
      </c>
    </row>
    <row r="1649" spans="1:10">
      <c r="A1649" s="159" t="str">
        <f t="shared" si="126"/>
        <v>$H$1:$H$92</v>
      </c>
      <c r="B1649" s="159" t="str">
        <f t="shared" si="127"/>
        <v>$I$1:$I$92</v>
      </c>
      <c r="C1649" s="159" t="str">
        <f t="shared" si="128"/>
        <v>March!$H$1:$H$92</v>
      </c>
      <c r="D1649" s="159" t="str">
        <f t="shared" si="129"/>
        <v>March!$I$1:$I$92</v>
      </c>
      <c r="E1649" t="s">
        <v>5</v>
      </c>
      <c r="F1649" t="s">
        <v>122</v>
      </c>
      <c r="G1649" t="s">
        <v>143</v>
      </c>
      <c r="H1649" t="s">
        <v>44</v>
      </c>
      <c r="I1649" t="e">
        <f t="shared" ca="1" si="130"/>
        <v>#REF!</v>
      </c>
      <c r="J1649" t="str">
        <f>VLOOKUP($G1649,DefinitionArrays!$I$6:$J$12,2,FALSE)</f>
        <v>Workweek</v>
      </c>
    </row>
    <row r="1650" spans="1:10">
      <c r="A1650" s="159" t="str">
        <f t="shared" si="126"/>
        <v>$K$1:$K$92</v>
      </c>
      <c r="B1650" s="159" t="str">
        <f t="shared" si="127"/>
        <v>$L$1:$L$92</v>
      </c>
      <c r="C1650" s="159" t="str">
        <f t="shared" si="128"/>
        <v>March!$K$1:$K$92</v>
      </c>
      <c r="D1650" s="159" t="str">
        <f t="shared" si="129"/>
        <v>March!$L$1:$L$92</v>
      </c>
      <c r="E1650" t="s">
        <v>5</v>
      </c>
      <c r="F1650" t="s">
        <v>122</v>
      </c>
      <c r="G1650" t="s">
        <v>144</v>
      </c>
      <c r="H1650" t="s">
        <v>159</v>
      </c>
      <c r="I1650" t="e">
        <f t="shared" ca="1" si="130"/>
        <v>#REF!</v>
      </c>
      <c r="J1650" t="str">
        <f>VLOOKUP($G1650,DefinitionArrays!$I$6:$J$12,2,FALSE)</f>
        <v>Workweek</v>
      </c>
    </row>
    <row r="1651" spans="1:10">
      <c r="A1651" s="159" t="str">
        <f t="shared" si="126"/>
        <v>$K$1:$K$92</v>
      </c>
      <c r="B1651" s="159" t="str">
        <f t="shared" si="127"/>
        <v>$L$1:$L$92</v>
      </c>
      <c r="C1651" s="159" t="str">
        <f t="shared" si="128"/>
        <v>March!$K$1:$K$92</v>
      </c>
      <c r="D1651" s="159" t="str">
        <f t="shared" si="129"/>
        <v>March!$L$1:$L$92</v>
      </c>
      <c r="E1651" t="s">
        <v>5</v>
      </c>
      <c r="F1651" t="s">
        <v>122</v>
      </c>
      <c r="G1651" t="s">
        <v>144</v>
      </c>
      <c r="H1651" t="s">
        <v>18</v>
      </c>
      <c r="I1651" t="e">
        <f t="shared" ca="1" si="130"/>
        <v>#REF!</v>
      </c>
      <c r="J1651" t="str">
        <f>VLOOKUP($G1651,DefinitionArrays!$I$6:$J$12,2,FALSE)</f>
        <v>Workweek</v>
      </c>
    </row>
    <row r="1652" spans="1:10">
      <c r="A1652" s="159" t="str">
        <f t="shared" si="126"/>
        <v>$K$1:$K$92</v>
      </c>
      <c r="B1652" s="159" t="str">
        <f t="shared" si="127"/>
        <v>$L$1:$L$92</v>
      </c>
      <c r="C1652" s="159" t="str">
        <f t="shared" si="128"/>
        <v>March!$K$1:$K$92</v>
      </c>
      <c r="D1652" s="159" t="str">
        <f t="shared" si="129"/>
        <v>March!$L$1:$L$92</v>
      </c>
      <c r="E1652" t="s">
        <v>5</v>
      </c>
      <c r="F1652" t="s">
        <v>122</v>
      </c>
      <c r="G1652" t="s">
        <v>144</v>
      </c>
      <c r="H1652" t="s">
        <v>153</v>
      </c>
      <c r="I1652" t="e">
        <f t="shared" ca="1" si="130"/>
        <v>#REF!</v>
      </c>
      <c r="J1652" t="str">
        <f>VLOOKUP($G1652,DefinitionArrays!$I$6:$J$12,2,FALSE)</f>
        <v>Workweek</v>
      </c>
    </row>
    <row r="1653" spans="1:10">
      <c r="A1653" s="159" t="str">
        <f t="shared" si="126"/>
        <v>$K$1:$K$92</v>
      </c>
      <c r="B1653" s="159" t="str">
        <f t="shared" si="127"/>
        <v>$L$1:$L$92</v>
      </c>
      <c r="C1653" s="159" t="str">
        <f t="shared" si="128"/>
        <v>March!$K$1:$K$92</v>
      </c>
      <c r="D1653" s="159" t="str">
        <f t="shared" si="129"/>
        <v>March!$L$1:$L$92</v>
      </c>
      <c r="E1653" t="s">
        <v>5</v>
      </c>
      <c r="F1653" t="s">
        <v>122</v>
      </c>
      <c r="G1653" t="s">
        <v>144</v>
      </c>
      <c r="H1653" t="s">
        <v>19</v>
      </c>
      <c r="I1653" t="e">
        <f t="shared" ca="1" si="130"/>
        <v>#REF!</v>
      </c>
      <c r="J1653" t="str">
        <f>VLOOKUP($G1653,DefinitionArrays!$I$6:$J$12,2,FALSE)</f>
        <v>Workweek</v>
      </c>
    </row>
    <row r="1654" spans="1:10">
      <c r="A1654" s="159" t="str">
        <f t="shared" si="126"/>
        <v>$K$1:$K$92</v>
      </c>
      <c r="B1654" s="159" t="str">
        <f t="shared" si="127"/>
        <v>$L$1:$L$92</v>
      </c>
      <c r="C1654" s="159" t="str">
        <f t="shared" si="128"/>
        <v>March!$K$1:$K$92</v>
      </c>
      <c r="D1654" s="159" t="str">
        <f t="shared" si="129"/>
        <v>March!$L$1:$L$92</v>
      </c>
      <c r="E1654" t="s">
        <v>5</v>
      </c>
      <c r="F1654" t="s">
        <v>122</v>
      </c>
      <c r="G1654" t="s">
        <v>144</v>
      </c>
      <c r="H1654" t="s">
        <v>20</v>
      </c>
      <c r="I1654" t="e">
        <f t="shared" ca="1" si="130"/>
        <v>#REF!</v>
      </c>
      <c r="J1654" t="str">
        <f>VLOOKUP($G1654,DefinitionArrays!$I$6:$J$12,2,FALSE)</f>
        <v>Workweek</v>
      </c>
    </row>
    <row r="1655" spans="1:10">
      <c r="A1655" s="159" t="str">
        <f t="shared" si="126"/>
        <v>$K$1:$K$92</v>
      </c>
      <c r="B1655" s="159" t="str">
        <f t="shared" si="127"/>
        <v>$L$1:$L$92</v>
      </c>
      <c r="C1655" s="159" t="str">
        <f t="shared" si="128"/>
        <v>March!$K$1:$K$92</v>
      </c>
      <c r="D1655" s="159" t="str">
        <f t="shared" si="129"/>
        <v>March!$L$1:$L$92</v>
      </c>
      <c r="E1655" t="s">
        <v>5</v>
      </c>
      <c r="F1655" t="s">
        <v>122</v>
      </c>
      <c r="G1655" t="s">
        <v>144</v>
      </c>
      <c r="H1655" t="s">
        <v>21</v>
      </c>
      <c r="I1655" t="e">
        <f t="shared" ca="1" si="130"/>
        <v>#REF!</v>
      </c>
      <c r="J1655" t="str">
        <f>VLOOKUP($G1655,DefinitionArrays!$I$6:$J$12,2,FALSE)</f>
        <v>Workweek</v>
      </c>
    </row>
    <row r="1656" spans="1:10">
      <c r="A1656" s="159" t="str">
        <f t="shared" si="126"/>
        <v>$K$1:$K$92</v>
      </c>
      <c r="B1656" s="159" t="str">
        <f t="shared" si="127"/>
        <v>$L$1:$L$92</v>
      </c>
      <c r="C1656" s="159" t="str">
        <f t="shared" si="128"/>
        <v>March!$K$1:$K$92</v>
      </c>
      <c r="D1656" s="159" t="str">
        <f t="shared" si="129"/>
        <v>March!$L$1:$L$92</v>
      </c>
      <c r="E1656" t="s">
        <v>5</v>
      </c>
      <c r="F1656" t="s">
        <v>122</v>
      </c>
      <c r="G1656" t="s">
        <v>144</v>
      </c>
      <c r="H1656" t="s">
        <v>22</v>
      </c>
      <c r="I1656" t="e">
        <f t="shared" ca="1" si="130"/>
        <v>#REF!</v>
      </c>
      <c r="J1656" t="str">
        <f>VLOOKUP($G1656,DefinitionArrays!$I$6:$J$12,2,FALSE)</f>
        <v>Workweek</v>
      </c>
    </row>
    <row r="1657" spans="1:10">
      <c r="A1657" s="159" t="str">
        <f t="shared" si="126"/>
        <v>$K$1:$K$92</v>
      </c>
      <c r="B1657" s="159" t="str">
        <f t="shared" si="127"/>
        <v>$L$1:$L$92</v>
      </c>
      <c r="C1657" s="159" t="str">
        <f t="shared" si="128"/>
        <v>March!$K$1:$K$92</v>
      </c>
      <c r="D1657" s="159" t="str">
        <f t="shared" si="129"/>
        <v>March!$L$1:$L$92</v>
      </c>
      <c r="E1657" t="s">
        <v>5</v>
      </c>
      <c r="F1657" t="s">
        <v>122</v>
      </c>
      <c r="G1657" t="s">
        <v>144</v>
      </c>
      <c r="H1657" t="s">
        <v>23</v>
      </c>
      <c r="I1657" t="e">
        <f t="shared" ca="1" si="130"/>
        <v>#REF!</v>
      </c>
      <c r="J1657" t="str">
        <f>VLOOKUP($G1657,DefinitionArrays!$I$6:$J$12,2,FALSE)</f>
        <v>Workweek</v>
      </c>
    </row>
    <row r="1658" spans="1:10">
      <c r="A1658" s="159" t="str">
        <f t="shared" si="126"/>
        <v>$K$1:$K$92</v>
      </c>
      <c r="B1658" s="159" t="str">
        <f t="shared" si="127"/>
        <v>$L$1:$L$92</v>
      </c>
      <c r="C1658" s="159" t="str">
        <f t="shared" si="128"/>
        <v>March!$K$1:$K$92</v>
      </c>
      <c r="D1658" s="159" t="str">
        <f t="shared" si="129"/>
        <v>March!$L$1:$L$92</v>
      </c>
      <c r="E1658" t="s">
        <v>5</v>
      </c>
      <c r="F1658" t="s">
        <v>122</v>
      </c>
      <c r="G1658" t="s">
        <v>144</v>
      </c>
      <c r="H1658" t="s">
        <v>24</v>
      </c>
      <c r="I1658" t="e">
        <f t="shared" ca="1" si="130"/>
        <v>#REF!</v>
      </c>
      <c r="J1658" t="str">
        <f>VLOOKUP($G1658,DefinitionArrays!$I$6:$J$12,2,FALSE)</f>
        <v>Workweek</v>
      </c>
    </row>
    <row r="1659" spans="1:10">
      <c r="A1659" s="159" t="str">
        <f t="shared" si="126"/>
        <v>$K$1:$K$92</v>
      </c>
      <c r="B1659" s="159" t="str">
        <f t="shared" si="127"/>
        <v>$L$1:$L$92</v>
      </c>
      <c r="C1659" s="159" t="str">
        <f t="shared" si="128"/>
        <v>March!$K$1:$K$92</v>
      </c>
      <c r="D1659" s="159" t="str">
        <f t="shared" si="129"/>
        <v>March!$L$1:$L$92</v>
      </c>
      <c r="E1659" t="s">
        <v>5</v>
      </c>
      <c r="F1659" t="s">
        <v>122</v>
      </c>
      <c r="G1659" t="s">
        <v>144</v>
      </c>
      <c r="H1659" t="s">
        <v>179</v>
      </c>
      <c r="I1659" t="e">
        <f t="shared" ca="1" si="130"/>
        <v>#REF!</v>
      </c>
      <c r="J1659" t="str">
        <f>VLOOKUP($G1659,DefinitionArrays!$I$6:$J$12,2,FALSE)</f>
        <v>Workweek</v>
      </c>
    </row>
    <row r="1660" spans="1:10">
      <c r="A1660" s="159" t="str">
        <f t="shared" si="126"/>
        <v>$K$1:$K$92</v>
      </c>
      <c r="B1660" s="159" t="str">
        <f t="shared" si="127"/>
        <v>$L$1:$L$92</v>
      </c>
      <c r="C1660" s="159" t="str">
        <f t="shared" si="128"/>
        <v>March!$K$1:$K$92</v>
      </c>
      <c r="D1660" s="159" t="str">
        <f t="shared" si="129"/>
        <v>March!$L$1:$L$92</v>
      </c>
      <c r="E1660" t="s">
        <v>5</v>
      </c>
      <c r="F1660" t="s">
        <v>122</v>
      </c>
      <c r="G1660" t="s">
        <v>144</v>
      </c>
      <c r="H1660" t="s">
        <v>180</v>
      </c>
      <c r="I1660" t="e">
        <f t="shared" ca="1" si="130"/>
        <v>#REF!</v>
      </c>
      <c r="J1660" t="str">
        <f>VLOOKUP($G1660,DefinitionArrays!$I$6:$J$12,2,FALSE)</f>
        <v>Workweek</v>
      </c>
    </row>
    <row r="1661" spans="1:10">
      <c r="A1661" s="159" t="str">
        <f t="shared" si="126"/>
        <v>$K$1:$K$92</v>
      </c>
      <c r="B1661" s="159" t="str">
        <f t="shared" si="127"/>
        <v>$L$1:$L$92</v>
      </c>
      <c r="C1661" s="159" t="str">
        <f t="shared" si="128"/>
        <v>March!$K$1:$K$92</v>
      </c>
      <c r="D1661" s="159" t="str">
        <f t="shared" si="129"/>
        <v>March!$L$1:$L$92</v>
      </c>
      <c r="E1661" t="s">
        <v>5</v>
      </c>
      <c r="F1661" t="s">
        <v>122</v>
      </c>
      <c r="G1661" t="s">
        <v>144</v>
      </c>
      <c r="H1661" t="s">
        <v>44</v>
      </c>
      <c r="I1661" t="e">
        <f t="shared" ca="1" si="130"/>
        <v>#REF!</v>
      </c>
      <c r="J1661" t="str">
        <f>VLOOKUP($G1661,DefinitionArrays!$I$6:$J$12,2,FALSE)</f>
        <v>Workweek</v>
      </c>
    </row>
    <row r="1662" spans="1:10">
      <c r="A1662" s="159" t="str">
        <f t="shared" si="126"/>
        <v>$N$1:$N$92</v>
      </c>
      <c r="B1662" s="159" t="str">
        <f t="shared" si="127"/>
        <v>$O$1:$O$92</v>
      </c>
      <c r="C1662" s="159" t="str">
        <f t="shared" si="128"/>
        <v>March!$N$1:$N$92</v>
      </c>
      <c r="D1662" s="159" t="str">
        <f t="shared" si="129"/>
        <v>March!$O$1:$O$92</v>
      </c>
      <c r="E1662" t="s">
        <v>5</v>
      </c>
      <c r="F1662" t="s">
        <v>122</v>
      </c>
      <c r="G1662" t="s">
        <v>145</v>
      </c>
      <c r="H1662" t="s">
        <v>159</v>
      </c>
      <c r="I1662" t="e">
        <f t="shared" ca="1" si="130"/>
        <v>#REF!</v>
      </c>
      <c r="J1662" t="str">
        <f>VLOOKUP($G1662,DefinitionArrays!$I$6:$J$12,2,FALSE)</f>
        <v>Weekend</v>
      </c>
    </row>
    <row r="1663" spans="1:10">
      <c r="A1663" s="159" t="str">
        <f t="shared" si="126"/>
        <v>$N$1:$N$92</v>
      </c>
      <c r="B1663" s="159" t="str">
        <f t="shared" si="127"/>
        <v>$O$1:$O$92</v>
      </c>
      <c r="C1663" s="159" t="str">
        <f t="shared" si="128"/>
        <v>March!$N$1:$N$92</v>
      </c>
      <c r="D1663" s="159" t="str">
        <f t="shared" si="129"/>
        <v>March!$O$1:$O$92</v>
      </c>
      <c r="E1663" t="s">
        <v>5</v>
      </c>
      <c r="F1663" t="s">
        <v>122</v>
      </c>
      <c r="G1663" t="s">
        <v>145</v>
      </c>
      <c r="H1663" t="s">
        <v>18</v>
      </c>
      <c r="I1663" t="e">
        <f t="shared" ca="1" si="130"/>
        <v>#REF!</v>
      </c>
      <c r="J1663" t="str">
        <f>VLOOKUP($G1663,DefinitionArrays!$I$6:$J$12,2,FALSE)</f>
        <v>Weekend</v>
      </c>
    </row>
    <row r="1664" spans="1:10">
      <c r="A1664" s="159" t="str">
        <f t="shared" si="126"/>
        <v>$N$1:$N$92</v>
      </c>
      <c r="B1664" s="159" t="str">
        <f t="shared" si="127"/>
        <v>$O$1:$O$92</v>
      </c>
      <c r="C1664" s="159" t="str">
        <f t="shared" si="128"/>
        <v>March!$N$1:$N$92</v>
      </c>
      <c r="D1664" s="159" t="str">
        <f t="shared" si="129"/>
        <v>March!$O$1:$O$92</v>
      </c>
      <c r="E1664" t="s">
        <v>5</v>
      </c>
      <c r="F1664" t="s">
        <v>122</v>
      </c>
      <c r="G1664" t="s">
        <v>145</v>
      </c>
      <c r="H1664" t="s">
        <v>153</v>
      </c>
      <c r="I1664" t="e">
        <f t="shared" ca="1" si="130"/>
        <v>#REF!</v>
      </c>
      <c r="J1664" t="str">
        <f>VLOOKUP($G1664,DefinitionArrays!$I$6:$J$12,2,FALSE)</f>
        <v>Weekend</v>
      </c>
    </row>
    <row r="1665" spans="1:10">
      <c r="A1665" s="159" t="str">
        <f t="shared" si="126"/>
        <v>$N$1:$N$92</v>
      </c>
      <c r="B1665" s="159" t="str">
        <f t="shared" si="127"/>
        <v>$O$1:$O$92</v>
      </c>
      <c r="C1665" s="159" t="str">
        <f t="shared" si="128"/>
        <v>March!$N$1:$N$92</v>
      </c>
      <c r="D1665" s="159" t="str">
        <f t="shared" si="129"/>
        <v>March!$O$1:$O$92</v>
      </c>
      <c r="E1665" t="s">
        <v>5</v>
      </c>
      <c r="F1665" t="s">
        <v>122</v>
      </c>
      <c r="G1665" t="s">
        <v>145</v>
      </c>
      <c r="H1665" t="s">
        <v>19</v>
      </c>
      <c r="I1665" t="e">
        <f t="shared" ca="1" si="130"/>
        <v>#REF!</v>
      </c>
      <c r="J1665" t="str">
        <f>VLOOKUP($G1665,DefinitionArrays!$I$6:$J$12,2,FALSE)</f>
        <v>Weekend</v>
      </c>
    </row>
    <row r="1666" spans="1:10">
      <c r="A1666" s="159" t="str">
        <f t="shared" ref="A1666:A1729" si="131">VLOOKUP($G1666,Fx_Code,2,FALSE)</f>
        <v>$N$1:$N$92</v>
      </c>
      <c r="B1666" s="159" t="str">
        <f t="shared" ref="B1666:B1729" si="132">VLOOKUP($G1666,Fx_Code,3,FALSE)</f>
        <v>$O$1:$O$92</v>
      </c>
      <c r="C1666" s="159" t="str">
        <f t="shared" ref="C1666:C1729" si="133">CONCATENATE($F1666,$K$1,A1666)</f>
        <v>March!$N$1:$N$92</v>
      </c>
      <c r="D1666" s="159" t="str">
        <f t="shared" ref="D1666:D1729" si="134">CONCATENATE($F1666,$K$1,B1666)</f>
        <v>March!$O$1:$O$92</v>
      </c>
      <c r="E1666" t="s">
        <v>5</v>
      </c>
      <c r="F1666" t="s">
        <v>122</v>
      </c>
      <c r="G1666" t="s">
        <v>145</v>
      </c>
      <c r="H1666" t="s">
        <v>20</v>
      </c>
      <c r="I1666" t="e">
        <f t="shared" ca="1" si="130"/>
        <v>#REF!</v>
      </c>
      <c r="J1666" t="str">
        <f>VLOOKUP($G1666,DefinitionArrays!$I$6:$J$12,2,FALSE)</f>
        <v>Weekend</v>
      </c>
    </row>
    <row r="1667" spans="1:10">
      <c r="A1667" s="159" t="str">
        <f t="shared" si="131"/>
        <v>$N$1:$N$92</v>
      </c>
      <c r="B1667" s="159" t="str">
        <f t="shared" si="132"/>
        <v>$O$1:$O$92</v>
      </c>
      <c r="C1667" s="159" t="str">
        <f t="shared" si="133"/>
        <v>March!$N$1:$N$92</v>
      </c>
      <c r="D1667" s="159" t="str">
        <f t="shared" si="134"/>
        <v>March!$O$1:$O$92</v>
      </c>
      <c r="E1667" t="s">
        <v>5</v>
      </c>
      <c r="F1667" t="s">
        <v>122</v>
      </c>
      <c r="G1667" t="s">
        <v>145</v>
      </c>
      <c r="H1667" t="s">
        <v>21</v>
      </c>
      <c r="I1667" t="e">
        <f t="shared" ca="1" si="130"/>
        <v>#REF!</v>
      </c>
      <c r="J1667" t="str">
        <f>VLOOKUP($G1667,DefinitionArrays!$I$6:$J$12,2,FALSE)</f>
        <v>Weekend</v>
      </c>
    </row>
    <row r="1668" spans="1:10">
      <c r="A1668" s="159" t="str">
        <f t="shared" si="131"/>
        <v>$N$1:$N$92</v>
      </c>
      <c r="B1668" s="159" t="str">
        <f t="shared" si="132"/>
        <v>$O$1:$O$92</v>
      </c>
      <c r="C1668" s="159" t="str">
        <f t="shared" si="133"/>
        <v>March!$N$1:$N$92</v>
      </c>
      <c r="D1668" s="159" t="str">
        <f t="shared" si="134"/>
        <v>March!$O$1:$O$92</v>
      </c>
      <c r="E1668" t="s">
        <v>5</v>
      </c>
      <c r="F1668" t="s">
        <v>122</v>
      </c>
      <c r="G1668" t="s">
        <v>145</v>
      </c>
      <c r="H1668" t="s">
        <v>22</v>
      </c>
      <c r="I1668" t="e">
        <f t="shared" ca="1" si="130"/>
        <v>#REF!</v>
      </c>
      <c r="J1668" t="str">
        <f>VLOOKUP($G1668,DefinitionArrays!$I$6:$J$12,2,FALSE)</f>
        <v>Weekend</v>
      </c>
    </row>
    <row r="1669" spans="1:10">
      <c r="A1669" s="159" t="str">
        <f t="shared" si="131"/>
        <v>$N$1:$N$92</v>
      </c>
      <c r="B1669" s="159" t="str">
        <f t="shared" si="132"/>
        <v>$O$1:$O$92</v>
      </c>
      <c r="C1669" s="159" t="str">
        <f t="shared" si="133"/>
        <v>March!$N$1:$N$92</v>
      </c>
      <c r="D1669" s="159" t="str">
        <f t="shared" si="134"/>
        <v>March!$O$1:$O$92</v>
      </c>
      <c r="E1669" t="s">
        <v>5</v>
      </c>
      <c r="F1669" t="s">
        <v>122</v>
      </c>
      <c r="G1669" t="s">
        <v>145</v>
      </c>
      <c r="H1669" t="s">
        <v>23</v>
      </c>
      <c r="I1669" t="e">
        <f t="shared" ca="1" si="130"/>
        <v>#REF!</v>
      </c>
      <c r="J1669" t="str">
        <f>VLOOKUP($G1669,DefinitionArrays!$I$6:$J$12,2,FALSE)</f>
        <v>Weekend</v>
      </c>
    </row>
    <row r="1670" spans="1:10">
      <c r="A1670" s="159" t="str">
        <f t="shared" si="131"/>
        <v>$N$1:$N$92</v>
      </c>
      <c r="B1670" s="159" t="str">
        <f t="shared" si="132"/>
        <v>$O$1:$O$92</v>
      </c>
      <c r="C1670" s="159" t="str">
        <f t="shared" si="133"/>
        <v>March!$N$1:$N$92</v>
      </c>
      <c r="D1670" s="159" t="str">
        <f t="shared" si="134"/>
        <v>March!$O$1:$O$92</v>
      </c>
      <c r="E1670" t="s">
        <v>5</v>
      </c>
      <c r="F1670" t="s">
        <v>122</v>
      </c>
      <c r="G1670" t="s">
        <v>145</v>
      </c>
      <c r="H1670" t="s">
        <v>24</v>
      </c>
      <c r="I1670" t="e">
        <f t="shared" ca="1" si="130"/>
        <v>#REF!</v>
      </c>
      <c r="J1670" t="str">
        <f>VLOOKUP($G1670,DefinitionArrays!$I$6:$J$12,2,FALSE)</f>
        <v>Weekend</v>
      </c>
    </row>
    <row r="1671" spans="1:10">
      <c r="A1671" s="159" t="str">
        <f t="shared" si="131"/>
        <v>$N$1:$N$92</v>
      </c>
      <c r="B1671" s="159" t="str">
        <f t="shared" si="132"/>
        <v>$O$1:$O$92</v>
      </c>
      <c r="C1671" s="159" t="str">
        <f t="shared" si="133"/>
        <v>March!$N$1:$N$92</v>
      </c>
      <c r="D1671" s="159" t="str">
        <f t="shared" si="134"/>
        <v>March!$O$1:$O$92</v>
      </c>
      <c r="E1671" t="s">
        <v>5</v>
      </c>
      <c r="F1671" t="s">
        <v>122</v>
      </c>
      <c r="G1671" t="s">
        <v>145</v>
      </c>
      <c r="H1671" t="s">
        <v>179</v>
      </c>
      <c r="I1671" t="e">
        <f t="shared" ca="1" si="130"/>
        <v>#REF!</v>
      </c>
      <c r="J1671" t="str">
        <f>VLOOKUP($G1671,DefinitionArrays!$I$6:$J$12,2,FALSE)</f>
        <v>Weekend</v>
      </c>
    </row>
    <row r="1672" spans="1:10">
      <c r="A1672" s="159" t="str">
        <f t="shared" si="131"/>
        <v>$N$1:$N$92</v>
      </c>
      <c r="B1672" s="159" t="str">
        <f t="shared" si="132"/>
        <v>$O$1:$O$92</v>
      </c>
      <c r="C1672" s="159" t="str">
        <f t="shared" si="133"/>
        <v>March!$N$1:$N$92</v>
      </c>
      <c r="D1672" s="159" t="str">
        <f t="shared" si="134"/>
        <v>March!$O$1:$O$92</v>
      </c>
      <c r="E1672" t="s">
        <v>5</v>
      </c>
      <c r="F1672" t="s">
        <v>122</v>
      </c>
      <c r="G1672" t="s">
        <v>145</v>
      </c>
      <c r="H1672" t="s">
        <v>180</v>
      </c>
      <c r="I1672" t="e">
        <f t="shared" ca="1" si="130"/>
        <v>#REF!</v>
      </c>
      <c r="J1672" t="str">
        <f>VLOOKUP($G1672,DefinitionArrays!$I$6:$J$12,2,FALSE)</f>
        <v>Weekend</v>
      </c>
    </row>
    <row r="1673" spans="1:10">
      <c r="A1673" s="159" t="str">
        <f t="shared" si="131"/>
        <v>$N$1:$N$92</v>
      </c>
      <c r="B1673" s="159" t="str">
        <f t="shared" si="132"/>
        <v>$O$1:$O$92</v>
      </c>
      <c r="C1673" s="159" t="str">
        <f t="shared" si="133"/>
        <v>March!$N$1:$N$92</v>
      </c>
      <c r="D1673" s="159" t="str">
        <f t="shared" si="134"/>
        <v>March!$O$1:$O$92</v>
      </c>
      <c r="E1673" t="s">
        <v>5</v>
      </c>
      <c r="F1673" t="s">
        <v>122</v>
      </c>
      <c r="G1673" t="s">
        <v>145</v>
      </c>
      <c r="H1673" t="s">
        <v>44</v>
      </c>
      <c r="I1673" t="e">
        <f t="shared" ca="1" si="130"/>
        <v>#REF!</v>
      </c>
      <c r="J1673" t="str">
        <f>VLOOKUP($G1673,DefinitionArrays!$I$6:$J$12,2,FALSE)</f>
        <v>Weekend</v>
      </c>
    </row>
    <row r="1674" spans="1:10">
      <c r="A1674" s="159" t="str">
        <f t="shared" si="131"/>
        <v>$Q$1:$Q$92</v>
      </c>
      <c r="B1674" s="159" t="str">
        <f t="shared" si="132"/>
        <v>$R$1:$R$92</v>
      </c>
      <c r="C1674" s="159" t="str">
        <f t="shared" si="133"/>
        <v>March!$Q$1:$Q$92</v>
      </c>
      <c r="D1674" s="159" t="str">
        <f t="shared" si="134"/>
        <v>March!$R$1:$R$92</v>
      </c>
      <c r="E1674" t="s">
        <v>5</v>
      </c>
      <c r="F1674" t="s">
        <v>122</v>
      </c>
      <c r="G1674" t="s">
        <v>146</v>
      </c>
      <c r="H1674" t="s">
        <v>159</v>
      </c>
      <c r="I1674" t="e">
        <f t="shared" ca="1" si="130"/>
        <v>#REF!</v>
      </c>
      <c r="J1674" t="str">
        <f>VLOOKUP($G1674,DefinitionArrays!$I$6:$J$12,2,FALSE)</f>
        <v>Weekend</v>
      </c>
    </row>
    <row r="1675" spans="1:10">
      <c r="A1675" s="159" t="str">
        <f t="shared" si="131"/>
        <v>$T$1:$T$92</v>
      </c>
      <c r="B1675" s="159" t="str">
        <f t="shared" si="132"/>
        <v>$U$1:$U$92</v>
      </c>
      <c r="C1675" s="159" t="str">
        <f t="shared" si="133"/>
        <v>March!$T$1:$T$92</v>
      </c>
      <c r="D1675" s="159" t="str">
        <f t="shared" si="134"/>
        <v>March!$U$1:$U$92</v>
      </c>
      <c r="E1675" t="s">
        <v>5</v>
      </c>
      <c r="F1675" t="s">
        <v>122</v>
      </c>
      <c r="G1675" t="s">
        <v>141</v>
      </c>
      <c r="H1675" t="s">
        <v>159</v>
      </c>
      <c r="I1675" t="e">
        <f t="shared" ca="1" si="130"/>
        <v>#REF!</v>
      </c>
      <c r="J1675" t="str">
        <f>VLOOKUP($G1675,DefinitionArrays!$I$6:$J$12,2,FALSE)</f>
        <v>Weekend</v>
      </c>
    </row>
    <row r="1676" spans="1:10">
      <c r="A1676" s="159" t="str">
        <f t="shared" si="131"/>
        <v>$B$1:$B$92</v>
      </c>
      <c r="B1676" s="159" t="str">
        <f t="shared" si="132"/>
        <v>$C$1:$C$92</v>
      </c>
      <c r="C1676" s="159" t="str">
        <f t="shared" si="133"/>
        <v>April!$B$1:$B$92</v>
      </c>
      <c r="D1676" s="159" t="str">
        <f t="shared" si="134"/>
        <v>April!$C$1:$C$92</v>
      </c>
      <c r="E1676" t="s">
        <v>5</v>
      </c>
      <c r="F1676" t="s">
        <v>123</v>
      </c>
      <c r="G1676" t="s">
        <v>13</v>
      </c>
      <c r="H1676" t="s">
        <v>159</v>
      </c>
      <c r="I1676" t="e">
        <f ca="1">COUNTIFS(INDIRECT($C1676),$E1676,INDIRECT($D1676),$H1676)</f>
        <v>#REF!</v>
      </c>
      <c r="J1676" t="str">
        <f>VLOOKUP($G1676,DefinitionArrays!$I$6:$J$12,2,FALSE)</f>
        <v>Workweek</v>
      </c>
    </row>
    <row r="1677" spans="1:10">
      <c r="A1677" s="159" t="str">
        <f t="shared" si="131"/>
        <v>$B$1:$B$92</v>
      </c>
      <c r="B1677" s="159" t="str">
        <f t="shared" si="132"/>
        <v>$C$1:$C$92</v>
      </c>
      <c r="C1677" s="159" t="str">
        <f t="shared" si="133"/>
        <v>April!$B$1:$B$92</v>
      </c>
      <c r="D1677" s="159" t="str">
        <f t="shared" si="134"/>
        <v>April!$C$1:$C$92</v>
      </c>
      <c r="E1677" t="s">
        <v>5</v>
      </c>
      <c r="F1677" t="s">
        <v>123</v>
      </c>
      <c r="G1677" t="s">
        <v>13</v>
      </c>
      <c r="H1677" t="s">
        <v>18</v>
      </c>
      <c r="I1677" t="e">
        <f t="shared" ref="I1677:I1737" ca="1" si="135">COUNTIFS(INDIRECT($C1677),$E1677,INDIRECT($D1677),$H1677)</f>
        <v>#REF!</v>
      </c>
      <c r="J1677" t="str">
        <f>VLOOKUP($G1677,DefinitionArrays!$I$6:$J$12,2,FALSE)</f>
        <v>Workweek</v>
      </c>
    </row>
    <row r="1678" spans="1:10">
      <c r="A1678" s="159" t="str">
        <f t="shared" si="131"/>
        <v>$B$1:$B$92</v>
      </c>
      <c r="B1678" s="159" t="str">
        <f t="shared" si="132"/>
        <v>$C$1:$C$92</v>
      </c>
      <c r="C1678" s="159" t="str">
        <f t="shared" si="133"/>
        <v>April!$B$1:$B$92</v>
      </c>
      <c r="D1678" s="159" t="str">
        <f t="shared" si="134"/>
        <v>April!$C$1:$C$92</v>
      </c>
      <c r="E1678" t="s">
        <v>5</v>
      </c>
      <c r="F1678" t="s">
        <v>123</v>
      </c>
      <c r="G1678" t="s">
        <v>13</v>
      </c>
      <c r="H1678" t="s">
        <v>153</v>
      </c>
      <c r="I1678" t="e">
        <f t="shared" ca="1" si="135"/>
        <v>#REF!</v>
      </c>
      <c r="J1678" t="str">
        <f>VLOOKUP($G1678,DefinitionArrays!$I$6:$J$12,2,FALSE)</f>
        <v>Workweek</v>
      </c>
    </row>
    <row r="1679" spans="1:10">
      <c r="A1679" s="159" t="str">
        <f t="shared" si="131"/>
        <v>$B$1:$B$92</v>
      </c>
      <c r="B1679" s="159" t="str">
        <f t="shared" si="132"/>
        <v>$C$1:$C$92</v>
      </c>
      <c r="C1679" s="159" t="str">
        <f t="shared" si="133"/>
        <v>April!$B$1:$B$92</v>
      </c>
      <c r="D1679" s="159" t="str">
        <f t="shared" si="134"/>
        <v>April!$C$1:$C$92</v>
      </c>
      <c r="E1679" t="s">
        <v>5</v>
      </c>
      <c r="F1679" t="s">
        <v>123</v>
      </c>
      <c r="G1679" t="s">
        <v>13</v>
      </c>
      <c r="H1679" t="s">
        <v>19</v>
      </c>
      <c r="I1679" t="e">
        <f t="shared" ca="1" si="135"/>
        <v>#REF!</v>
      </c>
      <c r="J1679" t="str">
        <f>VLOOKUP($G1679,DefinitionArrays!$I$6:$J$12,2,FALSE)</f>
        <v>Workweek</v>
      </c>
    </row>
    <row r="1680" spans="1:10">
      <c r="A1680" s="159" t="str">
        <f t="shared" si="131"/>
        <v>$B$1:$B$92</v>
      </c>
      <c r="B1680" s="159" t="str">
        <f t="shared" si="132"/>
        <v>$C$1:$C$92</v>
      </c>
      <c r="C1680" s="159" t="str">
        <f t="shared" si="133"/>
        <v>April!$B$1:$B$92</v>
      </c>
      <c r="D1680" s="159" t="str">
        <f t="shared" si="134"/>
        <v>April!$C$1:$C$92</v>
      </c>
      <c r="E1680" t="s">
        <v>5</v>
      </c>
      <c r="F1680" t="s">
        <v>123</v>
      </c>
      <c r="G1680" t="s">
        <v>13</v>
      </c>
      <c r="H1680" t="s">
        <v>20</v>
      </c>
      <c r="I1680" t="e">
        <f t="shared" ca="1" si="135"/>
        <v>#REF!</v>
      </c>
      <c r="J1680" t="str">
        <f>VLOOKUP($G1680,DefinitionArrays!$I$6:$J$12,2,FALSE)</f>
        <v>Workweek</v>
      </c>
    </row>
    <row r="1681" spans="1:10">
      <c r="A1681" s="159" t="str">
        <f t="shared" si="131"/>
        <v>$B$1:$B$92</v>
      </c>
      <c r="B1681" s="159" t="str">
        <f t="shared" si="132"/>
        <v>$C$1:$C$92</v>
      </c>
      <c r="C1681" s="159" t="str">
        <f t="shared" si="133"/>
        <v>April!$B$1:$B$92</v>
      </c>
      <c r="D1681" s="159" t="str">
        <f t="shared" si="134"/>
        <v>April!$C$1:$C$92</v>
      </c>
      <c r="E1681" t="s">
        <v>5</v>
      </c>
      <c r="F1681" t="s">
        <v>123</v>
      </c>
      <c r="G1681" t="s">
        <v>13</v>
      </c>
      <c r="H1681" t="s">
        <v>21</v>
      </c>
      <c r="I1681" t="e">
        <f t="shared" ca="1" si="135"/>
        <v>#REF!</v>
      </c>
      <c r="J1681" t="str">
        <f>VLOOKUP($G1681,DefinitionArrays!$I$6:$J$12,2,FALSE)</f>
        <v>Workweek</v>
      </c>
    </row>
    <row r="1682" spans="1:10">
      <c r="A1682" s="159" t="str">
        <f t="shared" si="131"/>
        <v>$B$1:$B$92</v>
      </c>
      <c r="B1682" s="159" t="str">
        <f t="shared" si="132"/>
        <v>$C$1:$C$92</v>
      </c>
      <c r="C1682" s="159" t="str">
        <f t="shared" si="133"/>
        <v>April!$B$1:$B$92</v>
      </c>
      <c r="D1682" s="159" t="str">
        <f t="shared" si="134"/>
        <v>April!$C$1:$C$92</v>
      </c>
      <c r="E1682" t="s">
        <v>5</v>
      </c>
      <c r="F1682" t="s">
        <v>123</v>
      </c>
      <c r="G1682" t="s">
        <v>13</v>
      </c>
      <c r="H1682" t="s">
        <v>22</v>
      </c>
      <c r="I1682" t="e">
        <f t="shared" ca="1" si="135"/>
        <v>#REF!</v>
      </c>
      <c r="J1682" t="str">
        <f>VLOOKUP($G1682,DefinitionArrays!$I$6:$J$12,2,FALSE)</f>
        <v>Workweek</v>
      </c>
    </row>
    <row r="1683" spans="1:10">
      <c r="A1683" s="159" t="str">
        <f t="shared" si="131"/>
        <v>$B$1:$B$92</v>
      </c>
      <c r="B1683" s="159" t="str">
        <f t="shared" si="132"/>
        <v>$C$1:$C$92</v>
      </c>
      <c r="C1683" s="159" t="str">
        <f t="shared" si="133"/>
        <v>April!$B$1:$B$92</v>
      </c>
      <c r="D1683" s="159" t="str">
        <f t="shared" si="134"/>
        <v>April!$C$1:$C$92</v>
      </c>
      <c r="E1683" t="s">
        <v>5</v>
      </c>
      <c r="F1683" t="s">
        <v>123</v>
      </c>
      <c r="G1683" t="s">
        <v>13</v>
      </c>
      <c r="H1683" t="s">
        <v>23</v>
      </c>
      <c r="I1683" t="e">
        <f t="shared" ca="1" si="135"/>
        <v>#REF!</v>
      </c>
      <c r="J1683" t="str">
        <f>VLOOKUP($G1683,DefinitionArrays!$I$6:$J$12,2,FALSE)</f>
        <v>Workweek</v>
      </c>
    </row>
    <row r="1684" spans="1:10">
      <c r="A1684" s="159" t="str">
        <f t="shared" si="131"/>
        <v>$B$1:$B$92</v>
      </c>
      <c r="B1684" s="159" t="str">
        <f t="shared" si="132"/>
        <v>$C$1:$C$92</v>
      </c>
      <c r="C1684" s="159" t="str">
        <f t="shared" si="133"/>
        <v>April!$B$1:$B$92</v>
      </c>
      <c r="D1684" s="159" t="str">
        <f t="shared" si="134"/>
        <v>April!$C$1:$C$92</v>
      </c>
      <c r="E1684" t="s">
        <v>5</v>
      </c>
      <c r="F1684" t="s">
        <v>123</v>
      </c>
      <c r="G1684" t="s">
        <v>13</v>
      </c>
      <c r="H1684" t="s">
        <v>24</v>
      </c>
      <c r="I1684" t="e">
        <f t="shared" ca="1" si="135"/>
        <v>#REF!</v>
      </c>
      <c r="J1684" t="str">
        <f>VLOOKUP($G1684,DefinitionArrays!$I$6:$J$12,2,FALSE)</f>
        <v>Workweek</v>
      </c>
    </row>
    <row r="1685" spans="1:10">
      <c r="A1685" s="159" t="str">
        <f t="shared" si="131"/>
        <v>$B$1:$B$92</v>
      </c>
      <c r="B1685" s="159" t="str">
        <f t="shared" si="132"/>
        <v>$C$1:$C$92</v>
      </c>
      <c r="C1685" s="159" t="str">
        <f t="shared" si="133"/>
        <v>April!$B$1:$B$92</v>
      </c>
      <c r="D1685" s="159" t="str">
        <f t="shared" si="134"/>
        <v>April!$C$1:$C$92</v>
      </c>
      <c r="E1685" t="s">
        <v>5</v>
      </c>
      <c r="F1685" t="s">
        <v>123</v>
      </c>
      <c r="G1685" t="s">
        <v>13</v>
      </c>
      <c r="H1685" t="s">
        <v>179</v>
      </c>
      <c r="I1685" t="e">
        <f t="shared" ca="1" si="135"/>
        <v>#REF!</v>
      </c>
      <c r="J1685" t="str">
        <f>VLOOKUP($G1685,DefinitionArrays!$I$6:$J$12,2,FALSE)</f>
        <v>Workweek</v>
      </c>
    </row>
    <row r="1686" spans="1:10">
      <c r="A1686" s="159" t="str">
        <f t="shared" si="131"/>
        <v>$B$1:$B$92</v>
      </c>
      <c r="B1686" s="159" t="str">
        <f t="shared" si="132"/>
        <v>$C$1:$C$92</v>
      </c>
      <c r="C1686" s="159" t="str">
        <f t="shared" si="133"/>
        <v>April!$B$1:$B$92</v>
      </c>
      <c r="D1686" s="159" t="str">
        <f t="shared" si="134"/>
        <v>April!$C$1:$C$92</v>
      </c>
      <c r="E1686" t="s">
        <v>5</v>
      </c>
      <c r="F1686" t="s">
        <v>123</v>
      </c>
      <c r="G1686" t="s">
        <v>13</v>
      </c>
      <c r="H1686" t="s">
        <v>180</v>
      </c>
      <c r="I1686" t="e">
        <f t="shared" ca="1" si="135"/>
        <v>#REF!</v>
      </c>
      <c r="J1686" t="str">
        <f>VLOOKUP($G1686,DefinitionArrays!$I$6:$J$12,2,FALSE)</f>
        <v>Workweek</v>
      </c>
    </row>
    <row r="1687" spans="1:10">
      <c r="A1687" s="159" t="str">
        <f t="shared" si="131"/>
        <v>$B$1:$B$92</v>
      </c>
      <c r="B1687" s="159" t="str">
        <f t="shared" si="132"/>
        <v>$C$1:$C$92</v>
      </c>
      <c r="C1687" s="159" t="str">
        <f t="shared" si="133"/>
        <v>April!$B$1:$B$92</v>
      </c>
      <c r="D1687" s="159" t="str">
        <f t="shared" si="134"/>
        <v>April!$C$1:$C$92</v>
      </c>
      <c r="E1687" t="s">
        <v>5</v>
      </c>
      <c r="F1687" t="s">
        <v>123</v>
      </c>
      <c r="G1687" t="s">
        <v>13</v>
      </c>
      <c r="H1687" t="s">
        <v>44</v>
      </c>
      <c r="I1687" t="e">
        <f t="shared" ca="1" si="135"/>
        <v>#REF!</v>
      </c>
      <c r="J1687" t="str">
        <f>VLOOKUP($G1687,DefinitionArrays!$I$6:$J$12,2,FALSE)</f>
        <v>Workweek</v>
      </c>
    </row>
    <row r="1688" spans="1:10">
      <c r="A1688" s="159" t="str">
        <f t="shared" si="131"/>
        <v>$E$1:$E$92</v>
      </c>
      <c r="B1688" s="159" t="str">
        <f t="shared" si="132"/>
        <v>$F$1:$F$92</v>
      </c>
      <c r="C1688" s="159" t="str">
        <f t="shared" si="133"/>
        <v>April!$E$1:$E$92</v>
      </c>
      <c r="D1688" s="159" t="str">
        <f t="shared" si="134"/>
        <v>April!$F$1:$F$92</v>
      </c>
      <c r="E1688" t="s">
        <v>5</v>
      </c>
      <c r="F1688" t="s">
        <v>123</v>
      </c>
      <c r="G1688" t="s">
        <v>142</v>
      </c>
      <c r="H1688" t="s">
        <v>159</v>
      </c>
      <c r="I1688" t="e">
        <f t="shared" ca="1" si="135"/>
        <v>#REF!</v>
      </c>
      <c r="J1688" t="str">
        <f>VLOOKUP($G1688,DefinitionArrays!$I$6:$J$12,2,FALSE)</f>
        <v>Workweek</v>
      </c>
    </row>
    <row r="1689" spans="1:10">
      <c r="A1689" s="159" t="str">
        <f t="shared" si="131"/>
        <v>$E$1:$E$92</v>
      </c>
      <c r="B1689" s="159" t="str">
        <f t="shared" si="132"/>
        <v>$F$1:$F$92</v>
      </c>
      <c r="C1689" s="159" t="str">
        <f t="shared" si="133"/>
        <v>April!$E$1:$E$92</v>
      </c>
      <c r="D1689" s="159" t="str">
        <f t="shared" si="134"/>
        <v>April!$F$1:$F$92</v>
      </c>
      <c r="E1689" t="s">
        <v>5</v>
      </c>
      <c r="F1689" t="s">
        <v>123</v>
      </c>
      <c r="G1689" t="s">
        <v>142</v>
      </c>
      <c r="H1689" t="s">
        <v>18</v>
      </c>
      <c r="I1689" t="e">
        <f t="shared" ca="1" si="135"/>
        <v>#REF!</v>
      </c>
      <c r="J1689" t="str">
        <f>VLOOKUP($G1689,DefinitionArrays!$I$6:$J$12,2,FALSE)</f>
        <v>Workweek</v>
      </c>
    </row>
    <row r="1690" spans="1:10">
      <c r="A1690" s="159" t="str">
        <f t="shared" si="131"/>
        <v>$E$1:$E$92</v>
      </c>
      <c r="B1690" s="159" t="str">
        <f t="shared" si="132"/>
        <v>$F$1:$F$92</v>
      </c>
      <c r="C1690" s="159" t="str">
        <f t="shared" si="133"/>
        <v>April!$E$1:$E$92</v>
      </c>
      <c r="D1690" s="159" t="str">
        <f t="shared" si="134"/>
        <v>April!$F$1:$F$92</v>
      </c>
      <c r="E1690" t="s">
        <v>5</v>
      </c>
      <c r="F1690" t="s">
        <v>123</v>
      </c>
      <c r="G1690" t="s">
        <v>142</v>
      </c>
      <c r="H1690" t="s">
        <v>153</v>
      </c>
      <c r="I1690" t="e">
        <f t="shared" ca="1" si="135"/>
        <v>#REF!</v>
      </c>
      <c r="J1690" t="str">
        <f>VLOOKUP($G1690,DefinitionArrays!$I$6:$J$12,2,FALSE)</f>
        <v>Workweek</v>
      </c>
    </row>
    <row r="1691" spans="1:10">
      <c r="A1691" s="159" t="str">
        <f t="shared" si="131"/>
        <v>$E$1:$E$92</v>
      </c>
      <c r="B1691" s="159" t="str">
        <f t="shared" si="132"/>
        <v>$F$1:$F$92</v>
      </c>
      <c r="C1691" s="159" t="str">
        <f t="shared" si="133"/>
        <v>April!$E$1:$E$92</v>
      </c>
      <c r="D1691" s="159" t="str">
        <f t="shared" si="134"/>
        <v>April!$F$1:$F$92</v>
      </c>
      <c r="E1691" t="s">
        <v>5</v>
      </c>
      <c r="F1691" t="s">
        <v>123</v>
      </c>
      <c r="G1691" t="s">
        <v>142</v>
      </c>
      <c r="H1691" t="s">
        <v>19</v>
      </c>
      <c r="I1691" t="e">
        <f t="shared" ca="1" si="135"/>
        <v>#REF!</v>
      </c>
      <c r="J1691" t="str">
        <f>VLOOKUP($G1691,DefinitionArrays!$I$6:$J$12,2,FALSE)</f>
        <v>Workweek</v>
      </c>
    </row>
    <row r="1692" spans="1:10">
      <c r="A1692" s="159" t="str">
        <f t="shared" si="131"/>
        <v>$E$1:$E$92</v>
      </c>
      <c r="B1692" s="159" t="str">
        <f t="shared" si="132"/>
        <v>$F$1:$F$92</v>
      </c>
      <c r="C1692" s="159" t="str">
        <f t="shared" si="133"/>
        <v>April!$E$1:$E$92</v>
      </c>
      <c r="D1692" s="159" t="str">
        <f t="shared" si="134"/>
        <v>April!$F$1:$F$92</v>
      </c>
      <c r="E1692" t="s">
        <v>5</v>
      </c>
      <c r="F1692" t="s">
        <v>123</v>
      </c>
      <c r="G1692" t="s">
        <v>142</v>
      </c>
      <c r="H1692" t="s">
        <v>20</v>
      </c>
      <c r="I1692" t="e">
        <f t="shared" ca="1" si="135"/>
        <v>#REF!</v>
      </c>
      <c r="J1692" t="str">
        <f>VLOOKUP($G1692,DefinitionArrays!$I$6:$J$12,2,FALSE)</f>
        <v>Workweek</v>
      </c>
    </row>
    <row r="1693" spans="1:10">
      <c r="A1693" s="159" t="str">
        <f t="shared" si="131"/>
        <v>$E$1:$E$92</v>
      </c>
      <c r="B1693" s="159" t="str">
        <f t="shared" si="132"/>
        <v>$F$1:$F$92</v>
      </c>
      <c r="C1693" s="159" t="str">
        <f t="shared" si="133"/>
        <v>April!$E$1:$E$92</v>
      </c>
      <c r="D1693" s="159" t="str">
        <f t="shared" si="134"/>
        <v>April!$F$1:$F$92</v>
      </c>
      <c r="E1693" t="s">
        <v>5</v>
      </c>
      <c r="F1693" t="s">
        <v>123</v>
      </c>
      <c r="G1693" t="s">
        <v>142</v>
      </c>
      <c r="H1693" t="s">
        <v>21</v>
      </c>
      <c r="I1693" t="e">
        <f t="shared" ca="1" si="135"/>
        <v>#REF!</v>
      </c>
      <c r="J1693" t="str">
        <f>VLOOKUP($G1693,DefinitionArrays!$I$6:$J$12,2,FALSE)</f>
        <v>Workweek</v>
      </c>
    </row>
    <row r="1694" spans="1:10">
      <c r="A1694" s="159" t="str">
        <f t="shared" si="131"/>
        <v>$E$1:$E$92</v>
      </c>
      <c r="B1694" s="159" t="str">
        <f t="shared" si="132"/>
        <v>$F$1:$F$92</v>
      </c>
      <c r="C1694" s="159" t="str">
        <f t="shared" si="133"/>
        <v>April!$E$1:$E$92</v>
      </c>
      <c r="D1694" s="159" t="str">
        <f t="shared" si="134"/>
        <v>April!$F$1:$F$92</v>
      </c>
      <c r="E1694" t="s">
        <v>5</v>
      </c>
      <c r="F1694" t="s">
        <v>123</v>
      </c>
      <c r="G1694" t="s">
        <v>142</v>
      </c>
      <c r="H1694" t="s">
        <v>22</v>
      </c>
      <c r="I1694" t="e">
        <f t="shared" ca="1" si="135"/>
        <v>#REF!</v>
      </c>
      <c r="J1694" t="str">
        <f>VLOOKUP($G1694,DefinitionArrays!$I$6:$J$12,2,FALSE)</f>
        <v>Workweek</v>
      </c>
    </row>
    <row r="1695" spans="1:10">
      <c r="A1695" s="159" t="str">
        <f t="shared" si="131"/>
        <v>$E$1:$E$92</v>
      </c>
      <c r="B1695" s="159" t="str">
        <f t="shared" si="132"/>
        <v>$F$1:$F$92</v>
      </c>
      <c r="C1695" s="159" t="str">
        <f t="shared" si="133"/>
        <v>April!$E$1:$E$92</v>
      </c>
      <c r="D1695" s="159" t="str">
        <f t="shared" si="134"/>
        <v>April!$F$1:$F$92</v>
      </c>
      <c r="E1695" t="s">
        <v>5</v>
      </c>
      <c r="F1695" t="s">
        <v>123</v>
      </c>
      <c r="G1695" t="s">
        <v>142</v>
      </c>
      <c r="H1695" t="s">
        <v>23</v>
      </c>
      <c r="I1695" t="e">
        <f t="shared" ca="1" si="135"/>
        <v>#REF!</v>
      </c>
      <c r="J1695" t="str">
        <f>VLOOKUP($G1695,DefinitionArrays!$I$6:$J$12,2,FALSE)</f>
        <v>Workweek</v>
      </c>
    </row>
    <row r="1696" spans="1:10">
      <c r="A1696" s="159" t="str">
        <f t="shared" si="131"/>
        <v>$E$1:$E$92</v>
      </c>
      <c r="B1696" s="159" t="str">
        <f t="shared" si="132"/>
        <v>$F$1:$F$92</v>
      </c>
      <c r="C1696" s="159" t="str">
        <f t="shared" si="133"/>
        <v>April!$E$1:$E$92</v>
      </c>
      <c r="D1696" s="159" t="str">
        <f t="shared" si="134"/>
        <v>April!$F$1:$F$92</v>
      </c>
      <c r="E1696" t="s">
        <v>5</v>
      </c>
      <c r="F1696" t="s">
        <v>123</v>
      </c>
      <c r="G1696" t="s">
        <v>142</v>
      </c>
      <c r="H1696" t="s">
        <v>24</v>
      </c>
      <c r="I1696" t="e">
        <f t="shared" ca="1" si="135"/>
        <v>#REF!</v>
      </c>
      <c r="J1696" t="str">
        <f>VLOOKUP($G1696,DefinitionArrays!$I$6:$J$12,2,FALSE)</f>
        <v>Workweek</v>
      </c>
    </row>
    <row r="1697" spans="1:10">
      <c r="A1697" s="159" t="str">
        <f t="shared" si="131"/>
        <v>$E$1:$E$92</v>
      </c>
      <c r="B1697" s="159" t="str">
        <f t="shared" si="132"/>
        <v>$F$1:$F$92</v>
      </c>
      <c r="C1697" s="159" t="str">
        <f t="shared" si="133"/>
        <v>April!$E$1:$E$92</v>
      </c>
      <c r="D1697" s="159" t="str">
        <f t="shared" si="134"/>
        <v>April!$F$1:$F$92</v>
      </c>
      <c r="E1697" t="s">
        <v>5</v>
      </c>
      <c r="F1697" t="s">
        <v>123</v>
      </c>
      <c r="G1697" t="s">
        <v>142</v>
      </c>
      <c r="H1697" t="s">
        <v>179</v>
      </c>
      <c r="I1697" t="e">
        <f t="shared" ca="1" si="135"/>
        <v>#REF!</v>
      </c>
      <c r="J1697" t="str">
        <f>VLOOKUP($G1697,DefinitionArrays!$I$6:$J$12,2,FALSE)</f>
        <v>Workweek</v>
      </c>
    </row>
    <row r="1698" spans="1:10">
      <c r="A1698" s="159" t="str">
        <f t="shared" si="131"/>
        <v>$E$1:$E$92</v>
      </c>
      <c r="B1698" s="159" t="str">
        <f t="shared" si="132"/>
        <v>$F$1:$F$92</v>
      </c>
      <c r="C1698" s="159" t="str">
        <f t="shared" si="133"/>
        <v>April!$E$1:$E$92</v>
      </c>
      <c r="D1698" s="159" t="str">
        <f t="shared" si="134"/>
        <v>April!$F$1:$F$92</v>
      </c>
      <c r="E1698" t="s">
        <v>5</v>
      </c>
      <c r="F1698" t="s">
        <v>123</v>
      </c>
      <c r="G1698" t="s">
        <v>142</v>
      </c>
      <c r="H1698" t="s">
        <v>180</v>
      </c>
      <c r="I1698" t="e">
        <f t="shared" ca="1" si="135"/>
        <v>#REF!</v>
      </c>
      <c r="J1698" t="str">
        <f>VLOOKUP($G1698,DefinitionArrays!$I$6:$J$12,2,FALSE)</f>
        <v>Workweek</v>
      </c>
    </row>
    <row r="1699" spans="1:10">
      <c r="A1699" s="159" t="str">
        <f t="shared" si="131"/>
        <v>$E$1:$E$92</v>
      </c>
      <c r="B1699" s="159" t="str">
        <f t="shared" si="132"/>
        <v>$F$1:$F$92</v>
      </c>
      <c r="C1699" s="159" t="str">
        <f t="shared" si="133"/>
        <v>April!$E$1:$E$92</v>
      </c>
      <c r="D1699" s="159" t="str">
        <f t="shared" si="134"/>
        <v>April!$F$1:$F$92</v>
      </c>
      <c r="E1699" t="s">
        <v>5</v>
      </c>
      <c r="F1699" t="s">
        <v>123</v>
      </c>
      <c r="G1699" t="s">
        <v>142</v>
      </c>
      <c r="H1699" t="s">
        <v>44</v>
      </c>
      <c r="I1699" t="e">
        <f t="shared" ca="1" si="135"/>
        <v>#REF!</v>
      </c>
      <c r="J1699" t="str">
        <f>VLOOKUP($G1699,DefinitionArrays!$I$6:$J$12,2,FALSE)</f>
        <v>Workweek</v>
      </c>
    </row>
    <row r="1700" spans="1:10">
      <c r="A1700" s="159" t="str">
        <f t="shared" si="131"/>
        <v>$H$1:$H$92</v>
      </c>
      <c r="B1700" s="159" t="str">
        <f t="shared" si="132"/>
        <v>$I$1:$I$92</v>
      </c>
      <c r="C1700" s="159" t="str">
        <f t="shared" si="133"/>
        <v>April!$H$1:$H$92</v>
      </c>
      <c r="D1700" s="159" t="str">
        <f t="shared" si="134"/>
        <v>April!$I$1:$I$92</v>
      </c>
      <c r="E1700" t="s">
        <v>5</v>
      </c>
      <c r="F1700" t="s">
        <v>123</v>
      </c>
      <c r="G1700" t="s">
        <v>143</v>
      </c>
      <c r="H1700" t="s">
        <v>159</v>
      </c>
      <c r="I1700" t="e">
        <f t="shared" ca="1" si="135"/>
        <v>#REF!</v>
      </c>
      <c r="J1700" t="str">
        <f>VLOOKUP($G1700,DefinitionArrays!$I$6:$J$12,2,FALSE)</f>
        <v>Workweek</v>
      </c>
    </row>
    <row r="1701" spans="1:10">
      <c r="A1701" s="159" t="str">
        <f t="shared" si="131"/>
        <v>$H$1:$H$92</v>
      </c>
      <c r="B1701" s="159" t="str">
        <f t="shared" si="132"/>
        <v>$I$1:$I$92</v>
      </c>
      <c r="C1701" s="159" t="str">
        <f t="shared" si="133"/>
        <v>April!$H$1:$H$92</v>
      </c>
      <c r="D1701" s="159" t="str">
        <f t="shared" si="134"/>
        <v>April!$I$1:$I$92</v>
      </c>
      <c r="E1701" t="s">
        <v>5</v>
      </c>
      <c r="F1701" t="s">
        <v>123</v>
      </c>
      <c r="G1701" t="s">
        <v>143</v>
      </c>
      <c r="H1701" t="s">
        <v>18</v>
      </c>
      <c r="I1701" t="e">
        <f t="shared" ca="1" si="135"/>
        <v>#REF!</v>
      </c>
      <c r="J1701" t="str">
        <f>VLOOKUP($G1701,DefinitionArrays!$I$6:$J$12,2,FALSE)</f>
        <v>Workweek</v>
      </c>
    </row>
    <row r="1702" spans="1:10">
      <c r="A1702" s="159" t="str">
        <f t="shared" si="131"/>
        <v>$H$1:$H$92</v>
      </c>
      <c r="B1702" s="159" t="str">
        <f t="shared" si="132"/>
        <v>$I$1:$I$92</v>
      </c>
      <c r="C1702" s="159" t="str">
        <f t="shared" si="133"/>
        <v>April!$H$1:$H$92</v>
      </c>
      <c r="D1702" s="159" t="str">
        <f t="shared" si="134"/>
        <v>April!$I$1:$I$92</v>
      </c>
      <c r="E1702" t="s">
        <v>5</v>
      </c>
      <c r="F1702" t="s">
        <v>123</v>
      </c>
      <c r="G1702" t="s">
        <v>143</v>
      </c>
      <c r="H1702" t="s">
        <v>153</v>
      </c>
      <c r="I1702" t="e">
        <f t="shared" ca="1" si="135"/>
        <v>#REF!</v>
      </c>
      <c r="J1702" t="str">
        <f>VLOOKUP($G1702,DefinitionArrays!$I$6:$J$12,2,FALSE)</f>
        <v>Workweek</v>
      </c>
    </row>
    <row r="1703" spans="1:10">
      <c r="A1703" s="159" t="str">
        <f t="shared" si="131"/>
        <v>$H$1:$H$92</v>
      </c>
      <c r="B1703" s="159" t="str">
        <f t="shared" si="132"/>
        <v>$I$1:$I$92</v>
      </c>
      <c r="C1703" s="159" t="str">
        <f t="shared" si="133"/>
        <v>April!$H$1:$H$92</v>
      </c>
      <c r="D1703" s="159" t="str">
        <f t="shared" si="134"/>
        <v>April!$I$1:$I$92</v>
      </c>
      <c r="E1703" t="s">
        <v>5</v>
      </c>
      <c r="F1703" t="s">
        <v>123</v>
      </c>
      <c r="G1703" t="s">
        <v>143</v>
      </c>
      <c r="H1703" t="s">
        <v>19</v>
      </c>
      <c r="I1703" t="e">
        <f t="shared" ca="1" si="135"/>
        <v>#REF!</v>
      </c>
      <c r="J1703" t="str">
        <f>VLOOKUP($G1703,DefinitionArrays!$I$6:$J$12,2,FALSE)</f>
        <v>Workweek</v>
      </c>
    </row>
    <row r="1704" spans="1:10">
      <c r="A1704" s="159" t="str">
        <f t="shared" si="131"/>
        <v>$H$1:$H$92</v>
      </c>
      <c r="B1704" s="159" t="str">
        <f t="shared" si="132"/>
        <v>$I$1:$I$92</v>
      </c>
      <c r="C1704" s="159" t="str">
        <f t="shared" si="133"/>
        <v>April!$H$1:$H$92</v>
      </c>
      <c r="D1704" s="159" t="str">
        <f t="shared" si="134"/>
        <v>April!$I$1:$I$92</v>
      </c>
      <c r="E1704" t="s">
        <v>5</v>
      </c>
      <c r="F1704" t="s">
        <v>123</v>
      </c>
      <c r="G1704" t="s">
        <v>143</v>
      </c>
      <c r="H1704" t="s">
        <v>20</v>
      </c>
      <c r="I1704" t="e">
        <f t="shared" ca="1" si="135"/>
        <v>#REF!</v>
      </c>
      <c r="J1704" t="str">
        <f>VLOOKUP($G1704,DefinitionArrays!$I$6:$J$12,2,FALSE)</f>
        <v>Workweek</v>
      </c>
    </row>
    <row r="1705" spans="1:10">
      <c r="A1705" s="159" t="str">
        <f t="shared" si="131"/>
        <v>$H$1:$H$92</v>
      </c>
      <c r="B1705" s="159" t="str">
        <f t="shared" si="132"/>
        <v>$I$1:$I$92</v>
      </c>
      <c r="C1705" s="159" t="str">
        <f t="shared" si="133"/>
        <v>April!$H$1:$H$92</v>
      </c>
      <c r="D1705" s="159" t="str">
        <f t="shared" si="134"/>
        <v>April!$I$1:$I$92</v>
      </c>
      <c r="E1705" t="s">
        <v>5</v>
      </c>
      <c r="F1705" t="s">
        <v>123</v>
      </c>
      <c r="G1705" t="s">
        <v>143</v>
      </c>
      <c r="H1705" t="s">
        <v>21</v>
      </c>
      <c r="I1705" t="e">
        <f t="shared" ca="1" si="135"/>
        <v>#REF!</v>
      </c>
      <c r="J1705" t="str">
        <f>VLOOKUP($G1705,DefinitionArrays!$I$6:$J$12,2,FALSE)</f>
        <v>Workweek</v>
      </c>
    </row>
    <row r="1706" spans="1:10">
      <c r="A1706" s="159" t="str">
        <f t="shared" si="131"/>
        <v>$H$1:$H$92</v>
      </c>
      <c r="B1706" s="159" t="str">
        <f t="shared" si="132"/>
        <v>$I$1:$I$92</v>
      </c>
      <c r="C1706" s="159" t="str">
        <f t="shared" si="133"/>
        <v>April!$H$1:$H$92</v>
      </c>
      <c r="D1706" s="159" t="str">
        <f t="shared" si="134"/>
        <v>April!$I$1:$I$92</v>
      </c>
      <c r="E1706" t="s">
        <v>5</v>
      </c>
      <c r="F1706" t="s">
        <v>123</v>
      </c>
      <c r="G1706" t="s">
        <v>143</v>
      </c>
      <c r="H1706" t="s">
        <v>22</v>
      </c>
      <c r="I1706" t="e">
        <f t="shared" ca="1" si="135"/>
        <v>#REF!</v>
      </c>
      <c r="J1706" t="str">
        <f>VLOOKUP($G1706,DefinitionArrays!$I$6:$J$12,2,FALSE)</f>
        <v>Workweek</v>
      </c>
    </row>
    <row r="1707" spans="1:10">
      <c r="A1707" s="159" t="str">
        <f t="shared" si="131"/>
        <v>$H$1:$H$92</v>
      </c>
      <c r="B1707" s="159" t="str">
        <f t="shared" si="132"/>
        <v>$I$1:$I$92</v>
      </c>
      <c r="C1707" s="159" t="str">
        <f t="shared" si="133"/>
        <v>April!$H$1:$H$92</v>
      </c>
      <c r="D1707" s="159" t="str">
        <f t="shared" si="134"/>
        <v>April!$I$1:$I$92</v>
      </c>
      <c r="E1707" t="s">
        <v>5</v>
      </c>
      <c r="F1707" t="s">
        <v>123</v>
      </c>
      <c r="G1707" t="s">
        <v>143</v>
      </c>
      <c r="H1707" t="s">
        <v>23</v>
      </c>
      <c r="I1707" t="e">
        <f t="shared" ca="1" si="135"/>
        <v>#REF!</v>
      </c>
      <c r="J1707" t="str">
        <f>VLOOKUP($G1707,DefinitionArrays!$I$6:$J$12,2,FALSE)</f>
        <v>Workweek</v>
      </c>
    </row>
    <row r="1708" spans="1:10">
      <c r="A1708" s="159" t="str">
        <f t="shared" si="131"/>
        <v>$H$1:$H$92</v>
      </c>
      <c r="B1708" s="159" t="str">
        <f t="shared" si="132"/>
        <v>$I$1:$I$92</v>
      </c>
      <c r="C1708" s="159" t="str">
        <f t="shared" si="133"/>
        <v>April!$H$1:$H$92</v>
      </c>
      <c r="D1708" s="159" t="str">
        <f t="shared" si="134"/>
        <v>April!$I$1:$I$92</v>
      </c>
      <c r="E1708" t="s">
        <v>5</v>
      </c>
      <c r="F1708" t="s">
        <v>123</v>
      </c>
      <c r="G1708" t="s">
        <v>143</v>
      </c>
      <c r="H1708" t="s">
        <v>24</v>
      </c>
      <c r="I1708" t="e">
        <f t="shared" ca="1" si="135"/>
        <v>#REF!</v>
      </c>
      <c r="J1708" t="str">
        <f>VLOOKUP($G1708,DefinitionArrays!$I$6:$J$12,2,FALSE)</f>
        <v>Workweek</v>
      </c>
    </row>
    <row r="1709" spans="1:10">
      <c r="A1709" s="159" t="str">
        <f t="shared" si="131"/>
        <v>$H$1:$H$92</v>
      </c>
      <c r="B1709" s="159" t="str">
        <f t="shared" si="132"/>
        <v>$I$1:$I$92</v>
      </c>
      <c r="C1709" s="159" t="str">
        <f t="shared" si="133"/>
        <v>April!$H$1:$H$92</v>
      </c>
      <c r="D1709" s="159" t="str">
        <f t="shared" si="134"/>
        <v>April!$I$1:$I$92</v>
      </c>
      <c r="E1709" t="s">
        <v>5</v>
      </c>
      <c r="F1709" t="s">
        <v>123</v>
      </c>
      <c r="G1709" t="s">
        <v>143</v>
      </c>
      <c r="H1709" t="s">
        <v>179</v>
      </c>
      <c r="I1709" t="e">
        <f t="shared" ca="1" si="135"/>
        <v>#REF!</v>
      </c>
      <c r="J1709" t="str">
        <f>VLOOKUP($G1709,DefinitionArrays!$I$6:$J$12,2,FALSE)</f>
        <v>Workweek</v>
      </c>
    </row>
    <row r="1710" spans="1:10">
      <c r="A1710" s="159" t="str">
        <f t="shared" si="131"/>
        <v>$H$1:$H$92</v>
      </c>
      <c r="B1710" s="159" t="str">
        <f t="shared" si="132"/>
        <v>$I$1:$I$92</v>
      </c>
      <c r="C1710" s="159" t="str">
        <f t="shared" si="133"/>
        <v>April!$H$1:$H$92</v>
      </c>
      <c r="D1710" s="159" t="str">
        <f t="shared" si="134"/>
        <v>April!$I$1:$I$92</v>
      </c>
      <c r="E1710" t="s">
        <v>5</v>
      </c>
      <c r="F1710" t="s">
        <v>123</v>
      </c>
      <c r="G1710" t="s">
        <v>143</v>
      </c>
      <c r="H1710" t="s">
        <v>180</v>
      </c>
      <c r="I1710" t="e">
        <f t="shared" ca="1" si="135"/>
        <v>#REF!</v>
      </c>
      <c r="J1710" t="str">
        <f>VLOOKUP($G1710,DefinitionArrays!$I$6:$J$12,2,FALSE)</f>
        <v>Workweek</v>
      </c>
    </row>
    <row r="1711" spans="1:10">
      <c r="A1711" s="159" t="str">
        <f t="shared" si="131"/>
        <v>$H$1:$H$92</v>
      </c>
      <c r="B1711" s="159" t="str">
        <f t="shared" si="132"/>
        <v>$I$1:$I$92</v>
      </c>
      <c r="C1711" s="159" t="str">
        <f t="shared" si="133"/>
        <v>April!$H$1:$H$92</v>
      </c>
      <c r="D1711" s="159" t="str">
        <f t="shared" si="134"/>
        <v>April!$I$1:$I$92</v>
      </c>
      <c r="E1711" t="s">
        <v>5</v>
      </c>
      <c r="F1711" t="s">
        <v>123</v>
      </c>
      <c r="G1711" t="s">
        <v>143</v>
      </c>
      <c r="H1711" t="s">
        <v>44</v>
      </c>
      <c r="I1711" t="e">
        <f t="shared" ca="1" si="135"/>
        <v>#REF!</v>
      </c>
      <c r="J1711" t="str">
        <f>VLOOKUP($G1711,DefinitionArrays!$I$6:$J$12,2,FALSE)</f>
        <v>Workweek</v>
      </c>
    </row>
    <row r="1712" spans="1:10">
      <c r="A1712" s="159" t="str">
        <f t="shared" si="131"/>
        <v>$K$1:$K$92</v>
      </c>
      <c r="B1712" s="159" t="str">
        <f t="shared" si="132"/>
        <v>$L$1:$L$92</v>
      </c>
      <c r="C1712" s="159" t="str">
        <f t="shared" si="133"/>
        <v>April!$K$1:$K$92</v>
      </c>
      <c r="D1712" s="159" t="str">
        <f t="shared" si="134"/>
        <v>April!$L$1:$L$92</v>
      </c>
      <c r="E1712" t="s">
        <v>5</v>
      </c>
      <c r="F1712" t="s">
        <v>123</v>
      </c>
      <c r="G1712" t="s">
        <v>144</v>
      </c>
      <c r="H1712" t="s">
        <v>159</v>
      </c>
      <c r="I1712" t="e">
        <f t="shared" ca="1" si="135"/>
        <v>#REF!</v>
      </c>
      <c r="J1712" t="str">
        <f>VLOOKUP($G1712,DefinitionArrays!$I$6:$J$12,2,FALSE)</f>
        <v>Workweek</v>
      </c>
    </row>
    <row r="1713" spans="1:10">
      <c r="A1713" s="159" t="str">
        <f t="shared" si="131"/>
        <v>$K$1:$K$92</v>
      </c>
      <c r="B1713" s="159" t="str">
        <f t="shared" si="132"/>
        <v>$L$1:$L$92</v>
      </c>
      <c r="C1713" s="159" t="str">
        <f t="shared" si="133"/>
        <v>April!$K$1:$K$92</v>
      </c>
      <c r="D1713" s="159" t="str">
        <f t="shared" si="134"/>
        <v>April!$L$1:$L$92</v>
      </c>
      <c r="E1713" t="s">
        <v>5</v>
      </c>
      <c r="F1713" t="s">
        <v>123</v>
      </c>
      <c r="G1713" t="s">
        <v>144</v>
      </c>
      <c r="H1713" t="s">
        <v>18</v>
      </c>
      <c r="I1713" t="e">
        <f t="shared" ca="1" si="135"/>
        <v>#REF!</v>
      </c>
      <c r="J1713" t="str">
        <f>VLOOKUP($G1713,DefinitionArrays!$I$6:$J$12,2,FALSE)</f>
        <v>Workweek</v>
      </c>
    </row>
    <row r="1714" spans="1:10">
      <c r="A1714" s="159" t="str">
        <f t="shared" si="131"/>
        <v>$K$1:$K$92</v>
      </c>
      <c r="B1714" s="159" t="str">
        <f t="shared" si="132"/>
        <v>$L$1:$L$92</v>
      </c>
      <c r="C1714" s="159" t="str">
        <f t="shared" si="133"/>
        <v>April!$K$1:$K$92</v>
      </c>
      <c r="D1714" s="159" t="str">
        <f t="shared" si="134"/>
        <v>April!$L$1:$L$92</v>
      </c>
      <c r="E1714" t="s">
        <v>5</v>
      </c>
      <c r="F1714" t="s">
        <v>123</v>
      </c>
      <c r="G1714" t="s">
        <v>144</v>
      </c>
      <c r="H1714" t="s">
        <v>153</v>
      </c>
      <c r="I1714" t="e">
        <f t="shared" ca="1" si="135"/>
        <v>#REF!</v>
      </c>
      <c r="J1714" t="str">
        <f>VLOOKUP($G1714,DefinitionArrays!$I$6:$J$12,2,FALSE)</f>
        <v>Workweek</v>
      </c>
    </row>
    <row r="1715" spans="1:10">
      <c r="A1715" s="159" t="str">
        <f t="shared" si="131"/>
        <v>$K$1:$K$92</v>
      </c>
      <c r="B1715" s="159" t="str">
        <f t="shared" si="132"/>
        <v>$L$1:$L$92</v>
      </c>
      <c r="C1715" s="159" t="str">
        <f t="shared" si="133"/>
        <v>April!$K$1:$K$92</v>
      </c>
      <c r="D1715" s="159" t="str">
        <f t="shared" si="134"/>
        <v>April!$L$1:$L$92</v>
      </c>
      <c r="E1715" t="s">
        <v>5</v>
      </c>
      <c r="F1715" t="s">
        <v>123</v>
      </c>
      <c r="G1715" t="s">
        <v>144</v>
      </c>
      <c r="H1715" t="s">
        <v>19</v>
      </c>
      <c r="I1715" t="e">
        <f t="shared" ca="1" si="135"/>
        <v>#REF!</v>
      </c>
      <c r="J1715" t="str">
        <f>VLOOKUP($G1715,DefinitionArrays!$I$6:$J$12,2,FALSE)</f>
        <v>Workweek</v>
      </c>
    </row>
    <row r="1716" spans="1:10">
      <c r="A1716" s="159" t="str">
        <f t="shared" si="131"/>
        <v>$K$1:$K$92</v>
      </c>
      <c r="B1716" s="159" t="str">
        <f t="shared" si="132"/>
        <v>$L$1:$L$92</v>
      </c>
      <c r="C1716" s="159" t="str">
        <f t="shared" si="133"/>
        <v>April!$K$1:$K$92</v>
      </c>
      <c r="D1716" s="159" t="str">
        <f t="shared" si="134"/>
        <v>April!$L$1:$L$92</v>
      </c>
      <c r="E1716" t="s">
        <v>5</v>
      </c>
      <c r="F1716" t="s">
        <v>123</v>
      </c>
      <c r="G1716" t="s">
        <v>144</v>
      </c>
      <c r="H1716" t="s">
        <v>20</v>
      </c>
      <c r="I1716" t="e">
        <f t="shared" ca="1" si="135"/>
        <v>#REF!</v>
      </c>
      <c r="J1716" t="str">
        <f>VLOOKUP($G1716,DefinitionArrays!$I$6:$J$12,2,FALSE)</f>
        <v>Workweek</v>
      </c>
    </row>
    <row r="1717" spans="1:10">
      <c r="A1717" s="159" t="str">
        <f t="shared" si="131"/>
        <v>$K$1:$K$92</v>
      </c>
      <c r="B1717" s="159" t="str">
        <f t="shared" si="132"/>
        <v>$L$1:$L$92</v>
      </c>
      <c r="C1717" s="159" t="str">
        <f t="shared" si="133"/>
        <v>April!$K$1:$K$92</v>
      </c>
      <c r="D1717" s="159" t="str">
        <f t="shared" si="134"/>
        <v>April!$L$1:$L$92</v>
      </c>
      <c r="E1717" t="s">
        <v>5</v>
      </c>
      <c r="F1717" t="s">
        <v>123</v>
      </c>
      <c r="G1717" t="s">
        <v>144</v>
      </c>
      <c r="H1717" t="s">
        <v>21</v>
      </c>
      <c r="I1717" t="e">
        <f t="shared" ca="1" si="135"/>
        <v>#REF!</v>
      </c>
      <c r="J1717" t="str">
        <f>VLOOKUP($G1717,DefinitionArrays!$I$6:$J$12,2,FALSE)</f>
        <v>Workweek</v>
      </c>
    </row>
    <row r="1718" spans="1:10">
      <c r="A1718" s="159" t="str">
        <f t="shared" si="131"/>
        <v>$K$1:$K$92</v>
      </c>
      <c r="B1718" s="159" t="str">
        <f t="shared" si="132"/>
        <v>$L$1:$L$92</v>
      </c>
      <c r="C1718" s="159" t="str">
        <f t="shared" si="133"/>
        <v>April!$K$1:$K$92</v>
      </c>
      <c r="D1718" s="159" t="str">
        <f t="shared" si="134"/>
        <v>April!$L$1:$L$92</v>
      </c>
      <c r="E1718" t="s">
        <v>5</v>
      </c>
      <c r="F1718" t="s">
        <v>123</v>
      </c>
      <c r="G1718" t="s">
        <v>144</v>
      </c>
      <c r="H1718" t="s">
        <v>22</v>
      </c>
      <c r="I1718" t="e">
        <f t="shared" ca="1" si="135"/>
        <v>#REF!</v>
      </c>
      <c r="J1718" t="str">
        <f>VLOOKUP($G1718,DefinitionArrays!$I$6:$J$12,2,FALSE)</f>
        <v>Workweek</v>
      </c>
    </row>
    <row r="1719" spans="1:10">
      <c r="A1719" s="159" t="str">
        <f t="shared" si="131"/>
        <v>$K$1:$K$92</v>
      </c>
      <c r="B1719" s="159" t="str">
        <f t="shared" si="132"/>
        <v>$L$1:$L$92</v>
      </c>
      <c r="C1719" s="159" t="str">
        <f t="shared" si="133"/>
        <v>April!$K$1:$K$92</v>
      </c>
      <c r="D1719" s="159" t="str">
        <f t="shared" si="134"/>
        <v>April!$L$1:$L$92</v>
      </c>
      <c r="E1719" t="s">
        <v>5</v>
      </c>
      <c r="F1719" t="s">
        <v>123</v>
      </c>
      <c r="G1719" t="s">
        <v>144</v>
      </c>
      <c r="H1719" t="s">
        <v>23</v>
      </c>
      <c r="I1719" t="e">
        <f t="shared" ca="1" si="135"/>
        <v>#REF!</v>
      </c>
      <c r="J1719" t="str">
        <f>VLOOKUP($G1719,DefinitionArrays!$I$6:$J$12,2,FALSE)</f>
        <v>Workweek</v>
      </c>
    </row>
    <row r="1720" spans="1:10">
      <c r="A1720" s="159" t="str">
        <f t="shared" si="131"/>
        <v>$K$1:$K$92</v>
      </c>
      <c r="B1720" s="159" t="str">
        <f t="shared" si="132"/>
        <v>$L$1:$L$92</v>
      </c>
      <c r="C1720" s="159" t="str">
        <f t="shared" si="133"/>
        <v>April!$K$1:$K$92</v>
      </c>
      <c r="D1720" s="159" t="str">
        <f t="shared" si="134"/>
        <v>April!$L$1:$L$92</v>
      </c>
      <c r="E1720" t="s">
        <v>5</v>
      </c>
      <c r="F1720" t="s">
        <v>123</v>
      </c>
      <c r="G1720" t="s">
        <v>144</v>
      </c>
      <c r="H1720" t="s">
        <v>24</v>
      </c>
      <c r="I1720" t="e">
        <f t="shared" ca="1" si="135"/>
        <v>#REF!</v>
      </c>
      <c r="J1720" t="str">
        <f>VLOOKUP($G1720,DefinitionArrays!$I$6:$J$12,2,FALSE)</f>
        <v>Workweek</v>
      </c>
    </row>
    <row r="1721" spans="1:10">
      <c r="A1721" s="159" t="str">
        <f t="shared" si="131"/>
        <v>$K$1:$K$92</v>
      </c>
      <c r="B1721" s="159" t="str">
        <f t="shared" si="132"/>
        <v>$L$1:$L$92</v>
      </c>
      <c r="C1721" s="159" t="str">
        <f t="shared" si="133"/>
        <v>April!$K$1:$K$92</v>
      </c>
      <c r="D1721" s="159" t="str">
        <f t="shared" si="134"/>
        <v>April!$L$1:$L$92</v>
      </c>
      <c r="E1721" t="s">
        <v>5</v>
      </c>
      <c r="F1721" t="s">
        <v>123</v>
      </c>
      <c r="G1721" t="s">
        <v>144</v>
      </c>
      <c r="H1721" t="s">
        <v>179</v>
      </c>
      <c r="I1721" t="e">
        <f t="shared" ca="1" si="135"/>
        <v>#REF!</v>
      </c>
      <c r="J1721" t="str">
        <f>VLOOKUP($G1721,DefinitionArrays!$I$6:$J$12,2,FALSE)</f>
        <v>Workweek</v>
      </c>
    </row>
    <row r="1722" spans="1:10">
      <c r="A1722" s="159" t="str">
        <f t="shared" si="131"/>
        <v>$K$1:$K$92</v>
      </c>
      <c r="B1722" s="159" t="str">
        <f t="shared" si="132"/>
        <v>$L$1:$L$92</v>
      </c>
      <c r="C1722" s="159" t="str">
        <f t="shared" si="133"/>
        <v>April!$K$1:$K$92</v>
      </c>
      <c r="D1722" s="159" t="str">
        <f t="shared" si="134"/>
        <v>April!$L$1:$L$92</v>
      </c>
      <c r="E1722" t="s">
        <v>5</v>
      </c>
      <c r="F1722" t="s">
        <v>123</v>
      </c>
      <c r="G1722" t="s">
        <v>144</v>
      </c>
      <c r="H1722" t="s">
        <v>180</v>
      </c>
      <c r="I1722" t="e">
        <f t="shared" ca="1" si="135"/>
        <v>#REF!</v>
      </c>
      <c r="J1722" t="str">
        <f>VLOOKUP($G1722,DefinitionArrays!$I$6:$J$12,2,FALSE)</f>
        <v>Workweek</v>
      </c>
    </row>
    <row r="1723" spans="1:10">
      <c r="A1723" s="159" t="str">
        <f t="shared" si="131"/>
        <v>$K$1:$K$92</v>
      </c>
      <c r="B1723" s="159" t="str">
        <f t="shared" si="132"/>
        <v>$L$1:$L$92</v>
      </c>
      <c r="C1723" s="159" t="str">
        <f t="shared" si="133"/>
        <v>April!$K$1:$K$92</v>
      </c>
      <c r="D1723" s="159" t="str">
        <f t="shared" si="134"/>
        <v>April!$L$1:$L$92</v>
      </c>
      <c r="E1723" t="s">
        <v>5</v>
      </c>
      <c r="F1723" t="s">
        <v>123</v>
      </c>
      <c r="G1723" t="s">
        <v>144</v>
      </c>
      <c r="H1723" t="s">
        <v>44</v>
      </c>
      <c r="I1723" t="e">
        <f t="shared" ca="1" si="135"/>
        <v>#REF!</v>
      </c>
      <c r="J1723" t="str">
        <f>VLOOKUP($G1723,DefinitionArrays!$I$6:$J$12,2,FALSE)</f>
        <v>Workweek</v>
      </c>
    </row>
    <row r="1724" spans="1:10">
      <c r="A1724" s="159" t="str">
        <f t="shared" si="131"/>
        <v>$N$1:$N$92</v>
      </c>
      <c r="B1724" s="159" t="str">
        <f t="shared" si="132"/>
        <v>$O$1:$O$92</v>
      </c>
      <c r="C1724" s="159" t="str">
        <f t="shared" si="133"/>
        <v>April!$N$1:$N$92</v>
      </c>
      <c r="D1724" s="159" t="str">
        <f t="shared" si="134"/>
        <v>April!$O$1:$O$92</v>
      </c>
      <c r="E1724" t="s">
        <v>5</v>
      </c>
      <c r="F1724" t="s">
        <v>123</v>
      </c>
      <c r="G1724" t="s">
        <v>145</v>
      </c>
      <c r="H1724" t="s">
        <v>159</v>
      </c>
      <c r="I1724" t="e">
        <f t="shared" ca="1" si="135"/>
        <v>#REF!</v>
      </c>
      <c r="J1724" t="str">
        <f>VLOOKUP($G1724,DefinitionArrays!$I$6:$J$12,2,FALSE)</f>
        <v>Weekend</v>
      </c>
    </row>
    <row r="1725" spans="1:10">
      <c r="A1725" s="159" t="str">
        <f t="shared" si="131"/>
        <v>$N$1:$N$92</v>
      </c>
      <c r="B1725" s="159" t="str">
        <f t="shared" si="132"/>
        <v>$O$1:$O$92</v>
      </c>
      <c r="C1725" s="159" t="str">
        <f t="shared" si="133"/>
        <v>April!$N$1:$N$92</v>
      </c>
      <c r="D1725" s="159" t="str">
        <f t="shared" si="134"/>
        <v>April!$O$1:$O$92</v>
      </c>
      <c r="E1725" t="s">
        <v>5</v>
      </c>
      <c r="F1725" t="s">
        <v>123</v>
      </c>
      <c r="G1725" t="s">
        <v>145</v>
      </c>
      <c r="H1725" t="s">
        <v>18</v>
      </c>
      <c r="I1725" t="e">
        <f t="shared" ca="1" si="135"/>
        <v>#REF!</v>
      </c>
      <c r="J1725" t="str">
        <f>VLOOKUP($G1725,DefinitionArrays!$I$6:$J$12,2,FALSE)</f>
        <v>Weekend</v>
      </c>
    </row>
    <row r="1726" spans="1:10">
      <c r="A1726" s="159" t="str">
        <f t="shared" si="131"/>
        <v>$N$1:$N$92</v>
      </c>
      <c r="B1726" s="159" t="str">
        <f t="shared" si="132"/>
        <v>$O$1:$O$92</v>
      </c>
      <c r="C1726" s="159" t="str">
        <f t="shared" si="133"/>
        <v>April!$N$1:$N$92</v>
      </c>
      <c r="D1726" s="159" t="str">
        <f t="shared" si="134"/>
        <v>April!$O$1:$O$92</v>
      </c>
      <c r="E1726" t="s">
        <v>5</v>
      </c>
      <c r="F1726" t="s">
        <v>123</v>
      </c>
      <c r="G1726" t="s">
        <v>145</v>
      </c>
      <c r="H1726" t="s">
        <v>153</v>
      </c>
      <c r="I1726" t="e">
        <f t="shared" ca="1" si="135"/>
        <v>#REF!</v>
      </c>
      <c r="J1726" t="str">
        <f>VLOOKUP($G1726,DefinitionArrays!$I$6:$J$12,2,FALSE)</f>
        <v>Weekend</v>
      </c>
    </row>
    <row r="1727" spans="1:10">
      <c r="A1727" s="159" t="str">
        <f t="shared" si="131"/>
        <v>$N$1:$N$92</v>
      </c>
      <c r="B1727" s="159" t="str">
        <f t="shared" si="132"/>
        <v>$O$1:$O$92</v>
      </c>
      <c r="C1727" s="159" t="str">
        <f t="shared" si="133"/>
        <v>April!$N$1:$N$92</v>
      </c>
      <c r="D1727" s="159" t="str">
        <f t="shared" si="134"/>
        <v>April!$O$1:$O$92</v>
      </c>
      <c r="E1727" t="s">
        <v>5</v>
      </c>
      <c r="F1727" t="s">
        <v>123</v>
      </c>
      <c r="G1727" t="s">
        <v>145</v>
      </c>
      <c r="H1727" t="s">
        <v>19</v>
      </c>
      <c r="I1727" t="e">
        <f t="shared" ca="1" si="135"/>
        <v>#REF!</v>
      </c>
      <c r="J1727" t="str">
        <f>VLOOKUP($G1727,DefinitionArrays!$I$6:$J$12,2,FALSE)</f>
        <v>Weekend</v>
      </c>
    </row>
    <row r="1728" spans="1:10">
      <c r="A1728" s="159" t="str">
        <f t="shared" si="131"/>
        <v>$N$1:$N$92</v>
      </c>
      <c r="B1728" s="159" t="str">
        <f t="shared" si="132"/>
        <v>$O$1:$O$92</v>
      </c>
      <c r="C1728" s="159" t="str">
        <f t="shared" si="133"/>
        <v>April!$N$1:$N$92</v>
      </c>
      <c r="D1728" s="159" t="str">
        <f t="shared" si="134"/>
        <v>April!$O$1:$O$92</v>
      </c>
      <c r="E1728" t="s">
        <v>5</v>
      </c>
      <c r="F1728" t="s">
        <v>123</v>
      </c>
      <c r="G1728" t="s">
        <v>145</v>
      </c>
      <c r="H1728" t="s">
        <v>20</v>
      </c>
      <c r="I1728" t="e">
        <f t="shared" ca="1" si="135"/>
        <v>#REF!</v>
      </c>
      <c r="J1728" t="str">
        <f>VLOOKUP($G1728,DefinitionArrays!$I$6:$J$12,2,FALSE)</f>
        <v>Weekend</v>
      </c>
    </row>
    <row r="1729" spans="1:10">
      <c r="A1729" s="159" t="str">
        <f t="shared" si="131"/>
        <v>$N$1:$N$92</v>
      </c>
      <c r="B1729" s="159" t="str">
        <f t="shared" si="132"/>
        <v>$O$1:$O$92</v>
      </c>
      <c r="C1729" s="159" t="str">
        <f t="shared" si="133"/>
        <v>April!$N$1:$N$92</v>
      </c>
      <c r="D1729" s="159" t="str">
        <f t="shared" si="134"/>
        <v>April!$O$1:$O$92</v>
      </c>
      <c r="E1729" t="s">
        <v>5</v>
      </c>
      <c r="F1729" t="s">
        <v>123</v>
      </c>
      <c r="G1729" t="s">
        <v>145</v>
      </c>
      <c r="H1729" t="s">
        <v>21</v>
      </c>
      <c r="I1729" t="e">
        <f t="shared" ca="1" si="135"/>
        <v>#REF!</v>
      </c>
      <c r="J1729" t="str">
        <f>VLOOKUP($G1729,DefinitionArrays!$I$6:$J$12,2,FALSE)</f>
        <v>Weekend</v>
      </c>
    </row>
    <row r="1730" spans="1:10">
      <c r="A1730" s="159" t="str">
        <f t="shared" ref="A1730:A1793" si="136">VLOOKUP($G1730,Fx_Code,2,FALSE)</f>
        <v>$N$1:$N$92</v>
      </c>
      <c r="B1730" s="159" t="str">
        <f t="shared" ref="B1730:B1793" si="137">VLOOKUP($G1730,Fx_Code,3,FALSE)</f>
        <v>$O$1:$O$92</v>
      </c>
      <c r="C1730" s="159" t="str">
        <f t="shared" ref="C1730:C1793" si="138">CONCATENATE($F1730,$K$1,A1730)</f>
        <v>April!$N$1:$N$92</v>
      </c>
      <c r="D1730" s="159" t="str">
        <f t="shared" ref="D1730:D1793" si="139">CONCATENATE($F1730,$K$1,B1730)</f>
        <v>April!$O$1:$O$92</v>
      </c>
      <c r="E1730" t="s">
        <v>5</v>
      </c>
      <c r="F1730" t="s">
        <v>123</v>
      </c>
      <c r="G1730" t="s">
        <v>145</v>
      </c>
      <c r="H1730" t="s">
        <v>22</v>
      </c>
      <c r="I1730" t="e">
        <f t="shared" ca="1" si="135"/>
        <v>#REF!</v>
      </c>
      <c r="J1730" t="str">
        <f>VLOOKUP($G1730,DefinitionArrays!$I$6:$J$12,2,FALSE)</f>
        <v>Weekend</v>
      </c>
    </row>
    <row r="1731" spans="1:10">
      <c r="A1731" s="159" t="str">
        <f t="shared" si="136"/>
        <v>$N$1:$N$92</v>
      </c>
      <c r="B1731" s="159" t="str">
        <f t="shared" si="137"/>
        <v>$O$1:$O$92</v>
      </c>
      <c r="C1731" s="159" t="str">
        <f t="shared" si="138"/>
        <v>April!$N$1:$N$92</v>
      </c>
      <c r="D1731" s="159" t="str">
        <f t="shared" si="139"/>
        <v>April!$O$1:$O$92</v>
      </c>
      <c r="E1731" t="s">
        <v>5</v>
      </c>
      <c r="F1731" t="s">
        <v>123</v>
      </c>
      <c r="G1731" t="s">
        <v>145</v>
      </c>
      <c r="H1731" t="s">
        <v>23</v>
      </c>
      <c r="I1731" t="e">
        <f t="shared" ca="1" si="135"/>
        <v>#REF!</v>
      </c>
      <c r="J1731" t="str">
        <f>VLOOKUP($G1731,DefinitionArrays!$I$6:$J$12,2,FALSE)</f>
        <v>Weekend</v>
      </c>
    </row>
    <row r="1732" spans="1:10">
      <c r="A1732" s="159" t="str">
        <f t="shared" si="136"/>
        <v>$N$1:$N$92</v>
      </c>
      <c r="B1732" s="159" t="str">
        <f t="shared" si="137"/>
        <v>$O$1:$O$92</v>
      </c>
      <c r="C1732" s="159" t="str">
        <f t="shared" si="138"/>
        <v>April!$N$1:$N$92</v>
      </c>
      <c r="D1732" s="159" t="str">
        <f t="shared" si="139"/>
        <v>April!$O$1:$O$92</v>
      </c>
      <c r="E1732" t="s">
        <v>5</v>
      </c>
      <c r="F1732" t="s">
        <v>123</v>
      </c>
      <c r="G1732" t="s">
        <v>145</v>
      </c>
      <c r="H1732" t="s">
        <v>24</v>
      </c>
      <c r="I1732" t="e">
        <f t="shared" ca="1" si="135"/>
        <v>#REF!</v>
      </c>
      <c r="J1732" t="str">
        <f>VLOOKUP($G1732,DefinitionArrays!$I$6:$J$12,2,FALSE)</f>
        <v>Weekend</v>
      </c>
    </row>
    <row r="1733" spans="1:10">
      <c r="A1733" s="159" t="str">
        <f t="shared" si="136"/>
        <v>$N$1:$N$92</v>
      </c>
      <c r="B1733" s="159" t="str">
        <f t="shared" si="137"/>
        <v>$O$1:$O$92</v>
      </c>
      <c r="C1733" s="159" t="str">
        <f t="shared" si="138"/>
        <v>April!$N$1:$N$92</v>
      </c>
      <c r="D1733" s="159" t="str">
        <f t="shared" si="139"/>
        <v>April!$O$1:$O$92</v>
      </c>
      <c r="E1733" t="s">
        <v>5</v>
      </c>
      <c r="F1733" t="s">
        <v>123</v>
      </c>
      <c r="G1733" t="s">
        <v>145</v>
      </c>
      <c r="H1733" t="s">
        <v>179</v>
      </c>
      <c r="I1733" t="e">
        <f t="shared" ca="1" si="135"/>
        <v>#REF!</v>
      </c>
      <c r="J1733" t="str">
        <f>VLOOKUP($G1733,DefinitionArrays!$I$6:$J$12,2,FALSE)</f>
        <v>Weekend</v>
      </c>
    </row>
    <row r="1734" spans="1:10">
      <c r="A1734" s="159" t="str">
        <f t="shared" si="136"/>
        <v>$N$1:$N$92</v>
      </c>
      <c r="B1734" s="159" t="str">
        <f t="shared" si="137"/>
        <v>$O$1:$O$92</v>
      </c>
      <c r="C1734" s="159" t="str">
        <f t="shared" si="138"/>
        <v>April!$N$1:$N$92</v>
      </c>
      <c r="D1734" s="159" t="str">
        <f t="shared" si="139"/>
        <v>April!$O$1:$O$92</v>
      </c>
      <c r="E1734" t="s">
        <v>5</v>
      </c>
      <c r="F1734" t="s">
        <v>123</v>
      </c>
      <c r="G1734" t="s">
        <v>145</v>
      </c>
      <c r="H1734" t="s">
        <v>180</v>
      </c>
      <c r="I1734" t="e">
        <f t="shared" ca="1" si="135"/>
        <v>#REF!</v>
      </c>
      <c r="J1734" t="str">
        <f>VLOOKUP($G1734,DefinitionArrays!$I$6:$J$12,2,FALSE)</f>
        <v>Weekend</v>
      </c>
    </row>
    <row r="1735" spans="1:10">
      <c r="A1735" s="159" t="str">
        <f t="shared" si="136"/>
        <v>$N$1:$N$92</v>
      </c>
      <c r="B1735" s="159" t="str">
        <f t="shared" si="137"/>
        <v>$O$1:$O$92</v>
      </c>
      <c r="C1735" s="159" t="str">
        <f t="shared" si="138"/>
        <v>April!$N$1:$N$92</v>
      </c>
      <c r="D1735" s="159" t="str">
        <f t="shared" si="139"/>
        <v>April!$O$1:$O$92</v>
      </c>
      <c r="E1735" t="s">
        <v>5</v>
      </c>
      <c r="F1735" t="s">
        <v>123</v>
      </c>
      <c r="G1735" t="s">
        <v>145</v>
      </c>
      <c r="H1735" t="s">
        <v>44</v>
      </c>
      <c r="I1735" t="e">
        <f t="shared" ca="1" si="135"/>
        <v>#REF!</v>
      </c>
      <c r="J1735" t="str">
        <f>VLOOKUP($G1735,DefinitionArrays!$I$6:$J$12,2,FALSE)</f>
        <v>Weekend</v>
      </c>
    </row>
    <row r="1736" spans="1:10">
      <c r="A1736" s="159" t="str">
        <f t="shared" si="136"/>
        <v>$Q$1:$Q$92</v>
      </c>
      <c r="B1736" s="159" t="str">
        <f t="shared" si="137"/>
        <v>$R$1:$R$92</v>
      </c>
      <c r="C1736" s="159" t="str">
        <f t="shared" si="138"/>
        <v>April!$Q$1:$Q$92</v>
      </c>
      <c r="D1736" s="159" t="str">
        <f t="shared" si="139"/>
        <v>April!$R$1:$R$92</v>
      </c>
      <c r="E1736" t="s">
        <v>5</v>
      </c>
      <c r="F1736" t="s">
        <v>123</v>
      </c>
      <c r="G1736" t="s">
        <v>146</v>
      </c>
      <c r="H1736" t="s">
        <v>159</v>
      </c>
      <c r="I1736" t="e">
        <f t="shared" ca="1" si="135"/>
        <v>#REF!</v>
      </c>
      <c r="J1736" t="str">
        <f>VLOOKUP($G1736,DefinitionArrays!$I$6:$J$12,2,FALSE)</f>
        <v>Weekend</v>
      </c>
    </row>
    <row r="1737" spans="1:10">
      <c r="A1737" s="159" t="str">
        <f t="shared" si="136"/>
        <v>$T$1:$T$92</v>
      </c>
      <c r="B1737" s="159" t="str">
        <f t="shared" si="137"/>
        <v>$U$1:$U$92</v>
      </c>
      <c r="C1737" s="159" t="str">
        <f t="shared" si="138"/>
        <v>April!$T$1:$T$92</v>
      </c>
      <c r="D1737" s="159" t="str">
        <f t="shared" si="139"/>
        <v>April!$U$1:$U$92</v>
      </c>
      <c r="E1737" t="s">
        <v>5</v>
      </c>
      <c r="F1737" t="s">
        <v>123</v>
      </c>
      <c r="G1737" t="s">
        <v>141</v>
      </c>
      <c r="H1737" t="s">
        <v>159</v>
      </c>
      <c r="I1737" t="e">
        <f t="shared" ca="1" si="135"/>
        <v>#REF!</v>
      </c>
      <c r="J1737" t="str">
        <f>VLOOKUP($G1737,DefinitionArrays!$I$6:$J$12,2,FALSE)</f>
        <v>Weekend</v>
      </c>
    </row>
    <row r="1738" spans="1:10">
      <c r="A1738" s="159" t="str">
        <f t="shared" si="136"/>
        <v>$B$1:$B$92</v>
      </c>
      <c r="B1738" s="159" t="str">
        <f t="shared" si="137"/>
        <v>$C$1:$C$92</v>
      </c>
      <c r="C1738" s="159" t="str">
        <f t="shared" si="138"/>
        <v>May!$B$1:$B$92</v>
      </c>
      <c r="D1738" s="159" t="str">
        <f t="shared" si="139"/>
        <v>May!$C$1:$C$92</v>
      </c>
      <c r="E1738" t="s">
        <v>5</v>
      </c>
      <c r="F1738" t="s">
        <v>124</v>
      </c>
      <c r="G1738" t="s">
        <v>13</v>
      </c>
      <c r="H1738" t="s">
        <v>159</v>
      </c>
      <c r="I1738" t="e">
        <f ca="1">COUNTIFS(INDIRECT($C1738),$E1738,INDIRECT($D1738),$H1738)</f>
        <v>#REF!</v>
      </c>
      <c r="J1738" t="str">
        <f>VLOOKUP($G1738,DefinitionArrays!$I$6:$J$12,2,FALSE)</f>
        <v>Workweek</v>
      </c>
    </row>
    <row r="1739" spans="1:10">
      <c r="A1739" s="159" t="str">
        <f t="shared" si="136"/>
        <v>$B$1:$B$92</v>
      </c>
      <c r="B1739" s="159" t="str">
        <f t="shared" si="137"/>
        <v>$C$1:$C$92</v>
      </c>
      <c r="C1739" s="159" t="str">
        <f t="shared" si="138"/>
        <v>May!$B$1:$B$92</v>
      </c>
      <c r="D1739" s="159" t="str">
        <f t="shared" si="139"/>
        <v>May!$C$1:$C$92</v>
      </c>
      <c r="E1739" t="s">
        <v>5</v>
      </c>
      <c r="F1739" t="s">
        <v>124</v>
      </c>
      <c r="G1739" t="s">
        <v>13</v>
      </c>
      <c r="H1739" t="s">
        <v>18</v>
      </c>
      <c r="I1739" t="e">
        <f t="shared" ref="I1739:I1799" ca="1" si="140">COUNTIFS(INDIRECT($C1739),$E1739,INDIRECT($D1739),$H1739)</f>
        <v>#REF!</v>
      </c>
      <c r="J1739" t="str">
        <f>VLOOKUP($G1739,DefinitionArrays!$I$6:$J$12,2,FALSE)</f>
        <v>Workweek</v>
      </c>
    </row>
    <row r="1740" spans="1:10">
      <c r="A1740" s="159" t="str">
        <f t="shared" si="136"/>
        <v>$B$1:$B$92</v>
      </c>
      <c r="B1740" s="159" t="str">
        <f t="shared" si="137"/>
        <v>$C$1:$C$92</v>
      </c>
      <c r="C1740" s="159" t="str">
        <f t="shared" si="138"/>
        <v>May!$B$1:$B$92</v>
      </c>
      <c r="D1740" s="159" t="str">
        <f t="shared" si="139"/>
        <v>May!$C$1:$C$92</v>
      </c>
      <c r="E1740" t="s">
        <v>5</v>
      </c>
      <c r="F1740" t="s">
        <v>124</v>
      </c>
      <c r="G1740" t="s">
        <v>13</v>
      </c>
      <c r="H1740" t="s">
        <v>153</v>
      </c>
      <c r="I1740" t="e">
        <f t="shared" ca="1" si="140"/>
        <v>#REF!</v>
      </c>
      <c r="J1740" t="str">
        <f>VLOOKUP($G1740,DefinitionArrays!$I$6:$J$12,2,FALSE)</f>
        <v>Workweek</v>
      </c>
    </row>
    <row r="1741" spans="1:10">
      <c r="A1741" s="159" t="str">
        <f t="shared" si="136"/>
        <v>$B$1:$B$92</v>
      </c>
      <c r="B1741" s="159" t="str">
        <f t="shared" si="137"/>
        <v>$C$1:$C$92</v>
      </c>
      <c r="C1741" s="159" t="str">
        <f t="shared" si="138"/>
        <v>May!$B$1:$B$92</v>
      </c>
      <c r="D1741" s="159" t="str">
        <f t="shared" si="139"/>
        <v>May!$C$1:$C$92</v>
      </c>
      <c r="E1741" t="s">
        <v>5</v>
      </c>
      <c r="F1741" t="s">
        <v>124</v>
      </c>
      <c r="G1741" t="s">
        <v>13</v>
      </c>
      <c r="H1741" t="s">
        <v>19</v>
      </c>
      <c r="I1741" t="e">
        <f t="shared" ca="1" si="140"/>
        <v>#REF!</v>
      </c>
      <c r="J1741" t="str">
        <f>VLOOKUP($G1741,DefinitionArrays!$I$6:$J$12,2,FALSE)</f>
        <v>Workweek</v>
      </c>
    </row>
    <row r="1742" spans="1:10">
      <c r="A1742" s="159" t="str">
        <f t="shared" si="136"/>
        <v>$B$1:$B$92</v>
      </c>
      <c r="B1742" s="159" t="str">
        <f t="shared" si="137"/>
        <v>$C$1:$C$92</v>
      </c>
      <c r="C1742" s="159" t="str">
        <f t="shared" si="138"/>
        <v>May!$B$1:$B$92</v>
      </c>
      <c r="D1742" s="159" t="str">
        <f t="shared" si="139"/>
        <v>May!$C$1:$C$92</v>
      </c>
      <c r="E1742" t="s">
        <v>5</v>
      </c>
      <c r="F1742" t="s">
        <v>124</v>
      </c>
      <c r="G1742" t="s">
        <v>13</v>
      </c>
      <c r="H1742" t="s">
        <v>20</v>
      </c>
      <c r="I1742" t="e">
        <f t="shared" ca="1" si="140"/>
        <v>#REF!</v>
      </c>
      <c r="J1742" t="str">
        <f>VLOOKUP($G1742,DefinitionArrays!$I$6:$J$12,2,FALSE)</f>
        <v>Workweek</v>
      </c>
    </row>
    <row r="1743" spans="1:10">
      <c r="A1743" s="159" t="str">
        <f t="shared" si="136"/>
        <v>$B$1:$B$92</v>
      </c>
      <c r="B1743" s="159" t="str">
        <f t="shared" si="137"/>
        <v>$C$1:$C$92</v>
      </c>
      <c r="C1743" s="159" t="str">
        <f t="shared" si="138"/>
        <v>May!$B$1:$B$92</v>
      </c>
      <c r="D1743" s="159" t="str">
        <f t="shared" si="139"/>
        <v>May!$C$1:$C$92</v>
      </c>
      <c r="E1743" t="s">
        <v>5</v>
      </c>
      <c r="F1743" t="s">
        <v>124</v>
      </c>
      <c r="G1743" t="s">
        <v>13</v>
      </c>
      <c r="H1743" t="s">
        <v>21</v>
      </c>
      <c r="I1743" t="e">
        <f t="shared" ca="1" si="140"/>
        <v>#REF!</v>
      </c>
      <c r="J1743" t="str">
        <f>VLOOKUP($G1743,DefinitionArrays!$I$6:$J$12,2,FALSE)</f>
        <v>Workweek</v>
      </c>
    </row>
    <row r="1744" spans="1:10">
      <c r="A1744" s="159" t="str">
        <f t="shared" si="136"/>
        <v>$B$1:$B$92</v>
      </c>
      <c r="B1744" s="159" t="str">
        <f t="shared" si="137"/>
        <v>$C$1:$C$92</v>
      </c>
      <c r="C1744" s="159" t="str">
        <f t="shared" si="138"/>
        <v>May!$B$1:$B$92</v>
      </c>
      <c r="D1744" s="159" t="str">
        <f t="shared" si="139"/>
        <v>May!$C$1:$C$92</v>
      </c>
      <c r="E1744" t="s">
        <v>5</v>
      </c>
      <c r="F1744" t="s">
        <v>124</v>
      </c>
      <c r="G1744" t="s">
        <v>13</v>
      </c>
      <c r="H1744" t="s">
        <v>22</v>
      </c>
      <c r="I1744" t="e">
        <f t="shared" ca="1" si="140"/>
        <v>#REF!</v>
      </c>
      <c r="J1744" t="str">
        <f>VLOOKUP($G1744,DefinitionArrays!$I$6:$J$12,2,FALSE)</f>
        <v>Workweek</v>
      </c>
    </row>
    <row r="1745" spans="1:10">
      <c r="A1745" s="159" t="str">
        <f t="shared" si="136"/>
        <v>$B$1:$B$92</v>
      </c>
      <c r="B1745" s="159" t="str">
        <f t="shared" si="137"/>
        <v>$C$1:$C$92</v>
      </c>
      <c r="C1745" s="159" t="str">
        <f t="shared" si="138"/>
        <v>May!$B$1:$B$92</v>
      </c>
      <c r="D1745" s="159" t="str">
        <f t="shared" si="139"/>
        <v>May!$C$1:$C$92</v>
      </c>
      <c r="E1745" t="s">
        <v>5</v>
      </c>
      <c r="F1745" t="s">
        <v>124</v>
      </c>
      <c r="G1745" t="s">
        <v>13</v>
      </c>
      <c r="H1745" t="s">
        <v>23</v>
      </c>
      <c r="I1745" t="e">
        <f t="shared" ca="1" si="140"/>
        <v>#REF!</v>
      </c>
      <c r="J1745" t="str">
        <f>VLOOKUP($G1745,DefinitionArrays!$I$6:$J$12,2,FALSE)</f>
        <v>Workweek</v>
      </c>
    </row>
    <row r="1746" spans="1:10">
      <c r="A1746" s="159" t="str">
        <f t="shared" si="136"/>
        <v>$B$1:$B$92</v>
      </c>
      <c r="B1746" s="159" t="str">
        <f t="shared" si="137"/>
        <v>$C$1:$C$92</v>
      </c>
      <c r="C1746" s="159" t="str">
        <f t="shared" si="138"/>
        <v>May!$B$1:$B$92</v>
      </c>
      <c r="D1746" s="159" t="str">
        <f t="shared" si="139"/>
        <v>May!$C$1:$C$92</v>
      </c>
      <c r="E1746" t="s">
        <v>5</v>
      </c>
      <c r="F1746" t="s">
        <v>124</v>
      </c>
      <c r="G1746" t="s">
        <v>13</v>
      </c>
      <c r="H1746" t="s">
        <v>24</v>
      </c>
      <c r="I1746" t="e">
        <f t="shared" ca="1" si="140"/>
        <v>#REF!</v>
      </c>
      <c r="J1746" t="str">
        <f>VLOOKUP($G1746,DefinitionArrays!$I$6:$J$12,2,FALSE)</f>
        <v>Workweek</v>
      </c>
    </row>
    <row r="1747" spans="1:10">
      <c r="A1747" s="159" t="str">
        <f t="shared" si="136"/>
        <v>$B$1:$B$92</v>
      </c>
      <c r="B1747" s="159" t="str">
        <f t="shared" si="137"/>
        <v>$C$1:$C$92</v>
      </c>
      <c r="C1747" s="159" t="str">
        <f t="shared" si="138"/>
        <v>May!$B$1:$B$92</v>
      </c>
      <c r="D1747" s="159" t="str">
        <f t="shared" si="139"/>
        <v>May!$C$1:$C$92</v>
      </c>
      <c r="E1747" t="s">
        <v>5</v>
      </c>
      <c r="F1747" t="s">
        <v>124</v>
      </c>
      <c r="G1747" t="s">
        <v>13</v>
      </c>
      <c r="H1747" t="s">
        <v>179</v>
      </c>
      <c r="I1747" t="e">
        <f t="shared" ca="1" si="140"/>
        <v>#REF!</v>
      </c>
      <c r="J1747" t="str">
        <f>VLOOKUP($G1747,DefinitionArrays!$I$6:$J$12,2,FALSE)</f>
        <v>Workweek</v>
      </c>
    </row>
    <row r="1748" spans="1:10">
      <c r="A1748" s="159" t="str">
        <f t="shared" si="136"/>
        <v>$B$1:$B$92</v>
      </c>
      <c r="B1748" s="159" t="str">
        <f t="shared" si="137"/>
        <v>$C$1:$C$92</v>
      </c>
      <c r="C1748" s="159" t="str">
        <f t="shared" si="138"/>
        <v>May!$B$1:$B$92</v>
      </c>
      <c r="D1748" s="159" t="str">
        <f t="shared" si="139"/>
        <v>May!$C$1:$C$92</v>
      </c>
      <c r="E1748" t="s">
        <v>5</v>
      </c>
      <c r="F1748" t="s">
        <v>124</v>
      </c>
      <c r="G1748" t="s">
        <v>13</v>
      </c>
      <c r="H1748" t="s">
        <v>180</v>
      </c>
      <c r="I1748" t="e">
        <f t="shared" ca="1" si="140"/>
        <v>#REF!</v>
      </c>
      <c r="J1748" t="str">
        <f>VLOOKUP($G1748,DefinitionArrays!$I$6:$J$12,2,FALSE)</f>
        <v>Workweek</v>
      </c>
    </row>
    <row r="1749" spans="1:10">
      <c r="A1749" s="159" t="str">
        <f t="shared" si="136"/>
        <v>$B$1:$B$92</v>
      </c>
      <c r="B1749" s="159" t="str">
        <f t="shared" si="137"/>
        <v>$C$1:$C$92</v>
      </c>
      <c r="C1749" s="159" t="str">
        <f t="shared" si="138"/>
        <v>May!$B$1:$B$92</v>
      </c>
      <c r="D1749" s="159" t="str">
        <f t="shared" si="139"/>
        <v>May!$C$1:$C$92</v>
      </c>
      <c r="E1749" t="s">
        <v>5</v>
      </c>
      <c r="F1749" t="s">
        <v>124</v>
      </c>
      <c r="G1749" t="s">
        <v>13</v>
      </c>
      <c r="H1749" t="s">
        <v>44</v>
      </c>
      <c r="I1749" t="e">
        <f t="shared" ca="1" si="140"/>
        <v>#REF!</v>
      </c>
      <c r="J1749" t="str">
        <f>VLOOKUP($G1749,DefinitionArrays!$I$6:$J$12,2,FALSE)</f>
        <v>Workweek</v>
      </c>
    </row>
    <row r="1750" spans="1:10">
      <c r="A1750" s="159" t="str">
        <f t="shared" si="136"/>
        <v>$E$1:$E$92</v>
      </c>
      <c r="B1750" s="159" t="str">
        <f t="shared" si="137"/>
        <v>$F$1:$F$92</v>
      </c>
      <c r="C1750" s="159" t="str">
        <f t="shared" si="138"/>
        <v>May!$E$1:$E$92</v>
      </c>
      <c r="D1750" s="159" t="str">
        <f t="shared" si="139"/>
        <v>May!$F$1:$F$92</v>
      </c>
      <c r="E1750" t="s">
        <v>5</v>
      </c>
      <c r="F1750" t="s">
        <v>124</v>
      </c>
      <c r="G1750" t="s">
        <v>142</v>
      </c>
      <c r="H1750" t="s">
        <v>159</v>
      </c>
      <c r="I1750" t="e">
        <f t="shared" ca="1" si="140"/>
        <v>#REF!</v>
      </c>
      <c r="J1750" t="str">
        <f>VLOOKUP($G1750,DefinitionArrays!$I$6:$J$12,2,FALSE)</f>
        <v>Workweek</v>
      </c>
    </row>
    <row r="1751" spans="1:10">
      <c r="A1751" s="159" t="str">
        <f t="shared" si="136"/>
        <v>$E$1:$E$92</v>
      </c>
      <c r="B1751" s="159" t="str">
        <f t="shared" si="137"/>
        <v>$F$1:$F$92</v>
      </c>
      <c r="C1751" s="159" t="str">
        <f t="shared" si="138"/>
        <v>May!$E$1:$E$92</v>
      </c>
      <c r="D1751" s="159" t="str">
        <f t="shared" si="139"/>
        <v>May!$F$1:$F$92</v>
      </c>
      <c r="E1751" t="s">
        <v>5</v>
      </c>
      <c r="F1751" t="s">
        <v>124</v>
      </c>
      <c r="G1751" t="s">
        <v>142</v>
      </c>
      <c r="H1751" t="s">
        <v>18</v>
      </c>
      <c r="I1751" t="e">
        <f t="shared" ca="1" si="140"/>
        <v>#REF!</v>
      </c>
      <c r="J1751" t="str">
        <f>VLOOKUP($G1751,DefinitionArrays!$I$6:$J$12,2,FALSE)</f>
        <v>Workweek</v>
      </c>
    </row>
    <row r="1752" spans="1:10">
      <c r="A1752" s="159" t="str">
        <f t="shared" si="136"/>
        <v>$E$1:$E$92</v>
      </c>
      <c r="B1752" s="159" t="str">
        <f t="shared" si="137"/>
        <v>$F$1:$F$92</v>
      </c>
      <c r="C1752" s="159" t="str">
        <f t="shared" si="138"/>
        <v>May!$E$1:$E$92</v>
      </c>
      <c r="D1752" s="159" t="str">
        <f t="shared" si="139"/>
        <v>May!$F$1:$F$92</v>
      </c>
      <c r="E1752" t="s">
        <v>5</v>
      </c>
      <c r="F1752" t="s">
        <v>124</v>
      </c>
      <c r="G1752" t="s">
        <v>142</v>
      </c>
      <c r="H1752" t="s">
        <v>153</v>
      </c>
      <c r="I1752" t="e">
        <f t="shared" ca="1" si="140"/>
        <v>#REF!</v>
      </c>
      <c r="J1752" t="str">
        <f>VLOOKUP($G1752,DefinitionArrays!$I$6:$J$12,2,FALSE)</f>
        <v>Workweek</v>
      </c>
    </row>
    <row r="1753" spans="1:10">
      <c r="A1753" s="159" t="str">
        <f t="shared" si="136"/>
        <v>$E$1:$E$92</v>
      </c>
      <c r="B1753" s="159" t="str">
        <f t="shared" si="137"/>
        <v>$F$1:$F$92</v>
      </c>
      <c r="C1753" s="159" t="str">
        <f t="shared" si="138"/>
        <v>May!$E$1:$E$92</v>
      </c>
      <c r="D1753" s="159" t="str">
        <f t="shared" si="139"/>
        <v>May!$F$1:$F$92</v>
      </c>
      <c r="E1753" t="s">
        <v>5</v>
      </c>
      <c r="F1753" t="s">
        <v>124</v>
      </c>
      <c r="G1753" t="s">
        <v>142</v>
      </c>
      <c r="H1753" t="s">
        <v>19</v>
      </c>
      <c r="I1753" t="e">
        <f t="shared" ca="1" si="140"/>
        <v>#REF!</v>
      </c>
      <c r="J1753" t="str">
        <f>VLOOKUP($G1753,DefinitionArrays!$I$6:$J$12,2,FALSE)</f>
        <v>Workweek</v>
      </c>
    </row>
    <row r="1754" spans="1:10">
      <c r="A1754" s="159" t="str">
        <f t="shared" si="136"/>
        <v>$E$1:$E$92</v>
      </c>
      <c r="B1754" s="159" t="str">
        <f t="shared" si="137"/>
        <v>$F$1:$F$92</v>
      </c>
      <c r="C1754" s="159" t="str">
        <f t="shared" si="138"/>
        <v>May!$E$1:$E$92</v>
      </c>
      <c r="D1754" s="159" t="str">
        <f t="shared" si="139"/>
        <v>May!$F$1:$F$92</v>
      </c>
      <c r="E1754" t="s">
        <v>5</v>
      </c>
      <c r="F1754" t="s">
        <v>124</v>
      </c>
      <c r="G1754" t="s">
        <v>142</v>
      </c>
      <c r="H1754" t="s">
        <v>20</v>
      </c>
      <c r="I1754" t="e">
        <f t="shared" ca="1" si="140"/>
        <v>#REF!</v>
      </c>
      <c r="J1754" t="str">
        <f>VLOOKUP($G1754,DefinitionArrays!$I$6:$J$12,2,FALSE)</f>
        <v>Workweek</v>
      </c>
    </row>
    <row r="1755" spans="1:10">
      <c r="A1755" s="159" t="str">
        <f t="shared" si="136"/>
        <v>$E$1:$E$92</v>
      </c>
      <c r="B1755" s="159" t="str">
        <f t="shared" si="137"/>
        <v>$F$1:$F$92</v>
      </c>
      <c r="C1755" s="159" t="str">
        <f t="shared" si="138"/>
        <v>May!$E$1:$E$92</v>
      </c>
      <c r="D1755" s="159" t="str">
        <f t="shared" si="139"/>
        <v>May!$F$1:$F$92</v>
      </c>
      <c r="E1755" t="s">
        <v>5</v>
      </c>
      <c r="F1755" t="s">
        <v>124</v>
      </c>
      <c r="G1755" t="s">
        <v>142</v>
      </c>
      <c r="H1755" t="s">
        <v>21</v>
      </c>
      <c r="I1755" t="e">
        <f t="shared" ca="1" si="140"/>
        <v>#REF!</v>
      </c>
      <c r="J1755" t="str">
        <f>VLOOKUP($G1755,DefinitionArrays!$I$6:$J$12,2,FALSE)</f>
        <v>Workweek</v>
      </c>
    </row>
    <row r="1756" spans="1:10">
      <c r="A1756" s="159" t="str">
        <f t="shared" si="136"/>
        <v>$E$1:$E$92</v>
      </c>
      <c r="B1756" s="159" t="str">
        <f t="shared" si="137"/>
        <v>$F$1:$F$92</v>
      </c>
      <c r="C1756" s="159" t="str">
        <f t="shared" si="138"/>
        <v>May!$E$1:$E$92</v>
      </c>
      <c r="D1756" s="159" t="str">
        <f t="shared" si="139"/>
        <v>May!$F$1:$F$92</v>
      </c>
      <c r="E1756" t="s">
        <v>5</v>
      </c>
      <c r="F1756" t="s">
        <v>124</v>
      </c>
      <c r="G1756" t="s">
        <v>142</v>
      </c>
      <c r="H1756" t="s">
        <v>22</v>
      </c>
      <c r="I1756" t="e">
        <f t="shared" ca="1" si="140"/>
        <v>#REF!</v>
      </c>
      <c r="J1756" t="str">
        <f>VLOOKUP($G1756,DefinitionArrays!$I$6:$J$12,2,FALSE)</f>
        <v>Workweek</v>
      </c>
    </row>
    <row r="1757" spans="1:10">
      <c r="A1757" s="159" t="str">
        <f t="shared" si="136"/>
        <v>$E$1:$E$92</v>
      </c>
      <c r="B1757" s="159" t="str">
        <f t="shared" si="137"/>
        <v>$F$1:$F$92</v>
      </c>
      <c r="C1757" s="159" t="str">
        <f t="shared" si="138"/>
        <v>May!$E$1:$E$92</v>
      </c>
      <c r="D1757" s="159" t="str">
        <f t="shared" si="139"/>
        <v>May!$F$1:$F$92</v>
      </c>
      <c r="E1757" t="s">
        <v>5</v>
      </c>
      <c r="F1757" t="s">
        <v>124</v>
      </c>
      <c r="G1757" t="s">
        <v>142</v>
      </c>
      <c r="H1757" t="s">
        <v>23</v>
      </c>
      <c r="I1757" t="e">
        <f t="shared" ca="1" si="140"/>
        <v>#REF!</v>
      </c>
      <c r="J1757" t="str">
        <f>VLOOKUP($G1757,DefinitionArrays!$I$6:$J$12,2,FALSE)</f>
        <v>Workweek</v>
      </c>
    </row>
    <row r="1758" spans="1:10">
      <c r="A1758" s="159" t="str">
        <f t="shared" si="136"/>
        <v>$E$1:$E$92</v>
      </c>
      <c r="B1758" s="159" t="str">
        <f t="shared" si="137"/>
        <v>$F$1:$F$92</v>
      </c>
      <c r="C1758" s="159" t="str">
        <f t="shared" si="138"/>
        <v>May!$E$1:$E$92</v>
      </c>
      <c r="D1758" s="159" t="str">
        <f t="shared" si="139"/>
        <v>May!$F$1:$F$92</v>
      </c>
      <c r="E1758" t="s">
        <v>5</v>
      </c>
      <c r="F1758" t="s">
        <v>124</v>
      </c>
      <c r="G1758" t="s">
        <v>142</v>
      </c>
      <c r="H1758" t="s">
        <v>24</v>
      </c>
      <c r="I1758" t="e">
        <f t="shared" ca="1" si="140"/>
        <v>#REF!</v>
      </c>
      <c r="J1758" t="str">
        <f>VLOOKUP($G1758,DefinitionArrays!$I$6:$J$12,2,FALSE)</f>
        <v>Workweek</v>
      </c>
    </row>
    <row r="1759" spans="1:10">
      <c r="A1759" s="159" t="str">
        <f t="shared" si="136"/>
        <v>$E$1:$E$92</v>
      </c>
      <c r="B1759" s="159" t="str">
        <f t="shared" si="137"/>
        <v>$F$1:$F$92</v>
      </c>
      <c r="C1759" s="159" t="str">
        <f t="shared" si="138"/>
        <v>May!$E$1:$E$92</v>
      </c>
      <c r="D1759" s="159" t="str">
        <f t="shared" si="139"/>
        <v>May!$F$1:$F$92</v>
      </c>
      <c r="E1759" t="s">
        <v>5</v>
      </c>
      <c r="F1759" t="s">
        <v>124</v>
      </c>
      <c r="G1759" t="s">
        <v>142</v>
      </c>
      <c r="H1759" t="s">
        <v>179</v>
      </c>
      <c r="I1759" t="e">
        <f t="shared" ca="1" si="140"/>
        <v>#REF!</v>
      </c>
      <c r="J1759" t="str">
        <f>VLOOKUP($G1759,DefinitionArrays!$I$6:$J$12,2,FALSE)</f>
        <v>Workweek</v>
      </c>
    </row>
    <row r="1760" spans="1:10">
      <c r="A1760" s="159" t="str">
        <f t="shared" si="136"/>
        <v>$E$1:$E$92</v>
      </c>
      <c r="B1760" s="159" t="str">
        <f t="shared" si="137"/>
        <v>$F$1:$F$92</v>
      </c>
      <c r="C1760" s="159" t="str">
        <f t="shared" si="138"/>
        <v>May!$E$1:$E$92</v>
      </c>
      <c r="D1760" s="159" t="str">
        <f t="shared" si="139"/>
        <v>May!$F$1:$F$92</v>
      </c>
      <c r="E1760" t="s">
        <v>5</v>
      </c>
      <c r="F1760" t="s">
        <v>124</v>
      </c>
      <c r="G1760" t="s">
        <v>142</v>
      </c>
      <c r="H1760" t="s">
        <v>180</v>
      </c>
      <c r="I1760" t="e">
        <f t="shared" ca="1" si="140"/>
        <v>#REF!</v>
      </c>
      <c r="J1760" t="str">
        <f>VLOOKUP($G1760,DefinitionArrays!$I$6:$J$12,2,FALSE)</f>
        <v>Workweek</v>
      </c>
    </row>
    <row r="1761" spans="1:10">
      <c r="A1761" s="159" t="str">
        <f t="shared" si="136"/>
        <v>$E$1:$E$92</v>
      </c>
      <c r="B1761" s="159" t="str">
        <f t="shared" si="137"/>
        <v>$F$1:$F$92</v>
      </c>
      <c r="C1761" s="159" t="str">
        <f t="shared" si="138"/>
        <v>May!$E$1:$E$92</v>
      </c>
      <c r="D1761" s="159" t="str">
        <f t="shared" si="139"/>
        <v>May!$F$1:$F$92</v>
      </c>
      <c r="E1761" t="s">
        <v>5</v>
      </c>
      <c r="F1761" t="s">
        <v>124</v>
      </c>
      <c r="G1761" t="s">
        <v>142</v>
      </c>
      <c r="H1761" t="s">
        <v>44</v>
      </c>
      <c r="I1761" t="e">
        <f t="shared" ca="1" si="140"/>
        <v>#REF!</v>
      </c>
      <c r="J1761" t="str">
        <f>VLOOKUP($G1761,DefinitionArrays!$I$6:$J$12,2,FALSE)</f>
        <v>Workweek</v>
      </c>
    </row>
    <row r="1762" spans="1:10">
      <c r="A1762" s="159" t="str">
        <f t="shared" si="136"/>
        <v>$H$1:$H$92</v>
      </c>
      <c r="B1762" s="159" t="str">
        <f t="shared" si="137"/>
        <v>$I$1:$I$92</v>
      </c>
      <c r="C1762" s="159" t="str">
        <f t="shared" si="138"/>
        <v>May!$H$1:$H$92</v>
      </c>
      <c r="D1762" s="159" t="str">
        <f t="shared" si="139"/>
        <v>May!$I$1:$I$92</v>
      </c>
      <c r="E1762" t="s">
        <v>5</v>
      </c>
      <c r="F1762" t="s">
        <v>124</v>
      </c>
      <c r="G1762" t="s">
        <v>143</v>
      </c>
      <c r="H1762" t="s">
        <v>159</v>
      </c>
      <c r="I1762" t="e">
        <f t="shared" ca="1" si="140"/>
        <v>#REF!</v>
      </c>
      <c r="J1762" t="str">
        <f>VLOOKUP($G1762,DefinitionArrays!$I$6:$J$12,2,FALSE)</f>
        <v>Workweek</v>
      </c>
    </row>
    <row r="1763" spans="1:10">
      <c r="A1763" s="159" t="str">
        <f t="shared" si="136"/>
        <v>$H$1:$H$92</v>
      </c>
      <c r="B1763" s="159" t="str">
        <f t="shared" si="137"/>
        <v>$I$1:$I$92</v>
      </c>
      <c r="C1763" s="159" t="str">
        <f t="shared" si="138"/>
        <v>May!$H$1:$H$92</v>
      </c>
      <c r="D1763" s="159" t="str">
        <f t="shared" si="139"/>
        <v>May!$I$1:$I$92</v>
      </c>
      <c r="E1763" t="s">
        <v>5</v>
      </c>
      <c r="F1763" t="s">
        <v>124</v>
      </c>
      <c r="G1763" t="s">
        <v>143</v>
      </c>
      <c r="H1763" t="s">
        <v>18</v>
      </c>
      <c r="I1763" t="e">
        <f t="shared" ca="1" si="140"/>
        <v>#REF!</v>
      </c>
      <c r="J1763" t="str">
        <f>VLOOKUP($G1763,DefinitionArrays!$I$6:$J$12,2,FALSE)</f>
        <v>Workweek</v>
      </c>
    </row>
    <row r="1764" spans="1:10">
      <c r="A1764" s="159" t="str">
        <f t="shared" si="136"/>
        <v>$H$1:$H$92</v>
      </c>
      <c r="B1764" s="159" t="str">
        <f t="shared" si="137"/>
        <v>$I$1:$I$92</v>
      </c>
      <c r="C1764" s="159" t="str">
        <f t="shared" si="138"/>
        <v>May!$H$1:$H$92</v>
      </c>
      <c r="D1764" s="159" t="str">
        <f t="shared" si="139"/>
        <v>May!$I$1:$I$92</v>
      </c>
      <c r="E1764" t="s">
        <v>5</v>
      </c>
      <c r="F1764" t="s">
        <v>124</v>
      </c>
      <c r="G1764" t="s">
        <v>143</v>
      </c>
      <c r="H1764" t="s">
        <v>153</v>
      </c>
      <c r="I1764" t="e">
        <f t="shared" ca="1" si="140"/>
        <v>#REF!</v>
      </c>
      <c r="J1764" t="str">
        <f>VLOOKUP($G1764,DefinitionArrays!$I$6:$J$12,2,FALSE)</f>
        <v>Workweek</v>
      </c>
    </row>
    <row r="1765" spans="1:10">
      <c r="A1765" s="159" t="str">
        <f t="shared" si="136"/>
        <v>$H$1:$H$92</v>
      </c>
      <c r="B1765" s="159" t="str">
        <f t="shared" si="137"/>
        <v>$I$1:$I$92</v>
      </c>
      <c r="C1765" s="159" t="str">
        <f t="shared" si="138"/>
        <v>May!$H$1:$H$92</v>
      </c>
      <c r="D1765" s="159" t="str">
        <f t="shared" si="139"/>
        <v>May!$I$1:$I$92</v>
      </c>
      <c r="E1765" t="s">
        <v>5</v>
      </c>
      <c r="F1765" t="s">
        <v>124</v>
      </c>
      <c r="G1765" t="s">
        <v>143</v>
      </c>
      <c r="H1765" t="s">
        <v>19</v>
      </c>
      <c r="I1765" t="e">
        <f t="shared" ca="1" si="140"/>
        <v>#REF!</v>
      </c>
      <c r="J1765" t="str">
        <f>VLOOKUP($G1765,DefinitionArrays!$I$6:$J$12,2,FALSE)</f>
        <v>Workweek</v>
      </c>
    </row>
    <row r="1766" spans="1:10">
      <c r="A1766" s="159" t="str">
        <f t="shared" si="136"/>
        <v>$H$1:$H$92</v>
      </c>
      <c r="B1766" s="159" t="str">
        <f t="shared" si="137"/>
        <v>$I$1:$I$92</v>
      </c>
      <c r="C1766" s="159" t="str">
        <f t="shared" si="138"/>
        <v>May!$H$1:$H$92</v>
      </c>
      <c r="D1766" s="159" t="str">
        <f t="shared" si="139"/>
        <v>May!$I$1:$I$92</v>
      </c>
      <c r="E1766" t="s">
        <v>5</v>
      </c>
      <c r="F1766" t="s">
        <v>124</v>
      </c>
      <c r="G1766" t="s">
        <v>143</v>
      </c>
      <c r="H1766" t="s">
        <v>20</v>
      </c>
      <c r="I1766" t="e">
        <f t="shared" ca="1" si="140"/>
        <v>#REF!</v>
      </c>
      <c r="J1766" t="str">
        <f>VLOOKUP($G1766,DefinitionArrays!$I$6:$J$12,2,FALSE)</f>
        <v>Workweek</v>
      </c>
    </row>
    <row r="1767" spans="1:10">
      <c r="A1767" s="159" t="str">
        <f t="shared" si="136"/>
        <v>$H$1:$H$92</v>
      </c>
      <c r="B1767" s="159" t="str">
        <f t="shared" si="137"/>
        <v>$I$1:$I$92</v>
      </c>
      <c r="C1767" s="159" t="str">
        <f t="shared" si="138"/>
        <v>May!$H$1:$H$92</v>
      </c>
      <c r="D1767" s="159" t="str">
        <f t="shared" si="139"/>
        <v>May!$I$1:$I$92</v>
      </c>
      <c r="E1767" t="s">
        <v>5</v>
      </c>
      <c r="F1767" t="s">
        <v>124</v>
      </c>
      <c r="G1767" t="s">
        <v>143</v>
      </c>
      <c r="H1767" t="s">
        <v>21</v>
      </c>
      <c r="I1767" t="e">
        <f t="shared" ca="1" si="140"/>
        <v>#REF!</v>
      </c>
      <c r="J1767" t="str">
        <f>VLOOKUP($G1767,DefinitionArrays!$I$6:$J$12,2,FALSE)</f>
        <v>Workweek</v>
      </c>
    </row>
    <row r="1768" spans="1:10">
      <c r="A1768" s="159" t="str">
        <f t="shared" si="136"/>
        <v>$H$1:$H$92</v>
      </c>
      <c r="B1768" s="159" t="str">
        <f t="shared" si="137"/>
        <v>$I$1:$I$92</v>
      </c>
      <c r="C1768" s="159" t="str">
        <f t="shared" si="138"/>
        <v>May!$H$1:$H$92</v>
      </c>
      <c r="D1768" s="159" t="str">
        <f t="shared" si="139"/>
        <v>May!$I$1:$I$92</v>
      </c>
      <c r="E1768" t="s">
        <v>5</v>
      </c>
      <c r="F1768" t="s">
        <v>124</v>
      </c>
      <c r="G1768" t="s">
        <v>143</v>
      </c>
      <c r="H1768" t="s">
        <v>22</v>
      </c>
      <c r="I1768" t="e">
        <f t="shared" ca="1" si="140"/>
        <v>#REF!</v>
      </c>
      <c r="J1768" t="str">
        <f>VLOOKUP($G1768,DefinitionArrays!$I$6:$J$12,2,FALSE)</f>
        <v>Workweek</v>
      </c>
    </row>
    <row r="1769" spans="1:10">
      <c r="A1769" s="159" t="str">
        <f t="shared" si="136"/>
        <v>$H$1:$H$92</v>
      </c>
      <c r="B1769" s="159" t="str">
        <f t="shared" si="137"/>
        <v>$I$1:$I$92</v>
      </c>
      <c r="C1769" s="159" t="str">
        <f t="shared" si="138"/>
        <v>May!$H$1:$H$92</v>
      </c>
      <c r="D1769" s="159" t="str">
        <f t="shared" si="139"/>
        <v>May!$I$1:$I$92</v>
      </c>
      <c r="E1769" t="s">
        <v>5</v>
      </c>
      <c r="F1769" t="s">
        <v>124</v>
      </c>
      <c r="G1769" t="s">
        <v>143</v>
      </c>
      <c r="H1769" t="s">
        <v>23</v>
      </c>
      <c r="I1769" t="e">
        <f t="shared" ca="1" si="140"/>
        <v>#REF!</v>
      </c>
      <c r="J1769" t="str">
        <f>VLOOKUP($G1769,DefinitionArrays!$I$6:$J$12,2,FALSE)</f>
        <v>Workweek</v>
      </c>
    </row>
    <row r="1770" spans="1:10">
      <c r="A1770" s="159" t="str">
        <f t="shared" si="136"/>
        <v>$H$1:$H$92</v>
      </c>
      <c r="B1770" s="159" t="str">
        <f t="shared" si="137"/>
        <v>$I$1:$I$92</v>
      </c>
      <c r="C1770" s="159" t="str">
        <f t="shared" si="138"/>
        <v>May!$H$1:$H$92</v>
      </c>
      <c r="D1770" s="159" t="str">
        <f t="shared" si="139"/>
        <v>May!$I$1:$I$92</v>
      </c>
      <c r="E1770" t="s">
        <v>5</v>
      </c>
      <c r="F1770" t="s">
        <v>124</v>
      </c>
      <c r="G1770" t="s">
        <v>143</v>
      </c>
      <c r="H1770" t="s">
        <v>24</v>
      </c>
      <c r="I1770" t="e">
        <f t="shared" ca="1" si="140"/>
        <v>#REF!</v>
      </c>
      <c r="J1770" t="str">
        <f>VLOOKUP($G1770,DefinitionArrays!$I$6:$J$12,2,FALSE)</f>
        <v>Workweek</v>
      </c>
    </row>
    <row r="1771" spans="1:10">
      <c r="A1771" s="159" t="str">
        <f t="shared" si="136"/>
        <v>$H$1:$H$92</v>
      </c>
      <c r="B1771" s="159" t="str">
        <f t="shared" si="137"/>
        <v>$I$1:$I$92</v>
      </c>
      <c r="C1771" s="159" t="str">
        <f t="shared" si="138"/>
        <v>May!$H$1:$H$92</v>
      </c>
      <c r="D1771" s="159" t="str">
        <f t="shared" si="139"/>
        <v>May!$I$1:$I$92</v>
      </c>
      <c r="E1771" t="s">
        <v>5</v>
      </c>
      <c r="F1771" t="s">
        <v>124</v>
      </c>
      <c r="G1771" t="s">
        <v>143</v>
      </c>
      <c r="H1771" t="s">
        <v>179</v>
      </c>
      <c r="I1771" t="e">
        <f t="shared" ca="1" si="140"/>
        <v>#REF!</v>
      </c>
      <c r="J1771" t="str">
        <f>VLOOKUP($G1771,DefinitionArrays!$I$6:$J$12,2,FALSE)</f>
        <v>Workweek</v>
      </c>
    </row>
    <row r="1772" spans="1:10">
      <c r="A1772" s="159" t="str">
        <f t="shared" si="136"/>
        <v>$H$1:$H$92</v>
      </c>
      <c r="B1772" s="159" t="str">
        <f t="shared" si="137"/>
        <v>$I$1:$I$92</v>
      </c>
      <c r="C1772" s="159" t="str">
        <f t="shared" si="138"/>
        <v>May!$H$1:$H$92</v>
      </c>
      <c r="D1772" s="159" t="str">
        <f t="shared" si="139"/>
        <v>May!$I$1:$I$92</v>
      </c>
      <c r="E1772" t="s">
        <v>5</v>
      </c>
      <c r="F1772" t="s">
        <v>124</v>
      </c>
      <c r="G1772" t="s">
        <v>143</v>
      </c>
      <c r="H1772" t="s">
        <v>180</v>
      </c>
      <c r="I1772" t="e">
        <f t="shared" ca="1" si="140"/>
        <v>#REF!</v>
      </c>
      <c r="J1772" t="str">
        <f>VLOOKUP($G1772,DefinitionArrays!$I$6:$J$12,2,FALSE)</f>
        <v>Workweek</v>
      </c>
    </row>
    <row r="1773" spans="1:10">
      <c r="A1773" s="159" t="str">
        <f t="shared" si="136"/>
        <v>$H$1:$H$92</v>
      </c>
      <c r="B1773" s="159" t="str">
        <f t="shared" si="137"/>
        <v>$I$1:$I$92</v>
      </c>
      <c r="C1773" s="159" t="str">
        <f t="shared" si="138"/>
        <v>May!$H$1:$H$92</v>
      </c>
      <c r="D1773" s="159" t="str">
        <f t="shared" si="139"/>
        <v>May!$I$1:$I$92</v>
      </c>
      <c r="E1773" t="s">
        <v>5</v>
      </c>
      <c r="F1773" t="s">
        <v>124</v>
      </c>
      <c r="G1773" t="s">
        <v>143</v>
      </c>
      <c r="H1773" t="s">
        <v>44</v>
      </c>
      <c r="I1773" t="e">
        <f t="shared" ca="1" si="140"/>
        <v>#REF!</v>
      </c>
      <c r="J1773" t="str">
        <f>VLOOKUP($G1773,DefinitionArrays!$I$6:$J$12,2,FALSE)</f>
        <v>Workweek</v>
      </c>
    </row>
    <row r="1774" spans="1:10">
      <c r="A1774" s="159" t="str">
        <f t="shared" si="136"/>
        <v>$K$1:$K$92</v>
      </c>
      <c r="B1774" s="159" t="str">
        <f t="shared" si="137"/>
        <v>$L$1:$L$92</v>
      </c>
      <c r="C1774" s="159" t="str">
        <f t="shared" si="138"/>
        <v>May!$K$1:$K$92</v>
      </c>
      <c r="D1774" s="159" t="str">
        <f t="shared" si="139"/>
        <v>May!$L$1:$L$92</v>
      </c>
      <c r="E1774" t="s">
        <v>5</v>
      </c>
      <c r="F1774" t="s">
        <v>124</v>
      </c>
      <c r="G1774" t="s">
        <v>144</v>
      </c>
      <c r="H1774" t="s">
        <v>159</v>
      </c>
      <c r="I1774" t="e">
        <f t="shared" ca="1" si="140"/>
        <v>#REF!</v>
      </c>
      <c r="J1774" t="str">
        <f>VLOOKUP($G1774,DefinitionArrays!$I$6:$J$12,2,FALSE)</f>
        <v>Workweek</v>
      </c>
    </row>
    <row r="1775" spans="1:10">
      <c r="A1775" s="159" t="str">
        <f t="shared" si="136"/>
        <v>$K$1:$K$92</v>
      </c>
      <c r="B1775" s="159" t="str">
        <f t="shared" si="137"/>
        <v>$L$1:$L$92</v>
      </c>
      <c r="C1775" s="159" t="str">
        <f t="shared" si="138"/>
        <v>May!$K$1:$K$92</v>
      </c>
      <c r="D1775" s="159" t="str">
        <f t="shared" si="139"/>
        <v>May!$L$1:$L$92</v>
      </c>
      <c r="E1775" t="s">
        <v>5</v>
      </c>
      <c r="F1775" t="s">
        <v>124</v>
      </c>
      <c r="G1775" t="s">
        <v>144</v>
      </c>
      <c r="H1775" t="s">
        <v>18</v>
      </c>
      <c r="I1775" t="e">
        <f t="shared" ca="1" si="140"/>
        <v>#REF!</v>
      </c>
      <c r="J1775" t="str">
        <f>VLOOKUP($G1775,DefinitionArrays!$I$6:$J$12,2,FALSE)</f>
        <v>Workweek</v>
      </c>
    </row>
    <row r="1776" spans="1:10">
      <c r="A1776" s="159" t="str">
        <f t="shared" si="136"/>
        <v>$K$1:$K$92</v>
      </c>
      <c r="B1776" s="159" t="str">
        <f t="shared" si="137"/>
        <v>$L$1:$L$92</v>
      </c>
      <c r="C1776" s="159" t="str">
        <f t="shared" si="138"/>
        <v>May!$K$1:$K$92</v>
      </c>
      <c r="D1776" s="159" t="str">
        <f t="shared" si="139"/>
        <v>May!$L$1:$L$92</v>
      </c>
      <c r="E1776" t="s">
        <v>5</v>
      </c>
      <c r="F1776" t="s">
        <v>124</v>
      </c>
      <c r="G1776" t="s">
        <v>144</v>
      </c>
      <c r="H1776" t="s">
        <v>153</v>
      </c>
      <c r="I1776" t="e">
        <f t="shared" ca="1" si="140"/>
        <v>#REF!</v>
      </c>
      <c r="J1776" t="str">
        <f>VLOOKUP($G1776,DefinitionArrays!$I$6:$J$12,2,FALSE)</f>
        <v>Workweek</v>
      </c>
    </row>
    <row r="1777" spans="1:10">
      <c r="A1777" s="159" t="str">
        <f t="shared" si="136"/>
        <v>$K$1:$K$92</v>
      </c>
      <c r="B1777" s="159" t="str">
        <f t="shared" si="137"/>
        <v>$L$1:$L$92</v>
      </c>
      <c r="C1777" s="159" t="str">
        <f t="shared" si="138"/>
        <v>May!$K$1:$K$92</v>
      </c>
      <c r="D1777" s="159" t="str">
        <f t="shared" si="139"/>
        <v>May!$L$1:$L$92</v>
      </c>
      <c r="E1777" t="s">
        <v>5</v>
      </c>
      <c r="F1777" t="s">
        <v>124</v>
      </c>
      <c r="G1777" t="s">
        <v>144</v>
      </c>
      <c r="H1777" t="s">
        <v>19</v>
      </c>
      <c r="I1777" t="e">
        <f t="shared" ca="1" si="140"/>
        <v>#REF!</v>
      </c>
      <c r="J1777" t="str">
        <f>VLOOKUP($G1777,DefinitionArrays!$I$6:$J$12,2,FALSE)</f>
        <v>Workweek</v>
      </c>
    </row>
    <row r="1778" spans="1:10">
      <c r="A1778" s="159" t="str">
        <f t="shared" si="136"/>
        <v>$K$1:$K$92</v>
      </c>
      <c r="B1778" s="159" t="str">
        <f t="shared" si="137"/>
        <v>$L$1:$L$92</v>
      </c>
      <c r="C1778" s="159" t="str">
        <f t="shared" si="138"/>
        <v>May!$K$1:$K$92</v>
      </c>
      <c r="D1778" s="159" t="str">
        <f t="shared" si="139"/>
        <v>May!$L$1:$L$92</v>
      </c>
      <c r="E1778" t="s">
        <v>5</v>
      </c>
      <c r="F1778" t="s">
        <v>124</v>
      </c>
      <c r="G1778" t="s">
        <v>144</v>
      </c>
      <c r="H1778" t="s">
        <v>20</v>
      </c>
      <c r="I1778" t="e">
        <f t="shared" ca="1" si="140"/>
        <v>#REF!</v>
      </c>
      <c r="J1778" t="str">
        <f>VLOOKUP($G1778,DefinitionArrays!$I$6:$J$12,2,FALSE)</f>
        <v>Workweek</v>
      </c>
    </row>
    <row r="1779" spans="1:10">
      <c r="A1779" s="159" t="str">
        <f t="shared" si="136"/>
        <v>$K$1:$K$92</v>
      </c>
      <c r="B1779" s="159" t="str">
        <f t="shared" si="137"/>
        <v>$L$1:$L$92</v>
      </c>
      <c r="C1779" s="159" t="str">
        <f t="shared" si="138"/>
        <v>May!$K$1:$K$92</v>
      </c>
      <c r="D1779" s="159" t="str">
        <f t="shared" si="139"/>
        <v>May!$L$1:$L$92</v>
      </c>
      <c r="E1779" t="s">
        <v>5</v>
      </c>
      <c r="F1779" t="s">
        <v>124</v>
      </c>
      <c r="G1779" t="s">
        <v>144</v>
      </c>
      <c r="H1779" t="s">
        <v>21</v>
      </c>
      <c r="I1779" t="e">
        <f t="shared" ca="1" si="140"/>
        <v>#REF!</v>
      </c>
      <c r="J1779" t="str">
        <f>VLOOKUP($G1779,DefinitionArrays!$I$6:$J$12,2,FALSE)</f>
        <v>Workweek</v>
      </c>
    </row>
    <row r="1780" spans="1:10">
      <c r="A1780" s="159" t="str">
        <f t="shared" si="136"/>
        <v>$K$1:$K$92</v>
      </c>
      <c r="B1780" s="159" t="str">
        <f t="shared" si="137"/>
        <v>$L$1:$L$92</v>
      </c>
      <c r="C1780" s="159" t="str">
        <f t="shared" si="138"/>
        <v>May!$K$1:$K$92</v>
      </c>
      <c r="D1780" s="159" t="str">
        <f t="shared" si="139"/>
        <v>May!$L$1:$L$92</v>
      </c>
      <c r="E1780" t="s">
        <v>5</v>
      </c>
      <c r="F1780" t="s">
        <v>124</v>
      </c>
      <c r="G1780" t="s">
        <v>144</v>
      </c>
      <c r="H1780" t="s">
        <v>22</v>
      </c>
      <c r="I1780" t="e">
        <f t="shared" ca="1" si="140"/>
        <v>#REF!</v>
      </c>
      <c r="J1780" t="str">
        <f>VLOOKUP($G1780,DefinitionArrays!$I$6:$J$12,2,FALSE)</f>
        <v>Workweek</v>
      </c>
    </row>
    <row r="1781" spans="1:10">
      <c r="A1781" s="159" t="str">
        <f t="shared" si="136"/>
        <v>$K$1:$K$92</v>
      </c>
      <c r="B1781" s="159" t="str">
        <f t="shared" si="137"/>
        <v>$L$1:$L$92</v>
      </c>
      <c r="C1781" s="159" t="str">
        <f t="shared" si="138"/>
        <v>May!$K$1:$K$92</v>
      </c>
      <c r="D1781" s="159" t="str">
        <f t="shared" si="139"/>
        <v>May!$L$1:$L$92</v>
      </c>
      <c r="E1781" t="s">
        <v>5</v>
      </c>
      <c r="F1781" t="s">
        <v>124</v>
      </c>
      <c r="G1781" t="s">
        <v>144</v>
      </c>
      <c r="H1781" t="s">
        <v>23</v>
      </c>
      <c r="I1781" t="e">
        <f t="shared" ca="1" si="140"/>
        <v>#REF!</v>
      </c>
      <c r="J1781" t="str">
        <f>VLOOKUP($G1781,DefinitionArrays!$I$6:$J$12,2,FALSE)</f>
        <v>Workweek</v>
      </c>
    </row>
    <row r="1782" spans="1:10">
      <c r="A1782" s="159" t="str">
        <f t="shared" si="136"/>
        <v>$K$1:$K$92</v>
      </c>
      <c r="B1782" s="159" t="str">
        <f t="shared" si="137"/>
        <v>$L$1:$L$92</v>
      </c>
      <c r="C1782" s="159" t="str">
        <f t="shared" si="138"/>
        <v>May!$K$1:$K$92</v>
      </c>
      <c r="D1782" s="159" t="str">
        <f t="shared" si="139"/>
        <v>May!$L$1:$L$92</v>
      </c>
      <c r="E1782" t="s">
        <v>5</v>
      </c>
      <c r="F1782" t="s">
        <v>124</v>
      </c>
      <c r="G1782" t="s">
        <v>144</v>
      </c>
      <c r="H1782" t="s">
        <v>24</v>
      </c>
      <c r="I1782" t="e">
        <f t="shared" ca="1" si="140"/>
        <v>#REF!</v>
      </c>
      <c r="J1782" t="str">
        <f>VLOOKUP($G1782,DefinitionArrays!$I$6:$J$12,2,FALSE)</f>
        <v>Workweek</v>
      </c>
    </row>
    <row r="1783" spans="1:10">
      <c r="A1783" s="159" t="str">
        <f t="shared" si="136"/>
        <v>$K$1:$K$92</v>
      </c>
      <c r="B1783" s="159" t="str">
        <f t="shared" si="137"/>
        <v>$L$1:$L$92</v>
      </c>
      <c r="C1783" s="159" t="str">
        <f t="shared" si="138"/>
        <v>May!$K$1:$K$92</v>
      </c>
      <c r="D1783" s="159" t="str">
        <f t="shared" si="139"/>
        <v>May!$L$1:$L$92</v>
      </c>
      <c r="E1783" t="s">
        <v>5</v>
      </c>
      <c r="F1783" t="s">
        <v>124</v>
      </c>
      <c r="G1783" t="s">
        <v>144</v>
      </c>
      <c r="H1783" t="s">
        <v>179</v>
      </c>
      <c r="I1783" t="e">
        <f t="shared" ca="1" si="140"/>
        <v>#REF!</v>
      </c>
      <c r="J1783" t="str">
        <f>VLOOKUP($G1783,DefinitionArrays!$I$6:$J$12,2,FALSE)</f>
        <v>Workweek</v>
      </c>
    </row>
    <row r="1784" spans="1:10">
      <c r="A1784" s="159" t="str">
        <f t="shared" si="136"/>
        <v>$K$1:$K$92</v>
      </c>
      <c r="B1784" s="159" t="str">
        <f t="shared" si="137"/>
        <v>$L$1:$L$92</v>
      </c>
      <c r="C1784" s="159" t="str">
        <f t="shared" si="138"/>
        <v>May!$K$1:$K$92</v>
      </c>
      <c r="D1784" s="159" t="str">
        <f t="shared" si="139"/>
        <v>May!$L$1:$L$92</v>
      </c>
      <c r="E1784" t="s">
        <v>5</v>
      </c>
      <c r="F1784" t="s">
        <v>124</v>
      </c>
      <c r="G1784" t="s">
        <v>144</v>
      </c>
      <c r="H1784" t="s">
        <v>180</v>
      </c>
      <c r="I1784" t="e">
        <f t="shared" ca="1" si="140"/>
        <v>#REF!</v>
      </c>
      <c r="J1784" t="str">
        <f>VLOOKUP($G1784,DefinitionArrays!$I$6:$J$12,2,FALSE)</f>
        <v>Workweek</v>
      </c>
    </row>
    <row r="1785" spans="1:10">
      <c r="A1785" s="159" t="str">
        <f t="shared" si="136"/>
        <v>$K$1:$K$92</v>
      </c>
      <c r="B1785" s="159" t="str">
        <f t="shared" si="137"/>
        <v>$L$1:$L$92</v>
      </c>
      <c r="C1785" s="159" t="str">
        <f t="shared" si="138"/>
        <v>May!$K$1:$K$92</v>
      </c>
      <c r="D1785" s="159" t="str">
        <f t="shared" si="139"/>
        <v>May!$L$1:$L$92</v>
      </c>
      <c r="E1785" t="s">
        <v>5</v>
      </c>
      <c r="F1785" t="s">
        <v>124</v>
      </c>
      <c r="G1785" t="s">
        <v>144</v>
      </c>
      <c r="H1785" t="s">
        <v>44</v>
      </c>
      <c r="I1785" t="e">
        <f t="shared" ca="1" si="140"/>
        <v>#REF!</v>
      </c>
      <c r="J1785" t="str">
        <f>VLOOKUP($G1785,DefinitionArrays!$I$6:$J$12,2,FALSE)</f>
        <v>Workweek</v>
      </c>
    </row>
    <row r="1786" spans="1:10">
      <c r="A1786" s="159" t="str">
        <f t="shared" si="136"/>
        <v>$N$1:$N$92</v>
      </c>
      <c r="B1786" s="159" t="str">
        <f t="shared" si="137"/>
        <v>$O$1:$O$92</v>
      </c>
      <c r="C1786" s="159" t="str">
        <f t="shared" si="138"/>
        <v>May!$N$1:$N$92</v>
      </c>
      <c r="D1786" s="159" t="str">
        <f t="shared" si="139"/>
        <v>May!$O$1:$O$92</v>
      </c>
      <c r="E1786" t="s">
        <v>5</v>
      </c>
      <c r="F1786" t="s">
        <v>124</v>
      </c>
      <c r="G1786" t="s">
        <v>145</v>
      </c>
      <c r="H1786" t="s">
        <v>159</v>
      </c>
      <c r="I1786" t="e">
        <f t="shared" ca="1" si="140"/>
        <v>#REF!</v>
      </c>
      <c r="J1786" t="str">
        <f>VLOOKUP($G1786,DefinitionArrays!$I$6:$J$12,2,FALSE)</f>
        <v>Weekend</v>
      </c>
    </row>
    <row r="1787" spans="1:10">
      <c r="A1787" s="159" t="str">
        <f t="shared" si="136"/>
        <v>$N$1:$N$92</v>
      </c>
      <c r="B1787" s="159" t="str">
        <f t="shared" si="137"/>
        <v>$O$1:$O$92</v>
      </c>
      <c r="C1787" s="159" t="str">
        <f t="shared" si="138"/>
        <v>May!$N$1:$N$92</v>
      </c>
      <c r="D1787" s="159" t="str">
        <f t="shared" si="139"/>
        <v>May!$O$1:$O$92</v>
      </c>
      <c r="E1787" t="s">
        <v>5</v>
      </c>
      <c r="F1787" t="s">
        <v>124</v>
      </c>
      <c r="G1787" t="s">
        <v>145</v>
      </c>
      <c r="H1787" t="s">
        <v>18</v>
      </c>
      <c r="I1787" t="e">
        <f t="shared" ca="1" si="140"/>
        <v>#REF!</v>
      </c>
      <c r="J1787" t="str">
        <f>VLOOKUP($G1787,DefinitionArrays!$I$6:$J$12,2,FALSE)</f>
        <v>Weekend</v>
      </c>
    </row>
    <row r="1788" spans="1:10">
      <c r="A1788" s="159" t="str">
        <f t="shared" si="136"/>
        <v>$N$1:$N$92</v>
      </c>
      <c r="B1788" s="159" t="str">
        <f t="shared" si="137"/>
        <v>$O$1:$O$92</v>
      </c>
      <c r="C1788" s="159" t="str">
        <f t="shared" si="138"/>
        <v>May!$N$1:$N$92</v>
      </c>
      <c r="D1788" s="159" t="str">
        <f t="shared" si="139"/>
        <v>May!$O$1:$O$92</v>
      </c>
      <c r="E1788" t="s">
        <v>5</v>
      </c>
      <c r="F1788" t="s">
        <v>124</v>
      </c>
      <c r="G1788" t="s">
        <v>145</v>
      </c>
      <c r="H1788" t="s">
        <v>153</v>
      </c>
      <c r="I1788" t="e">
        <f t="shared" ca="1" si="140"/>
        <v>#REF!</v>
      </c>
      <c r="J1788" t="str">
        <f>VLOOKUP($G1788,DefinitionArrays!$I$6:$J$12,2,FALSE)</f>
        <v>Weekend</v>
      </c>
    </row>
    <row r="1789" spans="1:10">
      <c r="A1789" s="159" t="str">
        <f t="shared" si="136"/>
        <v>$N$1:$N$92</v>
      </c>
      <c r="B1789" s="159" t="str">
        <f t="shared" si="137"/>
        <v>$O$1:$O$92</v>
      </c>
      <c r="C1789" s="159" t="str">
        <f t="shared" si="138"/>
        <v>May!$N$1:$N$92</v>
      </c>
      <c r="D1789" s="159" t="str">
        <f t="shared" si="139"/>
        <v>May!$O$1:$O$92</v>
      </c>
      <c r="E1789" t="s">
        <v>5</v>
      </c>
      <c r="F1789" t="s">
        <v>124</v>
      </c>
      <c r="G1789" t="s">
        <v>145</v>
      </c>
      <c r="H1789" t="s">
        <v>19</v>
      </c>
      <c r="I1789" t="e">
        <f t="shared" ca="1" si="140"/>
        <v>#REF!</v>
      </c>
      <c r="J1789" t="str">
        <f>VLOOKUP($G1789,DefinitionArrays!$I$6:$J$12,2,FALSE)</f>
        <v>Weekend</v>
      </c>
    </row>
    <row r="1790" spans="1:10">
      <c r="A1790" s="159" t="str">
        <f t="shared" si="136"/>
        <v>$N$1:$N$92</v>
      </c>
      <c r="B1790" s="159" t="str">
        <f t="shared" si="137"/>
        <v>$O$1:$O$92</v>
      </c>
      <c r="C1790" s="159" t="str">
        <f t="shared" si="138"/>
        <v>May!$N$1:$N$92</v>
      </c>
      <c r="D1790" s="159" t="str">
        <f t="shared" si="139"/>
        <v>May!$O$1:$O$92</v>
      </c>
      <c r="E1790" t="s">
        <v>5</v>
      </c>
      <c r="F1790" t="s">
        <v>124</v>
      </c>
      <c r="G1790" t="s">
        <v>145</v>
      </c>
      <c r="H1790" t="s">
        <v>20</v>
      </c>
      <c r="I1790" t="e">
        <f t="shared" ca="1" si="140"/>
        <v>#REF!</v>
      </c>
      <c r="J1790" t="str">
        <f>VLOOKUP($G1790,DefinitionArrays!$I$6:$J$12,2,FALSE)</f>
        <v>Weekend</v>
      </c>
    </row>
    <row r="1791" spans="1:10">
      <c r="A1791" s="159" t="str">
        <f t="shared" si="136"/>
        <v>$N$1:$N$92</v>
      </c>
      <c r="B1791" s="159" t="str">
        <f t="shared" si="137"/>
        <v>$O$1:$O$92</v>
      </c>
      <c r="C1791" s="159" t="str">
        <f t="shared" si="138"/>
        <v>May!$N$1:$N$92</v>
      </c>
      <c r="D1791" s="159" t="str">
        <f t="shared" si="139"/>
        <v>May!$O$1:$O$92</v>
      </c>
      <c r="E1791" t="s">
        <v>5</v>
      </c>
      <c r="F1791" t="s">
        <v>124</v>
      </c>
      <c r="G1791" t="s">
        <v>145</v>
      </c>
      <c r="H1791" t="s">
        <v>21</v>
      </c>
      <c r="I1791" t="e">
        <f t="shared" ca="1" si="140"/>
        <v>#REF!</v>
      </c>
      <c r="J1791" t="str">
        <f>VLOOKUP($G1791,DefinitionArrays!$I$6:$J$12,2,FALSE)</f>
        <v>Weekend</v>
      </c>
    </row>
    <row r="1792" spans="1:10">
      <c r="A1792" s="159" t="str">
        <f t="shared" si="136"/>
        <v>$N$1:$N$92</v>
      </c>
      <c r="B1792" s="159" t="str">
        <f t="shared" si="137"/>
        <v>$O$1:$O$92</v>
      </c>
      <c r="C1792" s="159" t="str">
        <f t="shared" si="138"/>
        <v>May!$N$1:$N$92</v>
      </c>
      <c r="D1792" s="159" t="str">
        <f t="shared" si="139"/>
        <v>May!$O$1:$O$92</v>
      </c>
      <c r="E1792" t="s">
        <v>5</v>
      </c>
      <c r="F1792" t="s">
        <v>124</v>
      </c>
      <c r="G1792" t="s">
        <v>145</v>
      </c>
      <c r="H1792" t="s">
        <v>22</v>
      </c>
      <c r="I1792" t="e">
        <f t="shared" ca="1" si="140"/>
        <v>#REF!</v>
      </c>
      <c r="J1792" t="str">
        <f>VLOOKUP($G1792,DefinitionArrays!$I$6:$J$12,2,FALSE)</f>
        <v>Weekend</v>
      </c>
    </row>
    <row r="1793" spans="1:10">
      <c r="A1793" s="159" t="str">
        <f t="shared" si="136"/>
        <v>$N$1:$N$92</v>
      </c>
      <c r="B1793" s="159" t="str">
        <f t="shared" si="137"/>
        <v>$O$1:$O$92</v>
      </c>
      <c r="C1793" s="159" t="str">
        <f t="shared" si="138"/>
        <v>May!$N$1:$N$92</v>
      </c>
      <c r="D1793" s="159" t="str">
        <f t="shared" si="139"/>
        <v>May!$O$1:$O$92</v>
      </c>
      <c r="E1793" t="s">
        <v>5</v>
      </c>
      <c r="F1793" t="s">
        <v>124</v>
      </c>
      <c r="G1793" t="s">
        <v>145</v>
      </c>
      <c r="H1793" t="s">
        <v>23</v>
      </c>
      <c r="I1793" t="e">
        <f t="shared" ca="1" si="140"/>
        <v>#REF!</v>
      </c>
      <c r="J1793" t="str">
        <f>VLOOKUP($G1793,DefinitionArrays!$I$6:$J$12,2,FALSE)</f>
        <v>Weekend</v>
      </c>
    </row>
    <row r="1794" spans="1:10">
      <c r="A1794" s="159" t="str">
        <f t="shared" ref="A1794:A1857" si="141">VLOOKUP($G1794,Fx_Code,2,FALSE)</f>
        <v>$N$1:$N$92</v>
      </c>
      <c r="B1794" s="159" t="str">
        <f t="shared" ref="B1794:B1857" si="142">VLOOKUP($G1794,Fx_Code,3,FALSE)</f>
        <v>$O$1:$O$92</v>
      </c>
      <c r="C1794" s="159" t="str">
        <f t="shared" ref="C1794:C1857" si="143">CONCATENATE($F1794,$K$1,A1794)</f>
        <v>May!$N$1:$N$92</v>
      </c>
      <c r="D1794" s="159" t="str">
        <f t="shared" ref="D1794:D1857" si="144">CONCATENATE($F1794,$K$1,B1794)</f>
        <v>May!$O$1:$O$92</v>
      </c>
      <c r="E1794" t="s">
        <v>5</v>
      </c>
      <c r="F1794" t="s">
        <v>124</v>
      </c>
      <c r="G1794" t="s">
        <v>145</v>
      </c>
      <c r="H1794" t="s">
        <v>24</v>
      </c>
      <c r="I1794" t="e">
        <f t="shared" ca="1" si="140"/>
        <v>#REF!</v>
      </c>
      <c r="J1794" t="str">
        <f>VLOOKUP($G1794,DefinitionArrays!$I$6:$J$12,2,FALSE)</f>
        <v>Weekend</v>
      </c>
    </row>
    <row r="1795" spans="1:10">
      <c r="A1795" s="159" t="str">
        <f t="shared" si="141"/>
        <v>$N$1:$N$92</v>
      </c>
      <c r="B1795" s="159" t="str">
        <f t="shared" si="142"/>
        <v>$O$1:$O$92</v>
      </c>
      <c r="C1795" s="159" t="str">
        <f t="shared" si="143"/>
        <v>May!$N$1:$N$92</v>
      </c>
      <c r="D1795" s="159" t="str">
        <f t="shared" si="144"/>
        <v>May!$O$1:$O$92</v>
      </c>
      <c r="E1795" t="s">
        <v>5</v>
      </c>
      <c r="F1795" t="s">
        <v>124</v>
      </c>
      <c r="G1795" t="s">
        <v>145</v>
      </c>
      <c r="H1795" t="s">
        <v>179</v>
      </c>
      <c r="I1795" t="e">
        <f t="shared" ca="1" si="140"/>
        <v>#REF!</v>
      </c>
      <c r="J1795" t="str">
        <f>VLOOKUP($G1795,DefinitionArrays!$I$6:$J$12,2,FALSE)</f>
        <v>Weekend</v>
      </c>
    </row>
    <row r="1796" spans="1:10">
      <c r="A1796" s="159" t="str">
        <f t="shared" si="141"/>
        <v>$N$1:$N$92</v>
      </c>
      <c r="B1796" s="159" t="str">
        <f t="shared" si="142"/>
        <v>$O$1:$O$92</v>
      </c>
      <c r="C1796" s="159" t="str">
        <f t="shared" si="143"/>
        <v>May!$N$1:$N$92</v>
      </c>
      <c r="D1796" s="159" t="str">
        <f t="shared" si="144"/>
        <v>May!$O$1:$O$92</v>
      </c>
      <c r="E1796" t="s">
        <v>5</v>
      </c>
      <c r="F1796" t="s">
        <v>124</v>
      </c>
      <c r="G1796" t="s">
        <v>145</v>
      </c>
      <c r="H1796" t="s">
        <v>180</v>
      </c>
      <c r="I1796" t="e">
        <f t="shared" ca="1" si="140"/>
        <v>#REF!</v>
      </c>
      <c r="J1796" t="str">
        <f>VLOOKUP($G1796,DefinitionArrays!$I$6:$J$12,2,FALSE)</f>
        <v>Weekend</v>
      </c>
    </row>
    <row r="1797" spans="1:10">
      <c r="A1797" s="159" t="str">
        <f t="shared" si="141"/>
        <v>$N$1:$N$92</v>
      </c>
      <c r="B1797" s="159" t="str">
        <f t="shared" si="142"/>
        <v>$O$1:$O$92</v>
      </c>
      <c r="C1797" s="159" t="str">
        <f t="shared" si="143"/>
        <v>May!$N$1:$N$92</v>
      </c>
      <c r="D1797" s="159" t="str">
        <f t="shared" si="144"/>
        <v>May!$O$1:$O$92</v>
      </c>
      <c r="E1797" t="s">
        <v>5</v>
      </c>
      <c r="F1797" t="s">
        <v>124</v>
      </c>
      <c r="G1797" t="s">
        <v>145</v>
      </c>
      <c r="H1797" t="s">
        <v>44</v>
      </c>
      <c r="I1797" t="e">
        <f t="shared" ca="1" si="140"/>
        <v>#REF!</v>
      </c>
      <c r="J1797" t="str">
        <f>VLOOKUP($G1797,DefinitionArrays!$I$6:$J$12,2,FALSE)</f>
        <v>Weekend</v>
      </c>
    </row>
    <row r="1798" spans="1:10">
      <c r="A1798" s="159" t="str">
        <f t="shared" si="141"/>
        <v>$Q$1:$Q$92</v>
      </c>
      <c r="B1798" s="159" t="str">
        <f t="shared" si="142"/>
        <v>$R$1:$R$92</v>
      </c>
      <c r="C1798" s="159" t="str">
        <f t="shared" si="143"/>
        <v>May!$Q$1:$Q$92</v>
      </c>
      <c r="D1798" s="159" t="str">
        <f t="shared" si="144"/>
        <v>May!$R$1:$R$92</v>
      </c>
      <c r="E1798" t="s">
        <v>5</v>
      </c>
      <c r="F1798" t="s">
        <v>124</v>
      </c>
      <c r="G1798" t="s">
        <v>146</v>
      </c>
      <c r="H1798" t="s">
        <v>159</v>
      </c>
      <c r="I1798" t="e">
        <f t="shared" ca="1" si="140"/>
        <v>#REF!</v>
      </c>
      <c r="J1798" t="str">
        <f>VLOOKUP($G1798,DefinitionArrays!$I$6:$J$12,2,FALSE)</f>
        <v>Weekend</v>
      </c>
    </row>
    <row r="1799" spans="1:10">
      <c r="A1799" s="159" t="str">
        <f t="shared" si="141"/>
        <v>$T$1:$T$92</v>
      </c>
      <c r="B1799" s="159" t="str">
        <f t="shared" si="142"/>
        <v>$U$1:$U$92</v>
      </c>
      <c r="C1799" s="159" t="str">
        <f t="shared" si="143"/>
        <v>May!$T$1:$T$92</v>
      </c>
      <c r="D1799" s="159" t="str">
        <f t="shared" si="144"/>
        <v>May!$U$1:$U$92</v>
      </c>
      <c r="E1799" t="s">
        <v>5</v>
      </c>
      <c r="F1799" t="s">
        <v>124</v>
      </c>
      <c r="G1799" t="s">
        <v>141</v>
      </c>
      <c r="H1799" t="s">
        <v>159</v>
      </c>
      <c r="I1799" t="e">
        <f t="shared" ca="1" si="140"/>
        <v>#REF!</v>
      </c>
      <c r="J1799" t="str">
        <f>VLOOKUP($G1799,DefinitionArrays!$I$6:$J$12,2,FALSE)</f>
        <v>Weekend</v>
      </c>
    </row>
    <row r="1800" spans="1:10">
      <c r="A1800" s="159" t="str">
        <f t="shared" si="141"/>
        <v>$B$1:$B$92</v>
      </c>
      <c r="B1800" s="159" t="str">
        <f t="shared" si="142"/>
        <v>$C$1:$C$92</v>
      </c>
      <c r="C1800" s="159" t="str">
        <f t="shared" si="143"/>
        <v>June!$B$1:$B$92</v>
      </c>
      <c r="D1800" s="159" t="str">
        <f t="shared" si="144"/>
        <v>June!$C$1:$C$92</v>
      </c>
      <c r="E1800" t="s">
        <v>5</v>
      </c>
      <c r="F1800" t="s">
        <v>125</v>
      </c>
      <c r="G1800" t="s">
        <v>13</v>
      </c>
      <c r="H1800" t="s">
        <v>159</v>
      </c>
      <c r="I1800" t="e">
        <f ca="1">COUNTIFS(INDIRECT($C1800),$E1800,INDIRECT($D1800),$H1800)</f>
        <v>#REF!</v>
      </c>
      <c r="J1800" t="str">
        <f>VLOOKUP($G1800,DefinitionArrays!$I$6:$J$12,2,FALSE)</f>
        <v>Workweek</v>
      </c>
    </row>
    <row r="1801" spans="1:10">
      <c r="A1801" s="159" t="str">
        <f t="shared" si="141"/>
        <v>$B$1:$B$92</v>
      </c>
      <c r="B1801" s="159" t="str">
        <f t="shared" si="142"/>
        <v>$C$1:$C$92</v>
      </c>
      <c r="C1801" s="159" t="str">
        <f t="shared" si="143"/>
        <v>June!$B$1:$B$92</v>
      </c>
      <c r="D1801" s="159" t="str">
        <f t="shared" si="144"/>
        <v>June!$C$1:$C$92</v>
      </c>
      <c r="E1801" t="s">
        <v>5</v>
      </c>
      <c r="F1801" t="s">
        <v>125</v>
      </c>
      <c r="G1801" t="s">
        <v>13</v>
      </c>
      <c r="H1801" t="s">
        <v>18</v>
      </c>
      <c r="I1801" t="e">
        <f t="shared" ref="I1801:I1861" ca="1" si="145">COUNTIFS(INDIRECT($C1801),$E1801,INDIRECT($D1801),$H1801)</f>
        <v>#REF!</v>
      </c>
      <c r="J1801" t="str">
        <f>VLOOKUP($G1801,DefinitionArrays!$I$6:$J$12,2,FALSE)</f>
        <v>Workweek</v>
      </c>
    </row>
    <row r="1802" spans="1:10">
      <c r="A1802" s="159" t="str">
        <f t="shared" si="141"/>
        <v>$B$1:$B$92</v>
      </c>
      <c r="B1802" s="159" t="str">
        <f t="shared" si="142"/>
        <v>$C$1:$C$92</v>
      </c>
      <c r="C1802" s="159" t="str">
        <f t="shared" si="143"/>
        <v>June!$B$1:$B$92</v>
      </c>
      <c r="D1802" s="159" t="str">
        <f t="shared" si="144"/>
        <v>June!$C$1:$C$92</v>
      </c>
      <c r="E1802" t="s">
        <v>5</v>
      </c>
      <c r="F1802" t="s">
        <v>125</v>
      </c>
      <c r="G1802" t="s">
        <v>13</v>
      </c>
      <c r="H1802" t="s">
        <v>153</v>
      </c>
      <c r="I1802" t="e">
        <f t="shared" ca="1" si="145"/>
        <v>#REF!</v>
      </c>
      <c r="J1802" t="str">
        <f>VLOOKUP($G1802,DefinitionArrays!$I$6:$J$12,2,FALSE)</f>
        <v>Workweek</v>
      </c>
    </row>
    <row r="1803" spans="1:10">
      <c r="A1803" s="159" t="str">
        <f t="shared" si="141"/>
        <v>$B$1:$B$92</v>
      </c>
      <c r="B1803" s="159" t="str">
        <f t="shared" si="142"/>
        <v>$C$1:$C$92</v>
      </c>
      <c r="C1803" s="159" t="str">
        <f t="shared" si="143"/>
        <v>June!$B$1:$B$92</v>
      </c>
      <c r="D1803" s="159" t="str">
        <f t="shared" si="144"/>
        <v>June!$C$1:$C$92</v>
      </c>
      <c r="E1803" t="s">
        <v>5</v>
      </c>
      <c r="F1803" t="s">
        <v>125</v>
      </c>
      <c r="G1803" t="s">
        <v>13</v>
      </c>
      <c r="H1803" t="s">
        <v>19</v>
      </c>
      <c r="I1803" t="e">
        <f t="shared" ca="1" si="145"/>
        <v>#REF!</v>
      </c>
      <c r="J1803" t="str">
        <f>VLOOKUP($G1803,DefinitionArrays!$I$6:$J$12,2,FALSE)</f>
        <v>Workweek</v>
      </c>
    </row>
    <row r="1804" spans="1:10">
      <c r="A1804" s="159" t="str">
        <f t="shared" si="141"/>
        <v>$B$1:$B$92</v>
      </c>
      <c r="B1804" s="159" t="str">
        <f t="shared" si="142"/>
        <v>$C$1:$C$92</v>
      </c>
      <c r="C1804" s="159" t="str">
        <f t="shared" si="143"/>
        <v>June!$B$1:$B$92</v>
      </c>
      <c r="D1804" s="159" t="str">
        <f t="shared" si="144"/>
        <v>June!$C$1:$C$92</v>
      </c>
      <c r="E1804" t="s">
        <v>5</v>
      </c>
      <c r="F1804" t="s">
        <v>125</v>
      </c>
      <c r="G1804" t="s">
        <v>13</v>
      </c>
      <c r="H1804" t="s">
        <v>20</v>
      </c>
      <c r="I1804" t="e">
        <f t="shared" ca="1" si="145"/>
        <v>#REF!</v>
      </c>
      <c r="J1804" t="str">
        <f>VLOOKUP($G1804,DefinitionArrays!$I$6:$J$12,2,FALSE)</f>
        <v>Workweek</v>
      </c>
    </row>
    <row r="1805" spans="1:10">
      <c r="A1805" s="159" t="str">
        <f t="shared" si="141"/>
        <v>$B$1:$B$92</v>
      </c>
      <c r="B1805" s="159" t="str">
        <f t="shared" si="142"/>
        <v>$C$1:$C$92</v>
      </c>
      <c r="C1805" s="159" t="str">
        <f t="shared" si="143"/>
        <v>June!$B$1:$B$92</v>
      </c>
      <c r="D1805" s="159" t="str">
        <f t="shared" si="144"/>
        <v>June!$C$1:$C$92</v>
      </c>
      <c r="E1805" t="s">
        <v>5</v>
      </c>
      <c r="F1805" t="s">
        <v>125</v>
      </c>
      <c r="G1805" t="s">
        <v>13</v>
      </c>
      <c r="H1805" t="s">
        <v>21</v>
      </c>
      <c r="I1805" t="e">
        <f t="shared" ca="1" si="145"/>
        <v>#REF!</v>
      </c>
      <c r="J1805" t="str">
        <f>VLOOKUP($G1805,DefinitionArrays!$I$6:$J$12,2,FALSE)</f>
        <v>Workweek</v>
      </c>
    </row>
    <row r="1806" spans="1:10">
      <c r="A1806" s="159" t="str">
        <f t="shared" si="141"/>
        <v>$B$1:$B$92</v>
      </c>
      <c r="B1806" s="159" t="str">
        <f t="shared" si="142"/>
        <v>$C$1:$C$92</v>
      </c>
      <c r="C1806" s="159" t="str">
        <f t="shared" si="143"/>
        <v>June!$B$1:$B$92</v>
      </c>
      <c r="D1806" s="159" t="str">
        <f t="shared" si="144"/>
        <v>June!$C$1:$C$92</v>
      </c>
      <c r="E1806" t="s">
        <v>5</v>
      </c>
      <c r="F1806" t="s">
        <v>125</v>
      </c>
      <c r="G1806" t="s">
        <v>13</v>
      </c>
      <c r="H1806" t="s">
        <v>22</v>
      </c>
      <c r="I1806" t="e">
        <f t="shared" ca="1" si="145"/>
        <v>#REF!</v>
      </c>
      <c r="J1806" t="str">
        <f>VLOOKUP($G1806,DefinitionArrays!$I$6:$J$12,2,FALSE)</f>
        <v>Workweek</v>
      </c>
    </row>
    <row r="1807" spans="1:10">
      <c r="A1807" s="159" t="str">
        <f t="shared" si="141"/>
        <v>$B$1:$B$92</v>
      </c>
      <c r="B1807" s="159" t="str">
        <f t="shared" si="142"/>
        <v>$C$1:$C$92</v>
      </c>
      <c r="C1807" s="159" t="str">
        <f t="shared" si="143"/>
        <v>June!$B$1:$B$92</v>
      </c>
      <c r="D1807" s="159" t="str">
        <f t="shared" si="144"/>
        <v>June!$C$1:$C$92</v>
      </c>
      <c r="E1807" t="s">
        <v>5</v>
      </c>
      <c r="F1807" t="s">
        <v>125</v>
      </c>
      <c r="G1807" t="s">
        <v>13</v>
      </c>
      <c r="H1807" t="s">
        <v>23</v>
      </c>
      <c r="I1807" t="e">
        <f t="shared" ca="1" si="145"/>
        <v>#REF!</v>
      </c>
      <c r="J1807" t="str">
        <f>VLOOKUP($G1807,DefinitionArrays!$I$6:$J$12,2,FALSE)</f>
        <v>Workweek</v>
      </c>
    </row>
    <row r="1808" spans="1:10">
      <c r="A1808" s="159" t="str">
        <f t="shared" si="141"/>
        <v>$B$1:$B$92</v>
      </c>
      <c r="B1808" s="159" t="str">
        <f t="shared" si="142"/>
        <v>$C$1:$C$92</v>
      </c>
      <c r="C1808" s="159" t="str">
        <f t="shared" si="143"/>
        <v>June!$B$1:$B$92</v>
      </c>
      <c r="D1808" s="159" t="str">
        <f t="shared" si="144"/>
        <v>June!$C$1:$C$92</v>
      </c>
      <c r="E1808" t="s">
        <v>5</v>
      </c>
      <c r="F1808" t="s">
        <v>125</v>
      </c>
      <c r="G1808" t="s">
        <v>13</v>
      </c>
      <c r="H1808" t="s">
        <v>24</v>
      </c>
      <c r="I1808" t="e">
        <f t="shared" ca="1" si="145"/>
        <v>#REF!</v>
      </c>
      <c r="J1808" t="str">
        <f>VLOOKUP($G1808,DefinitionArrays!$I$6:$J$12,2,FALSE)</f>
        <v>Workweek</v>
      </c>
    </row>
    <row r="1809" spans="1:10">
      <c r="A1809" s="159" t="str">
        <f t="shared" si="141"/>
        <v>$B$1:$B$92</v>
      </c>
      <c r="B1809" s="159" t="str">
        <f t="shared" si="142"/>
        <v>$C$1:$C$92</v>
      </c>
      <c r="C1809" s="159" t="str">
        <f t="shared" si="143"/>
        <v>June!$B$1:$B$92</v>
      </c>
      <c r="D1809" s="159" t="str">
        <f t="shared" si="144"/>
        <v>June!$C$1:$C$92</v>
      </c>
      <c r="E1809" t="s">
        <v>5</v>
      </c>
      <c r="F1809" t="s">
        <v>125</v>
      </c>
      <c r="G1809" t="s">
        <v>13</v>
      </c>
      <c r="H1809" t="s">
        <v>179</v>
      </c>
      <c r="I1809" t="e">
        <f t="shared" ca="1" si="145"/>
        <v>#REF!</v>
      </c>
      <c r="J1809" t="str">
        <f>VLOOKUP($G1809,DefinitionArrays!$I$6:$J$12,2,FALSE)</f>
        <v>Workweek</v>
      </c>
    </row>
    <row r="1810" spans="1:10">
      <c r="A1810" s="159" t="str">
        <f t="shared" si="141"/>
        <v>$B$1:$B$92</v>
      </c>
      <c r="B1810" s="159" t="str">
        <f t="shared" si="142"/>
        <v>$C$1:$C$92</v>
      </c>
      <c r="C1810" s="159" t="str">
        <f t="shared" si="143"/>
        <v>June!$B$1:$B$92</v>
      </c>
      <c r="D1810" s="159" t="str">
        <f t="shared" si="144"/>
        <v>June!$C$1:$C$92</v>
      </c>
      <c r="E1810" t="s">
        <v>5</v>
      </c>
      <c r="F1810" t="s">
        <v>125</v>
      </c>
      <c r="G1810" t="s">
        <v>13</v>
      </c>
      <c r="H1810" t="s">
        <v>180</v>
      </c>
      <c r="I1810" t="e">
        <f t="shared" ca="1" si="145"/>
        <v>#REF!</v>
      </c>
      <c r="J1810" t="str">
        <f>VLOOKUP($G1810,DefinitionArrays!$I$6:$J$12,2,FALSE)</f>
        <v>Workweek</v>
      </c>
    </row>
    <row r="1811" spans="1:10">
      <c r="A1811" s="159" t="str">
        <f t="shared" si="141"/>
        <v>$B$1:$B$92</v>
      </c>
      <c r="B1811" s="159" t="str">
        <f t="shared" si="142"/>
        <v>$C$1:$C$92</v>
      </c>
      <c r="C1811" s="159" t="str">
        <f t="shared" si="143"/>
        <v>June!$B$1:$B$92</v>
      </c>
      <c r="D1811" s="159" t="str">
        <f t="shared" si="144"/>
        <v>June!$C$1:$C$92</v>
      </c>
      <c r="E1811" t="s">
        <v>5</v>
      </c>
      <c r="F1811" t="s">
        <v>125</v>
      </c>
      <c r="G1811" t="s">
        <v>13</v>
      </c>
      <c r="H1811" t="s">
        <v>44</v>
      </c>
      <c r="I1811" t="e">
        <f t="shared" ca="1" si="145"/>
        <v>#REF!</v>
      </c>
      <c r="J1811" t="str">
        <f>VLOOKUP($G1811,DefinitionArrays!$I$6:$J$12,2,FALSE)</f>
        <v>Workweek</v>
      </c>
    </row>
    <row r="1812" spans="1:10">
      <c r="A1812" s="159" t="str">
        <f t="shared" si="141"/>
        <v>$E$1:$E$92</v>
      </c>
      <c r="B1812" s="159" t="str">
        <f t="shared" si="142"/>
        <v>$F$1:$F$92</v>
      </c>
      <c r="C1812" s="159" t="str">
        <f t="shared" si="143"/>
        <v>June!$E$1:$E$92</v>
      </c>
      <c r="D1812" s="159" t="str">
        <f t="shared" si="144"/>
        <v>June!$F$1:$F$92</v>
      </c>
      <c r="E1812" t="s">
        <v>5</v>
      </c>
      <c r="F1812" t="s">
        <v>125</v>
      </c>
      <c r="G1812" t="s">
        <v>142</v>
      </c>
      <c r="H1812" t="s">
        <v>159</v>
      </c>
      <c r="I1812" t="e">
        <f t="shared" ca="1" si="145"/>
        <v>#REF!</v>
      </c>
      <c r="J1812" t="str">
        <f>VLOOKUP($G1812,DefinitionArrays!$I$6:$J$12,2,FALSE)</f>
        <v>Workweek</v>
      </c>
    </row>
    <row r="1813" spans="1:10">
      <c r="A1813" s="159" t="str">
        <f t="shared" si="141"/>
        <v>$E$1:$E$92</v>
      </c>
      <c r="B1813" s="159" t="str">
        <f t="shared" si="142"/>
        <v>$F$1:$F$92</v>
      </c>
      <c r="C1813" s="159" t="str">
        <f t="shared" si="143"/>
        <v>June!$E$1:$E$92</v>
      </c>
      <c r="D1813" s="159" t="str">
        <f t="shared" si="144"/>
        <v>June!$F$1:$F$92</v>
      </c>
      <c r="E1813" t="s">
        <v>5</v>
      </c>
      <c r="F1813" t="s">
        <v>125</v>
      </c>
      <c r="G1813" t="s">
        <v>142</v>
      </c>
      <c r="H1813" t="s">
        <v>18</v>
      </c>
      <c r="I1813" t="e">
        <f t="shared" ca="1" si="145"/>
        <v>#REF!</v>
      </c>
      <c r="J1813" t="str">
        <f>VLOOKUP($G1813,DefinitionArrays!$I$6:$J$12,2,FALSE)</f>
        <v>Workweek</v>
      </c>
    </row>
    <row r="1814" spans="1:10">
      <c r="A1814" s="159" t="str">
        <f t="shared" si="141"/>
        <v>$E$1:$E$92</v>
      </c>
      <c r="B1814" s="159" t="str">
        <f t="shared" si="142"/>
        <v>$F$1:$F$92</v>
      </c>
      <c r="C1814" s="159" t="str">
        <f t="shared" si="143"/>
        <v>June!$E$1:$E$92</v>
      </c>
      <c r="D1814" s="159" t="str">
        <f t="shared" si="144"/>
        <v>June!$F$1:$F$92</v>
      </c>
      <c r="E1814" t="s">
        <v>5</v>
      </c>
      <c r="F1814" t="s">
        <v>125</v>
      </c>
      <c r="G1814" t="s">
        <v>142</v>
      </c>
      <c r="H1814" t="s">
        <v>153</v>
      </c>
      <c r="I1814" t="e">
        <f t="shared" ca="1" si="145"/>
        <v>#REF!</v>
      </c>
      <c r="J1814" t="str">
        <f>VLOOKUP($G1814,DefinitionArrays!$I$6:$J$12,2,FALSE)</f>
        <v>Workweek</v>
      </c>
    </row>
    <row r="1815" spans="1:10">
      <c r="A1815" s="159" t="str">
        <f t="shared" si="141"/>
        <v>$E$1:$E$92</v>
      </c>
      <c r="B1815" s="159" t="str">
        <f t="shared" si="142"/>
        <v>$F$1:$F$92</v>
      </c>
      <c r="C1815" s="159" t="str">
        <f t="shared" si="143"/>
        <v>June!$E$1:$E$92</v>
      </c>
      <c r="D1815" s="159" t="str">
        <f t="shared" si="144"/>
        <v>June!$F$1:$F$92</v>
      </c>
      <c r="E1815" t="s">
        <v>5</v>
      </c>
      <c r="F1815" t="s">
        <v>125</v>
      </c>
      <c r="G1815" t="s">
        <v>142</v>
      </c>
      <c r="H1815" t="s">
        <v>19</v>
      </c>
      <c r="I1815" t="e">
        <f t="shared" ca="1" si="145"/>
        <v>#REF!</v>
      </c>
      <c r="J1815" t="str">
        <f>VLOOKUP($G1815,DefinitionArrays!$I$6:$J$12,2,FALSE)</f>
        <v>Workweek</v>
      </c>
    </row>
    <row r="1816" spans="1:10">
      <c r="A1816" s="159" t="str">
        <f t="shared" si="141"/>
        <v>$E$1:$E$92</v>
      </c>
      <c r="B1816" s="159" t="str">
        <f t="shared" si="142"/>
        <v>$F$1:$F$92</v>
      </c>
      <c r="C1816" s="159" t="str">
        <f t="shared" si="143"/>
        <v>June!$E$1:$E$92</v>
      </c>
      <c r="D1816" s="159" t="str">
        <f t="shared" si="144"/>
        <v>June!$F$1:$F$92</v>
      </c>
      <c r="E1816" t="s">
        <v>5</v>
      </c>
      <c r="F1816" t="s">
        <v>125</v>
      </c>
      <c r="G1816" t="s">
        <v>142</v>
      </c>
      <c r="H1816" t="s">
        <v>20</v>
      </c>
      <c r="I1816" t="e">
        <f t="shared" ca="1" si="145"/>
        <v>#REF!</v>
      </c>
      <c r="J1816" t="str">
        <f>VLOOKUP($G1816,DefinitionArrays!$I$6:$J$12,2,FALSE)</f>
        <v>Workweek</v>
      </c>
    </row>
    <row r="1817" spans="1:10">
      <c r="A1817" s="159" t="str">
        <f t="shared" si="141"/>
        <v>$E$1:$E$92</v>
      </c>
      <c r="B1817" s="159" t="str">
        <f t="shared" si="142"/>
        <v>$F$1:$F$92</v>
      </c>
      <c r="C1817" s="159" t="str">
        <f t="shared" si="143"/>
        <v>June!$E$1:$E$92</v>
      </c>
      <c r="D1817" s="159" t="str">
        <f t="shared" si="144"/>
        <v>June!$F$1:$F$92</v>
      </c>
      <c r="E1817" t="s">
        <v>5</v>
      </c>
      <c r="F1817" t="s">
        <v>125</v>
      </c>
      <c r="G1817" t="s">
        <v>142</v>
      </c>
      <c r="H1817" t="s">
        <v>21</v>
      </c>
      <c r="I1817" t="e">
        <f t="shared" ca="1" si="145"/>
        <v>#REF!</v>
      </c>
      <c r="J1817" t="str">
        <f>VLOOKUP($G1817,DefinitionArrays!$I$6:$J$12,2,FALSE)</f>
        <v>Workweek</v>
      </c>
    </row>
    <row r="1818" spans="1:10">
      <c r="A1818" s="159" t="str">
        <f t="shared" si="141"/>
        <v>$E$1:$E$92</v>
      </c>
      <c r="B1818" s="159" t="str">
        <f t="shared" si="142"/>
        <v>$F$1:$F$92</v>
      </c>
      <c r="C1818" s="159" t="str">
        <f t="shared" si="143"/>
        <v>June!$E$1:$E$92</v>
      </c>
      <c r="D1818" s="159" t="str">
        <f t="shared" si="144"/>
        <v>June!$F$1:$F$92</v>
      </c>
      <c r="E1818" t="s">
        <v>5</v>
      </c>
      <c r="F1818" t="s">
        <v>125</v>
      </c>
      <c r="G1818" t="s">
        <v>142</v>
      </c>
      <c r="H1818" t="s">
        <v>22</v>
      </c>
      <c r="I1818" t="e">
        <f t="shared" ca="1" si="145"/>
        <v>#REF!</v>
      </c>
      <c r="J1818" t="str">
        <f>VLOOKUP($G1818,DefinitionArrays!$I$6:$J$12,2,FALSE)</f>
        <v>Workweek</v>
      </c>
    </row>
    <row r="1819" spans="1:10">
      <c r="A1819" s="159" t="str">
        <f t="shared" si="141"/>
        <v>$E$1:$E$92</v>
      </c>
      <c r="B1819" s="159" t="str">
        <f t="shared" si="142"/>
        <v>$F$1:$F$92</v>
      </c>
      <c r="C1819" s="159" t="str">
        <f t="shared" si="143"/>
        <v>June!$E$1:$E$92</v>
      </c>
      <c r="D1819" s="159" t="str">
        <f t="shared" si="144"/>
        <v>June!$F$1:$F$92</v>
      </c>
      <c r="E1819" t="s">
        <v>5</v>
      </c>
      <c r="F1819" t="s">
        <v>125</v>
      </c>
      <c r="G1819" t="s">
        <v>142</v>
      </c>
      <c r="H1819" t="s">
        <v>23</v>
      </c>
      <c r="I1819" t="e">
        <f t="shared" ca="1" si="145"/>
        <v>#REF!</v>
      </c>
      <c r="J1819" t="str">
        <f>VLOOKUP($G1819,DefinitionArrays!$I$6:$J$12,2,FALSE)</f>
        <v>Workweek</v>
      </c>
    </row>
    <row r="1820" spans="1:10">
      <c r="A1820" s="159" t="str">
        <f t="shared" si="141"/>
        <v>$E$1:$E$92</v>
      </c>
      <c r="B1820" s="159" t="str">
        <f t="shared" si="142"/>
        <v>$F$1:$F$92</v>
      </c>
      <c r="C1820" s="159" t="str">
        <f t="shared" si="143"/>
        <v>June!$E$1:$E$92</v>
      </c>
      <c r="D1820" s="159" t="str">
        <f t="shared" si="144"/>
        <v>June!$F$1:$F$92</v>
      </c>
      <c r="E1820" t="s">
        <v>5</v>
      </c>
      <c r="F1820" t="s">
        <v>125</v>
      </c>
      <c r="G1820" t="s">
        <v>142</v>
      </c>
      <c r="H1820" t="s">
        <v>24</v>
      </c>
      <c r="I1820" t="e">
        <f t="shared" ca="1" si="145"/>
        <v>#REF!</v>
      </c>
      <c r="J1820" t="str">
        <f>VLOOKUP($G1820,DefinitionArrays!$I$6:$J$12,2,FALSE)</f>
        <v>Workweek</v>
      </c>
    </row>
    <row r="1821" spans="1:10">
      <c r="A1821" s="159" t="str">
        <f t="shared" si="141"/>
        <v>$E$1:$E$92</v>
      </c>
      <c r="B1821" s="159" t="str">
        <f t="shared" si="142"/>
        <v>$F$1:$F$92</v>
      </c>
      <c r="C1821" s="159" t="str">
        <f t="shared" si="143"/>
        <v>June!$E$1:$E$92</v>
      </c>
      <c r="D1821" s="159" t="str">
        <f t="shared" si="144"/>
        <v>June!$F$1:$F$92</v>
      </c>
      <c r="E1821" t="s">
        <v>5</v>
      </c>
      <c r="F1821" t="s">
        <v>125</v>
      </c>
      <c r="G1821" t="s">
        <v>142</v>
      </c>
      <c r="H1821" t="s">
        <v>179</v>
      </c>
      <c r="I1821" t="e">
        <f t="shared" ca="1" si="145"/>
        <v>#REF!</v>
      </c>
      <c r="J1821" t="str">
        <f>VLOOKUP($G1821,DefinitionArrays!$I$6:$J$12,2,FALSE)</f>
        <v>Workweek</v>
      </c>
    </row>
    <row r="1822" spans="1:10">
      <c r="A1822" s="159" t="str">
        <f t="shared" si="141"/>
        <v>$E$1:$E$92</v>
      </c>
      <c r="B1822" s="159" t="str">
        <f t="shared" si="142"/>
        <v>$F$1:$F$92</v>
      </c>
      <c r="C1822" s="159" t="str">
        <f t="shared" si="143"/>
        <v>June!$E$1:$E$92</v>
      </c>
      <c r="D1822" s="159" t="str">
        <f t="shared" si="144"/>
        <v>June!$F$1:$F$92</v>
      </c>
      <c r="E1822" t="s">
        <v>5</v>
      </c>
      <c r="F1822" t="s">
        <v>125</v>
      </c>
      <c r="G1822" t="s">
        <v>142</v>
      </c>
      <c r="H1822" t="s">
        <v>180</v>
      </c>
      <c r="I1822" t="e">
        <f t="shared" ca="1" si="145"/>
        <v>#REF!</v>
      </c>
      <c r="J1822" t="str">
        <f>VLOOKUP($G1822,DefinitionArrays!$I$6:$J$12,2,FALSE)</f>
        <v>Workweek</v>
      </c>
    </row>
    <row r="1823" spans="1:10">
      <c r="A1823" s="159" t="str">
        <f t="shared" si="141"/>
        <v>$E$1:$E$92</v>
      </c>
      <c r="B1823" s="159" t="str">
        <f t="shared" si="142"/>
        <v>$F$1:$F$92</v>
      </c>
      <c r="C1823" s="159" t="str">
        <f t="shared" si="143"/>
        <v>June!$E$1:$E$92</v>
      </c>
      <c r="D1823" s="159" t="str">
        <f t="shared" si="144"/>
        <v>June!$F$1:$F$92</v>
      </c>
      <c r="E1823" t="s">
        <v>5</v>
      </c>
      <c r="F1823" t="s">
        <v>125</v>
      </c>
      <c r="G1823" t="s">
        <v>142</v>
      </c>
      <c r="H1823" t="s">
        <v>44</v>
      </c>
      <c r="I1823" t="e">
        <f t="shared" ca="1" si="145"/>
        <v>#REF!</v>
      </c>
      <c r="J1823" t="str">
        <f>VLOOKUP($G1823,DefinitionArrays!$I$6:$J$12,2,FALSE)</f>
        <v>Workweek</v>
      </c>
    </row>
    <row r="1824" spans="1:10">
      <c r="A1824" s="159" t="str">
        <f t="shared" si="141"/>
        <v>$H$1:$H$92</v>
      </c>
      <c r="B1824" s="159" t="str">
        <f t="shared" si="142"/>
        <v>$I$1:$I$92</v>
      </c>
      <c r="C1824" s="159" t="str">
        <f t="shared" si="143"/>
        <v>June!$H$1:$H$92</v>
      </c>
      <c r="D1824" s="159" t="str">
        <f t="shared" si="144"/>
        <v>June!$I$1:$I$92</v>
      </c>
      <c r="E1824" t="s">
        <v>5</v>
      </c>
      <c r="F1824" t="s">
        <v>125</v>
      </c>
      <c r="G1824" t="s">
        <v>143</v>
      </c>
      <c r="H1824" t="s">
        <v>159</v>
      </c>
      <c r="I1824" t="e">
        <f t="shared" ca="1" si="145"/>
        <v>#REF!</v>
      </c>
      <c r="J1824" t="str">
        <f>VLOOKUP($G1824,DefinitionArrays!$I$6:$J$12,2,FALSE)</f>
        <v>Workweek</v>
      </c>
    </row>
    <row r="1825" spans="1:10">
      <c r="A1825" s="159" t="str">
        <f t="shared" si="141"/>
        <v>$H$1:$H$92</v>
      </c>
      <c r="B1825" s="159" t="str">
        <f t="shared" si="142"/>
        <v>$I$1:$I$92</v>
      </c>
      <c r="C1825" s="159" t="str">
        <f t="shared" si="143"/>
        <v>June!$H$1:$H$92</v>
      </c>
      <c r="D1825" s="159" t="str">
        <f t="shared" si="144"/>
        <v>June!$I$1:$I$92</v>
      </c>
      <c r="E1825" t="s">
        <v>5</v>
      </c>
      <c r="F1825" t="s">
        <v>125</v>
      </c>
      <c r="G1825" t="s">
        <v>143</v>
      </c>
      <c r="H1825" t="s">
        <v>18</v>
      </c>
      <c r="I1825" t="e">
        <f t="shared" ca="1" si="145"/>
        <v>#REF!</v>
      </c>
      <c r="J1825" t="str">
        <f>VLOOKUP($G1825,DefinitionArrays!$I$6:$J$12,2,FALSE)</f>
        <v>Workweek</v>
      </c>
    </row>
    <row r="1826" spans="1:10">
      <c r="A1826" s="159" t="str">
        <f t="shared" si="141"/>
        <v>$H$1:$H$92</v>
      </c>
      <c r="B1826" s="159" t="str">
        <f t="shared" si="142"/>
        <v>$I$1:$I$92</v>
      </c>
      <c r="C1826" s="159" t="str">
        <f t="shared" si="143"/>
        <v>June!$H$1:$H$92</v>
      </c>
      <c r="D1826" s="159" t="str">
        <f t="shared" si="144"/>
        <v>June!$I$1:$I$92</v>
      </c>
      <c r="E1826" t="s">
        <v>5</v>
      </c>
      <c r="F1826" t="s">
        <v>125</v>
      </c>
      <c r="G1826" t="s">
        <v>143</v>
      </c>
      <c r="H1826" t="s">
        <v>153</v>
      </c>
      <c r="I1826" t="e">
        <f t="shared" ca="1" si="145"/>
        <v>#REF!</v>
      </c>
      <c r="J1826" t="str">
        <f>VLOOKUP($G1826,DefinitionArrays!$I$6:$J$12,2,FALSE)</f>
        <v>Workweek</v>
      </c>
    </row>
    <row r="1827" spans="1:10">
      <c r="A1827" s="159" t="str">
        <f t="shared" si="141"/>
        <v>$H$1:$H$92</v>
      </c>
      <c r="B1827" s="159" t="str">
        <f t="shared" si="142"/>
        <v>$I$1:$I$92</v>
      </c>
      <c r="C1827" s="159" t="str">
        <f t="shared" si="143"/>
        <v>June!$H$1:$H$92</v>
      </c>
      <c r="D1827" s="159" t="str">
        <f t="shared" si="144"/>
        <v>June!$I$1:$I$92</v>
      </c>
      <c r="E1827" t="s">
        <v>5</v>
      </c>
      <c r="F1827" t="s">
        <v>125</v>
      </c>
      <c r="G1827" t="s">
        <v>143</v>
      </c>
      <c r="H1827" t="s">
        <v>19</v>
      </c>
      <c r="I1827" t="e">
        <f t="shared" ca="1" si="145"/>
        <v>#REF!</v>
      </c>
      <c r="J1827" t="str">
        <f>VLOOKUP($G1827,DefinitionArrays!$I$6:$J$12,2,FALSE)</f>
        <v>Workweek</v>
      </c>
    </row>
    <row r="1828" spans="1:10">
      <c r="A1828" s="159" t="str">
        <f t="shared" si="141"/>
        <v>$H$1:$H$92</v>
      </c>
      <c r="B1828" s="159" t="str">
        <f t="shared" si="142"/>
        <v>$I$1:$I$92</v>
      </c>
      <c r="C1828" s="159" t="str">
        <f t="shared" si="143"/>
        <v>June!$H$1:$H$92</v>
      </c>
      <c r="D1828" s="159" t="str">
        <f t="shared" si="144"/>
        <v>June!$I$1:$I$92</v>
      </c>
      <c r="E1828" t="s">
        <v>5</v>
      </c>
      <c r="F1828" t="s">
        <v>125</v>
      </c>
      <c r="G1828" t="s">
        <v>143</v>
      </c>
      <c r="H1828" t="s">
        <v>20</v>
      </c>
      <c r="I1828" t="e">
        <f t="shared" ca="1" si="145"/>
        <v>#REF!</v>
      </c>
      <c r="J1828" t="str">
        <f>VLOOKUP($G1828,DefinitionArrays!$I$6:$J$12,2,FALSE)</f>
        <v>Workweek</v>
      </c>
    </row>
    <row r="1829" spans="1:10">
      <c r="A1829" s="159" t="str">
        <f t="shared" si="141"/>
        <v>$H$1:$H$92</v>
      </c>
      <c r="B1829" s="159" t="str">
        <f t="shared" si="142"/>
        <v>$I$1:$I$92</v>
      </c>
      <c r="C1829" s="159" t="str">
        <f t="shared" si="143"/>
        <v>June!$H$1:$H$92</v>
      </c>
      <c r="D1829" s="159" t="str">
        <f t="shared" si="144"/>
        <v>June!$I$1:$I$92</v>
      </c>
      <c r="E1829" t="s">
        <v>5</v>
      </c>
      <c r="F1829" t="s">
        <v>125</v>
      </c>
      <c r="G1829" t="s">
        <v>143</v>
      </c>
      <c r="H1829" t="s">
        <v>21</v>
      </c>
      <c r="I1829" t="e">
        <f t="shared" ca="1" si="145"/>
        <v>#REF!</v>
      </c>
      <c r="J1829" t="str">
        <f>VLOOKUP($G1829,DefinitionArrays!$I$6:$J$12,2,FALSE)</f>
        <v>Workweek</v>
      </c>
    </row>
    <row r="1830" spans="1:10">
      <c r="A1830" s="159" t="str">
        <f t="shared" si="141"/>
        <v>$H$1:$H$92</v>
      </c>
      <c r="B1830" s="159" t="str">
        <f t="shared" si="142"/>
        <v>$I$1:$I$92</v>
      </c>
      <c r="C1830" s="159" t="str">
        <f t="shared" si="143"/>
        <v>June!$H$1:$H$92</v>
      </c>
      <c r="D1830" s="159" t="str">
        <f t="shared" si="144"/>
        <v>June!$I$1:$I$92</v>
      </c>
      <c r="E1830" t="s">
        <v>5</v>
      </c>
      <c r="F1830" t="s">
        <v>125</v>
      </c>
      <c r="G1830" t="s">
        <v>143</v>
      </c>
      <c r="H1830" t="s">
        <v>22</v>
      </c>
      <c r="I1830" t="e">
        <f t="shared" ca="1" si="145"/>
        <v>#REF!</v>
      </c>
      <c r="J1830" t="str">
        <f>VLOOKUP($G1830,DefinitionArrays!$I$6:$J$12,2,FALSE)</f>
        <v>Workweek</v>
      </c>
    </row>
    <row r="1831" spans="1:10">
      <c r="A1831" s="159" t="str">
        <f t="shared" si="141"/>
        <v>$H$1:$H$92</v>
      </c>
      <c r="B1831" s="159" t="str">
        <f t="shared" si="142"/>
        <v>$I$1:$I$92</v>
      </c>
      <c r="C1831" s="159" t="str">
        <f t="shared" si="143"/>
        <v>June!$H$1:$H$92</v>
      </c>
      <c r="D1831" s="159" t="str">
        <f t="shared" si="144"/>
        <v>June!$I$1:$I$92</v>
      </c>
      <c r="E1831" t="s">
        <v>5</v>
      </c>
      <c r="F1831" t="s">
        <v>125</v>
      </c>
      <c r="G1831" t="s">
        <v>143</v>
      </c>
      <c r="H1831" t="s">
        <v>23</v>
      </c>
      <c r="I1831" t="e">
        <f t="shared" ca="1" si="145"/>
        <v>#REF!</v>
      </c>
      <c r="J1831" t="str">
        <f>VLOOKUP($G1831,DefinitionArrays!$I$6:$J$12,2,FALSE)</f>
        <v>Workweek</v>
      </c>
    </row>
    <row r="1832" spans="1:10">
      <c r="A1832" s="159" t="str">
        <f t="shared" si="141"/>
        <v>$H$1:$H$92</v>
      </c>
      <c r="B1832" s="159" t="str">
        <f t="shared" si="142"/>
        <v>$I$1:$I$92</v>
      </c>
      <c r="C1832" s="159" t="str">
        <f t="shared" si="143"/>
        <v>June!$H$1:$H$92</v>
      </c>
      <c r="D1832" s="159" t="str">
        <f t="shared" si="144"/>
        <v>June!$I$1:$I$92</v>
      </c>
      <c r="E1832" t="s">
        <v>5</v>
      </c>
      <c r="F1832" t="s">
        <v>125</v>
      </c>
      <c r="G1832" t="s">
        <v>143</v>
      </c>
      <c r="H1832" t="s">
        <v>24</v>
      </c>
      <c r="I1832" t="e">
        <f t="shared" ca="1" si="145"/>
        <v>#REF!</v>
      </c>
      <c r="J1832" t="str">
        <f>VLOOKUP($G1832,DefinitionArrays!$I$6:$J$12,2,FALSE)</f>
        <v>Workweek</v>
      </c>
    </row>
    <row r="1833" spans="1:10">
      <c r="A1833" s="159" t="str">
        <f t="shared" si="141"/>
        <v>$H$1:$H$92</v>
      </c>
      <c r="B1833" s="159" t="str">
        <f t="shared" si="142"/>
        <v>$I$1:$I$92</v>
      </c>
      <c r="C1833" s="159" t="str">
        <f t="shared" si="143"/>
        <v>June!$H$1:$H$92</v>
      </c>
      <c r="D1833" s="159" t="str">
        <f t="shared" si="144"/>
        <v>June!$I$1:$I$92</v>
      </c>
      <c r="E1833" t="s">
        <v>5</v>
      </c>
      <c r="F1833" t="s">
        <v>125</v>
      </c>
      <c r="G1833" t="s">
        <v>143</v>
      </c>
      <c r="H1833" t="s">
        <v>179</v>
      </c>
      <c r="I1833" t="e">
        <f t="shared" ca="1" si="145"/>
        <v>#REF!</v>
      </c>
      <c r="J1833" t="str">
        <f>VLOOKUP($G1833,DefinitionArrays!$I$6:$J$12,2,FALSE)</f>
        <v>Workweek</v>
      </c>
    </row>
    <row r="1834" spans="1:10">
      <c r="A1834" s="159" t="str">
        <f t="shared" si="141"/>
        <v>$H$1:$H$92</v>
      </c>
      <c r="B1834" s="159" t="str">
        <f t="shared" si="142"/>
        <v>$I$1:$I$92</v>
      </c>
      <c r="C1834" s="159" t="str">
        <f t="shared" si="143"/>
        <v>June!$H$1:$H$92</v>
      </c>
      <c r="D1834" s="159" t="str">
        <f t="shared" si="144"/>
        <v>June!$I$1:$I$92</v>
      </c>
      <c r="E1834" t="s">
        <v>5</v>
      </c>
      <c r="F1834" t="s">
        <v>125</v>
      </c>
      <c r="G1834" t="s">
        <v>143</v>
      </c>
      <c r="H1834" t="s">
        <v>180</v>
      </c>
      <c r="I1834" t="e">
        <f t="shared" ca="1" si="145"/>
        <v>#REF!</v>
      </c>
      <c r="J1834" t="str">
        <f>VLOOKUP($G1834,DefinitionArrays!$I$6:$J$12,2,FALSE)</f>
        <v>Workweek</v>
      </c>
    </row>
    <row r="1835" spans="1:10">
      <c r="A1835" s="159" t="str">
        <f t="shared" si="141"/>
        <v>$H$1:$H$92</v>
      </c>
      <c r="B1835" s="159" t="str">
        <f t="shared" si="142"/>
        <v>$I$1:$I$92</v>
      </c>
      <c r="C1835" s="159" t="str">
        <f t="shared" si="143"/>
        <v>June!$H$1:$H$92</v>
      </c>
      <c r="D1835" s="159" t="str">
        <f t="shared" si="144"/>
        <v>June!$I$1:$I$92</v>
      </c>
      <c r="E1835" t="s">
        <v>5</v>
      </c>
      <c r="F1835" t="s">
        <v>125</v>
      </c>
      <c r="G1835" t="s">
        <v>143</v>
      </c>
      <c r="H1835" t="s">
        <v>44</v>
      </c>
      <c r="I1835" t="e">
        <f t="shared" ca="1" si="145"/>
        <v>#REF!</v>
      </c>
      <c r="J1835" t="str">
        <f>VLOOKUP($G1835,DefinitionArrays!$I$6:$J$12,2,FALSE)</f>
        <v>Workweek</v>
      </c>
    </row>
    <row r="1836" spans="1:10">
      <c r="A1836" s="159" t="str">
        <f t="shared" si="141"/>
        <v>$K$1:$K$92</v>
      </c>
      <c r="B1836" s="159" t="str">
        <f t="shared" si="142"/>
        <v>$L$1:$L$92</v>
      </c>
      <c r="C1836" s="159" t="str">
        <f t="shared" si="143"/>
        <v>June!$K$1:$K$92</v>
      </c>
      <c r="D1836" s="159" t="str">
        <f t="shared" si="144"/>
        <v>June!$L$1:$L$92</v>
      </c>
      <c r="E1836" t="s">
        <v>5</v>
      </c>
      <c r="F1836" t="s">
        <v>125</v>
      </c>
      <c r="G1836" t="s">
        <v>144</v>
      </c>
      <c r="H1836" t="s">
        <v>159</v>
      </c>
      <c r="I1836" t="e">
        <f t="shared" ca="1" si="145"/>
        <v>#REF!</v>
      </c>
      <c r="J1836" t="str">
        <f>VLOOKUP($G1836,DefinitionArrays!$I$6:$J$12,2,FALSE)</f>
        <v>Workweek</v>
      </c>
    </row>
    <row r="1837" spans="1:10">
      <c r="A1837" s="159" t="str">
        <f t="shared" si="141"/>
        <v>$K$1:$K$92</v>
      </c>
      <c r="B1837" s="159" t="str">
        <f t="shared" si="142"/>
        <v>$L$1:$L$92</v>
      </c>
      <c r="C1837" s="159" t="str">
        <f t="shared" si="143"/>
        <v>June!$K$1:$K$92</v>
      </c>
      <c r="D1837" s="159" t="str">
        <f t="shared" si="144"/>
        <v>June!$L$1:$L$92</v>
      </c>
      <c r="E1837" t="s">
        <v>5</v>
      </c>
      <c r="F1837" t="s">
        <v>125</v>
      </c>
      <c r="G1837" t="s">
        <v>144</v>
      </c>
      <c r="H1837" t="s">
        <v>18</v>
      </c>
      <c r="I1837" t="e">
        <f t="shared" ca="1" si="145"/>
        <v>#REF!</v>
      </c>
      <c r="J1837" t="str">
        <f>VLOOKUP($G1837,DefinitionArrays!$I$6:$J$12,2,FALSE)</f>
        <v>Workweek</v>
      </c>
    </row>
    <row r="1838" spans="1:10">
      <c r="A1838" s="159" t="str">
        <f t="shared" si="141"/>
        <v>$K$1:$K$92</v>
      </c>
      <c r="B1838" s="159" t="str">
        <f t="shared" si="142"/>
        <v>$L$1:$L$92</v>
      </c>
      <c r="C1838" s="159" t="str">
        <f t="shared" si="143"/>
        <v>June!$K$1:$K$92</v>
      </c>
      <c r="D1838" s="159" t="str">
        <f t="shared" si="144"/>
        <v>June!$L$1:$L$92</v>
      </c>
      <c r="E1838" t="s">
        <v>5</v>
      </c>
      <c r="F1838" t="s">
        <v>125</v>
      </c>
      <c r="G1838" t="s">
        <v>144</v>
      </c>
      <c r="H1838" t="s">
        <v>153</v>
      </c>
      <c r="I1838" t="e">
        <f t="shared" ca="1" si="145"/>
        <v>#REF!</v>
      </c>
      <c r="J1838" t="str">
        <f>VLOOKUP($G1838,DefinitionArrays!$I$6:$J$12,2,FALSE)</f>
        <v>Workweek</v>
      </c>
    </row>
    <row r="1839" spans="1:10">
      <c r="A1839" s="159" t="str">
        <f t="shared" si="141"/>
        <v>$K$1:$K$92</v>
      </c>
      <c r="B1839" s="159" t="str">
        <f t="shared" si="142"/>
        <v>$L$1:$L$92</v>
      </c>
      <c r="C1839" s="159" t="str">
        <f t="shared" si="143"/>
        <v>June!$K$1:$K$92</v>
      </c>
      <c r="D1839" s="159" t="str">
        <f t="shared" si="144"/>
        <v>June!$L$1:$L$92</v>
      </c>
      <c r="E1839" t="s">
        <v>5</v>
      </c>
      <c r="F1839" t="s">
        <v>125</v>
      </c>
      <c r="G1839" t="s">
        <v>144</v>
      </c>
      <c r="H1839" t="s">
        <v>19</v>
      </c>
      <c r="I1839" t="e">
        <f t="shared" ca="1" si="145"/>
        <v>#REF!</v>
      </c>
      <c r="J1839" t="str">
        <f>VLOOKUP($G1839,DefinitionArrays!$I$6:$J$12,2,FALSE)</f>
        <v>Workweek</v>
      </c>
    </row>
    <row r="1840" spans="1:10">
      <c r="A1840" s="159" t="str">
        <f t="shared" si="141"/>
        <v>$K$1:$K$92</v>
      </c>
      <c r="B1840" s="159" t="str">
        <f t="shared" si="142"/>
        <v>$L$1:$L$92</v>
      </c>
      <c r="C1840" s="159" t="str">
        <f t="shared" si="143"/>
        <v>June!$K$1:$K$92</v>
      </c>
      <c r="D1840" s="159" t="str">
        <f t="shared" si="144"/>
        <v>June!$L$1:$L$92</v>
      </c>
      <c r="E1840" t="s">
        <v>5</v>
      </c>
      <c r="F1840" t="s">
        <v>125</v>
      </c>
      <c r="G1840" t="s">
        <v>144</v>
      </c>
      <c r="H1840" t="s">
        <v>20</v>
      </c>
      <c r="I1840" t="e">
        <f t="shared" ca="1" si="145"/>
        <v>#REF!</v>
      </c>
      <c r="J1840" t="str">
        <f>VLOOKUP($G1840,DefinitionArrays!$I$6:$J$12,2,FALSE)</f>
        <v>Workweek</v>
      </c>
    </row>
    <row r="1841" spans="1:10">
      <c r="A1841" s="159" t="str">
        <f t="shared" si="141"/>
        <v>$K$1:$K$92</v>
      </c>
      <c r="B1841" s="159" t="str">
        <f t="shared" si="142"/>
        <v>$L$1:$L$92</v>
      </c>
      <c r="C1841" s="159" t="str">
        <f t="shared" si="143"/>
        <v>June!$K$1:$K$92</v>
      </c>
      <c r="D1841" s="159" t="str">
        <f t="shared" si="144"/>
        <v>June!$L$1:$L$92</v>
      </c>
      <c r="E1841" t="s">
        <v>5</v>
      </c>
      <c r="F1841" t="s">
        <v>125</v>
      </c>
      <c r="G1841" t="s">
        <v>144</v>
      </c>
      <c r="H1841" t="s">
        <v>21</v>
      </c>
      <c r="I1841" t="e">
        <f t="shared" ca="1" si="145"/>
        <v>#REF!</v>
      </c>
      <c r="J1841" t="str">
        <f>VLOOKUP($G1841,DefinitionArrays!$I$6:$J$12,2,FALSE)</f>
        <v>Workweek</v>
      </c>
    </row>
    <row r="1842" spans="1:10">
      <c r="A1842" s="159" t="str">
        <f t="shared" si="141"/>
        <v>$K$1:$K$92</v>
      </c>
      <c r="B1842" s="159" t="str">
        <f t="shared" si="142"/>
        <v>$L$1:$L$92</v>
      </c>
      <c r="C1842" s="159" t="str">
        <f t="shared" si="143"/>
        <v>June!$K$1:$K$92</v>
      </c>
      <c r="D1842" s="159" t="str">
        <f t="shared" si="144"/>
        <v>June!$L$1:$L$92</v>
      </c>
      <c r="E1842" t="s">
        <v>5</v>
      </c>
      <c r="F1842" t="s">
        <v>125</v>
      </c>
      <c r="G1842" t="s">
        <v>144</v>
      </c>
      <c r="H1842" t="s">
        <v>22</v>
      </c>
      <c r="I1842" t="e">
        <f t="shared" ca="1" si="145"/>
        <v>#REF!</v>
      </c>
      <c r="J1842" t="str">
        <f>VLOOKUP($G1842,DefinitionArrays!$I$6:$J$12,2,FALSE)</f>
        <v>Workweek</v>
      </c>
    </row>
    <row r="1843" spans="1:10">
      <c r="A1843" s="159" t="str">
        <f t="shared" si="141"/>
        <v>$K$1:$K$92</v>
      </c>
      <c r="B1843" s="159" t="str">
        <f t="shared" si="142"/>
        <v>$L$1:$L$92</v>
      </c>
      <c r="C1843" s="159" t="str">
        <f t="shared" si="143"/>
        <v>June!$K$1:$K$92</v>
      </c>
      <c r="D1843" s="159" t="str">
        <f t="shared" si="144"/>
        <v>June!$L$1:$L$92</v>
      </c>
      <c r="E1843" t="s">
        <v>5</v>
      </c>
      <c r="F1843" t="s">
        <v>125</v>
      </c>
      <c r="G1843" t="s">
        <v>144</v>
      </c>
      <c r="H1843" t="s">
        <v>23</v>
      </c>
      <c r="I1843" t="e">
        <f t="shared" ca="1" si="145"/>
        <v>#REF!</v>
      </c>
      <c r="J1843" t="str">
        <f>VLOOKUP($G1843,DefinitionArrays!$I$6:$J$12,2,FALSE)</f>
        <v>Workweek</v>
      </c>
    </row>
    <row r="1844" spans="1:10">
      <c r="A1844" s="159" t="str">
        <f t="shared" si="141"/>
        <v>$K$1:$K$92</v>
      </c>
      <c r="B1844" s="159" t="str">
        <f t="shared" si="142"/>
        <v>$L$1:$L$92</v>
      </c>
      <c r="C1844" s="159" t="str">
        <f t="shared" si="143"/>
        <v>June!$K$1:$K$92</v>
      </c>
      <c r="D1844" s="159" t="str">
        <f t="shared" si="144"/>
        <v>June!$L$1:$L$92</v>
      </c>
      <c r="E1844" t="s">
        <v>5</v>
      </c>
      <c r="F1844" t="s">
        <v>125</v>
      </c>
      <c r="G1844" t="s">
        <v>144</v>
      </c>
      <c r="H1844" t="s">
        <v>24</v>
      </c>
      <c r="I1844" t="e">
        <f t="shared" ca="1" si="145"/>
        <v>#REF!</v>
      </c>
      <c r="J1844" t="str">
        <f>VLOOKUP($G1844,DefinitionArrays!$I$6:$J$12,2,FALSE)</f>
        <v>Workweek</v>
      </c>
    </row>
    <row r="1845" spans="1:10">
      <c r="A1845" s="159" t="str">
        <f t="shared" si="141"/>
        <v>$K$1:$K$92</v>
      </c>
      <c r="B1845" s="159" t="str">
        <f t="shared" si="142"/>
        <v>$L$1:$L$92</v>
      </c>
      <c r="C1845" s="159" t="str">
        <f t="shared" si="143"/>
        <v>June!$K$1:$K$92</v>
      </c>
      <c r="D1845" s="159" t="str">
        <f t="shared" si="144"/>
        <v>June!$L$1:$L$92</v>
      </c>
      <c r="E1845" t="s">
        <v>5</v>
      </c>
      <c r="F1845" t="s">
        <v>125</v>
      </c>
      <c r="G1845" t="s">
        <v>144</v>
      </c>
      <c r="H1845" t="s">
        <v>179</v>
      </c>
      <c r="I1845" t="e">
        <f t="shared" ca="1" si="145"/>
        <v>#REF!</v>
      </c>
      <c r="J1845" t="str">
        <f>VLOOKUP($G1845,DefinitionArrays!$I$6:$J$12,2,FALSE)</f>
        <v>Workweek</v>
      </c>
    </row>
    <row r="1846" spans="1:10">
      <c r="A1846" s="159" t="str">
        <f t="shared" si="141"/>
        <v>$K$1:$K$92</v>
      </c>
      <c r="B1846" s="159" t="str">
        <f t="shared" si="142"/>
        <v>$L$1:$L$92</v>
      </c>
      <c r="C1846" s="159" t="str">
        <f t="shared" si="143"/>
        <v>June!$K$1:$K$92</v>
      </c>
      <c r="D1846" s="159" t="str">
        <f t="shared" si="144"/>
        <v>June!$L$1:$L$92</v>
      </c>
      <c r="E1846" t="s">
        <v>5</v>
      </c>
      <c r="F1846" t="s">
        <v>125</v>
      </c>
      <c r="G1846" t="s">
        <v>144</v>
      </c>
      <c r="H1846" t="s">
        <v>180</v>
      </c>
      <c r="I1846" t="e">
        <f t="shared" ca="1" si="145"/>
        <v>#REF!</v>
      </c>
      <c r="J1846" t="str">
        <f>VLOOKUP($G1846,DefinitionArrays!$I$6:$J$12,2,FALSE)</f>
        <v>Workweek</v>
      </c>
    </row>
    <row r="1847" spans="1:10">
      <c r="A1847" s="159" t="str">
        <f t="shared" si="141"/>
        <v>$K$1:$K$92</v>
      </c>
      <c r="B1847" s="159" t="str">
        <f t="shared" si="142"/>
        <v>$L$1:$L$92</v>
      </c>
      <c r="C1847" s="159" t="str">
        <f t="shared" si="143"/>
        <v>June!$K$1:$K$92</v>
      </c>
      <c r="D1847" s="159" t="str">
        <f t="shared" si="144"/>
        <v>June!$L$1:$L$92</v>
      </c>
      <c r="E1847" t="s">
        <v>5</v>
      </c>
      <c r="F1847" t="s">
        <v>125</v>
      </c>
      <c r="G1847" t="s">
        <v>144</v>
      </c>
      <c r="H1847" t="s">
        <v>44</v>
      </c>
      <c r="I1847" t="e">
        <f t="shared" ca="1" si="145"/>
        <v>#REF!</v>
      </c>
      <c r="J1847" t="str">
        <f>VLOOKUP($G1847,DefinitionArrays!$I$6:$J$12,2,FALSE)</f>
        <v>Workweek</v>
      </c>
    </row>
    <row r="1848" spans="1:10">
      <c r="A1848" s="159" t="str">
        <f t="shared" si="141"/>
        <v>$N$1:$N$92</v>
      </c>
      <c r="B1848" s="159" t="str">
        <f t="shared" si="142"/>
        <v>$O$1:$O$92</v>
      </c>
      <c r="C1848" s="159" t="str">
        <f t="shared" si="143"/>
        <v>June!$N$1:$N$92</v>
      </c>
      <c r="D1848" s="159" t="str">
        <f t="shared" si="144"/>
        <v>June!$O$1:$O$92</v>
      </c>
      <c r="E1848" t="s">
        <v>5</v>
      </c>
      <c r="F1848" t="s">
        <v>125</v>
      </c>
      <c r="G1848" t="s">
        <v>145</v>
      </c>
      <c r="H1848" t="s">
        <v>159</v>
      </c>
      <c r="I1848" t="e">
        <f t="shared" ca="1" si="145"/>
        <v>#REF!</v>
      </c>
      <c r="J1848" t="str">
        <f>VLOOKUP($G1848,DefinitionArrays!$I$6:$J$12,2,FALSE)</f>
        <v>Weekend</v>
      </c>
    </row>
    <row r="1849" spans="1:10">
      <c r="A1849" s="159" t="str">
        <f t="shared" si="141"/>
        <v>$N$1:$N$92</v>
      </c>
      <c r="B1849" s="159" t="str">
        <f t="shared" si="142"/>
        <v>$O$1:$O$92</v>
      </c>
      <c r="C1849" s="159" t="str">
        <f t="shared" si="143"/>
        <v>June!$N$1:$N$92</v>
      </c>
      <c r="D1849" s="159" t="str">
        <f t="shared" si="144"/>
        <v>June!$O$1:$O$92</v>
      </c>
      <c r="E1849" t="s">
        <v>5</v>
      </c>
      <c r="F1849" t="s">
        <v>125</v>
      </c>
      <c r="G1849" t="s">
        <v>145</v>
      </c>
      <c r="H1849" t="s">
        <v>18</v>
      </c>
      <c r="I1849" t="e">
        <f t="shared" ca="1" si="145"/>
        <v>#REF!</v>
      </c>
      <c r="J1849" t="str">
        <f>VLOOKUP($G1849,DefinitionArrays!$I$6:$J$12,2,FALSE)</f>
        <v>Weekend</v>
      </c>
    </row>
    <row r="1850" spans="1:10">
      <c r="A1850" s="159" t="str">
        <f t="shared" si="141"/>
        <v>$N$1:$N$92</v>
      </c>
      <c r="B1850" s="159" t="str">
        <f t="shared" si="142"/>
        <v>$O$1:$O$92</v>
      </c>
      <c r="C1850" s="159" t="str">
        <f t="shared" si="143"/>
        <v>June!$N$1:$N$92</v>
      </c>
      <c r="D1850" s="159" t="str">
        <f t="shared" si="144"/>
        <v>June!$O$1:$O$92</v>
      </c>
      <c r="E1850" t="s">
        <v>5</v>
      </c>
      <c r="F1850" t="s">
        <v>125</v>
      </c>
      <c r="G1850" t="s">
        <v>145</v>
      </c>
      <c r="H1850" t="s">
        <v>153</v>
      </c>
      <c r="I1850" t="e">
        <f t="shared" ca="1" si="145"/>
        <v>#REF!</v>
      </c>
      <c r="J1850" t="str">
        <f>VLOOKUP($G1850,DefinitionArrays!$I$6:$J$12,2,FALSE)</f>
        <v>Weekend</v>
      </c>
    </row>
    <row r="1851" spans="1:10">
      <c r="A1851" s="159" t="str">
        <f t="shared" si="141"/>
        <v>$N$1:$N$92</v>
      </c>
      <c r="B1851" s="159" t="str">
        <f t="shared" si="142"/>
        <v>$O$1:$O$92</v>
      </c>
      <c r="C1851" s="159" t="str">
        <f t="shared" si="143"/>
        <v>June!$N$1:$N$92</v>
      </c>
      <c r="D1851" s="159" t="str">
        <f t="shared" si="144"/>
        <v>June!$O$1:$O$92</v>
      </c>
      <c r="E1851" t="s">
        <v>5</v>
      </c>
      <c r="F1851" t="s">
        <v>125</v>
      </c>
      <c r="G1851" t="s">
        <v>145</v>
      </c>
      <c r="H1851" t="s">
        <v>19</v>
      </c>
      <c r="I1851" t="e">
        <f t="shared" ca="1" si="145"/>
        <v>#REF!</v>
      </c>
      <c r="J1851" t="str">
        <f>VLOOKUP($G1851,DefinitionArrays!$I$6:$J$12,2,FALSE)</f>
        <v>Weekend</v>
      </c>
    </row>
    <row r="1852" spans="1:10">
      <c r="A1852" s="159" t="str">
        <f t="shared" si="141"/>
        <v>$N$1:$N$92</v>
      </c>
      <c r="B1852" s="159" t="str">
        <f t="shared" si="142"/>
        <v>$O$1:$O$92</v>
      </c>
      <c r="C1852" s="159" t="str">
        <f t="shared" si="143"/>
        <v>June!$N$1:$N$92</v>
      </c>
      <c r="D1852" s="159" t="str">
        <f t="shared" si="144"/>
        <v>June!$O$1:$O$92</v>
      </c>
      <c r="E1852" t="s">
        <v>5</v>
      </c>
      <c r="F1852" t="s">
        <v>125</v>
      </c>
      <c r="G1852" t="s">
        <v>145</v>
      </c>
      <c r="H1852" t="s">
        <v>20</v>
      </c>
      <c r="I1852" t="e">
        <f t="shared" ca="1" si="145"/>
        <v>#REF!</v>
      </c>
      <c r="J1852" t="str">
        <f>VLOOKUP($G1852,DefinitionArrays!$I$6:$J$12,2,FALSE)</f>
        <v>Weekend</v>
      </c>
    </row>
    <row r="1853" spans="1:10">
      <c r="A1853" s="159" t="str">
        <f t="shared" si="141"/>
        <v>$N$1:$N$92</v>
      </c>
      <c r="B1853" s="159" t="str">
        <f t="shared" si="142"/>
        <v>$O$1:$O$92</v>
      </c>
      <c r="C1853" s="159" t="str">
        <f t="shared" si="143"/>
        <v>June!$N$1:$N$92</v>
      </c>
      <c r="D1853" s="159" t="str">
        <f t="shared" si="144"/>
        <v>June!$O$1:$O$92</v>
      </c>
      <c r="E1853" t="s">
        <v>5</v>
      </c>
      <c r="F1853" t="s">
        <v>125</v>
      </c>
      <c r="G1853" t="s">
        <v>145</v>
      </c>
      <c r="H1853" t="s">
        <v>21</v>
      </c>
      <c r="I1853" t="e">
        <f t="shared" ca="1" si="145"/>
        <v>#REF!</v>
      </c>
      <c r="J1853" t="str">
        <f>VLOOKUP($G1853,DefinitionArrays!$I$6:$J$12,2,FALSE)</f>
        <v>Weekend</v>
      </c>
    </row>
    <row r="1854" spans="1:10">
      <c r="A1854" s="159" t="str">
        <f t="shared" si="141"/>
        <v>$N$1:$N$92</v>
      </c>
      <c r="B1854" s="159" t="str">
        <f t="shared" si="142"/>
        <v>$O$1:$O$92</v>
      </c>
      <c r="C1854" s="159" t="str">
        <f t="shared" si="143"/>
        <v>June!$N$1:$N$92</v>
      </c>
      <c r="D1854" s="159" t="str">
        <f t="shared" si="144"/>
        <v>June!$O$1:$O$92</v>
      </c>
      <c r="E1854" t="s">
        <v>5</v>
      </c>
      <c r="F1854" t="s">
        <v>125</v>
      </c>
      <c r="G1854" t="s">
        <v>145</v>
      </c>
      <c r="H1854" t="s">
        <v>22</v>
      </c>
      <c r="I1854" t="e">
        <f t="shared" ca="1" si="145"/>
        <v>#REF!</v>
      </c>
      <c r="J1854" t="str">
        <f>VLOOKUP($G1854,DefinitionArrays!$I$6:$J$12,2,FALSE)</f>
        <v>Weekend</v>
      </c>
    </row>
    <row r="1855" spans="1:10">
      <c r="A1855" s="159" t="str">
        <f t="shared" si="141"/>
        <v>$N$1:$N$92</v>
      </c>
      <c r="B1855" s="159" t="str">
        <f t="shared" si="142"/>
        <v>$O$1:$O$92</v>
      </c>
      <c r="C1855" s="159" t="str">
        <f t="shared" si="143"/>
        <v>June!$N$1:$N$92</v>
      </c>
      <c r="D1855" s="159" t="str">
        <f t="shared" si="144"/>
        <v>June!$O$1:$O$92</v>
      </c>
      <c r="E1855" t="s">
        <v>5</v>
      </c>
      <c r="F1855" t="s">
        <v>125</v>
      </c>
      <c r="G1855" t="s">
        <v>145</v>
      </c>
      <c r="H1855" t="s">
        <v>23</v>
      </c>
      <c r="I1855" t="e">
        <f t="shared" ca="1" si="145"/>
        <v>#REF!</v>
      </c>
      <c r="J1855" t="str">
        <f>VLOOKUP($G1855,DefinitionArrays!$I$6:$J$12,2,FALSE)</f>
        <v>Weekend</v>
      </c>
    </row>
    <row r="1856" spans="1:10">
      <c r="A1856" s="159" t="str">
        <f t="shared" si="141"/>
        <v>$N$1:$N$92</v>
      </c>
      <c r="B1856" s="159" t="str">
        <f t="shared" si="142"/>
        <v>$O$1:$O$92</v>
      </c>
      <c r="C1856" s="159" t="str">
        <f t="shared" si="143"/>
        <v>June!$N$1:$N$92</v>
      </c>
      <c r="D1856" s="159" t="str">
        <f t="shared" si="144"/>
        <v>June!$O$1:$O$92</v>
      </c>
      <c r="E1856" t="s">
        <v>5</v>
      </c>
      <c r="F1856" t="s">
        <v>125</v>
      </c>
      <c r="G1856" t="s">
        <v>145</v>
      </c>
      <c r="H1856" t="s">
        <v>24</v>
      </c>
      <c r="I1856" t="e">
        <f t="shared" ca="1" si="145"/>
        <v>#REF!</v>
      </c>
      <c r="J1856" t="str">
        <f>VLOOKUP($G1856,DefinitionArrays!$I$6:$J$12,2,FALSE)</f>
        <v>Weekend</v>
      </c>
    </row>
    <row r="1857" spans="1:10">
      <c r="A1857" s="159" t="str">
        <f t="shared" si="141"/>
        <v>$N$1:$N$92</v>
      </c>
      <c r="B1857" s="159" t="str">
        <f t="shared" si="142"/>
        <v>$O$1:$O$92</v>
      </c>
      <c r="C1857" s="159" t="str">
        <f t="shared" si="143"/>
        <v>June!$N$1:$N$92</v>
      </c>
      <c r="D1857" s="159" t="str">
        <f t="shared" si="144"/>
        <v>June!$O$1:$O$92</v>
      </c>
      <c r="E1857" t="s">
        <v>5</v>
      </c>
      <c r="F1857" t="s">
        <v>125</v>
      </c>
      <c r="G1857" t="s">
        <v>145</v>
      </c>
      <c r="H1857" t="s">
        <v>179</v>
      </c>
      <c r="I1857" t="e">
        <f t="shared" ca="1" si="145"/>
        <v>#REF!</v>
      </c>
      <c r="J1857" t="str">
        <f>VLOOKUP($G1857,DefinitionArrays!$I$6:$J$12,2,FALSE)</f>
        <v>Weekend</v>
      </c>
    </row>
    <row r="1858" spans="1:10">
      <c r="A1858" s="159" t="str">
        <f t="shared" ref="A1858:A1921" si="146">VLOOKUP($G1858,Fx_Code,2,FALSE)</f>
        <v>$N$1:$N$92</v>
      </c>
      <c r="B1858" s="159" t="str">
        <f t="shared" ref="B1858:B1921" si="147">VLOOKUP($G1858,Fx_Code,3,FALSE)</f>
        <v>$O$1:$O$92</v>
      </c>
      <c r="C1858" s="159" t="str">
        <f t="shared" ref="C1858:C1921" si="148">CONCATENATE($F1858,$K$1,A1858)</f>
        <v>June!$N$1:$N$92</v>
      </c>
      <c r="D1858" s="159" t="str">
        <f t="shared" ref="D1858:D1921" si="149">CONCATENATE($F1858,$K$1,B1858)</f>
        <v>June!$O$1:$O$92</v>
      </c>
      <c r="E1858" t="s">
        <v>5</v>
      </c>
      <c r="F1858" t="s">
        <v>125</v>
      </c>
      <c r="G1858" t="s">
        <v>145</v>
      </c>
      <c r="H1858" t="s">
        <v>180</v>
      </c>
      <c r="I1858" t="e">
        <f t="shared" ca="1" si="145"/>
        <v>#REF!</v>
      </c>
      <c r="J1858" t="str">
        <f>VLOOKUP($G1858,DefinitionArrays!$I$6:$J$12,2,FALSE)</f>
        <v>Weekend</v>
      </c>
    </row>
    <row r="1859" spans="1:10">
      <c r="A1859" s="159" t="str">
        <f t="shared" si="146"/>
        <v>$N$1:$N$92</v>
      </c>
      <c r="B1859" s="159" t="str">
        <f t="shared" si="147"/>
        <v>$O$1:$O$92</v>
      </c>
      <c r="C1859" s="159" t="str">
        <f t="shared" si="148"/>
        <v>June!$N$1:$N$92</v>
      </c>
      <c r="D1859" s="159" t="str">
        <f t="shared" si="149"/>
        <v>June!$O$1:$O$92</v>
      </c>
      <c r="E1859" t="s">
        <v>5</v>
      </c>
      <c r="F1859" t="s">
        <v>125</v>
      </c>
      <c r="G1859" t="s">
        <v>145</v>
      </c>
      <c r="H1859" t="s">
        <v>44</v>
      </c>
      <c r="I1859" t="e">
        <f t="shared" ca="1" si="145"/>
        <v>#REF!</v>
      </c>
      <c r="J1859" t="str">
        <f>VLOOKUP($G1859,DefinitionArrays!$I$6:$J$12,2,FALSE)</f>
        <v>Weekend</v>
      </c>
    </row>
    <row r="1860" spans="1:10">
      <c r="A1860" s="159" t="str">
        <f t="shared" si="146"/>
        <v>$Q$1:$Q$92</v>
      </c>
      <c r="B1860" s="159" t="str">
        <f t="shared" si="147"/>
        <v>$R$1:$R$92</v>
      </c>
      <c r="C1860" s="159" t="str">
        <f t="shared" si="148"/>
        <v>June!$Q$1:$Q$92</v>
      </c>
      <c r="D1860" s="159" t="str">
        <f t="shared" si="149"/>
        <v>June!$R$1:$R$92</v>
      </c>
      <c r="E1860" t="s">
        <v>5</v>
      </c>
      <c r="F1860" t="s">
        <v>125</v>
      </c>
      <c r="G1860" t="s">
        <v>146</v>
      </c>
      <c r="H1860" t="s">
        <v>159</v>
      </c>
      <c r="I1860" t="e">
        <f t="shared" ca="1" si="145"/>
        <v>#REF!</v>
      </c>
      <c r="J1860" t="str">
        <f>VLOOKUP($G1860,DefinitionArrays!$I$6:$J$12,2,FALSE)</f>
        <v>Weekend</v>
      </c>
    </row>
    <row r="1861" spans="1:10">
      <c r="A1861" s="159" t="str">
        <f t="shared" si="146"/>
        <v>$T$1:$T$92</v>
      </c>
      <c r="B1861" s="159" t="str">
        <f t="shared" si="147"/>
        <v>$U$1:$U$92</v>
      </c>
      <c r="C1861" s="159" t="str">
        <f t="shared" si="148"/>
        <v>June!$T$1:$T$92</v>
      </c>
      <c r="D1861" s="159" t="str">
        <f t="shared" si="149"/>
        <v>June!$U$1:$U$92</v>
      </c>
      <c r="E1861" t="s">
        <v>5</v>
      </c>
      <c r="F1861" t="s">
        <v>125</v>
      </c>
      <c r="G1861" t="s">
        <v>141</v>
      </c>
      <c r="H1861" t="s">
        <v>159</v>
      </c>
      <c r="I1861" t="e">
        <f t="shared" ca="1" si="145"/>
        <v>#REF!</v>
      </c>
      <c r="J1861" t="str">
        <f>VLOOKUP($G1861,DefinitionArrays!$I$6:$J$12,2,FALSE)</f>
        <v>Weekend</v>
      </c>
    </row>
    <row r="1862" spans="1:10">
      <c r="A1862" s="159" t="str">
        <f t="shared" si="146"/>
        <v>$B$1:$B$92</v>
      </c>
      <c r="B1862" s="159" t="str">
        <f t="shared" si="147"/>
        <v>$C$1:$C$92</v>
      </c>
      <c r="C1862" s="159" t="str">
        <f t="shared" si="148"/>
        <v>July!$B$1:$B$92</v>
      </c>
      <c r="D1862" s="159" t="str">
        <f t="shared" si="149"/>
        <v>July!$C$1:$C$92</v>
      </c>
      <c r="E1862" t="s">
        <v>5</v>
      </c>
      <c r="F1862" t="s">
        <v>126</v>
      </c>
      <c r="G1862" t="s">
        <v>13</v>
      </c>
      <c r="H1862" t="s">
        <v>159</v>
      </c>
      <c r="I1862" t="e">
        <f ca="1">COUNTIFS(INDIRECT($C1862),$E1862,INDIRECT($D1862),$H1862)</f>
        <v>#REF!</v>
      </c>
      <c r="J1862" t="str">
        <f>VLOOKUP($G1862,DefinitionArrays!$I$6:$J$12,2,FALSE)</f>
        <v>Workweek</v>
      </c>
    </row>
    <row r="1863" spans="1:10">
      <c r="A1863" s="159" t="str">
        <f t="shared" si="146"/>
        <v>$B$1:$B$92</v>
      </c>
      <c r="B1863" s="159" t="str">
        <f t="shared" si="147"/>
        <v>$C$1:$C$92</v>
      </c>
      <c r="C1863" s="159" t="str">
        <f t="shared" si="148"/>
        <v>July!$B$1:$B$92</v>
      </c>
      <c r="D1863" s="159" t="str">
        <f t="shared" si="149"/>
        <v>July!$C$1:$C$92</v>
      </c>
      <c r="E1863" t="s">
        <v>5</v>
      </c>
      <c r="F1863" t="s">
        <v>126</v>
      </c>
      <c r="G1863" t="s">
        <v>13</v>
      </c>
      <c r="H1863" t="s">
        <v>18</v>
      </c>
      <c r="I1863" t="e">
        <f t="shared" ref="I1863:I1923" ca="1" si="150">COUNTIFS(INDIRECT($C1863),$E1863,INDIRECT($D1863),$H1863)</f>
        <v>#REF!</v>
      </c>
      <c r="J1863" t="str">
        <f>VLOOKUP($G1863,DefinitionArrays!$I$6:$J$12,2,FALSE)</f>
        <v>Workweek</v>
      </c>
    </row>
    <row r="1864" spans="1:10">
      <c r="A1864" s="159" t="str">
        <f t="shared" si="146"/>
        <v>$B$1:$B$92</v>
      </c>
      <c r="B1864" s="159" t="str">
        <f t="shared" si="147"/>
        <v>$C$1:$C$92</v>
      </c>
      <c r="C1864" s="159" t="str">
        <f t="shared" si="148"/>
        <v>July!$B$1:$B$92</v>
      </c>
      <c r="D1864" s="159" t="str">
        <f t="shared" si="149"/>
        <v>July!$C$1:$C$92</v>
      </c>
      <c r="E1864" t="s">
        <v>5</v>
      </c>
      <c r="F1864" t="s">
        <v>126</v>
      </c>
      <c r="G1864" t="s">
        <v>13</v>
      </c>
      <c r="H1864" t="s">
        <v>153</v>
      </c>
      <c r="I1864" t="e">
        <f t="shared" ca="1" si="150"/>
        <v>#REF!</v>
      </c>
      <c r="J1864" t="str">
        <f>VLOOKUP($G1864,DefinitionArrays!$I$6:$J$12,2,FALSE)</f>
        <v>Workweek</v>
      </c>
    </row>
    <row r="1865" spans="1:10">
      <c r="A1865" s="159" t="str">
        <f t="shared" si="146"/>
        <v>$B$1:$B$92</v>
      </c>
      <c r="B1865" s="159" t="str">
        <f t="shared" si="147"/>
        <v>$C$1:$C$92</v>
      </c>
      <c r="C1865" s="159" t="str">
        <f t="shared" si="148"/>
        <v>July!$B$1:$B$92</v>
      </c>
      <c r="D1865" s="159" t="str">
        <f t="shared" si="149"/>
        <v>July!$C$1:$C$92</v>
      </c>
      <c r="E1865" t="s">
        <v>5</v>
      </c>
      <c r="F1865" t="s">
        <v>126</v>
      </c>
      <c r="G1865" t="s">
        <v>13</v>
      </c>
      <c r="H1865" t="s">
        <v>19</v>
      </c>
      <c r="I1865" t="e">
        <f t="shared" ca="1" si="150"/>
        <v>#REF!</v>
      </c>
      <c r="J1865" t="str">
        <f>VLOOKUP($G1865,DefinitionArrays!$I$6:$J$12,2,FALSE)</f>
        <v>Workweek</v>
      </c>
    </row>
    <row r="1866" spans="1:10">
      <c r="A1866" s="159" t="str">
        <f t="shared" si="146"/>
        <v>$B$1:$B$92</v>
      </c>
      <c r="B1866" s="159" t="str">
        <f t="shared" si="147"/>
        <v>$C$1:$C$92</v>
      </c>
      <c r="C1866" s="159" t="str">
        <f t="shared" si="148"/>
        <v>July!$B$1:$B$92</v>
      </c>
      <c r="D1866" s="159" t="str">
        <f t="shared" si="149"/>
        <v>July!$C$1:$C$92</v>
      </c>
      <c r="E1866" t="s">
        <v>5</v>
      </c>
      <c r="F1866" t="s">
        <v>126</v>
      </c>
      <c r="G1866" t="s">
        <v>13</v>
      </c>
      <c r="H1866" t="s">
        <v>20</v>
      </c>
      <c r="I1866" t="e">
        <f t="shared" ca="1" si="150"/>
        <v>#REF!</v>
      </c>
      <c r="J1866" t="str">
        <f>VLOOKUP($G1866,DefinitionArrays!$I$6:$J$12,2,FALSE)</f>
        <v>Workweek</v>
      </c>
    </row>
    <row r="1867" spans="1:10">
      <c r="A1867" s="159" t="str">
        <f t="shared" si="146"/>
        <v>$B$1:$B$92</v>
      </c>
      <c r="B1867" s="159" t="str">
        <f t="shared" si="147"/>
        <v>$C$1:$C$92</v>
      </c>
      <c r="C1867" s="159" t="str">
        <f t="shared" si="148"/>
        <v>July!$B$1:$B$92</v>
      </c>
      <c r="D1867" s="159" t="str">
        <f t="shared" si="149"/>
        <v>July!$C$1:$C$92</v>
      </c>
      <c r="E1867" t="s">
        <v>5</v>
      </c>
      <c r="F1867" t="s">
        <v>126</v>
      </c>
      <c r="G1867" t="s">
        <v>13</v>
      </c>
      <c r="H1867" t="s">
        <v>21</v>
      </c>
      <c r="I1867" t="e">
        <f t="shared" ca="1" si="150"/>
        <v>#REF!</v>
      </c>
      <c r="J1867" t="str">
        <f>VLOOKUP($G1867,DefinitionArrays!$I$6:$J$12,2,FALSE)</f>
        <v>Workweek</v>
      </c>
    </row>
    <row r="1868" spans="1:10">
      <c r="A1868" s="159" t="str">
        <f t="shared" si="146"/>
        <v>$B$1:$B$92</v>
      </c>
      <c r="B1868" s="159" t="str">
        <f t="shared" si="147"/>
        <v>$C$1:$C$92</v>
      </c>
      <c r="C1868" s="159" t="str">
        <f t="shared" si="148"/>
        <v>July!$B$1:$B$92</v>
      </c>
      <c r="D1868" s="159" t="str">
        <f t="shared" si="149"/>
        <v>July!$C$1:$C$92</v>
      </c>
      <c r="E1868" t="s">
        <v>5</v>
      </c>
      <c r="F1868" t="s">
        <v>126</v>
      </c>
      <c r="G1868" t="s">
        <v>13</v>
      </c>
      <c r="H1868" t="s">
        <v>22</v>
      </c>
      <c r="I1868" t="e">
        <f t="shared" ca="1" si="150"/>
        <v>#REF!</v>
      </c>
      <c r="J1868" t="str">
        <f>VLOOKUP($G1868,DefinitionArrays!$I$6:$J$12,2,FALSE)</f>
        <v>Workweek</v>
      </c>
    </row>
    <row r="1869" spans="1:10">
      <c r="A1869" s="159" t="str">
        <f t="shared" si="146"/>
        <v>$B$1:$B$92</v>
      </c>
      <c r="B1869" s="159" t="str">
        <f t="shared" si="147"/>
        <v>$C$1:$C$92</v>
      </c>
      <c r="C1869" s="159" t="str">
        <f t="shared" si="148"/>
        <v>July!$B$1:$B$92</v>
      </c>
      <c r="D1869" s="159" t="str">
        <f t="shared" si="149"/>
        <v>July!$C$1:$C$92</v>
      </c>
      <c r="E1869" t="s">
        <v>5</v>
      </c>
      <c r="F1869" t="s">
        <v>126</v>
      </c>
      <c r="G1869" t="s">
        <v>13</v>
      </c>
      <c r="H1869" t="s">
        <v>23</v>
      </c>
      <c r="I1869" t="e">
        <f t="shared" ca="1" si="150"/>
        <v>#REF!</v>
      </c>
      <c r="J1869" t="str">
        <f>VLOOKUP($G1869,DefinitionArrays!$I$6:$J$12,2,FALSE)</f>
        <v>Workweek</v>
      </c>
    </row>
    <row r="1870" spans="1:10">
      <c r="A1870" s="159" t="str">
        <f t="shared" si="146"/>
        <v>$B$1:$B$92</v>
      </c>
      <c r="B1870" s="159" t="str">
        <f t="shared" si="147"/>
        <v>$C$1:$C$92</v>
      </c>
      <c r="C1870" s="159" t="str">
        <f t="shared" si="148"/>
        <v>July!$B$1:$B$92</v>
      </c>
      <c r="D1870" s="159" t="str">
        <f t="shared" si="149"/>
        <v>July!$C$1:$C$92</v>
      </c>
      <c r="E1870" t="s">
        <v>5</v>
      </c>
      <c r="F1870" t="s">
        <v>126</v>
      </c>
      <c r="G1870" t="s">
        <v>13</v>
      </c>
      <c r="H1870" t="s">
        <v>24</v>
      </c>
      <c r="I1870" t="e">
        <f t="shared" ca="1" si="150"/>
        <v>#REF!</v>
      </c>
      <c r="J1870" t="str">
        <f>VLOOKUP($G1870,DefinitionArrays!$I$6:$J$12,2,FALSE)</f>
        <v>Workweek</v>
      </c>
    </row>
    <row r="1871" spans="1:10">
      <c r="A1871" s="159" t="str">
        <f t="shared" si="146"/>
        <v>$B$1:$B$92</v>
      </c>
      <c r="B1871" s="159" t="str">
        <f t="shared" si="147"/>
        <v>$C$1:$C$92</v>
      </c>
      <c r="C1871" s="159" t="str">
        <f t="shared" si="148"/>
        <v>July!$B$1:$B$92</v>
      </c>
      <c r="D1871" s="159" t="str">
        <f t="shared" si="149"/>
        <v>July!$C$1:$C$92</v>
      </c>
      <c r="E1871" t="s">
        <v>5</v>
      </c>
      <c r="F1871" t="s">
        <v>126</v>
      </c>
      <c r="G1871" t="s">
        <v>13</v>
      </c>
      <c r="H1871" t="s">
        <v>179</v>
      </c>
      <c r="I1871" t="e">
        <f t="shared" ca="1" si="150"/>
        <v>#REF!</v>
      </c>
      <c r="J1871" t="str">
        <f>VLOOKUP($G1871,DefinitionArrays!$I$6:$J$12,2,FALSE)</f>
        <v>Workweek</v>
      </c>
    </row>
    <row r="1872" spans="1:10">
      <c r="A1872" s="159" t="str">
        <f t="shared" si="146"/>
        <v>$B$1:$B$92</v>
      </c>
      <c r="B1872" s="159" t="str">
        <f t="shared" si="147"/>
        <v>$C$1:$C$92</v>
      </c>
      <c r="C1872" s="159" t="str">
        <f t="shared" si="148"/>
        <v>July!$B$1:$B$92</v>
      </c>
      <c r="D1872" s="159" t="str">
        <f t="shared" si="149"/>
        <v>July!$C$1:$C$92</v>
      </c>
      <c r="E1872" t="s">
        <v>5</v>
      </c>
      <c r="F1872" t="s">
        <v>126</v>
      </c>
      <c r="G1872" t="s">
        <v>13</v>
      </c>
      <c r="H1872" t="s">
        <v>180</v>
      </c>
      <c r="I1872" t="e">
        <f t="shared" ca="1" si="150"/>
        <v>#REF!</v>
      </c>
      <c r="J1872" t="str">
        <f>VLOOKUP($G1872,DefinitionArrays!$I$6:$J$12,2,FALSE)</f>
        <v>Workweek</v>
      </c>
    </row>
    <row r="1873" spans="1:10">
      <c r="A1873" s="159" t="str">
        <f t="shared" si="146"/>
        <v>$B$1:$B$92</v>
      </c>
      <c r="B1873" s="159" t="str">
        <f t="shared" si="147"/>
        <v>$C$1:$C$92</v>
      </c>
      <c r="C1873" s="159" t="str">
        <f t="shared" si="148"/>
        <v>July!$B$1:$B$92</v>
      </c>
      <c r="D1873" s="159" t="str">
        <f t="shared" si="149"/>
        <v>July!$C$1:$C$92</v>
      </c>
      <c r="E1873" t="s">
        <v>5</v>
      </c>
      <c r="F1873" t="s">
        <v>126</v>
      </c>
      <c r="G1873" t="s">
        <v>13</v>
      </c>
      <c r="H1873" t="s">
        <v>44</v>
      </c>
      <c r="I1873" t="e">
        <f t="shared" ca="1" si="150"/>
        <v>#REF!</v>
      </c>
      <c r="J1873" t="str">
        <f>VLOOKUP($G1873,DefinitionArrays!$I$6:$J$12,2,FALSE)</f>
        <v>Workweek</v>
      </c>
    </row>
    <row r="1874" spans="1:10">
      <c r="A1874" s="159" t="str">
        <f t="shared" si="146"/>
        <v>$E$1:$E$92</v>
      </c>
      <c r="B1874" s="159" t="str">
        <f t="shared" si="147"/>
        <v>$F$1:$F$92</v>
      </c>
      <c r="C1874" s="159" t="str">
        <f t="shared" si="148"/>
        <v>July!$E$1:$E$92</v>
      </c>
      <c r="D1874" s="159" t="str">
        <f t="shared" si="149"/>
        <v>July!$F$1:$F$92</v>
      </c>
      <c r="E1874" t="s">
        <v>5</v>
      </c>
      <c r="F1874" t="s">
        <v>126</v>
      </c>
      <c r="G1874" t="s">
        <v>142</v>
      </c>
      <c r="H1874" t="s">
        <v>159</v>
      </c>
      <c r="I1874" t="e">
        <f t="shared" ca="1" si="150"/>
        <v>#REF!</v>
      </c>
      <c r="J1874" t="str">
        <f>VLOOKUP($G1874,DefinitionArrays!$I$6:$J$12,2,FALSE)</f>
        <v>Workweek</v>
      </c>
    </row>
    <row r="1875" spans="1:10">
      <c r="A1875" s="159" t="str">
        <f t="shared" si="146"/>
        <v>$E$1:$E$92</v>
      </c>
      <c r="B1875" s="159" t="str">
        <f t="shared" si="147"/>
        <v>$F$1:$F$92</v>
      </c>
      <c r="C1875" s="159" t="str">
        <f t="shared" si="148"/>
        <v>July!$E$1:$E$92</v>
      </c>
      <c r="D1875" s="159" t="str">
        <f t="shared" si="149"/>
        <v>July!$F$1:$F$92</v>
      </c>
      <c r="E1875" t="s">
        <v>5</v>
      </c>
      <c r="F1875" t="s">
        <v>126</v>
      </c>
      <c r="G1875" t="s">
        <v>142</v>
      </c>
      <c r="H1875" t="s">
        <v>18</v>
      </c>
      <c r="I1875" t="e">
        <f t="shared" ca="1" si="150"/>
        <v>#REF!</v>
      </c>
      <c r="J1875" t="str">
        <f>VLOOKUP($G1875,DefinitionArrays!$I$6:$J$12,2,FALSE)</f>
        <v>Workweek</v>
      </c>
    </row>
    <row r="1876" spans="1:10">
      <c r="A1876" s="159" t="str">
        <f t="shared" si="146"/>
        <v>$E$1:$E$92</v>
      </c>
      <c r="B1876" s="159" t="str">
        <f t="shared" si="147"/>
        <v>$F$1:$F$92</v>
      </c>
      <c r="C1876" s="159" t="str">
        <f t="shared" si="148"/>
        <v>July!$E$1:$E$92</v>
      </c>
      <c r="D1876" s="159" t="str">
        <f t="shared" si="149"/>
        <v>July!$F$1:$F$92</v>
      </c>
      <c r="E1876" t="s">
        <v>5</v>
      </c>
      <c r="F1876" t="s">
        <v>126</v>
      </c>
      <c r="G1876" t="s">
        <v>142</v>
      </c>
      <c r="H1876" t="s">
        <v>153</v>
      </c>
      <c r="I1876" t="e">
        <f t="shared" ca="1" si="150"/>
        <v>#REF!</v>
      </c>
      <c r="J1876" t="str">
        <f>VLOOKUP($G1876,DefinitionArrays!$I$6:$J$12,2,FALSE)</f>
        <v>Workweek</v>
      </c>
    </row>
    <row r="1877" spans="1:10">
      <c r="A1877" s="159" t="str">
        <f t="shared" si="146"/>
        <v>$E$1:$E$92</v>
      </c>
      <c r="B1877" s="159" t="str">
        <f t="shared" si="147"/>
        <v>$F$1:$F$92</v>
      </c>
      <c r="C1877" s="159" t="str">
        <f t="shared" si="148"/>
        <v>July!$E$1:$E$92</v>
      </c>
      <c r="D1877" s="159" t="str">
        <f t="shared" si="149"/>
        <v>July!$F$1:$F$92</v>
      </c>
      <c r="E1877" t="s">
        <v>5</v>
      </c>
      <c r="F1877" t="s">
        <v>126</v>
      </c>
      <c r="G1877" t="s">
        <v>142</v>
      </c>
      <c r="H1877" t="s">
        <v>19</v>
      </c>
      <c r="I1877" t="e">
        <f t="shared" ca="1" si="150"/>
        <v>#REF!</v>
      </c>
      <c r="J1877" t="str">
        <f>VLOOKUP($G1877,DefinitionArrays!$I$6:$J$12,2,FALSE)</f>
        <v>Workweek</v>
      </c>
    </row>
    <row r="1878" spans="1:10">
      <c r="A1878" s="159" t="str">
        <f t="shared" si="146"/>
        <v>$E$1:$E$92</v>
      </c>
      <c r="B1878" s="159" t="str">
        <f t="shared" si="147"/>
        <v>$F$1:$F$92</v>
      </c>
      <c r="C1878" s="159" t="str">
        <f t="shared" si="148"/>
        <v>July!$E$1:$E$92</v>
      </c>
      <c r="D1878" s="159" t="str">
        <f t="shared" si="149"/>
        <v>July!$F$1:$F$92</v>
      </c>
      <c r="E1878" t="s">
        <v>5</v>
      </c>
      <c r="F1878" t="s">
        <v>126</v>
      </c>
      <c r="G1878" t="s">
        <v>142</v>
      </c>
      <c r="H1878" t="s">
        <v>20</v>
      </c>
      <c r="I1878" t="e">
        <f t="shared" ca="1" si="150"/>
        <v>#REF!</v>
      </c>
      <c r="J1878" t="str">
        <f>VLOOKUP($G1878,DefinitionArrays!$I$6:$J$12,2,FALSE)</f>
        <v>Workweek</v>
      </c>
    </row>
    <row r="1879" spans="1:10">
      <c r="A1879" s="159" t="str">
        <f t="shared" si="146"/>
        <v>$E$1:$E$92</v>
      </c>
      <c r="B1879" s="159" t="str">
        <f t="shared" si="147"/>
        <v>$F$1:$F$92</v>
      </c>
      <c r="C1879" s="159" t="str">
        <f t="shared" si="148"/>
        <v>July!$E$1:$E$92</v>
      </c>
      <c r="D1879" s="159" t="str">
        <f t="shared" si="149"/>
        <v>July!$F$1:$F$92</v>
      </c>
      <c r="E1879" t="s">
        <v>5</v>
      </c>
      <c r="F1879" t="s">
        <v>126</v>
      </c>
      <c r="G1879" t="s">
        <v>142</v>
      </c>
      <c r="H1879" t="s">
        <v>21</v>
      </c>
      <c r="I1879" t="e">
        <f t="shared" ca="1" si="150"/>
        <v>#REF!</v>
      </c>
      <c r="J1879" t="str">
        <f>VLOOKUP($G1879,DefinitionArrays!$I$6:$J$12,2,FALSE)</f>
        <v>Workweek</v>
      </c>
    </row>
    <row r="1880" spans="1:10">
      <c r="A1880" s="159" t="str">
        <f t="shared" si="146"/>
        <v>$E$1:$E$92</v>
      </c>
      <c r="B1880" s="159" t="str">
        <f t="shared" si="147"/>
        <v>$F$1:$F$92</v>
      </c>
      <c r="C1880" s="159" t="str">
        <f t="shared" si="148"/>
        <v>July!$E$1:$E$92</v>
      </c>
      <c r="D1880" s="159" t="str">
        <f t="shared" si="149"/>
        <v>July!$F$1:$F$92</v>
      </c>
      <c r="E1880" t="s">
        <v>5</v>
      </c>
      <c r="F1880" t="s">
        <v>126</v>
      </c>
      <c r="G1880" t="s">
        <v>142</v>
      </c>
      <c r="H1880" t="s">
        <v>22</v>
      </c>
      <c r="I1880" t="e">
        <f t="shared" ca="1" si="150"/>
        <v>#REF!</v>
      </c>
      <c r="J1880" t="str">
        <f>VLOOKUP($G1880,DefinitionArrays!$I$6:$J$12,2,FALSE)</f>
        <v>Workweek</v>
      </c>
    </row>
    <row r="1881" spans="1:10">
      <c r="A1881" s="159" t="str">
        <f t="shared" si="146"/>
        <v>$E$1:$E$92</v>
      </c>
      <c r="B1881" s="159" t="str">
        <f t="shared" si="147"/>
        <v>$F$1:$F$92</v>
      </c>
      <c r="C1881" s="159" t="str">
        <f t="shared" si="148"/>
        <v>July!$E$1:$E$92</v>
      </c>
      <c r="D1881" s="159" t="str">
        <f t="shared" si="149"/>
        <v>July!$F$1:$F$92</v>
      </c>
      <c r="E1881" t="s">
        <v>5</v>
      </c>
      <c r="F1881" t="s">
        <v>126</v>
      </c>
      <c r="G1881" t="s">
        <v>142</v>
      </c>
      <c r="H1881" t="s">
        <v>23</v>
      </c>
      <c r="I1881" t="e">
        <f t="shared" ca="1" si="150"/>
        <v>#REF!</v>
      </c>
      <c r="J1881" t="str">
        <f>VLOOKUP($G1881,DefinitionArrays!$I$6:$J$12,2,FALSE)</f>
        <v>Workweek</v>
      </c>
    </row>
    <row r="1882" spans="1:10">
      <c r="A1882" s="159" t="str">
        <f t="shared" si="146"/>
        <v>$E$1:$E$92</v>
      </c>
      <c r="B1882" s="159" t="str">
        <f t="shared" si="147"/>
        <v>$F$1:$F$92</v>
      </c>
      <c r="C1882" s="159" t="str">
        <f t="shared" si="148"/>
        <v>July!$E$1:$E$92</v>
      </c>
      <c r="D1882" s="159" t="str">
        <f t="shared" si="149"/>
        <v>July!$F$1:$F$92</v>
      </c>
      <c r="E1882" t="s">
        <v>5</v>
      </c>
      <c r="F1882" t="s">
        <v>126</v>
      </c>
      <c r="G1882" t="s">
        <v>142</v>
      </c>
      <c r="H1882" t="s">
        <v>24</v>
      </c>
      <c r="I1882" t="e">
        <f t="shared" ca="1" si="150"/>
        <v>#REF!</v>
      </c>
      <c r="J1882" t="str">
        <f>VLOOKUP($G1882,DefinitionArrays!$I$6:$J$12,2,FALSE)</f>
        <v>Workweek</v>
      </c>
    </row>
    <row r="1883" spans="1:10">
      <c r="A1883" s="159" t="str">
        <f t="shared" si="146"/>
        <v>$E$1:$E$92</v>
      </c>
      <c r="B1883" s="159" t="str">
        <f t="shared" si="147"/>
        <v>$F$1:$F$92</v>
      </c>
      <c r="C1883" s="159" t="str">
        <f t="shared" si="148"/>
        <v>July!$E$1:$E$92</v>
      </c>
      <c r="D1883" s="159" t="str">
        <f t="shared" si="149"/>
        <v>July!$F$1:$F$92</v>
      </c>
      <c r="E1883" t="s">
        <v>5</v>
      </c>
      <c r="F1883" t="s">
        <v>126</v>
      </c>
      <c r="G1883" t="s">
        <v>142</v>
      </c>
      <c r="H1883" t="s">
        <v>179</v>
      </c>
      <c r="I1883" t="e">
        <f t="shared" ca="1" si="150"/>
        <v>#REF!</v>
      </c>
      <c r="J1883" t="str">
        <f>VLOOKUP($G1883,DefinitionArrays!$I$6:$J$12,2,FALSE)</f>
        <v>Workweek</v>
      </c>
    </row>
    <row r="1884" spans="1:10">
      <c r="A1884" s="159" t="str">
        <f t="shared" si="146"/>
        <v>$E$1:$E$92</v>
      </c>
      <c r="B1884" s="159" t="str">
        <f t="shared" si="147"/>
        <v>$F$1:$F$92</v>
      </c>
      <c r="C1884" s="159" t="str">
        <f t="shared" si="148"/>
        <v>July!$E$1:$E$92</v>
      </c>
      <c r="D1884" s="159" t="str">
        <f t="shared" si="149"/>
        <v>July!$F$1:$F$92</v>
      </c>
      <c r="E1884" t="s">
        <v>5</v>
      </c>
      <c r="F1884" t="s">
        <v>126</v>
      </c>
      <c r="G1884" t="s">
        <v>142</v>
      </c>
      <c r="H1884" t="s">
        <v>180</v>
      </c>
      <c r="I1884" t="e">
        <f t="shared" ca="1" si="150"/>
        <v>#REF!</v>
      </c>
      <c r="J1884" t="str">
        <f>VLOOKUP($G1884,DefinitionArrays!$I$6:$J$12,2,FALSE)</f>
        <v>Workweek</v>
      </c>
    </row>
    <row r="1885" spans="1:10">
      <c r="A1885" s="159" t="str">
        <f t="shared" si="146"/>
        <v>$E$1:$E$92</v>
      </c>
      <c r="B1885" s="159" t="str">
        <f t="shared" si="147"/>
        <v>$F$1:$F$92</v>
      </c>
      <c r="C1885" s="159" t="str">
        <f t="shared" si="148"/>
        <v>July!$E$1:$E$92</v>
      </c>
      <c r="D1885" s="159" t="str">
        <f t="shared" si="149"/>
        <v>July!$F$1:$F$92</v>
      </c>
      <c r="E1885" t="s">
        <v>5</v>
      </c>
      <c r="F1885" t="s">
        <v>126</v>
      </c>
      <c r="G1885" t="s">
        <v>142</v>
      </c>
      <c r="H1885" t="s">
        <v>44</v>
      </c>
      <c r="I1885" t="e">
        <f t="shared" ca="1" si="150"/>
        <v>#REF!</v>
      </c>
      <c r="J1885" t="str">
        <f>VLOOKUP($G1885,DefinitionArrays!$I$6:$J$12,2,FALSE)</f>
        <v>Workweek</v>
      </c>
    </row>
    <row r="1886" spans="1:10">
      <c r="A1886" s="159" t="str">
        <f t="shared" si="146"/>
        <v>$H$1:$H$92</v>
      </c>
      <c r="B1886" s="159" t="str">
        <f t="shared" si="147"/>
        <v>$I$1:$I$92</v>
      </c>
      <c r="C1886" s="159" t="str">
        <f t="shared" si="148"/>
        <v>July!$H$1:$H$92</v>
      </c>
      <c r="D1886" s="159" t="str">
        <f t="shared" si="149"/>
        <v>July!$I$1:$I$92</v>
      </c>
      <c r="E1886" t="s">
        <v>5</v>
      </c>
      <c r="F1886" t="s">
        <v>126</v>
      </c>
      <c r="G1886" t="s">
        <v>143</v>
      </c>
      <c r="H1886" t="s">
        <v>159</v>
      </c>
      <c r="I1886" t="e">
        <f t="shared" ca="1" si="150"/>
        <v>#REF!</v>
      </c>
      <c r="J1886" t="str">
        <f>VLOOKUP($G1886,DefinitionArrays!$I$6:$J$12,2,FALSE)</f>
        <v>Workweek</v>
      </c>
    </row>
    <row r="1887" spans="1:10">
      <c r="A1887" s="159" t="str">
        <f t="shared" si="146"/>
        <v>$H$1:$H$92</v>
      </c>
      <c r="B1887" s="159" t="str">
        <f t="shared" si="147"/>
        <v>$I$1:$I$92</v>
      </c>
      <c r="C1887" s="159" t="str">
        <f t="shared" si="148"/>
        <v>July!$H$1:$H$92</v>
      </c>
      <c r="D1887" s="159" t="str">
        <f t="shared" si="149"/>
        <v>July!$I$1:$I$92</v>
      </c>
      <c r="E1887" t="s">
        <v>5</v>
      </c>
      <c r="F1887" t="s">
        <v>126</v>
      </c>
      <c r="G1887" t="s">
        <v>143</v>
      </c>
      <c r="H1887" t="s">
        <v>18</v>
      </c>
      <c r="I1887" t="e">
        <f t="shared" ca="1" si="150"/>
        <v>#REF!</v>
      </c>
      <c r="J1887" t="str">
        <f>VLOOKUP($G1887,DefinitionArrays!$I$6:$J$12,2,FALSE)</f>
        <v>Workweek</v>
      </c>
    </row>
    <row r="1888" spans="1:10">
      <c r="A1888" s="159" t="str">
        <f t="shared" si="146"/>
        <v>$H$1:$H$92</v>
      </c>
      <c r="B1888" s="159" t="str">
        <f t="shared" si="147"/>
        <v>$I$1:$I$92</v>
      </c>
      <c r="C1888" s="159" t="str">
        <f t="shared" si="148"/>
        <v>July!$H$1:$H$92</v>
      </c>
      <c r="D1888" s="159" t="str">
        <f t="shared" si="149"/>
        <v>July!$I$1:$I$92</v>
      </c>
      <c r="E1888" t="s">
        <v>5</v>
      </c>
      <c r="F1888" t="s">
        <v>126</v>
      </c>
      <c r="G1888" t="s">
        <v>143</v>
      </c>
      <c r="H1888" t="s">
        <v>153</v>
      </c>
      <c r="I1888" t="e">
        <f t="shared" ca="1" si="150"/>
        <v>#REF!</v>
      </c>
      <c r="J1888" t="str">
        <f>VLOOKUP($G1888,DefinitionArrays!$I$6:$J$12,2,FALSE)</f>
        <v>Workweek</v>
      </c>
    </row>
    <row r="1889" spans="1:10">
      <c r="A1889" s="159" t="str">
        <f t="shared" si="146"/>
        <v>$H$1:$H$92</v>
      </c>
      <c r="B1889" s="159" t="str">
        <f t="shared" si="147"/>
        <v>$I$1:$I$92</v>
      </c>
      <c r="C1889" s="159" t="str">
        <f t="shared" si="148"/>
        <v>July!$H$1:$H$92</v>
      </c>
      <c r="D1889" s="159" t="str">
        <f t="shared" si="149"/>
        <v>July!$I$1:$I$92</v>
      </c>
      <c r="E1889" t="s">
        <v>5</v>
      </c>
      <c r="F1889" t="s">
        <v>126</v>
      </c>
      <c r="G1889" t="s">
        <v>143</v>
      </c>
      <c r="H1889" t="s">
        <v>19</v>
      </c>
      <c r="I1889" t="e">
        <f t="shared" ca="1" si="150"/>
        <v>#REF!</v>
      </c>
      <c r="J1889" t="str">
        <f>VLOOKUP($G1889,DefinitionArrays!$I$6:$J$12,2,FALSE)</f>
        <v>Workweek</v>
      </c>
    </row>
    <row r="1890" spans="1:10">
      <c r="A1890" s="159" t="str">
        <f t="shared" si="146"/>
        <v>$H$1:$H$92</v>
      </c>
      <c r="B1890" s="159" t="str">
        <f t="shared" si="147"/>
        <v>$I$1:$I$92</v>
      </c>
      <c r="C1890" s="159" t="str">
        <f t="shared" si="148"/>
        <v>July!$H$1:$H$92</v>
      </c>
      <c r="D1890" s="159" t="str">
        <f t="shared" si="149"/>
        <v>July!$I$1:$I$92</v>
      </c>
      <c r="E1890" t="s">
        <v>5</v>
      </c>
      <c r="F1890" t="s">
        <v>126</v>
      </c>
      <c r="G1890" t="s">
        <v>143</v>
      </c>
      <c r="H1890" t="s">
        <v>20</v>
      </c>
      <c r="I1890" t="e">
        <f t="shared" ca="1" si="150"/>
        <v>#REF!</v>
      </c>
      <c r="J1890" t="str">
        <f>VLOOKUP($G1890,DefinitionArrays!$I$6:$J$12,2,FALSE)</f>
        <v>Workweek</v>
      </c>
    </row>
    <row r="1891" spans="1:10">
      <c r="A1891" s="159" t="str">
        <f t="shared" si="146"/>
        <v>$H$1:$H$92</v>
      </c>
      <c r="B1891" s="159" t="str">
        <f t="shared" si="147"/>
        <v>$I$1:$I$92</v>
      </c>
      <c r="C1891" s="159" t="str">
        <f t="shared" si="148"/>
        <v>July!$H$1:$H$92</v>
      </c>
      <c r="D1891" s="159" t="str">
        <f t="shared" si="149"/>
        <v>July!$I$1:$I$92</v>
      </c>
      <c r="E1891" t="s">
        <v>5</v>
      </c>
      <c r="F1891" t="s">
        <v>126</v>
      </c>
      <c r="G1891" t="s">
        <v>143</v>
      </c>
      <c r="H1891" t="s">
        <v>21</v>
      </c>
      <c r="I1891" t="e">
        <f t="shared" ca="1" si="150"/>
        <v>#REF!</v>
      </c>
      <c r="J1891" t="str">
        <f>VLOOKUP($G1891,DefinitionArrays!$I$6:$J$12,2,FALSE)</f>
        <v>Workweek</v>
      </c>
    </row>
    <row r="1892" spans="1:10">
      <c r="A1892" s="159" t="str">
        <f t="shared" si="146"/>
        <v>$H$1:$H$92</v>
      </c>
      <c r="B1892" s="159" t="str">
        <f t="shared" si="147"/>
        <v>$I$1:$I$92</v>
      </c>
      <c r="C1892" s="159" t="str">
        <f t="shared" si="148"/>
        <v>July!$H$1:$H$92</v>
      </c>
      <c r="D1892" s="159" t="str">
        <f t="shared" si="149"/>
        <v>July!$I$1:$I$92</v>
      </c>
      <c r="E1892" t="s">
        <v>5</v>
      </c>
      <c r="F1892" t="s">
        <v>126</v>
      </c>
      <c r="G1892" t="s">
        <v>143</v>
      </c>
      <c r="H1892" t="s">
        <v>22</v>
      </c>
      <c r="I1892" t="e">
        <f t="shared" ca="1" si="150"/>
        <v>#REF!</v>
      </c>
      <c r="J1892" t="str">
        <f>VLOOKUP($G1892,DefinitionArrays!$I$6:$J$12,2,FALSE)</f>
        <v>Workweek</v>
      </c>
    </row>
    <row r="1893" spans="1:10">
      <c r="A1893" s="159" t="str">
        <f t="shared" si="146"/>
        <v>$H$1:$H$92</v>
      </c>
      <c r="B1893" s="159" t="str">
        <f t="shared" si="147"/>
        <v>$I$1:$I$92</v>
      </c>
      <c r="C1893" s="159" t="str">
        <f t="shared" si="148"/>
        <v>July!$H$1:$H$92</v>
      </c>
      <c r="D1893" s="159" t="str">
        <f t="shared" si="149"/>
        <v>July!$I$1:$I$92</v>
      </c>
      <c r="E1893" t="s">
        <v>5</v>
      </c>
      <c r="F1893" t="s">
        <v>126</v>
      </c>
      <c r="G1893" t="s">
        <v>143</v>
      </c>
      <c r="H1893" t="s">
        <v>23</v>
      </c>
      <c r="I1893" t="e">
        <f t="shared" ca="1" si="150"/>
        <v>#REF!</v>
      </c>
      <c r="J1893" t="str">
        <f>VLOOKUP($G1893,DefinitionArrays!$I$6:$J$12,2,FALSE)</f>
        <v>Workweek</v>
      </c>
    </row>
    <row r="1894" spans="1:10">
      <c r="A1894" s="159" t="str">
        <f t="shared" si="146"/>
        <v>$H$1:$H$92</v>
      </c>
      <c r="B1894" s="159" t="str">
        <f t="shared" si="147"/>
        <v>$I$1:$I$92</v>
      </c>
      <c r="C1894" s="159" t="str">
        <f t="shared" si="148"/>
        <v>July!$H$1:$H$92</v>
      </c>
      <c r="D1894" s="159" t="str">
        <f t="shared" si="149"/>
        <v>July!$I$1:$I$92</v>
      </c>
      <c r="E1894" t="s">
        <v>5</v>
      </c>
      <c r="F1894" t="s">
        <v>126</v>
      </c>
      <c r="G1894" t="s">
        <v>143</v>
      </c>
      <c r="H1894" t="s">
        <v>24</v>
      </c>
      <c r="I1894" t="e">
        <f t="shared" ca="1" si="150"/>
        <v>#REF!</v>
      </c>
      <c r="J1894" t="str">
        <f>VLOOKUP($G1894,DefinitionArrays!$I$6:$J$12,2,FALSE)</f>
        <v>Workweek</v>
      </c>
    </row>
    <row r="1895" spans="1:10">
      <c r="A1895" s="159" t="str">
        <f t="shared" si="146"/>
        <v>$H$1:$H$92</v>
      </c>
      <c r="B1895" s="159" t="str">
        <f t="shared" si="147"/>
        <v>$I$1:$I$92</v>
      </c>
      <c r="C1895" s="159" t="str">
        <f t="shared" si="148"/>
        <v>July!$H$1:$H$92</v>
      </c>
      <c r="D1895" s="159" t="str">
        <f t="shared" si="149"/>
        <v>July!$I$1:$I$92</v>
      </c>
      <c r="E1895" t="s">
        <v>5</v>
      </c>
      <c r="F1895" t="s">
        <v>126</v>
      </c>
      <c r="G1895" t="s">
        <v>143</v>
      </c>
      <c r="H1895" t="s">
        <v>179</v>
      </c>
      <c r="I1895" t="e">
        <f t="shared" ca="1" si="150"/>
        <v>#REF!</v>
      </c>
      <c r="J1895" t="str">
        <f>VLOOKUP($G1895,DefinitionArrays!$I$6:$J$12,2,FALSE)</f>
        <v>Workweek</v>
      </c>
    </row>
    <row r="1896" spans="1:10">
      <c r="A1896" s="159" t="str">
        <f t="shared" si="146"/>
        <v>$H$1:$H$92</v>
      </c>
      <c r="B1896" s="159" t="str">
        <f t="shared" si="147"/>
        <v>$I$1:$I$92</v>
      </c>
      <c r="C1896" s="159" t="str">
        <f t="shared" si="148"/>
        <v>July!$H$1:$H$92</v>
      </c>
      <c r="D1896" s="159" t="str">
        <f t="shared" si="149"/>
        <v>July!$I$1:$I$92</v>
      </c>
      <c r="E1896" t="s">
        <v>5</v>
      </c>
      <c r="F1896" t="s">
        <v>126</v>
      </c>
      <c r="G1896" t="s">
        <v>143</v>
      </c>
      <c r="H1896" t="s">
        <v>180</v>
      </c>
      <c r="I1896" t="e">
        <f t="shared" ca="1" si="150"/>
        <v>#REF!</v>
      </c>
      <c r="J1896" t="str">
        <f>VLOOKUP($G1896,DefinitionArrays!$I$6:$J$12,2,FALSE)</f>
        <v>Workweek</v>
      </c>
    </row>
    <row r="1897" spans="1:10">
      <c r="A1897" s="159" t="str">
        <f t="shared" si="146"/>
        <v>$H$1:$H$92</v>
      </c>
      <c r="B1897" s="159" t="str">
        <f t="shared" si="147"/>
        <v>$I$1:$I$92</v>
      </c>
      <c r="C1897" s="159" t="str">
        <f t="shared" si="148"/>
        <v>July!$H$1:$H$92</v>
      </c>
      <c r="D1897" s="159" t="str">
        <f t="shared" si="149"/>
        <v>July!$I$1:$I$92</v>
      </c>
      <c r="E1897" t="s">
        <v>5</v>
      </c>
      <c r="F1897" t="s">
        <v>126</v>
      </c>
      <c r="G1897" t="s">
        <v>143</v>
      </c>
      <c r="H1897" t="s">
        <v>44</v>
      </c>
      <c r="I1897" t="e">
        <f t="shared" ca="1" si="150"/>
        <v>#REF!</v>
      </c>
      <c r="J1897" t="str">
        <f>VLOOKUP($G1897,DefinitionArrays!$I$6:$J$12,2,FALSE)</f>
        <v>Workweek</v>
      </c>
    </row>
    <row r="1898" spans="1:10">
      <c r="A1898" s="159" t="str">
        <f t="shared" si="146"/>
        <v>$K$1:$K$92</v>
      </c>
      <c r="B1898" s="159" t="str">
        <f t="shared" si="147"/>
        <v>$L$1:$L$92</v>
      </c>
      <c r="C1898" s="159" t="str">
        <f t="shared" si="148"/>
        <v>July!$K$1:$K$92</v>
      </c>
      <c r="D1898" s="159" t="str">
        <f t="shared" si="149"/>
        <v>July!$L$1:$L$92</v>
      </c>
      <c r="E1898" t="s">
        <v>5</v>
      </c>
      <c r="F1898" t="s">
        <v>126</v>
      </c>
      <c r="G1898" t="s">
        <v>144</v>
      </c>
      <c r="H1898" t="s">
        <v>159</v>
      </c>
      <c r="I1898" t="e">
        <f t="shared" ca="1" si="150"/>
        <v>#REF!</v>
      </c>
      <c r="J1898" t="str">
        <f>VLOOKUP($G1898,DefinitionArrays!$I$6:$J$12,2,FALSE)</f>
        <v>Workweek</v>
      </c>
    </row>
    <row r="1899" spans="1:10">
      <c r="A1899" s="159" t="str">
        <f t="shared" si="146"/>
        <v>$K$1:$K$92</v>
      </c>
      <c r="B1899" s="159" t="str">
        <f t="shared" si="147"/>
        <v>$L$1:$L$92</v>
      </c>
      <c r="C1899" s="159" t="str">
        <f t="shared" si="148"/>
        <v>July!$K$1:$K$92</v>
      </c>
      <c r="D1899" s="159" t="str">
        <f t="shared" si="149"/>
        <v>July!$L$1:$L$92</v>
      </c>
      <c r="E1899" t="s">
        <v>5</v>
      </c>
      <c r="F1899" t="s">
        <v>126</v>
      </c>
      <c r="G1899" t="s">
        <v>144</v>
      </c>
      <c r="H1899" t="s">
        <v>18</v>
      </c>
      <c r="I1899" t="e">
        <f t="shared" ca="1" si="150"/>
        <v>#REF!</v>
      </c>
      <c r="J1899" t="str">
        <f>VLOOKUP($G1899,DefinitionArrays!$I$6:$J$12,2,FALSE)</f>
        <v>Workweek</v>
      </c>
    </row>
    <row r="1900" spans="1:10">
      <c r="A1900" s="159" t="str">
        <f t="shared" si="146"/>
        <v>$K$1:$K$92</v>
      </c>
      <c r="B1900" s="159" t="str">
        <f t="shared" si="147"/>
        <v>$L$1:$L$92</v>
      </c>
      <c r="C1900" s="159" t="str">
        <f t="shared" si="148"/>
        <v>July!$K$1:$K$92</v>
      </c>
      <c r="D1900" s="159" t="str">
        <f t="shared" si="149"/>
        <v>July!$L$1:$L$92</v>
      </c>
      <c r="E1900" t="s">
        <v>5</v>
      </c>
      <c r="F1900" t="s">
        <v>126</v>
      </c>
      <c r="G1900" t="s">
        <v>144</v>
      </c>
      <c r="H1900" t="s">
        <v>153</v>
      </c>
      <c r="I1900" t="e">
        <f t="shared" ca="1" si="150"/>
        <v>#REF!</v>
      </c>
      <c r="J1900" t="str">
        <f>VLOOKUP($G1900,DefinitionArrays!$I$6:$J$12,2,FALSE)</f>
        <v>Workweek</v>
      </c>
    </row>
    <row r="1901" spans="1:10">
      <c r="A1901" s="159" t="str">
        <f t="shared" si="146"/>
        <v>$K$1:$K$92</v>
      </c>
      <c r="B1901" s="159" t="str">
        <f t="shared" si="147"/>
        <v>$L$1:$L$92</v>
      </c>
      <c r="C1901" s="159" t="str">
        <f t="shared" si="148"/>
        <v>July!$K$1:$K$92</v>
      </c>
      <c r="D1901" s="159" t="str">
        <f t="shared" si="149"/>
        <v>July!$L$1:$L$92</v>
      </c>
      <c r="E1901" t="s">
        <v>5</v>
      </c>
      <c r="F1901" t="s">
        <v>126</v>
      </c>
      <c r="G1901" t="s">
        <v>144</v>
      </c>
      <c r="H1901" t="s">
        <v>19</v>
      </c>
      <c r="I1901" t="e">
        <f t="shared" ca="1" si="150"/>
        <v>#REF!</v>
      </c>
      <c r="J1901" t="str">
        <f>VLOOKUP($G1901,DefinitionArrays!$I$6:$J$12,2,FALSE)</f>
        <v>Workweek</v>
      </c>
    </row>
    <row r="1902" spans="1:10">
      <c r="A1902" s="159" t="str">
        <f t="shared" si="146"/>
        <v>$K$1:$K$92</v>
      </c>
      <c r="B1902" s="159" t="str">
        <f t="shared" si="147"/>
        <v>$L$1:$L$92</v>
      </c>
      <c r="C1902" s="159" t="str">
        <f t="shared" si="148"/>
        <v>July!$K$1:$K$92</v>
      </c>
      <c r="D1902" s="159" t="str">
        <f t="shared" si="149"/>
        <v>July!$L$1:$L$92</v>
      </c>
      <c r="E1902" t="s">
        <v>5</v>
      </c>
      <c r="F1902" t="s">
        <v>126</v>
      </c>
      <c r="G1902" t="s">
        <v>144</v>
      </c>
      <c r="H1902" t="s">
        <v>20</v>
      </c>
      <c r="I1902" t="e">
        <f t="shared" ca="1" si="150"/>
        <v>#REF!</v>
      </c>
      <c r="J1902" t="str">
        <f>VLOOKUP($G1902,DefinitionArrays!$I$6:$J$12,2,FALSE)</f>
        <v>Workweek</v>
      </c>
    </row>
    <row r="1903" spans="1:10">
      <c r="A1903" s="159" t="str">
        <f t="shared" si="146"/>
        <v>$K$1:$K$92</v>
      </c>
      <c r="B1903" s="159" t="str">
        <f t="shared" si="147"/>
        <v>$L$1:$L$92</v>
      </c>
      <c r="C1903" s="159" t="str">
        <f t="shared" si="148"/>
        <v>July!$K$1:$K$92</v>
      </c>
      <c r="D1903" s="159" t="str">
        <f t="shared" si="149"/>
        <v>July!$L$1:$L$92</v>
      </c>
      <c r="E1903" t="s">
        <v>5</v>
      </c>
      <c r="F1903" t="s">
        <v>126</v>
      </c>
      <c r="G1903" t="s">
        <v>144</v>
      </c>
      <c r="H1903" t="s">
        <v>21</v>
      </c>
      <c r="I1903" t="e">
        <f t="shared" ca="1" si="150"/>
        <v>#REF!</v>
      </c>
      <c r="J1903" t="str">
        <f>VLOOKUP($G1903,DefinitionArrays!$I$6:$J$12,2,FALSE)</f>
        <v>Workweek</v>
      </c>
    </row>
    <row r="1904" spans="1:10">
      <c r="A1904" s="159" t="str">
        <f t="shared" si="146"/>
        <v>$K$1:$K$92</v>
      </c>
      <c r="B1904" s="159" t="str">
        <f t="shared" si="147"/>
        <v>$L$1:$L$92</v>
      </c>
      <c r="C1904" s="159" t="str">
        <f t="shared" si="148"/>
        <v>July!$K$1:$K$92</v>
      </c>
      <c r="D1904" s="159" t="str">
        <f t="shared" si="149"/>
        <v>July!$L$1:$L$92</v>
      </c>
      <c r="E1904" t="s">
        <v>5</v>
      </c>
      <c r="F1904" t="s">
        <v>126</v>
      </c>
      <c r="G1904" t="s">
        <v>144</v>
      </c>
      <c r="H1904" t="s">
        <v>22</v>
      </c>
      <c r="I1904" t="e">
        <f t="shared" ca="1" si="150"/>
        <v>#REF!</v>
      </c>
      <c r="J1904" t="str">
        <f>VLOOKUP($G1904,DefinitionArrays!$I$6:$J$12,2,FALSE)</f>
        <v>Workweek</v>
      </c>
    </row>
    <row r="1905" spans="1:10">
      <c r="A1905" s="159" t="str">
        <f t="shared" si="146"/>
        <v>$K$1:$K$92</v>
      </c>
      <c r="B1905" s="159" t="str">
        <f t="shared" si="147"/>
        <v>$L$1:$L$92</v>
      </c>
      <c r="C1905" s="159" t="str">
        <f t="shared" si="148"/>
        <v>July!$K$1:$K$92</v>
      </c>
      <c r="D1905" s="159" t="str">
        <f t="shared" si="149"/>
        <v>July!$L$1:$L$92</v>
      </c>
      <c r="E1905" t="s">
        <v>5</v>
      </c>
      <c r="F1905" t="s">
        <v>126</v>
      </c>
      <c r="G1905" t="s">
        <v>144</v>
      </c>
      <c r="H1905" t="s">
        <v>23</v>
      </c>
      <c r="I1905" t="e">
        <f t="shared" ca="1" si="150"/>
        <v>#REF!</v>
      </c>
      <c r="J1905" t="str">
        <f>VLOOKUP($G1905,DefinitionArrays!$I$6:$J$12,2,FALSE)</f>
        <v>Workweek</v>
      </c>
    </row>
    <row r="1906" spans="1:10">
      <c r="A1906" s="159" t="str">
        <f t="shared" si="146"/>
        <v>$K$1:$K$92</v>
      </c>
      <c r="B1906" s="159" t="str">
        <f t="shared" si="147"/>
        <v>$L$1:$L$92</v>
      </c>
      <c r="C1906" s="159" t="str">
        <f t="shared" si="148"/>
        <v>July!$K$1:$K$92</v>
      </c>
      <c r="D1906" s="159" t="str">
        <f t="shared" si="149"/>
        <v>July!$L$1:$L$92</v>
      </c>
      <c r="E1906" t="s">
        <v>5</v>
      </c>
      <c r="F1906" t="s">
        <v>126</v>
      </c>
      <c r="G1906" t="s">
        <v>144</v>
      </c>
      <c r="H1906" t="s">
        <v>24</v>
      </c>
      <c r="I1906" t="e">
        <f t="shared" ca="1" si="150"/>
        <v>#REF!</v>
      </c>
      <c r="J1906" t="str">
        <f>VLOOKUP($G1906,DefinitionArrays!$I$6:$J$12,2,FALSE)</f>
        <v>Workweek</v>
      </c>
    </row>
    <row r="1907" spans="1:10">
      <c r="A1907" s="159" t="str">
        <f t="shared" si="146"/>
        <v>$K$1:$K$92</v>
      </c>
      <c r="B1907" s="159" t="str">
        <f t="shared" si="147"/>
        <v>$L$1:$L$92</v>
      </c>
      <c r="C1907" s="159" t="str">
        <f t="shared" si="148"/>
        <v>July!$K$1:$K$92</v>
      </c>
      <c r="D1907" s="159" t="str">
        <f t="shared" si="149"/>
        <v>July!$L$1:$L$92</v>
      </c>
      <c r="E1907" t="s">
        <v>5</v>
      </c>
      <c r="F1907" t="s">
        <v>126</v>
      </c>
      <c r="G1907" t="s">
        <v>144</v>
      </c>
      <c r="H1907" t="s">
        <v>179</v>
      </c>
      <c r="I1907" t="e">
        <f t="shared" ca="1" si="150"/>
        <v>#REF!</v>
      </c>
      <c r="J1907" t="str">
        <f>VLOOKUP($G1907,DefinitionArrays!$I$6:$J$12,2,FALSE)</f>
        <v>Workweek</v>
      </c>
    </row>
    <row r="1908" spans="1:10">
      <c r="A1908" s="159" t="str">
        <f t="shared" si="146"/>
        <v>$K$1:$K$92</v>
      </c>
      <c r="B1908" s="159" t="str">
        <f t="shared" si="147"/>
        <v>$L$1:$L$92</v>
      </c>
      <c r="C1908" s="159" t="str">
        <f t="shared" si="148"/>
        <v>July!$K$1:$K$92</v>
      </c>
      <c r="D1908" s="159" t="str">
        <f t="shared" si="149"/>
        <v>July!$L$1:$L$92</v>
      </c>
      <c r="E1908" t="s">
        <v>5</v>
      </c>
      <c r="F1908" t="s">
        <v>126</v>
      </c>
      <c r="G1908" t="s">
        <v>144</v>
      </c>
      <c r="H1908" t="s">
        <v>180</v>
      </c>
      <c r="I1908" t="e">
        <f t="shared" ca="1" si="150"/>
        <v>#REF!</v>
      </c>
      <c r="J1908" t="str">
        <f>VLOOKUP($G1908,DefinitionArrays!$I$6:$J$12,2,FALSE)</f>
        <v>Workweek</v>
      </c>
    </row>
    <row r="1909" spans="1:10">
      <c r="A1909" s="159" t="str">
        <f t="shared" si="146"/>
        <v>$K$1:$K$92</v>
      </c>
      <c r="B1909" s="159" t="str">
        <f t="shared" si="147"/>
        <v>$L$1:$L$92</v>
      </c>
      <c r="C1909" s="159" t="str">
        <f t="shared" si="148"/>
        <v>July!$K$1:$K$92</v>
      </c>
      <c r="D1909" s="159" t="str">
        <f t="shared" si="149"/>
        <v>July!$L$1:$L$92</v>
      </c>
      <c r="E1909" t="s">
        <v>5</v>
      </c>
      <c r="F1909" t="s">
        <v>126</v>
      </c>
      <c r="G1909" t="s">
        <v>144</v>
      </c>
      <c r="H1909" t="s">
        <v>44</v>
      </c>
      <c r="I1909" t="e">
        <f t="shared" ca="1" si="150"/>
        <v>#REF!</v>
      </c>
      <c r="J1909" t="str">
        <f>VLOOKUP($G1909,DefinitionArrays!$I$6:$J$12,2,FALSE)</f>
        <v>Workweek</v>
      </c>
    </row>
    <row r="1910" spans="1:10">
      <c r="A1910" s="159" t="str">
        <f t="shared" si="146"/>
        <v>$N$1:$N$92</v>
      </c>
      <c r="B1910" s="159" t="str">
        <f t="shared" si="147"/>
        <v>$O$1:$O$92</v>
      </c>
      <c r="C1910" s="159" t="str">
        <f t="shared" si="148"/>
        <v>July!$N$1:$N$92</v>
      </c>
      <c r="D1910" s="159" t="str">
        <f t="shared" si="149"/>
        <v>July!$O$1:$O$92</v>
      </c>
      <c r="E1910" t="s">
        <v>5</v>
      </c>
      <c r="F1910" t="s">
        <v>126</v>
      </c>
      <c r="G1910" t="s">
        <v>145</v>
      </c>
      <c r="H1910" t="s">
        <v>159</v>
      </c>
      <c r="I1910" t="e">
        <f t="shared" ca="1" si="150"/>
        <v>#REF!</v>
      </c>
      <c r="J1910" t="str">
        <f>VLOOKUP($G1910,DefinitionArrays!$I$6:$J$12,2,FALSE)</f>
        <v>Weekend</v>
      </c>
    </row>
    <row r="1911" spans="1:10">
      <c r="A1911" s="159" t="str">
        <f t="shared" si="146"/>
        <v>$N$1:$N$92</v>
      </c>
      <c r="B1911" s="159" t="str">
        <f t="shared" si="147"/>
        <v>$O$1:$O$92</v>
      </c>
      <c r="C1911" s="159" t="str">
        <f t="shared" si="148"/>
        <v>July!$N$1:$N$92</v>
      </c>
      <c r="D1911" s="159" t="str">
        <f t="shared" si="149"/>
        <v>July!$O$1:$O$92</v>
      </c>
      <c r="E1911" t="s">
        <v>5</v>
      </c>
      <c r="F1911" t="s">
        <v>126</v>
      </c>
      <c r="G1911" t="s">
        <v>145</v>
      </c>
      <c r="H1911" t="s">
        <v>18</v>
      </c>
      <c r="I1911" t="e">
        <f t="shared" ca="1" si="150"/>
        <v>#REF!</v>
      </c>
      <c r="J1911" t="str">
        <f>VLOOKUP($G1911,DefinitionArrays!$I$6:$J$12,2,FALSE)</f>
        <v>Weekend</v>
      </c>
    </row>
    <row r="1912" spans="1:10">
      <c r="A1912" s="159" t="str">
        <f t="shared" si="146"/>
        <v>$N$1:$N$92</v>
      </c>
      <c r="B1912" s="159" t="str">
        <f t="shared" si="147"/>
        <v>$O$1:$O$92</v>
      </c>
      <c r="C1912" s="159" t="str">
        <f t="shared" si="148"/>
        <v>July!$N$1:$N$92</v>
      </c>
      <c r="D1912" s="159" t="str">
        <f t="shared" si="149"/>
        <v>July!$O$1:$O$92</v>
      </c>
      <c r="E1912" t="s">
        <v>5</v>
      </c>
      <c r="F1912" t="s">
        <v>126</v>
      </c>
      <c r="G1912" t="s">
        <v>145</v>
      </c>
      <c r="H1912" t="s">
        <v>153</v>
      </c>
      <c r="I1912" t="e">
        <f t="shared" ca="1" si="150"/>
        <v>#REF!</v>
      </c>
      <c r="J1912" t="str">
        <f>VLOOKUP($G1912,DefinitionArrays!$I$6:$J$12,2,FALSE)</f>
        <v>Weekend</v>
      </c>
    </row>
    <row r="1913" spans="1:10">
      <c r="A1913" s="159" t="str">
        <f t="shared" si="146"/>
        <v>$N$1:$N$92</v>
      </c>
      <c r="B1913" s="159" t="str">
        <f t="shared" si="147"/>
        <v>$O$1:$O$92</v>
      </c>
      <c r="C1913" s="159" t="str">
        <f t="shared" si="148"/>
        <v>July!$N$1:$N$92</v>
      </c>
      <c r="D1913" s="159" t="str">
        <f t="shared" si="149"/>
        <v>July!$O$1:$O$92</v>
      </c>
      <c r="E1913" t="s">
        <v>5</v>
      </c>
      <c r="F1913" t="s">
        <v>126</v>
      </c>
      <c r="G1913" t="s">
        <v>145</v>
      </c>
      <c r="H1913" t="s">
        <v>19</v>
      </c>
      <c r="I1913" t="e">
        <f t="shared" ca="1" si="150"/>
        <v>#REF!</v>
      </c>
      <c r="J1913" t="str">
        <f>VLOOKUP($G1913,DefinitionArrays!$I$6:$J$12,2,FALSE)</f>
        <v>Weekend</v>
      </c>
    </row>
    <row r="1914" spans="1:10">
      <c r="A1914" s="159" t="str">
        <f t="shared" si="146"/>
        <v>$N$1:$N$92</v>
      </c>
      <c r="B1914" s="159" t="str">
        <f t="shared" si="147"/>
        <v>$O$1:$O$92</v>
      </c>
      <c r="C1914" s="159" t="str">
        <f t="shared" si="148"/>
        <v>July!$N$1:$N$92</v>
      </c>
      <c r="D1914" s="159" t="str">
        <f t="shared" si="149"/>
        <v>July!$O$1:$O$92</v>
      </c>
      <c r="E1914" t="s">
        <v>5</v>
      </c>
      <c r="F1914" t="s">
        <v>126</v>
      </c>
      <c r="G1914" t="s">
        <v>145</v>
      </c>
      <c r="H1914" t="s">
        <v>20</v>
      </c>
      <c r="I1914" t="e">
        <f t="shared" ca="1" si="150"/>
        <v>#REF!</v>
      </c>
      <c r="J1914" t="str">
        <f>VLOOKUP($G1914,DefinitionArrays!$I$6:$J$12,2,FALSE)</f>
        <v>Weekend</v>
      </c>
    </row>
    <row r="1915" spans="1:10">
      <c r="A1915" s="159" t="str">
        <f t="shared" si="146"/>
        <v>$N$1:$N$92</v>
      </c>
      <c r="B1915" s="159" t="str">
        <f t="shared" si="147"/>
        <v>$O$1:$O$92</v>
      </c>
      <c r="C1915" s="159" t="str">
        <f t="shared" si="148"/>
        <v>July!$N$1:$N$92</v>
      </c>
      <c r="D1915" s="159" t="str">
        <f t="shared" si="149"/>
        <v>July!$O$1:$O$92</v>
      </c>
      <c r="E1915" t="s">
        <v>5</v>
      </c>
      <c r="F1915" t="s">
        <v>126</v>
      </c>
      <c r="G1915" t="s">
        <v>145</v>
      </c>
      <c r="H1915" t="s">
        <v>21</v>
      </c>
      <c r="I1915" t="e">
        <f t="shared" ca="1" si="150"/>
        <v>#REF!</v>
      </c>
      <c r="J1915" t="str">
        <f>VLOOKUP($G1915,DefinitionArrays!$I$6:$J$12,2,FALSE)</f>
        <v>Weekend</v>
      </c>
    </row>
    <row r="1916" spans="1:10">
      <c r="A1916" s="159" t="str">
        <f t="shared" si="146"/>
        <v>$N$1:$N$92</v>
      </c>
      <c r="B1916" s="159" t="str">
        <f t="shared" si="147"/>
        <v>$O$1:$O$92</v>
      </c>
      <c r="C1916" s="159" t="str">
        <f t="shared" si="148"/>
        <v>July!$N$1:$N$92</v>
      </c>
      <c r="D1916" s="159" t="str">
        <f t="shared" si="149"/>
        <v>July!$O$1:$O$92</v>
      </c>
      <c r="E1916" t="s">
        <v>5</v>
      </c>
      <c r="F1916" t="s">
        <v>126</v>
      </c>
      <c r="G1916" t="s">
        <v>145</v>
      </c>
      <c r="H1916" t="s">
        <v>22</v>
      </c>
      <c r="I1916" t="e">
        <f t="shared" ca="1" si="150"/>
        <v>#REF!</v>
      </c>
      <c r="J1916" t="str">
        <f>VLOOKUP($G1916,DefinitionArrays!$I$6:$J$12,2,FALSE)</f>
        <v>Weekend</v>
      </c>
    </row>
    <row r="1917" spans="1:10">
      <c r="A1917" s="159" t="str">
        <f t="shared" si="146"/>
        <v>$N$1:$N$92</v>
      </c>
      <c r="B1917" s="159" t="str">
        <f t="shared" si="147"/>
        <v>$O$1:$O$92</v>
      </c>
      <c r="C1917" s="159" t="str">
        <f t="shared" si="148"/>
        <v>July!$N$1:$N$92</v>
      </c>
      <c r="D1917" s="159" t="str">
        <f t="shared" si="149"/>
        <v>July!$O$1:$O$92</v>
      </c>
      <c r="E1917" t="s">
        <v>5</v>
      </c>
      <c r="F1917" t="s">
        <v>126</v>
      </c>
      <c r="G1917" t="s">
        <v>145</v>
      </c>
      <c r="H1917" t="s">
        <v>23</v>
      </c>
      <c r="I1917" t="e">
        <f t="shared" ca="1" si="150"/>
        <v>#REF!</v>
      </c>
      <c r="J1917" t="str">
        <f>VLOOKUP($G1917,DefinitionArrays!$I$6:$J$12,2,FALSE)</f>
        <v>Weekend</v>
      </c>
    </row>
    <row r="1918" spans="1:10">
      <c r="A1918" s="159" t="str">
        <f t="shared" si="146"/>
        <v>$N$1:$N$92</v>
      </c>
      <c r="B1918" s="159" t="str">
        <f t="shared" si="147"/>
        <v>$O$1:$O$92</v>
      </c>
      <c r="C1918" s="159" t="str">
        <f t="shared" si="148"/>
        <v>July!$N$1:$N$92</v>
      </c>
      <c r="D1918" s="159" t="str">
        <f t="shared" si="149"/>
        <v>July!$O$1:$O$92</v>
      </c>
      <c r="E1918" t="s">
        <v>5</v>
      </c>
      <c r="F1918" t="s">
        <v>126</v>
      </c>
      <c r="G1918" t="s">
        <v>145</v>
      </c>
      <c r="H1918" t="s">
        <v>24</v>
      </c>
      <c r="I1918" t="e">
        <f t="shared" ca="1" si="150"/>
        <v>#REF!</v>
      </c>
      <c r="J1918" t="str">
        <f>VLOOKUP($G1918,DefinitionArrays!$I$6:$J$12,2,FALSE)</f>
        <v>Weekend</v>
      </c>
    </row>
    <row r="1919" spans="1:10">
      <c r="A1919" s="159" t="str">
        <f t="shared" si="146"/>
        <v>$N$1:$N$92</v>
      </c>
      <c r="B1919" s="159" t="str">
        <f t="shared" si="147"/>
        <v>$O$1:$O$92</v>
      </c>
      <c r="C1919" s="159" t="str">
        <f t="shared" si="148"/>
        <v>July!$N$1:$N$92</v>
      </c>
      <c r="D1919" s="159" t="str">
        <f t="shared" si="149"/>
        <v>July!$O$1:$O$92</v>
      </c>
      <c r="E1919" t="s">
        <v>5</v>
      </c>
      <c r="F1919" t="s">
        <v>126</v>
      </c>
      <c r="G1919" t="s">
        <v>145</v>
      </c>
      <c r="H1919" t="s">
        <v>179</v>
      </c>
      <c r="I1919" t="e">
        <f t="shared" ca="1" si="150"/>
        <v>#REF!</v>
      </c>
      <c r="J1919" t="str">
        <f>VLOOKUP($G1919,DefinitionArrays!$I$6:$J$12,2,FALSE)</f>
        <v>Weekend</v>
      </c>
    </row>
    <row r="1920" spans="1:10">
      <c r="A1920" s="159" t="str">
        <f t="shared" si="146"/>
        <v>$N$1:$N$92</v>
      </c>
      <c r="B1920" s="159" t="str">
        <f t="shared" si="147"/>
        <v>$O$1:$O$92</v>
      </c>
      <c r="C1920" s="159" t="str">
        <f t="shared" si="148"/>
        <v>July!$N$1:$N$92</v>
      </c>
      <c r="D1920" s="159" t="str">
        <f t="shared" si="149"/>
        <v>July!$O$1:$O$92</v>
      </c>
      <c r="E1920" t="s">
        <v>5</v>
      </c>
      <c r="F1920" t="s">
        <v>126</v>
      </c>
      <c r="G1920" t="s">
        <v>145</v>
      </c>
      <c r="H1920" t="s">
        <v>180</v>
      </c>
      <c r="I1920" t="e">
        <f t="shared" ca="1" si="150"/>
        <v>#REF!</v>
      </c>
      <c r="J1920" t="str">
        <f>VLOOKUP($G1920,DefinitionArrays!$I$6:$J$12,2,FALSE)</f>
        <v>Weekend</v>
      </c>
    </row>
    <row r="1921" spans="1:10">
      <c r="A1921" s="159" t="str">
        <f t="shared" si="146"/>
        <v>$N$1:$N$92</v>
      </c>
      <c r="B1921" s="159" t="str">
        <f t="shared" si="147"/>
        <v>$O$1:$O$92</v>
      </c>
      <c r="C1921" s="159" t="str">
        <f t="shared" si="148"/>
        <v>July!$N$1:$N$92</v>
      </c>
      <c r="D1921" s="159" t="str">
        <f t="shared" si="149"/>
        <v>July!$O$1:$O$92</v>
      </c>
      <c r="E1921" t="s">
        <v>5</v>
      </c>
      <c r="F1921" t="s">
        <v>126</v>
      </c>
      <c r="G1921" t="s">
        <v>145</v>
      </c>
      <c r="H1921" t="s">
        <v>44</v>
      </c>
      <c r="I1921" t="e">
        <f t="shared" ca="1" si="150"/>
        <v>#REF!</v>
      </c>
      <c r="J1921" t="str">
        <f>VLOOKUP($G1921,DefinitionArrays!$I$6:$J$12,2,FALSE)</f>
        <v>Weekend</v>
      </c>
    </row>
    <row r="1922" spans="1:10">
      <c r="A1922" s="159" t="str">
        <f t="shared" ref="A1922:A1985" si="151">VLOOKUP($G1922,Fx_Code,2,FALSE)</f>
        <v>$Q$1:$Q$92</v>
      </c>
      <c r="B1922" s="159" t="str">
        <f t="shared" ref="B1922:B1985" si="152">VLOOKUP($G1922,Fx_Code,3,FALSE)</f>
        <v>$R$1:$R$92</v>
      </c>
      <c r="C1922" s="159" t="str">
        <f t="shared" ref="C1922:C1985" si="153">CONCATENATE($F1922,$K$1,A1922)</f>
        <v>July!$Q$1:$Q$92</v>
      </c>
      <c r="D1922" s="159" t="str">
        <f t="shared" ref="D1922:D1985" si="154">CONCATENATE($F1922,$K$1,B1922)</f>
        <v>July!$R$1:$R$92</v>
      </c>
      <c r="E1922" t="s">
        <v>5</v>
      </c>
      <c r="F1922" t="s">
        <v>126</v>
      </c>
      <c r="G1922" t="s">
        <v>146</v>
      </c>
      <c r="H1922" t="s">
        <v>159</v>
      </c>
      <c r="I1922" t="e">
        <f t="shared" ca="1" si="150"/>
        <v>#REF!</v>
      </c>
      <c r="J1922" t="str">
        <f>VLOOKUP($G1922,DefinitionArrays!$I$6:$J$12,2,FALSE)</f>
        <v>Weekend</v>
      </c>
    </row>
    <row r="1923" spans="1:10">
      <c r="A1923" s="159" t="str">
        <f t="shared" si="151"/>
        <v>$T$1:$T$92</v>
      </c>
      <c r="B1923" s="159" t="str">
        <f t="shared" si="152"/>
        <v>$U$1:$U$92</v>
      </c>
      <c r="C1923" s="159" t="str">
        <f t="shared" si="153"/>
        <v>July!$T$1:$T$92</v>
      </c>
      <c r="D1923" s="159" t="str">
        <f t="shared" si="154"/>
        <v>July!$U$1:$U$92</v>
      </c>
      <c r="E1923" t="s">
        <v>5</v>
      </c>
      <c r="F1923" t="s">
        <v>126</v>
      </c>
      <c r="G1923" t="s">
        <v>141</v>
      </c>
      <c r="H1923" t="s">
        <v>159</v>
      </c>
      <c r="I1923" t="e">
        <f t="shared" ca="1" si="150"/>
        <v>#REF!</v>
      </c>
      <c r="J1923" t="str">
        <f>VLOOKUP($G1923,DefinitionArrays!$I$6:$J$12,2,FALSE)</f>
        <v>Weekend</v>
      </c>
    </row>
    <row r="1924" spans="1:10">
      <c r="A1924" s="159" t="str">
        <f t="shared" si="151"/>
        <v>$B$1:$B$92</v>
      </c>
      <c r="B1924" s="159" t="str">
        <f t="shared" si="152"/>
        <v>$C$1:$C$92</v>
      </c>
      <c r="C1924" s="159" t="str">
        <f t="shared" si="153"/>
        <v>August!$B$1:$B$92</v>
      </c>
      <c r="D1924" s="159" t="str">
        <f t="shared" si="154"/>
        <v>August!$C$1:$C$92</v>
      </c>
      <c r="E1924" t="s">
        <v>5</v>
      </c>
      <c r="F1924" t="s">
        <v>127</v>
      </c>
      <c r="G1924" t="s">
        <v>13</v>
      </c>
      <c r="H1924" t="s">
        <v>159</v>
      </c>
      <c r="I1924" t="e">
        <f ca="1">COUNTIFS(INDIRECT($C1924),$E1924,INDIRECT($D1924),$H1924)</f>
        <v>#REF!</v>
      </c>
      <c r="J1924" t="str">
        <f>VLOOKUP($G1924,DefinitionArrays!$I$6:$J$12,2,FALSE)</f>
        <v>Workweek</v>
      </c>
    </row>
    <row r="1925" spans="1:10">
      <c r="A1925" s="159" t="str">
        <f t="shared" si="151"/>
        <v>$B$1:$B$92</v>
      </c>
      <c r="B1925" s="159" t="str">
        <f t="shared" si="152"/>
        <v>$C$1:$C$92</v>
      </c>
      <c r="C1925" s="159" t="str">
        <f t="shared" si="153"/>
        <v>August!$B$1:$B$92</v>
      </c>
      <c r="D1925" s="159" t="str">
        <f t="shared" si="154"/>
        <v>August!$C$1:$C$92</v>
      </c>
      <c r="E1925" t="s">
        <v>5</v>
      </c>
      <c r="F1925" t="s">
        <v>127</v>
      </c>
      <c r="G1925" t="s">
        <v>13</v>
      </c>
      <c r="H1925" t="s">
        <v>18</v>
      </c>
      <c r="I1925" t="e">
        <f t="shared" ref="I1925:I1985" ca="1" si="155">COUNTIFS(INDIRECT($C1925),$E1925,INDIRECT($D1925),$H1925)</f>
        <v>#REF!</v>
      </c>
      <c r="J1925" t="str">
        <f>VLOOKUP($G1925,DefinitionArrays!$I$6:$J$12,2,FALSE)</f>
        <v>Workweek</v>
      </c>
    </row>
    <row r="1926" spans="1:10">
      <c r="A1926" s="159" t="str">
        <f t="shared" si="151"/>
        <v>$B$1:$B$92</v>
      </c>
      <c r="B1926" s="159" t="str">
        <f t="shared" si="152"/>
        <v>$C$1:$C$92</v>
      </c>
      <c r="C1926" s="159" t="str">
        <f t="shared" si="153"/>
        <v>August!$B$1:$B$92</v>
      </c>
      <c r="D1926" s="159" t="str">
        <f t="shared" si="154"/>
        <v>August!$C$1:$C$92</v>
      </c>
      <c r="E1926" t="s">
        <v>5</v>
      </c>
      <c r="F1926" t="s">
        <v>127</v>
      </c>
      <c r="G1926" t="s">
        <v>13</v>
      </c>
      <c r="H1926" t="s">
        <v>153</v>
      </c>
      <c r="I1926" t="e">
        <f t="shared" ca="1" si="155"/>
        <v>#REF!</v>
      </c>
      <c r="J1926" t="str">
        <f>VLOOKUP($G1926,DefinitionArrays!$I$6:$J$12,2,FALSE)</f>
        <v>Workweek</v>
      </c>
    </row>
    <row r="1927" spans="1:10">
      <c r="A1927" s="159" t="str">
        <f t="shared" si="151"/>
        <v>$B$1:$B$92</v>
      </c>
      <c r="B1927" s="159" t="str">
        <f t="shared" si="152"/>
        <v>$C$1:$C$92</v>
      </c>
      <c r="C1927" s="159" t="str">
        <f t="shared" si="153"/>
        <v>August!$B$1:$B$92</v>
      </c>
      <c r="D1927" s="159" t="str">
        <f t="shared" si="154"/>
        <v>August!$C$1:$C$92</v>
      </c>
      <c r="E1927" t="s">
        <v>5</v>
      </c>
      <c r="F1927" t="s">
        <v>127</v>
      </c>
      <c r="G1927" t="s">
        <v>13</v>
      </c>
      <c r="H1927" t="s">
        <v>19</v>
      </c>
      <c r="I1927" t="e">
        <f t="shared" ca="1" si="155"/>
        <v>#REF!</v>
      </c>
      <c r="J1927" t="str">
        <f>VLOOKUP($G1927,DefinitionArrays!$I$6:$J$12,2,FALSE)</f>
        <v>Workweek</v>
      </c>
    </row>
    <row r="1928" spans="1:10">
      <c r="A1928" s="159" t="str">
        <f t="shared" si="151"/>
        <v>$B$1:$B$92</v>
      </c>
      <c r="B1928" s="159" t="str">
        <f t="shared" si="152"/>
        <v>$C$1:$C$92</v>
      </c>
      <c r="C1928" s="159" t="str">
        <f t="shared" si="153"/>
        <v>August!$B$1:$B$92</v>
      </c>
      <c r="D1928" s="159" t="str">
        <f t="shared" si="154"/>
        <v>August!$C$1:$C$92</v>
      </c>
      <c r="E1928" t="s">
        <v>5</v>
      </c>
      <c r="F1928" t="s">
        <v>127</v>
      </c>
      <c r="G1928" t="s">
        <v>13</v>
      </c>
      <c r="H1928" t="s">
        <v>20</v>
      </c>
      <c r="I1928" t="e">
        <f t="shared" ca="1" si="155"/>
        <v>#REF!</v>
      </c>
      <c r="J1928" t="str">
        <f>VLOOKUP($G1928,DefinitionArrays!$I$6:$J$12,2,FALSE)</f>
        <v>Workweek</v>
      </c>
    </row>
    <row r="1929" spans="1:10">
      <c r="A1929" s="159" t="str">
        <f t="shared" si="151"/>
        <v>$B$1:$B$92</v>
      </c>
      <c r="B1929" s="159" t="str">
        <f t="shared" si="152"/>
        <v>$C$1:$C$92</v>
      </c>
      <c r="C1929" s="159" t="str">
        <f t="shared" si="153"/>
        <v>August!$B$1:$B$92</v>
      </c>
      <c r="D1929" s="159" t="str">
        <f t="shared" si="154"/>
        <v>August!$C$1:$C$92</v>
      </c>
      <c r="E1929" t="s">
        <v>5</v>
      </c>
      <c r="F1929" t="s">
        <v>127</v>
      </c>
      <c r="G1929" t="s">
        <v>13</v>
      </c>
      <c r="H1929" t="s">
        <v>21</v>
      </c>
      <c r="I1929" t="e">
        <f t="shared" ca="1" si="155"/>
        <v>#REF!</v>
      </c>
      <c r="J1929" t="str">
        <f>VLOOKUP($G1929,DefinitionArrays!$I$6:$J$12,2,FALSE)</f>
        <v>Workweek</v>
      </c>
    </row>
    <row r="1930" spans="1:10">
      <c r="A1930" s="159" t="str">
        <f t="shared" si="151"/>
        <v>$B$1:$B$92</v>
      </c>
      <c r="B1930" s="159" t="str">
        <f t="shared" si="152"/>
        <v>$C$1:$C$92</v>
      </c>
      <c r="C1930" s="159" t="str">
        <f t="shared" si="153"/>
        <v>August!$B$1:$B$92</v>
      </c>
      <c r="D1930" s="159" t="str">
        <f t="shared" si="154"/>
        <v>August!$C$1:$C$92</v>
      </c>
      <c r="E1930" t="s">
        <v>5</v>
      </c>
      <c r="F1930" t="s">
        <v>127</v>
      </c>
      <c r="G1930" t="s">
        <v>13</v>
      </c>
      <c r="H1930" t="s">
        <v>22</v>
      </c>
      <c r="I1930" t="e">
        <f t="shared" ca="1" si="155"/>
        <v>#REF!</v>
      </c>
      <c r="J1930" t="str">
        <f>VLOOKUP($G1930,DefinitionArrays!$I$6:$J$12,2,FALSE)</f>
        <v>Workweek</v>
      </c>
    </row>
    <row r="1931" spans="1:10">
      <c r="A1931" s="159" t="str">
        <f t="shared" si="151"/>
        <v>$B$1:$B$92</v>
      </c>
      <c r="B1931" s="159" t="str">
        <f t="shared" si="152"/>
        <v>$C$1:$C$92</v>
      </c>
      <c r="C1931" s="159" t="str">
        <f t="shared" si="153"/>
        <v>August!$B$1:$B$92</v>
      </c>
      <c r="D1931" s="159" t="str">
        <f t="shared" si="154"/>
        <v>August!$C$1:$C$92</v>
      </c>
      <c r="E1931" t="s">
        <v>5</v>
      </c>
      <c r="F1931" t="s">
        <v>127</v>
      </c>
      <c r="G1931" t="s">
        <v>13</v>
      </c>
      <c r="H1931" t="s">
        <v>23</v>
      </c>
      <c r="I1931" t="e">
        <f t="shared" ca="1" si="155"/>
        <v>#REF!</v>
      </c>
      <c r="J1931" t="str">
        <f>VLOOKUP($G1931,DefinitionArrays!$I$6:$J$12,2,FALSE)</f>
        <v>Workweek</v>
      </c>
    </row>
    <row r="1932" spans="1:10">
      <c r="A1932" s="159" t="str">
        <f t="shared" si="151"/>
        <v>$B$1:$B$92</v>
      </c>
      <c r="B1932" s="159" t="str">
        <f t="shared" si="152"/>
        <v>$C$1:$C$92</v>
      </c>
      <c r="C1932" s="159" t="str">
        <f t="shared" si="153"/>
        <v>August!$B$1:$B$92</v>
      </c>
      <c r="D1932" s="159" t="str">
        <f t="shared" si="154"/>
        <v>August!$C$1:$C$92</v>
      </c>
      <c r="E1932" t="s">
        <v>5</v>
      </c>
      <c r="F1932" t="s">
        <v>127</v>
      </c>
      <c r="G1932" t="s">
        <v>13</v>
      </c>
      <c r="H1932" t="s">
        <v>24</v>
      </c>
      <c r="I1932" t="e">
        <f t="shared" ca="1" si="155"/>
        <v>#REF!</v>
      </c>
      <c r="J1932" t="str">
        <f>VLOOKUP($G1932,DefinitionArrays!$I$6:$J$12,2,FALSE)</f>
        <v>Workweek</v>
      </c>
    </row>
    <row r="1933" spans="1:10">
      <c r="A1933" s="159" t="str">
        <f t="shared" si="151"/>
        <v>$B$1:$B$92</v>
      </c>
      <c r="B1933" s="159" t="str">
        <f t="shared" si="152"/>
        <v>$C$1:$C$92</v>
      </c>
      <c r="C1933" s="159" t="str">
        <f t="shared" si="153"/>
        <v>August!$B$1:$B$92</v>
      </c>
      <c r="D1933" s="159" t="str">
        <f t="shared" si="154"/>
        <v>August!$C$1:$C$92</v>
      </c>
      <c r="E1933" t="s">
        <v>5</v>
      </c>
      <c r="F1933" t="s">
        <v>127</v>
      </c>
      <c r="G1933" t="s">
        <v>13</v>
      </c>
      <c r="H1933" t="s">
        <v>179</v>
      </c>
      <c r="I1933" t="e">
        <f t="shared" ca="1" si="155"/>
        <v>#REF!</v>
      </c>
      <c r="J1933" t="str">
        <f>VLOOKUP($G1933,DefinitionArrays!$I$6:$J$12,2,FALSE)</f>
        <v>Workweek</v>
      </c>
    </row>
    <row r="1934" spans="1:10">
      <c r="A1934" s="159" t="str">
        <f t="shared" si="151"/>
        <v>$B$1:$B$92</v>
      </c>
      <c r="B1934" s="159" t="str">
        <f t="shared" si="152"/>
        <v>$C$1:$C$92</v>
      </c>
      <c r="C1934" s="159" t="str">
        <f t="shared" si="153"/>
        <v>August!$B$1:$B$92</v>
      </c>
      <c r="D1934" s="159" t="str">
        <f t="shared" si="154"/>
        <v>August!$C$1:$C$92</v>
      </c>
      <c r="E1934" t="s">
        <v>5</v>
      </c>
      <c r="F1934" t="s">
        <v>127</v>
      </c>
      <c r="G1934" t="s">
        <v>13</v>
      </c>
      <c r="H1934" t="s">
        <v>180</v>
      </c>
      <c r="I1934" t="e">
        <f t="shared" ca="1" si="155"/>
        <v>#REF!</v>
      </c>
      <c r="J1934" t="str">
        <f>VLOOKUP($G1934,DefinitionArrays!$I$6:$J$12,2,FALSE)</f>
        <v>Workweek</v>
      </c>
    </row>
    <row r="1935" spans="1:10">
      <c r="A1935" s="159" t="str">
        <f t="shared" si="151"/>
        <v>$B$1:$B$92</v>
      </c>
      <c r="B1935" s="159" t="str">
        <f t="shared" si="152"/>
        <v>$C$1:$C$92</v>
      </c>
      <c r="C1935" s="159" t="str">
        <f t="shared" si="153"/>
        <v>August!$B$1:$B$92</v>
      </c>
      <c r="D1935" s="159" t="str">
        <f t="shared" si="154"/>
        <v>August!$C$1:$C$92</v>
      </c>
      <c r="E1935" t="s">
        <v>5</v>
      </c>
      <c r="F1935" t="s">
        <v>127</v>
      </c>
      <c r="G1935" t="s">
        <v>13</v>
      </c>
      <c r="H1935" t="s">
        <v>44</v>
      </c>
      <c r="I1935" t="e">
        <f t="shared" ca="1" si="155"/>
        <v>#REF!</v>
      </c>
      <c r="J1935" t="str">
        <f>VLOOKUP($G1935,DefinitionArrays!$I$6:$J$12,2,FALSE)</f>
        <v>Workweek</v>
      </c>
    </row>
    <row r="1936" spans="1:10">
      <c r="A1936" s="159" t="str">
        <f t="shared" si="151"/>
        <v>$E$1:$E$92</v>
      </c>
      <c r="B1936" s="159" t="str">
        <f t="shared" si="152"/>
        <v>$F$1:$F$92</v>
      </c>
      <c r="C1936" s="159" t="str">
        <f t="shared" si="153"/>
        <v>August!$E$1:$E$92</v>
      </c>
      <c r="D1936" s="159" t="str">
        <f t="shared" si="154"/>
        <v>August!$F$1:$F$92</v>
      </c>
      <c r="E1936" t="s">
        <v>5</v>
      </c>
      <c r="F1936" t="s">
        <v>127</v>
      </c>
      <c r="G1936" t="s">
        <v>142</v>
      </c>
      <c r="H1936" t="s">
        <v>159</v>
      </c>
      <c r="I1936" t="e">
        <f t="shared" ca="1" si="155"/>
        <v>#REF!</v>
      </c>
      <c r="J1936" t="str">
        <f>VLOOKUP($G1936,DefinitionArrays!$I$6:$J$12,2,FALSE)</f>
        <v>Workweek</v>
      </c>
    </row>
    <row r="1937" spans="1:10">
      <c r="A1937" s="159" t="str">
        <f t="shared" si="151"/>
        <v>$E$1:$E$92</v>
      </c>
      <c r="B1937" s="159" t="str">
        <f t="shared" si="152"/>
        <v>$F$1:$F$92</v>
      </c>
      <c r="C1937" s="159" t="str">
        <f t="shared" si="153"/>
        <v>August!$E$1:$E$92</v>
      </c>
      <c r="D1937" s="159" t="str">
        <f t="shared" si="154"/>
        <v>August!$F$1:$F$92</v>
      </c>
      <c r="E1937" t="s">
        <v>5</v>
      </c>
      <c r="F1937" t="s">
        <v>127</v>
      </c>
      <c r="G1937" t="s">
        <v>142</v>
      </c>
      <c r="H1937" t="s">
        <v>18</v>
      </c>
      <c r="I1937" t="e">
        <f t="shared" ca="1" si="155"/>
        <v>#REF!</v>
      </c>
      <c r="J1937" t="str">
        <f>VLOOKUP($G1937,DefinitionArrays!$I$6:$J$12,2,FALSE)</f>
        <v>Workweek</v>
      </c>
    </row>
    <row r="1938" spans="1:10">
      <c r="A1938" s="159" t="str">
        <f t="shared" si="151"/>
        <v>$E$1:$E$92</v>
      </c>
      <c r="B1938" s="159" t="str">
        <f t="shared" si="152"/>
        <v>$F$1:$F$92</v>
      </c>
      <c r="C1938" s="159" t="str">
        <f t="shared" si="153"/>
        <v>August!$E$1:$E$92</v>
      </c>
      <c r="D1938" s="159" t="str">
        <f t="shared" si="154"/>
        <v>August!$F$1:$F$92</v>
      </c>
      <c r="E1938" t="s">
        <v>5</v>
      </c>
      <c r="F1938" t="s">
        <v>127</v>
      </c>
      <c r="G1938" t="s">
        <v>142</v>
      </c>
      <c r="H1938" t="s">
        <v>153</v>
      </c>
      <c r="I1938" t="e">
        <f t="shared" ca="1" si="155"/>
        <v>#REF!</v>
      </c>
      <c r="J1938" t="str">
        <f>VLOOKUP($G1938,DefinitionArrays!$I$6:$J$12,2,FALSE)</f>
        <v>Workweek</v>
      </c>
    </row>
    <row r="1939" spans="1:10">
      <c r="A1939" s="159" t="str">
        <f t="shared" si="151"/>
        <v>$E$1:$E$92</v>
      </c>
      <c r="B1939" s="159" t="str">
        <f t="shared" si="152"/>
        <v>$F$1:$F$92</v>
      </c>
      <c r="C1939" s="159" t="str">
        <f t="shared" si="153"/>
        <v>August!$E$1:$E$92</v>
      </c>
      <c r="D1939" s="159" t="str">
        <f t="shared" si="154"/>
        <v>August!$F$1:$F$92</v>
      </c>
      <c r="E1939" t="s">
        <v>5</v>
      </c>
      <c r="F1939" t="s">
        <v>127</v>
      </c>
      <c r="G1939" t="s">
        <v>142</v>
      </c>
      <c r="H1939" t="s">
        <v>19</v>
      </c>
      <c r="I1939" t="e">
        <f t="shared" ca="1" si="155"/>
        <v>#REF!</v>
      </c>
      <c r="J1939" t="str">
        <f>VLOOKUP($G1939,DefinitionArrays!$I$6:$J$12,2,FALSE)</f>
        <v>Workweek</v>
      </c>
    </row>
    <row r="1940" spans="1:10">
      <c r="A1940" s="159" t="str">
        <f t="shared" si="151"/>
        <v>$E$1:$E$92</v>
      </c>
      <c r="B1940" s="159" t="str">
        <f t="shared" si="152"/>
        <v>$F$1:$F$92</v>
      </c>
      <c r="C1940" s="159" t="str">
        <f t="shared" si="153"/>
        <v>August!$E$1:$E$92</v>
      </c>
      <c r="D1940" s="159" t="str">
        <f t="shared" si="154"/>
        <v>August!$F$1:$F$92</v>
      </c>
      <c r="E1940" t="s">
        <v>5</v>
      </c>
      <c r="F1940" t="s">
        <v>127</v>
      </c>
      <c r="G1940" t="s">
        <v>142</v>
      </c>
      <c r="H1940" t="s">
        <v>20</v>
      </c>
      <c r="I1940" t="e">
        <f t="shared" ca="1" si="155"/>
        <v>#REF!</v>
      </c>
      <c r="J1940" t="str">
        <f>VLOOKUP($G1940,DefinitionArrays!$I$6:$J$12,2,FALSE)</f>
        <v>Workweek</v>
      </c>
    </row>
    <row r="1941" spans="1:10">
      <c r="A1941" s="159" t="str">
        <f t="shared" si="151"/>
        <v>$E$1:$E$92</v>
      </c>
      <c r="B1941" s="159" t="str">
        <f t="shared" si="152"/>
        <v>$F$1:$F$92</v>
      </c>
      <c r="C1941" s="159" t="str">
        <f t="shared" si="153"/>
        <v>August!$E$1:$E$92</v>
      </c>
      <c r="D1941" s="159" t="str">
        <f t="shared" si="154"/>
        <v>August!$F$1:$F$92</v>
      </c>
      <c r="E1941" t="s">
        <v>5</v>
      </c>
      <c r="F1941" t="s">
        <v>127</v>
      </c>
      <c r="G1941" t="s">
        <v>142</v>
      </c>
      <c r="H1941" t="s">
        <v>21</v>
      </c>
      <c r="I1941" t="e">
        <f t="shared" ca="1" si="155"/>
        <v>#REF!</v>
      </c>
      <c r="J1941" t="str">
        <f>VLOOKUP($G1941,DefinitionArrays!$I$6:$J$12,2,FALSE)</f>
        <v>Workweek</v>
      </c>
    </row>
    <row r="1942" spans="1:10">
      <c r="A1942" s="159" t="str">
        <f t="shared" si="151"/>
        <v>$E$1:$E$92</v>
      </c>
      <c r="B1942" s="159" t="str">
        <f t="shared" si="152"/>
        <v>$F$1:$F$92</v>
      </c>
      <c r="C1942" s="159" t="str">
        <f t="shared" si="153"/>
        <v>August!$E$1:$E$92</v>
      </c>
      <c r="D1942" s="159" t="str">
        <f t="shared" si="154"/>
        <v>August!$F$1:$F$92</v>
      </c>
      <c r="E1942" t="s">
        <v>5</v>
      </c>
      <c r="F1942" t="s">
        <v>127</v>
      </c>
      <c r="G1942" t="s">
        <v>142</v>
      </c>
      <c r="H1942" t="s">
        <v>22</v>
      </c>
      <c r="I1942" t="e">
        <f t="shared" ca="1" si="155"/>
        <v>#REF!</v>
      </c>
      <c r="J1942" t="str">
        <f>VLOOKUP($G1942,DefinitionArrays!$I$6:$J$12,2,FALSE)</f>
        <v>Workweek</v>
      </c>
    </row>
    <row r="1943" spans="1:10">
      <c r="A1943" s="159" t="str">
        <f t="shared" si="151"/>
        <v>$E$1:$E$92</v>
      </c>
      <c r="B1943" s="159" t="str">
        <f t="shared" si="152"/>
        <v>$F$1:$F$92</v>
      </c>
      <c r="C1943" s="159" t="str">
        <f t="shared" si="153"/>
        <v>August!$E$1:$E$92</v>
      </c>
      <c r="D1943" s="159" t="str">
        <f t="shared" si="154"/>
        <v>August!$F$1:$F$92</v>
      </c>
      <c r="E1943" t="s">
        <v>5</v>
      </c>
      <c r="F1943" t="s">
        <v>127</v>
      </c>
      <c r="G1943" t="s">
        <v>142</v>
      </c>
      <c r="H1943" t="s">
        <v>23</v>
      </c>
      <c r="I1943" t="e">
        <f t="shared" ca="1" si="155"/>
        <v>#REF!</v>
      </c>
      <c r="J1943" t="str">
        <f>VLOOKUP($G1943,DefinitionArrays!$I$6:$J$12,2,FALSE)</f>
        <v>Workweek</v>
      </c>
    </row>
    <row r="1944" spans="1:10">
      <c r="A1944" s="159" t="str">
        <f t="shared" si="151"/>
        <v>$E$1:$E$92</v>
      </c>
      <c r="B1944" s="159" t="str">
        <f t="shared" si="152"/>
        <v>$F$1:$F$92</v>
      </c>
      <c r="C1944" s="159" t="str">
        <f t="shared" si="153"/>
        <v>August!$E$1:$E$92</v>
      </c>
      <c r="D1944" s="159" t="str">
        <f t="shared" si="154"/>
        <v>August!$F$1:$F$92</v>
      </c>
      <c r="E1944" t="s">
        <v>5</v>
      </c>
      <c r="F1944" t="s">
        <v>127</v>
      </c>
      <c r="G1944" t="s">
        <v>142</v>
      </c>
      <c r="H1944" t="s">
        <v>24</v>
      </c>
      <c r="I1944" t="e">
        <f t="shared" ca="1" si="155"/>
        <v>#REF!</v>
      </c>
      <c r="J1944" t="str">
        <f>VLOOKUP($G1944,DefinitionArrays!$I$6:$J$12,2,FALSE)</f>
        <v>Workweek</v>
      </c>
    </row>
    <row r="1945" spans="1:10">
      <c r="A1945" s="159" t="str">
        <f t="shared" si="151"/>
        <v>$E$1:$E$92</v>
      </c>
      <c r="B1945" s="159" t="str">
        <f t="shared" si="152"/>
        <v>$F$1:$F$92</v>
      </c>
      <c r="C1945" s="159" t="str">
        <f t="shared" si="153"/>
        <v>August!$E$1:$E$92</v>
      </c>
      <c r="D1945" s="159" t="str">
        <f t="shared" si="154"/>
        <v>August!$F$1:$F$92</v>
      </c>
      <c r="E1945" t="s">
        <v>5</v>
      </c>
      <c r="F1945" t="s">
        <v>127</v>
      </c>
      <c r="G1945" t="s">
        <v>142</v>
      </c>
      <c r="H1945" t="s">
        <v>179</v>
      </c>
      <c r="I1945" t="e">
        <f t="shared" ca="1" si="155"/>
        <v>#REF!</v>
      </c>
      <c r="J1945" t="str">
        <f>VLOOKUP($G1945,DefinitionArrays!$I$6:$J$12,2,FALSE)</f>
        <v>Workweek</v>
      </c>
    </row>
    <row r="1946" spans="1:10">
      <c r="A1946" s="159" t="str">
        <f t="shared" si="151"/>
        <v>$E$1:$E$92</v>
      </c>
      <c r="B1946" s="159" t="str">
        <f t="shared" si="152"/>
        <v>$F$1:$F$92</v>
      </c>
      <c r="C1946" s="159" t="str">
        <f t="shared" si="153"/>
        <v>August!$E$1:$E$92</v>
      </c>
      <c r="D1946" s="159" t="str">
        <f t="shared" si="154"/>
        <v>August!$F$1:$F$92</v>
      </c>
      <c r="E1946" t="s">
        <v>5</v>
      </c>
      <c r="F1946" t="s">
        <v>127</v>
      </c>
      <c r="G1946" t="s">
        <v>142</v>
      </c>
      <c r="H1946" t="s">
        <v>180</v>
      </c>
      <c r="I1946" t="e">
        <f t="shared" ca="1" si="155"/>
        <v>#REF!</v>
      </c>
      <c r="J1946" t="str">
        <f>VLOOKUP($G1946,DefinitionArrays!$I$6:$J$12,2,FALSE)</f>
        <v>Workweek</v>
      </c>
    </row>
    <row r="1947" spans="1:10">
      <c r="A1947" s="159" t="str">
        <f t="shared" si="151"/>
        <v>$E$1:$E$92</v>
      </c>
      <c r="B1947" s="159" t="str">
        <f t="shared" si="152"/>
        <v>$F$1:$F$92</v>
      </c>
      <c r="C1947" s="159" t="str">
        <f t="shared" si="153"/>
        <v>August!$E$1:$E$92</v>
      </c>
      <c r="D1947" s="159" t="str">
        <f t="shared" si="154"/>
        <v>August!$F$1:$F$92</v>
      </c>
      <c r="E1947" t="s">
        <v>5</v>
      </c>
      <c r="F1947" t="s">
        <v>127</v>
      </c>
      <c r="G1947" t="s">
        <v>142</v>
      </c>
      <c r="H1947" t="s">
        <v>44</v>
      </c>
      <c r="I1947" t="e">
        <f t="shared" ca="1" si="155"/>
        <v>#REF!</v>
      </c>
      <c r="J1947" t="str">
        <f>VLOOKUP($G1947,DefinitionArrays!$I$6:$J$12,2,FALSE)</f>
        <v>Workweek</v>
      </c>
    </row>
    <row r="1948" spans="1:10">
      <c r="A1948" s="159" t="str">
        <f t="shared" si="151"/>
        <v>$H$1:$H$92</v>
      </c>
      <c r="B1948" s="159" t="str">
        <f t="shared" si="152"/>
        <v>$I$1:$I$92</v>
      </c>
      <c r="C1948" s="159" t="str">
        <f t="shared" si="153"/>
        <v>August!$H$1:$H$92</v>
      </c>
      <c r="D1948" s="159" t="str">
        <f t="shared" si="154"/>
        <v>August!$I$1:$I$92</v>
      </c>
      <c r="E1948" t="s">
        <v>5</v>
      </c>
      <c r="F1948" t="s">
        <v>127</v>
      </c>
      <c r="G1948" t="s">
        <v>143</v>
      </c>
      <c r="H1948" t="s">
        <v>159</v>
      </c>
      <c r="I1948" t="e">
        <f t="shared" ca="1" si="155"/>
        <v>#REF!</v>
      </c>
      <c r="J1948" t="str">
        <f>VLOOKUP($G1948,DefinitionArrays!$I$6:$J$12,2,FALSE)</f>
        <v>Workweek</v>
      </c>
    </row>
    <row r="1949" spans="1:10">
      <c r="A1949" s="159" t="str">
        <f t="shared" si="151"/>
        <v>$H$1:$H$92</v>
      </c>
      <c r="B1949" s="159" t="str">
        <f t="shared" si="152"/>
        <v>$I$1:$I$92</v>
      </c>
      <c r="C1949" s="159" t="str">
        <f t="shared" si="153"/>
        <v>August!$H$1:$H$92</v>
      </c>
      <c r="D1949" s="159" t="str">
        <f t="shared" si="154"/>
        <v>August!$I$1:$I$92</v>
      </c>
      <c r="E1949" t="s">
        <v>5</v>
      </c>
      <c r="F1949" t="s">
        <v>127</v>
      </c>
      <c r="G1949" t="s">
        <v>143</v>
      </c>
      <c r="H1949" t="s">
        <v>18</v>
      </c>
      <c r="I1949" t="e">
        <f t="shared" ca="1" si="155"/>
        <v>#REF!</v>
      </c>
      <c r="J1949" t="str">
        <f>VLOOKUP($G1949,DefinitionArrays!$I$6:$J$12,2,FALSE)</f>
        <v>Workweek</v>
      </c>
    </row>
    <row r="1950" spans="1:10">
      <c r="A1950" s="159" t="str">
        <f t="shared" si="151"/>
        <v>$H$1:$H$92</v>
      </c>
      <c r="B1950" s="159" t="str">
        <f t="shared" si="152"/>
        <v>$I$1:$I$92</v>
      </c>
      <c r="C1950" s="159" t="str">
        <f t="shared" si="153"/>
        <v>August!$H$1:$H$92</v>
      </c>
      <c r="D1950" s="159" t="str">
        <f t="shared" si="154"/>
        <v>August!$I$1:$I$92</v>
      </c>
      <c r="E1950" t="s">
        <v>5</v>
      </c>
      <c r="F1950" t="s">
        <v>127</v>
      </c>
      <c r="G1950" t="s">
        <v>143</v>
      </c>
      <c r="H1950" t="s">
        <v>153</v>
      </c>
      <c r="I1950" t="e">
        <f t="shared" ca="1" si="155"/>
        <v>#REF!</v>
      </c>
      <c r="J1950" t="str">
        <f>VLOOKUP($G1950,DefinitionArrays!$I$6:$J$12,2,FALSE)</f>
        <v>Workweek</v>
      </c>
    </row>
    <row r="1951" spans="1:10">
      <c r="A1951" s="159" t="str">
        <f t="shared" si="151"/>
        <v>$H$1:$H$92</v>
      </c>
      <c r="B1951" s="159" t="str">
        <f t="shared" si="152"/>
        <v>$I$1:$I$92</v>
      </c>
      <c r="C1951" s="159" t="str">
        <f t="shared" si="153"/>
        <v>August!$H$1:$H$92</v>
      </c>
      <c r="D1951" s="159" t="str">
        <f t="shared" si="154"/>
        <v>August!$I$1:$I$92</v>
      </c>
      <c r="E1951" t="s">
        <v>5</v>
      </c>
      <c r="F1951" t="s">
        <v>127</v>
      </c>
      <c r="G1951" t="s">
        <v>143</v>
      </c>
      <c r="H1951" t="s">
        <v>19</v>
      </c>
      <c r="I1951" t="e">
        <f t="shared" ca="1" si="155"/>
        <v>#REF!</v>
      </c>
      <c r="J1951" t="str">
        <f>VLOOKUP($G1951,DefinitionArrays!$I$6:$J$12,2,FALSE)</f>
        <v>Workweek</v>
      </c>
    </row>
    <row r="1952" spans="1:10">
      <c r="A1952" s="159" t="str">
        <f t="shared" si="151"/>
        <v>$H$1:$H$92</v>
      </c>
      <c r="B1952" s="159" t="str">
        <f t="shared" si="152"/>
        <v>$I$1:$I$92</v>
      </c>
      <c r="C1952" s="159" t="str">
        <f t="shared" si="153"/>
        <v>August!$H$1:$H$92</v>
      </c>
      <c r="D1952" s="159" t="str">
        <f t="shared" si="154"/>
        <v>August!$I$1:$I$92</v>
      </c>
      <c r="E1952" t="s">
        <v>5</v>
      </c>
      <c r="F1952" t="s">
        <v>127</v>
      </c>
      <c r="G1952" t="s">
        <v>143</v>
      </c>
      <c r="H1952" t="s">
        <v>20</v>
      </c>
      <c r="I1952" t="e">
        <f t="shared" ca="1" si="155"/>
        <v>#REF!</v>
      </c>
      <c r="J1952" t="str">
        <f>VLOOKUP($G1952,DefinitionArrays!$I$6:$J$12,2,FALSE)</f>
        <v>Workweek</v>
      </c>
    </row>
    <row r="1953" spans="1:10">
      <c r="A1953" s="159" t="str">
        <f t="shared" si="151"/>
        <v>$H$1:$H$92</v>
      </c>
      <c r="B1953" s="159" t="str">
        <f t="shared" si="152"/>
        <v>$I$1:$I$92</v>
      </c>
      <c r="C1953" s="159" t="str">
        <f t="shared" si="153"/>
        <v>August!$H$1:$H$92</v>
      </c>
      <c r="D1953" s="159" t="str">
        <f t="shared" si="154"/>
        <v>August!$I$1:$I$92</v>
      </c>
      <c r="E1953" t="s">
        <v>5</v>
      </c>
      <c r="F1953" t="s">
        <v>127</v>
      </c>
      <c r="G1953" t="s">
        <v>143</v>
      </c>
      <c r="H1953" t="s">
        <v>21</v>
      </c>
      <c r="I1953" t="e">
        <f t="shared" ca="1" si="155"/>
        <v>#REF!</v>
      </c>
      <c r="J1953" t="str">
        <f>VLOOKUP($G1953,DefinitionArrays!$I$6:$J$12,2,FALSE)</f>
        <v>Workweek</v>
      </c>
    </row>
    <row r="1954" spans="1:10">
      <c r="A1954" s="159" t="str">
        <f t="shared" si="151"/>
        <v>$H$1:$H$92</v>
      </c>
      <c r="B1954" s="159" t="str">
        <f t="shared" si="152"/>
        <v>$I$1:$I$92</v>
      </c>
      <c r="C1954" s="159" t="str">
        <f t="shared" si="153"/>
        <v>August!$H$1:$H$92</v>
      </c>
      <c r="D1954" s="159" t="str">
        <f t="shared" si="154"/>
        <v>August!$I$1:$I$92</v>
      </c>
      <c r="E1954" t="s">
        <v>5</v>
      </c>
      <c r="F1954" t="s">
        <v>127</v>
      </c>
      <c r="G1954" t="s">
        <v>143</v>
      </c>
      <c r="H1954" t="s">
        <v>22</v>
      </c>
      <c r="I1954" t="e">
        <f t="shared" ca="1" si="155"/>
        <v>#REF!</v>
      </c>
      <c r="J1954" t="str">
        <f>VLOOKUP($G1954,DefinitionArrays!$I$6:$J$12,2,FALSE)</f>
        <v>Workweek</v>
      </c>
    </row>
    <row r="1955" spans="1:10">
      <c r="A1955" s="159" t="str">
        <f t="shared" si="151"/>
        <v>$H$1:$H$92</v>
      </c>
      <c r="B1955" s="159" t="str">
        <f t="shared" si="152"/>
        <v>$I$1:$I$92</v>
      </c>
      <c r="C1955" s="159" t="str">
        <f t="shared" si="153"/>
        <v>August!$H$1:$H$92</v>
      </c>
      <c r="D1955" s="159" t="str">
        <f t="shared" si="154"/>
        <v>August!$I$1:$I$92</v>
      </c>
      <c r="E1955" t="s">
        <v>5</v>
      </c>
      <c r="F1955" t="s">
        <v>127</v>
      </c>
      <c r="G1955" t="s">
        <v>143</v>
      </c>
      <c r="H1955" t="s">
        <v>23</v>
      </c>
      <c r="I1955" t="e">
        <f t="shared" ca="1" si="155"/>
        <v>#REF!</v>
      </c>
      <c r="J1955" t="str">
        <f>VLOOKUP($G1955,DefinitionArrays!$I$6:$J$12,2,FALSE)</f>
        <v>Workweek</v>
      </c>
    </row>
    <row r="1956" spans="1:10">
      <c r="A1956" s="159" t="str">
        <f t="shared" si="151"/>
        <v>$H$1:$H$92</v>
      </c>
      <c r="B1956" s="159" t="str">
        <f t="shared" si="152"/>
        <v>$I$1:$I$92</v>
      </c>
      <c r="C1956" s="159" t="str">
        <f t="shared" si="153"/>
        <v>August!$H$1:$H$92</v>
      </c>
      <c r="D1956" s="159" t="str">
        <f t="shared" si="154"/>
        <v>August!$I$1:$I$92</v>
      </c>
      <c r="E1956" t="s">
        <v>5</v>
      </c>
      <c r="F1956" t="s">
        <v>127</v>
      </c>
      <c r="G1956" t="s">
        <v>143</v>
      </c>
      <c r="H1956" t="s">
        <v>24</v>
      </c>
      <c r="I1956" t="e">
        <f t="shared" ca="1" si="155"/>
        <v>#REF!</v>
      </c>
      <c r="J1956" t="str">
        <f>VLOOKUP($G1956,DefinitionArrays!$I$6:$J$12,2,FALSE)</f>
        <v>Workweek</v>
      </c>
    </row>
    <row r="1957" spans="1:10">
      <c r="A1957" s="159" t="str">
        <f t="shared" si="151"/>
        <v>$H$1:$H$92</v>
      </c>
      <c r="B1957" s="159" t="str">
        <f t="shared" si="152"/>
        <v>$I$1:$I$92</v>
      </c>
      <c r="C1957" s="159" t="str">
        <f t="shared" si="153"/>
        <v>August!$H$1:$H$92</v>
      </c>
      <c r="D1957" s="159" t="str">
        <f t="shared" si="154"/>
        <v>August!$I$1:$I$92</v>
      </c>
      <c r="E1957" t="s">
        <v>5</v>
      </c>
      <c r="F1957" t="s">
        <v>127</v>
      </c>
      <c r="G1957" t="s">
        <v>143</v>
      </c>
      <c r="H1957" t="s">
        <v>179</v>
      </c>
      <c r="I1957" t="e">
        <f t="shared" ca="1" si="155"/>
        <v>#REF!</v>
      </c>
      <c r="J1957" t="str">
        <f>VLOOKUP($G1957,DefinitionArrays!$I$6:$J$12,2,FALSE)</f>
        <v>Workweek</v>
      </c>
    </row>
    <row r="1958" spans="1:10">
      <c r="A1958" s="159" t="str">
        <f t="shared" si="151"/>
        <v>$H$1:$H$92</v>
      </c>
      <c r="B1958" s="159" t="str">
        <f t="shared" si="152"/>
        <v>$I$1:$I$92</v>
      </c>
      <c r="C1958" s="159" t="str">
        <f t="shared" si="153"/>
        <v>August!$H$1:$H$92</v>
      </c>
      <c r="D1958" s="159" t="str">
        <f t="shared" si="154"/>
        <v>August!$I$1:$I$92</v>
      </c>
      <c r="E1958" t="s">
        <v>5</v>
      </c>
      <c r="F1958" t="s">
        <v>127</v>
      </c>
      <c r="G1958" t="s">
        <v>143</v>
      </c>
      <c r="H1958" t="s">
        <v>180</v>
      </c>
      <c r="I1958" t="e">
        <f t="shared" ca="1" si="155"/>
        <v>#REF!</v>
      </c>
      <c r="J1958" t="str">
        <f>VLOOKUP($G1958,DefinitionArrays!$I$6:$J$12,2,FALSE)</f>
        <v>Workweek</v>
      </c>
    </row>
    <row r="1959" spans="1:10">
      <c r="A1959" s="159" t="str">
        <f t="shared" si="151"/>
        <v>$H$1:$H$92</v>
      </c>
      <c r="B1959" s="159" t="str">
        <f t="shared" si="152"/>
        <v>$I$1:$I$92</v>
      </c>
      <c r="C1959" s="159" t="str">
        <f t="shared" si="153"/>
        <v>August!$H$1:$H$92</v>
      </c>
      <c r="D1959" s="159" t="str">
        <f t="shared" si="154"/>
        <v>August!$I$1:$I$92</v>
      </c>
      <c r="E1959" t="s">
        <v>5</v>
      </c>
      <c r="F1959" t="s">
        <v>127</v>
      </c>
      <c r="G1959" t="s">
        <v>143</v>
      </c>
      <c r="H1959" t="s">
        <v>44</v>
      </c>
      <c r="I1959" t="e">
        <f t="shared" ca="1" si="155"/>
        <v>#REF!</v>
      </c>
      <c r="J1959" t="str">
        <f>VLOOKUP($G1959,DefinitionArrays!$I$6:$J$12,2,FALSE)</f>
        <v>Workweek</v>
      </c>
    </row>
    <row r="1960" spans="1:10">
      <c r="A1960" s="159" t="str">
        <f t="shared" si="151"/>
        <v>$K$1:$K$92</v>
      </c>
      <c r="B1960" s="159" t="str">
        <f t="shared" si="152"/>
        <v>$L$1:$L$92</v>
      </c>
      <c r="C1960" s="159" t="str">
        <f t="shared" si="153"/>
        <v>August!$K$1:$K$92</v>
      </c>
      <c r="D1960" s="159" t="str">
        <f t="shared" si="154"/>
        <v>August!$L$1:$L$92</v>
      </c>
      <c r="E1960" t="s">
        <v>5</v>
      </c>
      <c r="F1960" t="s">
        <v>127</v>
      </c>
      <c r="G1960" t="s">
        <v>144</v>
      </c>
      <c r="H1960" t="s">
        <v>159</v>
      </c>
      <c r="I1960" t="e">
        <f t="shared" ca="1" si="155"/>
        <v>#REF!</v>
      </c>
      <c r="J1960" t="str">
        <f>VLOOKUP($G1960,DefinitionArrays!$I$6:$J$12,2,FALSE)</f>
        <v>Workweek</v>
      </c>
    </row>
    <row r="1961" spans="1:10">
      <c r="A1961" s="159" t="str">
        <f t="shared" si="151"/>
        <v>$K$1:$K$92</v>
      </c>
      <c r="B1961" s="159" t="str">
        <f t="shared" si="152"/>
        <v>$L$1:$L$92</v>
      </c>
      <c r="C1961" s="159" t="str">
        <f t="shared" si="153"/>
        <v>August!$K$1:$K$92</v>
      </c>
      <c r="D1961" s="159" t="str">
        <f t="shared" si="154"/>
        <v>August!$L$1:$L$92</v>
      </c>
      <c r="E1961" t="s">
        <v>5</v>
      </c>
      <c r="F1961" t="s">
        <v>127</v>
      </c>
      <c r="G1961" t="s">
        <v>144</v>
      </c>
      <c r="H1961" t="s">
        <v>18</v>
      </c>
      <c r="I1961" t="e">
        <f t="shared" ca="1" si="155"/>
        <v>#REF!</v>
      </c>
      <c r="J1961" t="str">
        <f>VLOOKUP($G1961,DefinitionArrays!$I$6:$J$12,2,FALSE)</f>
        <v>Workweek</v>
      </c>
    </row>
    <row r="1962" spans="1:10">
      <c r="A1962" s="159" t="str">
        <f t="shared" si="151"/>
        <v>$K$1:$K$92</v>
      </c>
      <c r="B1962" s="159" t="str">
        <f t="shared" si="152"/>
        <v>$L$1:$L$92</v>
      </c>
      <c r="C1962" s="159" t="str">
        <f t="shared" si="153"/>
        <v>August!$K$1:$K$92</v>
      </c>
      <c r="D1962" s="159" t="str">
        <f t="shared" si="154"/>
        <v>August!$L$1:$L$92</v>
      </c>
      <c r="E1962" t="s">
        <v>5</v>
      </c>
      <c r="F1962" t="s">
        <v>127</v>
      </c>
      <c r="G1962" t="s">
        <v>144</v>
      </c>
      <c r="H1962" t="s">
        <v>153</v>
      </c>
      <c r="I1962" t="e">
        <f t="shared" ca="1" si="155"/>
        <v>#REF!</v>
      </c>
      <c r="J1962" t="str">
        <f>VLOOKUP($G1962,DefinitionArrays!$I$6:$J$12,2,FALSE)</f>
        <v>Workweek</v>
      </c>
    </row>
    <row r="1963" spans="1:10">
      <c r="A1963" s="159" t="str">
        <f t="shared" si="151"/>
        <v>$K$1:$K$92</v>
      </c>
      <c r="B1963" s="159" t="str">
        <f t="shared" si="152"/>
        <v>$L$1:$L$92</v>
      </c>
      <c r="C1963" s="159" t="str">
        <f t="shared" si="153"/>
        <v>August!$K$1:$K$92</v>
      </c>
      <c r="D1963" s="159" t="str">
        <f t="shared" si="154"/>
        <v>August!$L$1:$L$92</v>
      </c>
      <c r="E1963" t="s">
        <v>5</v>
      </c>
      <c r="F1963" t="s">
        <v>127</v>
      </c>
      <c r="G1963" t="s">
        <v>144</v>
      </c>
      <c r="H1963" t="s">
        <v>19</v>
      </c>
      <c r="I1963" t="e">
        <f t="shared" ca="1" si="155"/>
        <v>#REF!</v>
      </c>
      <c r="J1963" t="str">
        <f>VLOOKUP($G1963,DefinitionArrays!$I$6:$J$12,2,FALSE)</f>
        <v>Workweek</v>
      </c>
    </row>
    <row r="1964" spans="1:10">
      <c r="A1964" s="159" t="str">
        <f t="shared" si="151"/>
        <v>$K$1:$K$92</v>
      </c>
      <c r="B1964" s="159" t="str">
        <f t="shared" si="152"/>
        <v>$L$1:$L$92</v>
      </c>
      <c r="C1964" s="159" t="str">
        <f t="shared" si="153"/>
        <v>August!$K$1:$K$92</v>
      </c>
      <c r="D1964" s="159" t="str">
        <f t="shared" si="154"/>
        <v>August!$L$1:$L$92</v>
      </c>
      <c r="E1964" t="s">
        <v>5</v>
      </c>
      <c r="F1964" t="s">
        <v>127</v>
      </c>
      <c r="G1964" t="s">
        <v>144</v>
      </c>
      <c r="H1964" t="s">
        <v>20</v>
      </c>
      <c r="I1964" t="e">
        <f t="shared" ca="1" si="155"/>
        <v>#REF!</v>
      </c>
      <c r="J1964" t="str">
        <f>VLOOKUP($G1964,DefinitionArrays!$I$6:$J$12,2,FALSE)</f>
        <v>Workweek</v>
      </c>
    </row>
    <row r="1965" spans="1:10">
      <c r="A1965" s="159" t="str">
        <f t="shared" si="151"/>
        <v>$K$1:$K$92</v>
      </c>
      <c r="B1965" s="159" t="str">
        <f t="shared" si="152"/>
        <v>$L$1:$L$92</v>
      </c>
      <c r="C1965" s="159" t="str">
        <f t="shared" si="153"/>
        <v>August!$K$1:$K$92</v>
      </c>
      <c r="D1965" s="159" t="str">
        <f t="shared" si="154"/>
        <v>August!$L$1:$L$92</v>
      </c>
      <c r="E1965" t="s">
        <v>5</v>
      </c>
      <c r="F1965" t="s">
        <v>127</v>
      </c>
      <c r="G1965" t="s">
        <v>144</v>
      </c>
      <c r="H1965" t="s">
        <v>21</v>
      </c>
      <c r="I1965" t="e">
        <f t="shared" ca="1" si="155"/>
        <v>#REF!</v>
      </c>
      <c r="J1965" t="str">
        <f>VLOOKUP($G1965,DefinitionArrays!$I$6:$J$12,2,FALSE)</f>
        <v>Workweek</v>
      </c>
    </row>
    <row r="1966" spans="1:10">
      <c r="A1966" s="159" t="str">
        <f t="shared" si="151"/>
        <v>$K$1:$K$92</v>
      </c>
      <c r="B1966" s="159" t="str">
        <f t="shared" si="152"/>
        <v>$L$1:$L$92</v>
      </c>
      <c r="C1966" s="159" t="str">
        <f t="shared" si="153"/>
        <v>August!$K$1:$K$92</v>
      </c>
      <c r="D1966" s="159" t="str">
        <f t="shared" si="154"/>
        <v>August!$L$1:$L$92</v>
      </c>
      <c r="E1966" t="s">
        <v>5</v>
      </c>
      <c r="F1966" t="s">
        <v>127</v>
      </c>
      <c r="G1966" t="s">
        <v>144</v>
      </c>
      <c r="H1966" t="s">
        <v>22</v>
      </c>
      <c r="I1966" t="e">
        <f t="shared" ca="1" si="155"/>
        <v>#REF!</v>
      </c>
      <c r="J1966" t="str">
        <f>VLOOKUP($G1966,DefinitionArrays!$I$6:$J$12,2,FALSE)</f>
        <v>Workweek</v>
      </c>
    </row>
    <row r="1967" spans="1:10">
      <c r="A1967" s="159" t="str">
        <f t="shared" si="151"/>
        <v>$K$1:$K$92</v>
      </c>
      <c r="B1967" s="159" t="str">
        <f t="shared" si="152"/>
        <v>$L$1:$L$92</v>
      </c>
      <c r="C1967" s="159" t="str">
        <f t="shared" si="153"/>
        <v>August!$K$1:$K$92</v>
      </c>
      <c r="D1967" s="159" t="str">
        <f t="shared" si="154"/>
        <v>August!$L$1:$L$92</v>
      </c>
      <c r="E1967" t="s">
        <v>5</v>
      </c>
      <c r="F1967" t="s">
        <v>127</v>
      </c>
      <c r="G1967" t="s">
        <v>144</v>
      </c>
      <c r="H1967" t="s">
        <v>23</v>
      </c>
      <c r="I1967" t="e">
        <f t="shared" ca="1" si="155"/>
        <v>#REF!</v>
      </c>
      <c r="J1967" t="str">
        <f>VLOOKUP($G1967,DefinitionArrays!$I$6:$J$12,2,FALSE)</f>
        <v>Workweek</v>
      </c>
    </row>
    <row r="1968" spans="1:10">
      <c r="A1968" s="159" t="str">
        <f t="shared" si="151"/>
        <v>$K$1:$K$92</v>
      </c>
      <c r="B1968" s="159" t="str">
        <f t="shared" si="152"/>
        <v>$L$1:$L$92</v>
      </c>
      <c r="C1968" s="159" t="str">
        <f t="shared" si="153"/>
        <v>August!$K$1:$K$92</v>
      </c>
      <c r="D1968" s="159" t="str">
        <f t="shared" si="154"/>
        <v>August!$L$1:$L$92</v>
      </c>
      <c r="E1968" t="s">
        <v>5</v>
      </c>
      <c r="F1968" t="s">
        <v>127</v>
      </c>
      <c r="G1968" t="s">
        <v>144</v>
      </c>
      <c r="H1968" t="s">
        <v>24</v>
      </c>
      <c r="I1968" t="e">
        <f t="shared" ca="1" si="155"/>
        <v>#REF!</v>
      </c>
      <c r="J1968" t="str">
        <f>VLOOKUP($G1968,DefinitionArrays!$I$6:$J$12,2,FALSE)</f>
        <v>Workweek</v>
      </c>
    </row>
    <row r="1969" spans="1:10">
      <c r="A1969" s="159" t="str">
        <f t="shared" si="151"/>
        <v>$K$1:$K$92</v>
      </c>
      <c r="B1969" s="159" t="str">
        <f t="shared" si="152"/>
        <v>$L$1:$L$92</v>
      </c>
      <c r="C1969" s="159" t="str">
        <f t="shared" si="153"/>
        <v>August!$K$1:$K$92</v>
      </c>
      <c r="D1969" s="159" t="str">
        <f t="shared" si="154"/>
        <v>August!$L$1:$L$92</v>
      </c>
      <c r="E1969" t="s">
        <v>5</v>
      </c>
      <c r="F1969" t="s">
        <v>127</v>
      </c>
      <c r="G1969" t="s">
        <v>144</v>
      </c>
      <c r="H1969" t="s">
        <v>179</v>
      </c>
      <c r="I1969" t="e">
        <f t="shared" ca="1" si="155"/>
        <v>#REF!</v>
      </c>
      <c r="J1969" t="str">
        <f>VLOOKUP($G1969,DefinitionArrays!$I$6:$J$12,2,FALSE)</f>
        <v>Workweek</v>
      </c>
    </row>
    <row r="1970" spans="1:10">
      <c r="A1970" s="159" t="str">
        <f t="shared" si="151"/>
        <v>$K$1:$K$92</v>
      </c>
      <c r="B1970" s="159" t="str">
        <f t="shared" si="152"/>
        <v>$L$1:$L$92</v>
      </c>
      <c r="C1970" s="159" t="str">
        <f t="shared" si="153"/>
        <v>August!$K$1:$K$92</v>
      </c>
      <c r="D1970" s="159" t="str">
        <f t="shared" si="154"/>
        <v>August!$L$1:$L$92</v>
      </c>
      <c r="E1970" t="s">
        <v>5</v>
      </c>
      <c r="F1970" t="s">
        <v>127</v>
      </c>
      <c r="G1970" t="s">
        <v>144</v>
      </c>
      <c r="H1970" t="s">
        <v>180</v>
      </c>
      <c r="I1970" t="e">
        <f t="shared" ca="1" si="155"/>
        <v>#REF!</v>
      </c>
      <c r="J1970" t="str">
        <f>VLOOKUP($G1970,DefinitionArrays!$I$6:$J$12,2,FALSE)</f>
        <v>Workweek</v>
      </c>
    </row>
    <row r="1971" spans="1:10">
      <c r="A1971" s="159" t="str">
        <f t="shared" si="151"/>
        <v>$K$1:$K$92</v>
      </c>
      <c r="B1971" s="159" t="str">
        <f t="shared" si="152"/>
        <v>$L$1:$L$92</v>
      </c>
      <c r="C1971" s="159" t="str">
        <f t="shared" si="153"/>
        <v>August!$K$1:$K$92</v>
      </c>
      <c r="D1971" s="159" t="str">
        <f t="shared" si="154"/>
        <v>August!$L$1:$L$92</v>
      </c>
      <c r="E1971" t="s">
        <v>5</v>
      </c>
      <c r="F1971" t="s">
        <v>127</v>
      </c>
      <c r="G1971" t="s">
        <v>144</v>
      </c>
      <c r="H1971" t="s">
        <v>44</v>
      </c>
      <c r="I1971" t="e">
        <f t="shared" ca="1" si="155"/>
        <v>#REF!</v>
      </c>
      <c r="J1971" t="str">
        <f>VLOOKUP($G1971,DefinitionArrays!$I$6:$J$12,2,FALSE)</f>
        <v>Workweek</v>
      </c>
    </row>
    <row r="1972" spans="1:10">
      <c r="A1972" s="159" t="str">
        <f t="shared" si="151"/>
        <v>$N$1:$N$92</v>
      </c>
      <c r="B1972" s="159" t="str">
        <f t="shared" si="152"/>
        <v>$O$1:$O$92</v>
      </c>
      <c r="C1972" s="159" t="str">
        <f t="shared" si="153"/>
        <v>August!$N$1:$N$92</v>
      </c>
      <c r="D1972" s="159" t="str">
        <f t="shared" si="154"/>
        <v>August!$O$1:$O$92</v>
      </c>
      <c r="E1972" t="s">
        <v>5</v>
      </c>
      <c r="F1972" t="s">
        <v>127</v>
      </c>
      <c r="G1972" t="s">
        <v>145</v>
      </c>
      <c r="H1972" t="s">
        <v>159</v>
      </c>
      <c r="I1972" t="e">
        <f t="shared" ca="1" si="155"/>
        <v>#REF!</v>
      </c>
      <c r="J1972" t="str">
        <f>VLOOKUP($G1972,DefinitionArrays!$I$6:$J$12,2,FALSE)</f>
        <v>Weekend</v>
      </c>
    </row>
    <row r="1973" spans="1:10">
      <c r="A1973" s="159" t="str">
        <f t="shared" si="151"/>
        <v>$N$1:$N$92</v>
      </c>
      <c r="B1973" s="159" t="str">
        <f t="shared" si="152"/>
        <v>$O$1:$O$92</v>
      </c>
      <c r="C1973" s="159" t="str">
        <f t="shared" si="153"/>
        <v>August!$N$1:$N$92</v>
      </c>
      <c r="D1973" s="159" t="str">
        <f t="shared" si="154"/>
        <v>August!$O$1:$O$92</v>
      </c>
      <c r="E1973" t="s">
        <v>5</v>
      </c>
      <c r="F1973" t="s">
        <v>127</v>
      </c>
      <c r="G1973" t="s">
        <v>145</v>
      </c>
      <c r="H1973" t="s">
        <v>18</v>
      </c>
      <c r="I1973" t="e">
        <f t="shared" ca="1" si="155"/>
        <v>#REF!</v>
      </c>
      <c r="J1973" t="str">
        <f>VLOOKUP($G1973,DefinitionArrays!$I$6:$J$12,2,FALSE)</f>
        <v>Weekend</v>
      </c>
    </row>
    <row r="1974" spans="1:10">
      <c r="A1974" s="159" t="str">
        <f t="shared" si="151"/>
        <v>$N$1:$N$92</v>
      </c>
      <c r="B1974" s="159" t="str">
        <f t="shared" si="152"/>
        <v>$O$1:$O$92</v>
      </c>
      <c r="C1974" s="159" t="str">
        <f t="shared" si="153"/>
        <v>August!$N$1:$N$92</v>
      </c>
      <c r="D1974" s="159" t="str">
        <f t="shared" si="154"/>
        <v>August!$O$1:$O$92</v>
      </c>
      <c r="E1974" t="s">
        <v>5</v>
      </c>
      <c r="F1974" t="s">
        <v>127</v>
      </c>
      <c r="G1974" t="s">
        <v>145</v>
      </c>
      <c r="H1974" t="s">
        <v>153</v>
      </c>
      <c r="I1974" t="e">
        <f t="shared" ca="1" si="155"/>
        <v>#REF!</v>
      </c>
      <c r="J1974" t="str">
        <f>VLOOKUP($G1974,DefinitionArrays!$I$6:$J$12,2,FALSE)</f>
        <v>Weekend</v>
      </c>
    </row>
    <row r="1975" spans="1:10">
      <c r="A1975" s="159" t="str">
        <f t="shared" si="151"/>
        <v>$N$1:$N$92</v>
      </c>
      <c r="B1975" s="159" t="str">
        <f t="shared" si="152"/>
        <v>$O$1:$O$92</v>
      </c>
      <c r="C1975" s="159" t="str">
        <f t="shared" si="153"/>
        <v>August!$N$1:$N$92</v>
      </c>
      <c r="D1975" s="159" t="str">
        <f t="shared" si="154"/>
        <v>August!$O$1:$O$92</v>
      </c>
      <c r="E1975" t="s">
        <v>5</v>
      </c>
      <c r="F1975" t="s">
        <v>127</v>
      </c>
      <c r="G1975" t="s">
        <v>145</v>
      </c>
      <c r="H1975" t="s">
        <v>19</v>
      </c>
      <c r="I1975" t="e">
        <f t="shared" ca="1" si="155"/>
        <v>#REF!</v>
      </c>
      <c r="J1975" t="str">
        <f>VLOOKUP($G1975,DefinitionArrays!$I$6:$J$12,2,FALSE)</f>
        <v>Weekend</v>
      </c>
    </row>
    <row r="1976" spans="1:10">
      <c r="A1976" s="159" t="str">
        <f t="shared" si="151"/>
        <v>$N$1:$N$92</v>
      </c>
      <c r="B1976" s="159" t="str">
        <f t="shared" si="152"/>
        <v>$O$1:$O$92</v>
      </c>
      <c r="C1976" s="159" t="str">
        <f t="shared" si="153"/>
        <v>August!$N$1:$N$92</v>
      </c>
      <c r="D1976" s="159" t="str">
        <f t="shared" si="154"/>
        <v>August!$O$1:$O$92</v>
      </c>
      <c r="E1976" t="s">
        <v>5</v>
      </c>
      <c r="F1976" t="s">
        <v>127</v>
      </c>
      <c r="G1976" t="s">
        <v>145</v>
      </c>
      <c r="H1976" t="s">
        <v>20</v>
      </c>
      <c r="I1976" t="e">
        <f t="shared" ca="1" si="155"/>
        <v>#REF!</v>
      </c>
      <c r="J1976" t="str">
        <f>VLOOKUP($G1976,DefinitionArrays!$I$6:$J$12,2,FALSE)</f>
        <v>Weekend</v>
      </c>
    </row>
    <row r="1977" spans="1:10">
      <c r="A1977" s="159" t="str">
        <f t="shared" si="151"/>
        <v>$N$1:$N$92</v>
      </c>
      <c r="B1977" s="159" t="str">
        <f t="shared" si="152"/>
        <v>$O$1:$O$92</v>
      </c>
      <c r="C1977" s="159" t="str">
        <f t="shared" si="153"/>
        <v>August!$N$1:$N$92</v>
      </c>
      <c r="D1977" s="159" t="str">
        <f t="shared" si="154"/>
        <v>August!$O$1:$O$92</v>
      </c>
      <c r="E1977" t="s">
        <v>5</v>
      </c>
      <c r="F1977" t="s">
        <v>127</v>
      </c>
      <c r="G1977" t="s">
        <v>145</v>
      </c>
      <c r="H1977" t="s">
        <v>21</v>
      </c>
      <c r="I1977" t="e">
        <f t="shared" ca="1" si="155"/>
        <v>#REF!</v>
      </c>
      <c r="J1977" t="str">
        <f>VLOOKUP($G1977,DefinitionArrays!$I$6:$J$12,2,FALSE)</f>
        <v>Weekend</v>
      </c>
    </row>
    <row r="1978" spans="1:10">
      <c r="A1978" s="159" t="str">
        <f t="shared" si="151"/>
        <v>$N$1:$N$92</v>
      </c>
      <c r="B1978" s="159" t="str">
        <f t="shared" si="152"/>
        <v>$O$1:$O$92</v>
      </c>
      <c r="C1978" s="159" t="str">
        <f t="shared" si="153"/>
        <v>August!$N$1:$N$92</v>
      </c>
      <c r="D1978" s="159" t="str">
        <f t="shared" si="154"/>
        <v>August!$O$1:$O$92</v>
      </c>
      <c r="E1978" t="s">
        <v>5</v>
      </c>
      <c r="F1978" t="s">
        <v>127</v>
      </c>
      <c r="G1978" t="s">
        <v>145</v>
      </c>
      <c r="H1978" t="s">
        <v>22</v>
      </c>
      <c r="I1978" t="e">
        <f t="shared" ca="1" si="155"/>
        <v>#REF!</v>
      </c>
      <c r="J1978" t="str">
        <f>VLOOKUP($G1978,DefinitionArrays!$I$6:$J$12,2,FALSE)</f>
        <v>Weekend</v>
      </c>
    </row>
    <row r="1979" spans="1:10">
      <c r="A1979" s="159" t="str">
        <f t="shared" si="151"/>
        <v>$N$1:$N$92</v>
      </c>
      <c r="B1979" s="159" t="str">
        <f t="shared" si="152"/>
        <v>$O$1:$O$92</v>
      </c>
      <c r="C1979" s="159" t="str">
        <f t="shared" si="153"/>
        <v>August!$N$1:$N$92</v>
      </c>
      <c r="D1979" s="159" t="str">
        <f t="shared" si="154"/>
        <v>August!$O$1:$O$92</v>
      </c>
      <c r="E1979" t="s">
        <v>5</v>
      </c>
      <c r="F1979" t="s">
        <v>127</v>
      </c>
      <c r="G1979" t="s">
        <v>145</v>
      </c>
      <c r="H1979" t="s">
        <v>23</v>
      </c>
      <c r="I1979" t="e">
        <f t="shared" ca="1" si="155"/>
        <v>#REF!</v>
      </c>
      <c r="J1979" t="str">
        <f>VLOOKUP($G1979,DefinitionArrays!$I$6:$J$12,2,FALSE)</f>
        <v>Weekend</v>
      </c>
    </row>
    <row r="1980" spans="1:10">
      <c r="A1980" s="159" t="str">
        <f t="shared" si="151"/>
        <v>$N$1:$N$92</v>
      </c>
      <c r="B1980" s="159" t="str">
        <f t="shared" si="152"/>
        <v>$O$1:$O$92</v>
      </c>
      <c r="C1980" s="159" t="str">
        <f t="shared" si="153"/>
        <v>August!$N$1:$N$92</v>
      </c>
      <c r="D1980" s="159" t="str">
        <f t="shared" si="154"/>
        <v>August!$O$1:$O$92</v>
      </c>
      <c r="E1980" t="s">
        <v>5</v>
      </c>
      <c r="F1980" t="s">
        <v>127</v>
      </c>
      <c r="G1980" t="s">
        <v>145</v>
      </c>
      <c r="H1980" t="s">
        <v>24</v>
      </c>
      <c r="I1980" t="e">
        <f t="shared" ca="1" si="155"/>
        <v>#REF!</v>
      </c>
      <c r="J1980" t="str">
        <f>VLOOKUP($G1980,DefinitionArrays!$I$6:$J$12,2,FALSE)</f>
        <v>Weekend</v>
      </c>
    </row>
    <row r="1981" spans="1:10">
      <c r="A1981" s="159" t="str">
        <f t="shared" si="151"/>
        <v>$N$1:$N$92</v>
      </c>
      <c r="B1981" s="159" t="str">
        <f t="shared" si="152"/>
        <v>$O$1:$O$92</v>
      </c>
      <c r="C1981" s="159" t="str">
        <f t="shared" si="153"/>
        <v>August!$N$1:$N$92</v>
      </c>
      <c r="D1981" s="159" t="str">
        <f t="shared" si="154"/>
        <v>August!$O$1:$O$92</v>
      </c>
      <c r="E1981" t="s">
        <v>5</v>
      </c>
      <c r="F1981" t="s">
        <v>127</v>
      </c>
      <c r="G1981" t="s">
        <v>145</v>
      </c>
      <c r="H1981" t="s">
        <v>179</v>
      </c>
      <c r="I1981" t="e">
        <f t="shared" ca="1" si="155"/>
        <v>#REF!</v>
      </c>
      <c r="J1981" t="str">
        <f>VLOOKUP($G1981,DefinitionArrays!$I$6:$J$12,2,FALSE)</f>
        <v>Weekend</v>
      </c>
    </row>
    <row r="1982" spans="1:10">
      <c r="A1982" s="159" t="str">
        <f t="shared" si="151"/>
        <v>$N$1:$N$92</v>
      </c>
      <c r="B1982" s="159" t="str">
        <f t="shared" si="152"/>
        <v>$O$1:$O$92</v>
      </c>
      <c r="C1982" s="159" t="str">
        <f t="shared" si="153"/>
        <v>August!$N$1:$N$92</v>
      </c>
      <c r="D1982" s="159" t="str">
        <f t="shared" si="154"/>
        <v>August!$O$1:$O$92</v>
      </c>
      <c r="E1982" t="s">
        <v>5</v>
      </c>
      <c r="F1982" t="s">
        <v>127</v>
      </c>
      <c r="G1982" t="s">
        <v>145</v>
      </c>
      <c r="H1982" t="s">
        <v>180</v>
      </c>
      <c r="I1982" t="e">
        <f t="shared" ca="1" si="155"/>
        <v>#REF!</v>
      </c>
      <c r="J1982" t="str">
        <f>VLOOKUP($G1982,DefinitionArrays!$I$6:$J$12,2,FALSE)</f>
        <v>Weekend</v>
      </c>
    </row>
    <row r="1983" spans="1:10">
      <c r="A1983" s="159" t="str">
        <f t="shared" si="151"/>
        <v>$N$1:$N$92</v>
      </c>
      <c r="B1983" s="159" t="str">
        <f t="shared" si="152"/>
        <v>$O$1:$O$92</v>
      </c>
      <c r="C1983" s="159" t="str">
        <f t="shared" si="153"/>
        <v>August!$N$1:$N$92</v>
      </c>
      <c r="D1983" s="159" t="str">
        <f t="shared" si="154"/>
        <v>August!$O$1:$O$92</v>
      </c>
      <c r="E1983" t="s">
        <v>5</v>
      </c>
      <c r="F1983" t="s">
        <v>127</v>
      </c>
      <c r="G1983" t="s">
        <v>145</v>
      </c>
      <c r="H1983" t="s">
        <v>44</v>
      </c>
      <c r="I1983" t="e">
        <f t="shared" ca="1" si="155"/>
        <v>#REF!</v>
      </c>
      <c r="J1983" t="str">
        <f>VLOOKUP($G1983,DefinitionArrays!$I$6:$J$12,2,FALSE)</f>
        <v>Weekend</v>
      </c>
    </row>
    <row r="1984" spans="1:10">
      <c r="A1984" s="159" t="str">
        <f t="shared" si="151"/>
        <v>$Q$1:$Q$92</v>
      </c>
      <c r="B1984" s="159" t="str">
        <f t="shared" si="152"/>
        <v>$R$1:$R$92</v>
      </c>
      <c r="C1984" s="159" t="str">
        <f t="shared" si="153"/>
        <v>August!$Q$1:$Q$92</v>
      </c>
      <c r="D1984" s="159" t="str">
        <f t="shared" si="154"/>
        <v>August!$R$1:$R$92</v>
      </c>
      <c r="E1984" t="s">
        <v>5</v>
      </c>
      <c r="F1984" t="s">
        <v>127</v>
      </c>
      <c r="G1984" t="s">
        <v>146</v>
      </c>
      <c r="H1984" t="s">
        <v>159</v>
      </c>
      <c r="I1984" t="e">
        <f t="shared" ca="1" si="155"/>
        <v>#REF!</v>
      </c>
      <c r="J1984" t="str">
        <f>VLOOKUP($G1984,DefinitionArrays!$I$6:$J$12,2,FALSE)</f>
        <v>Weekend</v>
      </c>
    </row>
    <row r="1985" spans="1:10">
      <c r="A1985" s="159" t="str">
        <f t="shared" si="151"/>
        <v>$T$1:$T$92</v>
      </c>
      <c r="B1985" s="159" t="str">
        <f t="shared" si="152"/>
        <v>$U$1:$U$92</v>
      </c>
      <c r="C1985" s="159" t="str">
        <f t="shared" si="153"/>
        <v>August!$T$1:$T$92</v>
      </c>
      <c r="D1985" s="159" t="str">
        <f t="shared" si="154"/>
        <v>August!$U$1:$U$92</v>
      </c>
      <c r="E1985" t="s">
        <v>5</v>
      </c>
      <c r="F1985" t="s">
        <v>127</v>
      </c>
      <c r="G1985" t="s">
        <v>141</v>
      </c>
      <c r="H1985" t="s">
        <v>159</v>
      </c>
      <c r="I1985" t="e">
        <f t="shared" ca="1" si="155"/>
        <v>#REF!</v>
      </c>
      <c r="J1985" t="str">
        <f>VLOOKUP($G1985,DefinitionArrays!$I$6:$J$12,2,FALSE)</f>
        <v>Weekend</v>
      </c>
    </row>
    <row r="1986" spans="1:10">
      <c r="A1986" s="159" t="str">
        <f t="shared" ref="A1986:A2049" si="156">VLOOKUP($G1986,Fx_Code,2,FALSE)</f>
        <v>$B$1:$B$92</v>
      </c>
      <c r="B1986" s="159" t="str">
        <f t="shared" ref="B1986:B2049" si="157">VLOOKUP($G1986,Fx_Code,3,FALSE)</f>
        <v>$C$1:$C$92</v>
      </c>
      <c r="C1986" s="159" t="str">
        <f t="shared" ref="C1986:C2049" si="158">CONCATENATE($F1986,$K$1,A1986)</f>
        <v>September!$B$1:$B$92</v>
      </c>
      <c r="D1986" s="159" t="str">
        <f t="shared" ref="D1986:D2049" si="159">CONCATENATE($F1986,$K$1,B1986)</f>
        <v>September!$C$1:$C$92</v>
      </c>
      <c r="E1986" t="s">
        <v>5</v>
      </c>
      <c r="F1986" t="s">
        <v>128</v>
      </c>
      <c r="G1986" t="s">
        <v>13</v>
      </c>
      <c r="H1986" t="s">
        <v>159</v>
      </c>
      <c r="I1986" t="e">
        <f ca="1">COUNTIFS(INDIRECT($C1986),$E1986,INDIRECT($D1986),$H1986)</f>
        <v>#REF!</v>
      </c>
      <c r="J1986" t="str">
        <f>VLOOKUP($G1986,DefinitionArrays!$I$6:$J$12,2,FALSE)</f>
        <v>Workweek</v>
      </c>
    </row>
    <row r="1987" spans="1:10">
      <c r="A1987" s="159" t="str">
        <f t="shared" si="156"/>
        <v>$B$1:$B$92</v>
      </c>
      <c r="B1987" s="159" t="str">
        <f t="shared" si="157"/>
        <v>$C$1:$C$92</v>
      </c>
      <c r="C1987" s="159" t="str">
        <f t="shared" si="158"/>
        <v>September!$B$1:$B$92</v>
      </c>
      <c r="D1987" s="159" t="str">
        <f t="shared" si="159"/>
        <v>September!$C$1:$C$92</v>
      </c>
      <c r="E1987" t="s">
        <v>5</v>
      </c>
      <c r="F1987" t="s">
        <v>128</v>
      </c>
      <c r="G1987" t="s">
        <v>13</v>
      </c>
      <c r="H1987" t="s">
        <v>18</v>
      </c>
      <c r="I1987" t="e">
        <f t="shared" ref="I1987:I2047" ca="1" si="160">COUNTIFS(INDIRECT($C1987),$E1987,INDIRECT($D1987),$H1987)</f>
        <v>#REF!</v>
      </c>
      <c r="J1987" t="str">
        <f>VLOOKUP($G1987,DefinitionArrays!$I$6:$J$12,2,FALSE)</f>
        <v>Workweek</v>
      </c>
    </row>
    <row r="1988" spans="1:10">
      <c r="A1988" s="159" t="str">
        <f t="shared" si="156"/>
        <v>$B$1:$B$92</v>
      </c>
      <c r="B1988" s="159" t="str">
        <f t="shared" si="157"/>
        <v>$C$1:$C$92</v>
      </c>
      <c r="C1988" s="159" t="str">
        <f t="shared" si="158"/>
        <v>September!$B$1:$B$92</v>
      </c>
      <c r="D1988" s="159" t="str">
        <f t="shared" si="159"/>
        <v>September!$C$1:$C$92</v>
      </c>
      <c r="E1988" t="s">
        <v>5</v>
      </c>
      <c r="F1988" t="s">
        <v>128</v>
      </c>
      <c r="G1988" t="s">
        <v>13</v>
      </c>
      <c r="H1988" t="s">
        <v>153</v>
      </c>
      <c r="I1988" t="e">
        <f t="shared" ca="1" si="160"/>
        <v>#REF!</v>
      </c>
      <c r="J1988" t="str">
        <f>VLOOKUP($G1988,DefinitionArrays!$I$6:$J$12,2,FALSE)</f>
        <v>Workweek</v>
      </c>
    </row>
    <row r="1989" spans="1:10">
      <c r="A1989" s="159" t="str">
        <f t="shared" si="156"/>
        <v>$B$1:$B$92</v>
      </c>
      <c r="B1989" s="159" t="str">
        <f t="shared" si="157"/>
        <v>$C$1:$C$92</v>
      </c>
      <c r="C1989" s="159" t="str">
        <f t="shared" si="158"/>
        <v>September!$B$1:$B$92</v>
      </c>
      <c r="D1989" s="159" t="str">
        <f t="shared" si="159"/>
        <v>September!$C$1:$C$92</v>
      </c>
      <c r="E1989" t="s">
        <v>5</v>
      </c>
      <c r="F1989" t="s">
        <v>128</v>
      </c>
      <c r="G1989" t="s">
        <v>13</v>
      </c>
      <c r="H1989" t="s">
        <v>19</v>
      </c>
      <c r="I1989" t="e">
        <f t="shared" ca="1" si="160"/>
        <v>#REF!</v>
      </c>
      <c r="J1989" t="str">
        <f>VLOOKUP($G1989,DefinitionArrays!$I$6:$J$12,2,FALSE)</f>
        <v>Workweek</v>
      </c>
    </row>
    <row r="1990" spans="1:10">
      <c r="A1990" s="159" t="str">
        <f t="shared" si="156"/>
        <v>$B$1:$B$92</v>
      </c>
      <c r="B1990" s="159" t="str">
        <f t="shared" si="157"/>
        <v>$C$1:$C$92</v>
      </c>
      <c r="C1990" s="159" t="str">
        <f t="shared" si="158"/>
        <v>September!$B$1:$B$92</v>
      </c>
      <c r="D1990" s="159" t="str">
        <f t="shared" si="159"/>
        <v>September!$C$1:$C$92</v>
      </c>
      <c r="E1990" t="s">
        <v>5</v>
      </c>
      <c r="F1990" t="s">
        <v>128</v>
      </c>
      <c r="G1990" t="s">
        <v>13</v>
      </c>
      <c r="H1990" t="s">
        <v>20</v>
      </c>
      <c r="I1990" t="e">
        <f t="shared" ca="1" si="160"/>
        <v>#REF!</v>
      </c>
      <c r="J1990" t="str">
        <f>VLOOKUP($G1990,DefinitionArrays!$I$6:$J$12,2,FALSE)</f>
        <v>Workweek</v>
      </c>
    </row>
    <row r="1991" spans="1:10">
      <c r="A1991" s="159" t="str">
        <f t="shared" si="156"/>
        <v>$B$1:$B$92</v>
      </c>
      <c r="B1991" s="159" t="str">
        <f t="shared" si="157"/>
        <v>$C$1:$C$92</v>
      </c>
      <c r="C1991" s="159" t="str">
        <f t="shared" si="158"/>
        <v>September!$B$1:$B$92</v>
      </c>
      <c r="D1991" s="159" t="str">
        <f t="shared" si="159"/>
        <v>September!$C$1:$C$92</v>
      </c>
      <c r="E1991" t="s">
        <v>5</v>
      </c>
      <c r="F1991" t="s">
        <v>128</v>
      </c>
      <c r="G1991" t="s">
        <v>13</v>
      </c>
      <c r="H1991" t="s">
        <v>21</v>
      </c>
      <c r="I1991" t="e">
        <f t="shared" ca="1" si="160"/>
        <v>#REF!</v>
      </c>
      <c r="J1991" t="str">
        <f>VLOOKUP($G1991,DefinitionArrays!$I$6:$J$12,2,FALSE)</f>
        <v>Workweek</v>
      </c>
    </row>
    <row r="1992" spans="1:10">
      <c r="A1992" s="159" t="str">
        <f t="shared" si="156"/>
        <v>$B$1:$B$92</v>
      </c>
      <c r="B1992" s="159" t="str">
        <f t="shared" si="157"/>
        <v>$C$1:$C$92</v>
      </c>
      <c r="C1992" s="159" t="str">
        <f t="shared" si="158"/>
        <v>September!$B$1:$B$92</v>
      </c>
      <c r="D1992" s="159" t="str">
        <f t="shared" si="159"/>
        <v>September!$C$1:$C$92</v>
      </c>
      <c r="E1992" t="s">
        <v>5</v>
      </c>
      <c r="F1992" t="s">
        <v>128</v>
      </c>
      <c r="G1992" t="s">
        <v>13</v>
      </c>
      <c r="H1992" t="s">
        <v>22</v>
      </c>
      <c r="I1992" t="e">
        <f t="shared" ca="1" si="160"/>
        <v>#REF!</v>
      </c>
      <c r="J1992" t="str">
        <f>VLOOKUP($G1992,DefinitionArrays!$I$6:$J$12,2,FALSE)</f>
        <v>Workweek</v>
      </c>
    </row>
    <row r="1993" spans="1:10">
      <c r="A1993" s="159" t="str">
        <f t="shared" si="156"/>
        <v>$B$1:$B$92</v>
      </c>
      <c r="B1993" s="159" t="str">
        <f t="shared" si="157"/>
        <v>$C$1:$C$92</v>
      </c>
      <c r="C1993" s="159" t="str">
        <f t="shared" si="158"/>
        <v>September!$B$1:$B$92</v>
      </c>
      <c r="D1993" s="159" t="str">
        <f t="shared" si="159"/>
        <v>September!$C$1:$C$92</v>
      </c>
      <c r="E1993" t="s">
        <v>5</v>
      </c>
      <c r="F1993" t="s">
        <v>128</v>
      </c>
      <c r="G1993" t="s">
        <v>13</v>
      </c>
      <c r="H1993" t="s">
        <v>23</v>
      </c>
      <c r="I1993" t="e">
        <f t="shared" ca="1" si="160"/>
        <v>#REF!</v>
      </c>
      <c r="J1993" t="str">
        <f>VLOOKUP($G1993,DefinitionArrays!$I$6:$J$12,2,FALSE)</f>
        <v>Workweek</v>
      </c>
    </row>
    <row r="1994" spans="1:10">
      <c r="A1994" s="159" t="str">
        <f t="shared" si="156"/>
        <v>$B$1:$B$92</v>
      </c>
      <c r="B1994" s="159" t="str">
        <f t="shared" si="157"/>
        <v>$C$1:$C$92</v>
      </c>
      <c r="C1994" s="159" t="str">
        <f t="shared" si="158"/>
        <v>September!$B$1:$B$92</v>
      </c>
      <c r="D1994" s="159" t="str">
        <f t="shared" si="159"/>
        <v>September!$C$1:$C$92</v>
      </c>
      <c r="E1994" t="s">
        <v>5</v>
      </c>
      <c r="F1994" t="s">
        <v>128</v>
      </c>
      <c r="G1994" t="s">
        <v>13</v>
      </c>
      <c r="H1994" t="s">
        <v>24</v>
      </c>
      <c r="I1994" t="e">
        <f t="shared" ca="1" si="160"/>
        <v>#REF!</v>
      </c>
      <c r="J1994" t="str">
        <f>VLOOKUP($G1994,DefinitionArrays!$I$6:$J$12,2,FALSE)</f>
        <v>Workweek</v>
      </c>
    </row>
    <row r="1995" spans="1:10">
      <c r="A1995" s="159" t="str">
        <f t="shared" si="156"/>
        <v>$B$1:$B$92</v>
      </c>
      <c r="B1995" s="159" t="str">
        <f t="shared" si="157"/>
        <v>$C$1:$C$92</v>
      </c>
      <c r="C1995" s="159" t="str">
        <f t="shared" si="158"/>
        <v>September!$B$1:$B$92</v>
      </c>
      <c r="D1995" s="159" t="str">
        <f t="shared" si="159"/>
        <v>September!$C$1:$C$92</v>
      </c>
      <c r="E1995" t="s">
        <v>5</v>
      </c>
      <c r="F1995" t="s">
        <v>128</v>
      </c>
      <c r="G1995" t="s">
        <v>13</v>
      </c>
      <c r="H1995" t="s">
        <v>179</v>
      </c>
      <c r="I1995" t="e">
        <f t="shared" ca="1" si="160"/>
        <v>#REF!</v>
      </c>
      <c r="J1995" t="str">
        <f>VLOOKUP($G1995,DefinitionArrays!$I$6:$J$12,2,FALSE)</f>
        <v>Workweek</v>
      </c>
    </row>
    <row r="1996" spans="1:10">
      <c r="A1996" s="159" t="str">
        <f t="shared" si="156"/>
        <v>$B$1:$B$92</v>
      </c>
      <c r="B1996" s="159" t="str">
        <f t="shared" si="157"/>
        <v>$C$1:$C$92</v>
      </c>
      <c r="C1996" s="159" t="str">
        <f t="shared" si="158"/>
        <v>September!$B$1:$B$92</v>
      </c>
      <c r="D1996" s="159" t="str">
        <f t="shared" si="159"/>
        <v>September!$C$1:$C$92</v>
      </c>
      <c r="E1996" t="s">
        <v>5</v>
      </c>
      <c r="F1996" t="s">
        <v>128</v>
      </c>
      <c r="G1996" t="s">
        <v>13</v>
      </c>
      <c r="H1996" t="s">
        <v>180</v>
      </c>
      <c r="I1996" t="e">
        <f t="shared" ca="1" si="160"/>
        <v>#REF!</v>
      </c>
      <c r="J1996" t="str">
        <f>VLOOKUP($G1996,DefinitionArrays!$I$6:$J$12,2,FALSE)</f>
        <v>Workweek</v>
      </c>
    </row>
    <row r="1997" spans="1:10">
      <c r="A1997" s="159" t="str">
        <f t="shared" si="156"/>
        <v>$B$1:$B$92</v>
      </c>
      <c r="B1997" s="159" t="str">
        <f t="shared" si="157"/>
        <v>$C$1:$C$92</v>
      </c>
      <c r="C1997" s="159" t="str">
        <f t="shared" si="158"/>
        <v>September!$B$1:$B$92</v>
      </c>
      <c r="D1997" s="159" t="str">
        <f t="shared" si="159"/>
        <v>September!$C$1:$C$92</v>
      </c>
      <c r="E1997" t="s">
        <v>5</v>
      </c>
      <c r="F1997" t="s">
        <v>128</v>
      </c>
      <c r="G1997" t="s">
        <v>13</v>
      </c>
      <c r="H1997" t="s">
        <v>44</v>
      </c>
      <c r="I1997" t="e">
        <f t="shared" ca="1" si="160"/>
        <v>#REF!</v>
      </c>
      <c r="J1997" t="str">
        <f>VLOOKUP($G1997,DefinitionArrays!$I$6:$J$12,2,FALSE)</f>
        <v>Workweek</v>
      </c>
    </row>
    <row r="1998" spans="1:10">
      <c r="A1998" s="159" t="str">
        <f t="shared" si="156"/>
        <v>$E$1:$E$92</v>
      </c>
      <c r="B1998" s="159" t="str">
        <f t="shared" si="157"/>
        <v>$F$1:$F$92</v>
      </c>
      <c r="C1998" s="159" t="str">
        <f t="shared" si="158"/>
        <v>September!$E$1:$E$92</v>
      </c>
      <c r="D1998" s="159" t="str">
        <f t="shared" si="159"/>
        <v>September!$F$1:$F$92</v>
      </c>
      <c r="E1998" t="s">
        <v>5</v>
      </c>
      <c r="F1998" t="s">
        <v>128</v>
      </c>
      <c r="G1998" t="s">
        <v>142</v>
      </c>
      <c r="H1998" t="s">
        <v>159</v>
      </c>
      <c r="I1998" t="e">
        <f t="shared" ca="1" si="160"/>
        <v>#REF!</v>
      </c>
      <c r="J1998" t="str">
        <f>VLOOKUP($G1998,DefinitionArrays!$I$6:$J$12,2,FALSE)</f>
        <v>Workweek</v>
      </c>
    </row>
    <row r="1999" spans="1:10">
      <c r="A1999" s="159" t="str">
        <f t="shared" si="156"/>
        <v>$E$1:$E$92</v>
      </c>
      <c r="B1999" s="159" t="str">
        <f t="shared" si="157"/>
        <v>$F$1:$F$92</v>
      </c>
      <c r="C1999" s="159" t="str">
        <f t="shared" si="158"/>
        <v>September!$E$1:$E$92</v>
      </c>
      <c r="D1999" s="159" t="str">
        <f t="shared" si="159"/>
        <v>September!$F$1:$F$92</v>
      </c>
      <c r="E1999" t="s">
        <v>5</v>
      </c>
      <c r="F1999" t="s">
        <v>128</v>
      </c>
      <c r="G1999" t="s">
        <v>142</v>
      </c>
      <c r="H1999" t="s">
        <v>18</v>
      </c>
      <c r="I1999" t="e">
        <f t="shared" ca="1" si="160"/>
        <v>#REF!</v>
      </c>
      <c r="J1999" t="str">
        <f>VLOOKUP($G1999,DefinitionArrays!$I$6:$J$12,2,FALSE)</f>
        <v>Workweek</v>
      </c>
    </row>
    <row r="2000" spans="1:10">
      <c r="A2000" s="159" t="str">
        <f t="shared" si="156"/>
        <v>$E$1:$E$92</v>
      </c>
      <c r="B2000" s="159" t="str">
        <f t="shared" si="157"/>
        <v>$F$1:$F$92</v>
      </c>
      <c r="C2000" s="159" t="str">
        <f t="shared" si="158"/>
        <v>September!$E$1:$E$92</v>
      </c>
      <c r="D2000" s="159" t="str">
        <f t="shared" si="159"/>
        <v>September!$F$1:$F$92</v>
      </c>
      <c r="E2000" t="s">
        <v>5</v>
      </c>
      <c r="F2000" t="s">
        <v>128</v>
      </c>
      <c r="G2000" t="s">
        <v>142</v>
      </c>
      <c r="H2000" t="s">
        <v>153</v>
      </c>
      <c r="I2000" t="e">
        <f t="shared" ca="1" si="160"/>
        <v>#REF!</v>
      </c>
      <c r="J2000" t="str">
        <f>VLOOKUP($G2000,DefinitionArrays!$I$6:$J$12,2,FALSE)</f>
        <v>Workweek</v>
      </c>
    </row>
    <row r="2001" spans="1:10">
      <c r="A2001" s="159" t="str">
        <f t="shared" si="156"/>
        <v>$E$1:$E$92</v>
      </c>
      <c r="B2001" s="159" t="str">
        <f t="shared" si="157"/>
        <v>$F$1:$F$92</v>
      </c>
      <c r="C2001" s="159" t="str">
        <f t="shared" si="158"/>
        <v>September!$E$1:$E$92</v>
      </c>
      <c r="D2001" s="159" t="str">
        <f t="shared" si="159"/>
        <v>September!$F$1:$F$92</v>
      </c>
      <c r="E2001" t="s">
        <v>5</v>
      </c>
      <c r="F2001" t="s">
        <v>128</v>
      </c>
      <c r="G2001" t="s">
        <v>142</v>
      </c>
      <c r="H2001" t="s">
        <v>19</v>
      </c>
      <c r="I2001" t="e">
        <f t="shared" ca="1" si="160"/>
        <v>#REF!</v>
      </c>
      <c r="J2001" t="str">
        <f>VLOOKUP($G2001,DefinitionArrays!$I$6:$J$12,2,FALSE)</f>
        <v>Workweek</v>
      </c>
    </row>
    <row r="2002" spans="1:10">
      <c r="A2002" s="159" t="str">
        <f t="shared" si="156"/>
        <v>$E$1:$E$92</v>
      </c>
      <c r="B2002" s="159" t="str">
        <f t="shared" si="157"/>
        <v>$F$1:$F$92</v>
      </c>
      <c r="C2002" s="159" t="str">
        <f t="shared" si="158"/>
        <v>September!$E$1:$E$92</v>
      </c>
      <c r="D2002" s="159" t="str">
        <f t="shared" si="159"/>
        <v>September!$F$1:$F$92</v>
      </c>
      <c r="E2002" t="s">
        <v>5</v>
      </c>
      <c r="F2002" t="s">
        <v>128</v>
      </c>
      <c r="G2002" t="s">
        <v>142</v>
      </c>
      <c r="H2002" t="s">
        <v>20</v>
      </c>
      <c r="I2002" t="e">
        <f t="shared" ca="1" si="160"/>
        <v>#REF!</v>
      </c>
      <c r="J2002" t="str">
        <f>VLOOKUP($G2002,DefinitionArrays!$I$6:$J$12,2,FALSE)</f>
        <v>Workweek</v>
      </c>
    </row>
    <row r="2003" spans="1:10">
      <c r="A2003" s="159" t="str">
        <f t="shared" si="156"/>
        <v>$E$1:$E$92</v>
      </c>
      <c r="B2003" s="159" t="str">
        <f t="shared" si="157"/>
        <v>$F$1:$F$92</v>
      </c>
      <c r="C2003" s="159" t="str">
        <f t="shared" si="158"/>
        <v>September!$E$1:$E$92</v>
      </c>
      <c r="D2003" s="159" t="str">
        <f t="shared" si="159"/>
        <v>September!$F$1:$F$92</v>
      </c>
      <c r="E2003" t="s">
        <v>5</v>
      </c>
      <c r="F2003" t="s">
        <v>128</v>
      </c>
      <c r="G2003" t="s">
        <v>142</v>
      </c>
      <c r="H2003" t="s">
        <v>21</v>
      </c>
      <c r="I2003" t="e">
        <f t="shared" ca="1" si="160"/>
        <v>#REF!</v>
      </c>
      <c r="J2003" t="str">
        <f>VLOOKUP($G2003,DefinitionArrays!$I$6:$J$12,2,FALSE)</f>
        <v>Workweek</v>
      </c>
    </row>
    <row r="2004" spans="1:10">
      <c r="A2004" s="159" t="str">
        <f t="shared" si="156"/>
        <v>$E$1:$E$92</v>
      </c>
      <c r="B2004" s="159" t="str">
        <f t="shared" si="157"/>
        <v>$F$1:$F$92</v>
      </c>
      <c r="C2004" s="159" t="str">
        <f t="shared" si="158"/>
        <v>September!$E$1:$E$92</v>
      </c>
      <c r="D2004" s="159" t="str">
        <f t="shared" si="159"/>
        <v>September!$F$1:$F$92</v>
      </c>
      <c r="E2004" t="s">
        <v>5</v>
      </c>
      <c r="F2004" t="s">
        <v>128</v>
      </c>
      <c r="G2004" t="s">
        <v>142</v>
      </c>
      <c r="H2004" t="s">
        <v>22</v>
      </c>
      <c r="I2004" t="e">
        <f t="shared" ca="1" si="160"/>
        <v>#REF!</v>
      </c>
      <c r="J2004" t="str">
        <f>VLOOKUP($G2004,DefinitionArrays!$I$6:$J$12,2,FALSE)</f>
        <v>Workweek</v>
      </c>
    </row>
    <row r="2005" spans="1:10">
      <c r="A2005" s="159" t="str">
        <f t="shared" si="156"/>
        <v>$E$1:$E$92</v>
      </c>
      <c r="B2005" s="159" t="str">
        <f t="shared" si="157"/>
        <v>$F$1:$F$92</v>
      </c>
      <c r="C2005" s="159" t="str">
        <f t="shared" si="158"/>
        <v>September!$E$1:$E$92</v>
      </c>
      <c r="D2005" s="159" t="str">
        <f t="shared" si="159"/>
        <v>September!$F$1:$F$92</v>
      </c>
      <c r="E2005" t="s">
        <v>5</v>
      </c>
      <c r="F2005" t="s">
        <v>128</v>
      </c>
      <c r="G2005" t="s">
        <v>142</v>
      </c>
      <c r="H2005" t="s">
        <v>23</v>
      </c>
      <c r="I2005" t="e">
        <f t="shared" ca="1" si="160"/>
        <v>#REF!</v>
      </c>
      <c r="J2005" t="str">
        <f>VLOOKUP($G2005,DefinitionArrays!$I$6:$J$12,2,FALSE)</f>
        <v>Workweek</v>
      </c>
    </row>
    <row r="2006" spans="1:10">
      <c r="A2006" s="159" t="str">
        <f t="shared" si="156"/>
        <v>$E$1:$E$92</v>
      </c>
      <c r="B2006" s="159" t="str">
        <f t="shared" si="157"/>
        <v>$F$1:$F$92</v>
      </c>
      <c r="C2006" s="159" t="str">
        <f t="shared" si="158"/>
        <v>September!$E$1:$E$92</v>
      </c>
      <c r="D2006" s="159" t="str">
        <f t="shared" si="159"/>
        <v>September!$F$1:$F$92</v>
      </c>
      <c r="E2006" t="s">
        <v>5</v>
      </c>
      <c r="F2006" t="s">
        <v>128</v>
      </c>
      <c r="G2006" t="s">
        <v>142</v>
      </c>
      <c r="H2006" t="s">
        <v>24</v>
      </c>
      <c r="I2006" t="e">
        <f t="shared" ca="1" si="160"/>
        <v>#REF!</v>
      </c>
      <c r="J2006" t="str">
        <f>VLOOKUP($G2006,DefinitionArrays!$I$6:$J$12,2,FALSE)</f>
        <v>Workweek</v>
      </c>
    </row>
    <row r="2007" spans="1:10">
      <c r="A2007" s="159" t="str">
        <f t="shared" si="156"/>
        <v>$E$1:$E$92</v>
      </c>
      <c r="B2007" s="159" t="str">
        <f t="shared" si="157"/>
        <v>$F$1:$F$92</v>
      </c>
      <c r="C2007" s="159" t="str">
        <f t="shared" si="158"/>
        <v>September!$E$1:$E$92</v>
      </c>
      <c r="D2007" s="159" t="str">
        <f t="shared" si="159"/>
        <v>September!$F$1:$F$92</v>
      </c>
      <c r="E2007" t="s">
        <v>5</v>
      </c>
      <c r="F2007" t="s">
        <v>128</v>
      </c>
      <c r="G2007" t="s">
        <v>142</v>
      </c>
      <c r="H2007" t="s">
        <v>179</v>
      </c>
      <c r="I2007" t="e">
        <f t="shared" ca="1" si="160"/>
        <v>#REF!</v>
      </c>
      <c r="J2007" t="str">
        <f>VLOOKUP($G2007,DefinitionArrays!$I$6:$J$12,2,FALSE)</f>
        <v>Workweek</v>
      </c>
    </row>
    <row r="2008" spans="1:10">
      <c r="A2008" s="159" t="str">
        <f t="shared" si="156"/>
        <v>$E$1:$E$92</v>
      </c>
      <c r="B2008" s="159" t="str">
        <f t="shared" si="157"/>
        <v>$F$1:$F$92</v>
      </c>
      <c r="C2008" s="159" t="str">
        <f t="shared" si="158"/>
        <v>September!$E$1:$E$92</v>
      </c>
      <c r="D2008" s="159" t="str">
        <f t="shared" si="159"/>
        <v>September!$F$1:$F$92</v>
      </c>
      <c r="E2008" t="s">
        <v>5</v>
      </c>
      <c r="F2008" t="s">
        <v>128</v>
      </c>
      <c r="G2008" t="s">
        <v>142</v>
      </c>
      <c r="H2008" t="s">
        <v>180</v>
      </c>
      <c r="I2008" t="e">
        <f t="shared" ca="1" si="160"/>
        <v>#REF!</v>
      </c>
      <c r="J2008" t="str">
        <f>VLOOKUP($G2008,DefinitionArrays!$I$6:$J$12,2,FALSE)</f>
        <v>Workweek</v>
      </c>
    </row>
    <row r="2009" spans="1:10">
      <c r="A2009" s="159" t="str">
        <f t="shared" si="156"/>
        <v>$E$1:$E$92</v>
      </c>
      <c r="B2009" s="159" t="str">
        <f t="shared" si="157"/>
        <v>$F$1:$F$92</v>
      </c>
      <c r="C2009" s="159" t="str">
        <f t="shared" si="158"/>
        <v>September!$E$1:$E$92</v>
      </c>
      <c r="D2009" s="159" t="str">
        <f t="shared" si="159"/>
        <v>September!$F$1:$F$92</v>
      </c>
      <c r="E2009" t="s">
        <v>5</v>
      </c>
      <c r="F2009" t="s">
        <v>128</v>
      </c>
      <c r="G2009" t="s">
        <v>142</v>
      </c>
      <c r="H2009" t="s">
        <v>44</v>
      </c>
      <c r="I2009" t="e">
        <f t="shared" ca="1" si="160"/>
        <v>#REF!</v>
      </c>
      <c r="J2009" t="str">
        <f>VLOOKUP($G2009,DefinitionArrays!$I$6:$J$12,2,FALSE)</f>
        <v>Workweek</v>
      </c>
    </row>
    <row r="2010" spans="1:10">
      <c r="A2010" s="159" t="str">
        <f t="shared" si="156"/>
        <v>$H$1:$H$92</v>
      </c>
      <c r="B2010" s="159" t="str">
        <f t="shared" si="157"/>
        <v>$I$1:$I$92</v>
      </c>
      <c r="C2010" s="159" t="str">
        <f t="shared" si="158"/>
        <v>September!$H$1:$H$92</v>
      </c>
      <c r="D2010" s="159" t="str">
        <f t="shared" si="159"/>
        <v>September!$I$1:$I$92</v>
      </c>
      <c r="E2010" t="s">
        <v>5</v>
      </c>
      <c r="F2010" t="s">
        <v>128</v>
      </c>
      <c r="G2010" t="s">
        <v>143</v>
      </c>
      <c r="H2010" t="s">
        <v>159</v>
      </c>
      <c r="I2010" t="e">
        <f t="shared" ca="1" si="160"/>
        <v>#REF!</v>
      </c>
      <c r="J2010" t="str">
        <f>VLOOKUP($G2010,DefinitionArrays!$I$6:$J$12,2,FALSE)</f>
        <v>Workweek</v>
      </c>
    </row>
    <row r="2011" spans="1:10">
      <c r="A2011" s="159" t="str">
        <f t="shared" si="156"/>
        <v>$H$1:$H$92</v>
      </c>
      <c r="B2011" s="159" t="str">
        <f t="shared" si="157"/>
        <v>$I$1:$I$92</v>
      </c>
      <c r="C2011" s="159" t="str">
        <f t="shared" si="158"/>
        <v>September!$H$1:$H$92</v>
      </c>
      <c r="D2011" s="159" t="str">
        <f t="shared" si="159"/>
        <v>September!$I$1:$I$92</v>
      </c>
      <c r="E2011" t="s">
        <v>5</v>
      </c>
      <c r="F2011" t="s">
        <v>128</v>
      </c>
      <c r="G2011" t="s">
        <v>143</v>
      </c>
      <c r="H2011" t="s">
        <v>18</v>
      </c>
      <c r="I2011" t="e">
        <f t="shared" ca="1" si="160"/>
        <v>#REF!</v>
      </c>
      <c r="J2011" t="str">
        <f>VLOOKUP($G2011,DefinitionArrays!$I$6:$J$12,2,FALSE)</f>
        <v>Workweek</v>
      </c>
    </row>
    <row r="2012" spans="1:10">
      <c r="A2012" s="159" t="str">
        <f t="shared" si="156"/>
        <v>$H$1:$H$92</v>
      </c>
      <c r="B2012" s="159" t="str">
        <f t="shared" si="157"/>
        <v>$I$1:$I$92</v>
      </c>
      <c r="C2012" s="159" t="str">
        <f t="shared" si="158"/>
        <v>September!$H$1:$H$92</v>
      </c>
      <c r="D2012" s="159" t="str">
        <f t="shared" si="159"/>
        <v>September!$I$1:$I$92</v>
      </c>
      <c r="E2012" t="s">
        <v>5</v>
      </c>
      <c r="F2012" t="s">
        <v>128</v>
      </c>
      <c r="G2012" t="s">
        <v>143</v>
      </c>
      <c r="H2012" t="s">
        <v>153</v>
      </c>
      <c r="I2012" t="e">
        <f t="shared" ca="1" si="160"/>
        <v>#REF!</v>
      </c>
      <c r="J2012" t="str">
        <f>VLOOKUP($G2012,DefinitionArrays!$I$6:$J$12,2,FALSE)</f>
        <v>Workweek</v>
      </c>
    </row>
    <row r="2013" spans="1:10">
      <c r="A2013" s="159" t="str">
        <f t="shared" si="156"/>
        <v>$H$1:$H$92</v>
      </c>
      <c r="B2013" s="159" t="str">
        <f t="shared" si="157"/>
        <v>$I$1:$I$92</v>
      </c>
      <c r="C2013" s="159" t="str">
        <f t="shared" si="158"/>
        <v>September!$H$1:$H$92</v>
      </c>
      <c r="D2013" s="159" t="str">
        <f t="shared" si="159"/>
        <v>September!$I$1:$I$92</v>
      </c>
      <c r="E2013" t="s">
        <v>5</v>
      </c>
      <c r="F2013" t="s">
        <v>128</v>
      </c>
      <c r="G2013" t="s">
        <v>143</v>
      </c>
      <c r="H2013" t="s">
        <v>19</v>
      </c>
      <c r="I2013" t="e">
        <f t="shared" ca="1" si="160"/>
        <v>#REF!</v>
      </c>
      <c r="J2013" t="str">
        <f>VLOOKUP($G2013,DefinitionArrays!$I$6:$J$12,2,FALSE)</f>
        <v>Workweek</v>
      </c>
    </row>
    <row r="2014" spans="1:10">
      <c r="A2014" s="159" t="str">
        <f t="shared" si="156"/>
        <v>$H$1:$H$92</v>
      </c>
      <c r="B2014" s="159" t="str">
        <f t="shared" si="157"/>
        <v>$I$1:$I$92</v>
      </c>
      <c r="C2014" s="159" t="str">
        <f t="shared" si="158"/>
        <v>September!$H$1:$H$92</v>
      </c>
      <c r="D2014" s="159" t="str">
        <f t="shared" si="159"/>
        <v>September!$I$1:$I$92</v>
      </c>
      <c r="E2014" t="s">
        <v>5</v>
      </c>
      <c r="F2014" t="s">
        <v>128</v>
      </c>
      <c r="G2014" t="s">
        <v>143</v>
      </c>
      <c r="H2014" t="s">
        <v>20</v>
      </c>
      <c r="I2014" t="e">
        <f t="shared" ca="1" si="160"/>
        <v>#REF!</v>
      </c>
      <c r="J2014" t="str">
        <f>VLOOKUP($G2014,DefinitionArrays!$I$6:$J$12,2,FALSE)</f>
        <v>Workweek</v>
      </c>
    </row>
    <row r="2015" spans="1:10">
      <c r="A2015" s="159" t="str">
        <f t="shared" si="156"/>
        <v>$H$1:$H$92</v>
      </c>
      <c r="B2015" s="159" t="str">
        <f t="shared" si="157"/>
        <v>$I$1:$I$92</v>
      </c>
      <c r="C2015" s="159" t="str">
        <f t="shared" si="158"/>
        <v>September!$H$1:$H$92</v>
      </c>
      <c r="D2015" s="159" t="str">
        <f t="shared" si="159"/>
        <v>September!$I$1:$I$92</v>
      </c>
      <c r="E2015" t="s">
        <v>5</v>
      </c>
      <c r="F2015" t="s">
        <v>128</v>
      </c>
      <c r="G2015" t="s">
        <v>143</v>
      </c>
      <c r="H2015" t="s">
        <v>21</v>
      </c>
      <c r="I2015" t="e">
        <f t="shared" ca="1" si="160"/>
        <v>#REF!</v>
      </c>
      <c r="J2015" t="str">
        <f>VLOOKUP($G2015,DefinitionArrays!$I$6:$J$12,2,FALSE)</f>
        <v>Workweek</v>
      </c>
    </row>
    <row r="2016" spans="1:10">
      <c r="A2016" s="159" t="str">
        <f t="shared" si="156"/>
        <v>$H$1:$H$92</v>
      </c>
      <c r="B2016" s="159" t="str">
        <f t="shared" si="157"/>
        <v>$I$1:$I$92</v>
      </c>
      <c r="C2016" s="159" t="str">
        <f t="shared" si="158"/>
        <v>September!$H$1:$H$92</v>
      </c>
      <c r="D2016" s="159" t="str">
        <f t="shared" si="159"/>
        <v>September!$I$1:$I$92</v>
      </c>
      <c r="E2016" t="s">
        <v>5</v>
      </c>
      <c r="F2016" t="s">
        <v>128</v>
      </c>
      <c r="G2016" t="s">
        <v>143</v>
      </c>
      <c r="H2016" t="s">
        <v>22</v>
      </c>
      <c r="I2016" t="e">
        <f t="shared" ca="1" si="160"/>
        <v>#REF!</v>
      </c>
      <c r="J2016" t="str">
        <f>VLOOKUP($G2016,DefinitionArrays!$I$6:$J$12,2,FALSE)</f>
        <v>Workweek</v>
      </c>
    </row>
    <row r="2017" spans="1:10">
      <c r="A2017" s="159" t="str">
        <f t="shared" si="156"/>
        <v>$H$1:$H$92</v>
      </c>
      <c r="B2017" s="159" t="str">
        <f t="shared" si="157"/>
        <v>$I$1:$I$92</v>
      </c>
      <c r="C2017" s="159" t="str">
        <f t="shared" si="158"/>
        <v>September!$H$1:$H$92</v>
      </c>
      <c r="D2017" s="159" t="str">
        <f t="shared" si="159"/>
        <v>September!$I$1:$I$92</v>
      </c>
      <c r="E2017" t="s">
        <v>5</v>
      </c>
      <c r="F2017" t="s">
        <v>128</v>
      </c>
      <c r="G2017" t="s">
        <v>143</v>
      </c>
      <c r="H2017" t="s">
        <v>23</v>
      </c>
      <c r="I2017" t="e">
        <f t="shared" ca="1" si="160"/>
        <v>#REF!</v>
      </c>
      <c r="J2017" t="str">
        <f>VLOOKUP($G2017,DefinitionArrays!$I$6:$J$12,2,FALSE)</f>
        <v>Workweek</v>
      </c>
    </row>
    <row r="2018" spans="1:10">
      <c r="A2018" s="159" t="str">
        <f t="shared" si="156"/>
        <v>$H$1:$H$92</v>
      </c>
      <c r="B2018" s="159" t="str">
        <f t="shared" si="157"/>
        <v>$I$1:$I$92</v>
      </c>
      <c r="C2018" s="159" t="str">
        <f t="shared" si="158"/>
        <v>September!$H$1:$H$92</v>
      </c>
      <c r="D2018" s="159" t="str">
        <f t="shared" si="159"/>
        <v>September!$I$1:$I$92</v>
      </c>
      <c r="E2018" t="s">
        <v>5</v>
      </c>
      <c r="F2018" t="s">
        <v>128</v>
      </c>
      <c r="G2018" t="s">
        <v>143</v>
      </c>
      <c r="H2018" t="s">
        <v>24</v>
      </c>
      <c r="I2018" t="e">
        <f t="shared" ca="1" si="160"/>
        <v>#REF!</v>
      </c>
      <c r="J2018" t="str">
        <f>VLOOKUP($G2018,DefinitionArrays!$I$6:$J$12,2,FALSE)</f>
        <v>Workweek</v>
      </c>
    </row>
    <row r="2019" spans="1:10">
      <c r="A2019" s="159" t="str">
        <f t="shared" si="156"/>
        <v>$H$1:$H$92</v>
      </c>
      <c r="B2019" s="159" t="str">
        <f t="shared" si="157"/>
        <v>$I$1:$I$92</v>
      </c>
      <c r="C2019" s="159" t="str">
        <f t="shared" si="158"/>
        <v>September!$H$1:$H$92</v>
      </c>
      <c r="D2019" s="159" t="str">
        <f t="shared" si="159"/>
        <v>September!$I$1:$I$92</v>
      </c>
      <c r="E2019" t="s">
        <v>5</v>
      </c>
      <c r="F2019" t="s">
        <v>128</v>
      </c>
      <c r="G2019" t="s">
        <v>143</v>
      </c>
      <c r="H2019" t="s">
        <v>179</v>
      </c>
      <c r="I2019" t="e">
        <f t="shared" ca="1" si="160"/>
        <v>#REF!</v>
      </c>
      <c r="J2019" t="str">
        <f>VLOOKUP($G2019,DefinitionArrays!$I$6:$J$12,2,FALSE)</f>
        <v>Workweek</v>
      </c>
    </row>
    <row r="2020" spans="1:10">
      <c r="A2020" s="159" t="str">
        <f t="shared" si="156"/>
        <v>$H$1:$H$92</v>
      </c>
      <c r="B2020" s="159" t="str">
        <f t="shared" si="157"/>
        <v>$I$1:$I$92</v>
      </c>
      <c r="C2020" s="159" t="str">
        <f t="shared" si="158"/>
        <v>September!$H$1:$H$92</v>
      </c>
      <c r="D2020" s="159" t="str">
        <f t="shared" si="159"/>
        <v>September!$I$1:$I$92</v>
      </c>
      <c r="E2020" t="s">
        <v>5</v>
      </c>
      <c r="F2020" t="s">
        <v>128</v>
      </c>
      <c r="G2020" t="s">
        <v>143</v>
      </c>
      <c r="H2020" t="s">
        <v>180</v>
      </c>
      <c r="I2020" t="e">
        <f t="shared" ca="1" si="160"/>
        <v>#REF!</v>
      </c>
      <c r="J2020" t="str">
        <f>VLOOKUP($G2020,DefinitionArrays!$I$6:$J$12,2,FALSE)</f>
        <v>Workweek</v>
      </c>
    </row>
    <row r="2021" spans="1:10">
      <c r="A2021" s="159" t="str">
        <f t="shared" si="156"/>
        <v>$H$1:$H$92</v>
      </c>
      <c r="B2021" s="159" t="str">
        <f t="shared" si="157"/>
        <v>$I$1:$I$92</v>
      </c>
      <c r="C2021" s="159" t="str">
        <f t="shared" si="158"/>
        <v>September!$H$1:$H$92</v>
      </c>
      <c r="D2021" s="159" t="str">
        <f t="shared" si="159"/>
        <v>September!$I$1:$I$92</v>
      </c>
      <c r="E2021" t="s">
        <v>5</v>
      </c>
      <c r="F2021" t="s">
        <v>128</v>
      </c>
      <c r="G2021" t="s">
        <v>143</v>
      </c>
      <c r="H2021" t="s">
        <v>44</v>
      </c>
      <c r="I2021" t="e">
        <f t="shared" ca="1" si="160"/>
        <v>#REF!</v>
      </c>
      <c r="J2021" t="str">
        <f>VLOOKUP($G2021,DefinitionArrays!$I$6:$J$12,2,FALSE)</f>
        <v>Workweek</v>
      </c>
    </row>
    <row r="2022" spans="1:10">
      <c r="A2022" s="159" t="str">
        <f t="shared" si="156"/>
        <v>$K$1:$K$92</v>
      </c>
      <c r="B2022" s="159" t="str">
        <f t="shared" si="157"/>
        <v>$L$1:$L$92</v>
      </c>
      <c r="C2022" s="159" t="str">
        <f t="shared" si="158"/>
        <v>September!$K$1:$K$92</v>
      </c>
      <c r="D2022" s="159" t="str">
        <f t="shared" si="159"/>
        <v>September!$L$1:$L$92</v>
      </c>
      <c r="E2022" t="s">
        <v>5</v>
      </c>
      <c r="F2022" t="s">
        <v>128</v>
      </c>
      <c r="G2022" t="s">
        <v>144</v>
      </c>
      <c r="H2022" t="s">
        <v>159</v>
      </c>
      <c r="I2022" t="e">
        <f t="shared" ca="1" si="160"/>
        <v>#REF!</v>
      </c>
      <c r="J2022" t="str">
        <f>VLOOKUP($G2022,DefinitionArrays!$I$6:$J$12,2,FALSE)</f>
        <v>Workweek</v>
      </c>
    </row>
    <row r="2023" spans="1:10">
      <c r="A2023" s="159" t="str">
        <f t="shared" si="156"/>
        <v>$K$1:$K$92</v>
      </c>
      <c r="B2023" s="159" t="str">
        <f t="shared" si="157"/>
        <v>$L$1:$L$92</v>
      </c>
      <c r="C2023" s="159" t="str">
        <f t="shared" si="158"/>
        <v>September!$K$1:$K$92</v>
      </c>
      <c r="D2023" s="159" t="str">
        <f t="shared" si="159"/>
        <v>September!$L$1:$L$92</v>
      </c>
      <c r="E2023" t="s">
        <v>5</v>
      </c>
      <c r="F2023" t="s">
        <v>128</v>
      </c>
      <c r="G2023" t="s">
        <v>144</v>
      </c>
      <c r="H2023" t="s">
        <v>18</v>
      </c>
      <c r="I2023" t="e">
        <f t="shared" ca="1" si="160"/>
        <v>#REF!</v>
      </c>
      <c r="J2023" t="str">
        <f>VLOOKUP($G2023,DefinitionArrays!$I$6:$J$12,2,FALSE)</f>
        <v>Workweek</v>
      </c>
    </row>
    <row r="2024" spans="1:10">
      <c r="A2024" s="159" t="str">
        <f t="shared" si="156"/>
        <v>$K$1:$K$92</v>
      </c>
      <c r="B2024" s="159" t="str">
        <f t="shared" si="157"/>
        <v>$L$1:$L$92</v>
      </c>
      <c r="C2024" s="159" t="str">
        <f t="shared" si="158"/>
        <v>September!$K$1:$K$92</v>
      </c>
      <c r="D2024" s="159" t="str">
        <f t="shared" si="159"/>
        <v>September!$L$1:$L$92</v>
      </c>
      <c r="E2024" t="s">
        <v>5</v>
      </c>
      <c r="F2024" t="s">
        <v>128</v>
      </c>
      <c r="G2024" t="s">
        <v>144</v>
      </c>
      <c r="H2024" t="s">
        <v>153</v>
      </c>
      <c r="I2024" t="e">
        <f t="shared" ca="1" si="160"/>
        <v>#REF!</v>
      </c>
      <c r="J2024" t="str">
        <f>VLOOKUP($G2024,DefinitionArrays!$I$6:$J$12,2,FALSE)</f>
        <v>Workweek</v>
      </c>
    </row>
    <row r="2025" spans="1:10">
      <c r="A2025" s="159" t="str">
        <f t="shared" si="156"/>
        <v>$K$1:$K$92</v>
      </c>
      <c r="B2025" s="159" t="str">
        <f t="shared" si="157"/>
        <v>$L$1:$L$92</v>
      </c>
      <c r="C2025" s="159" t="str">
        <f t="shared" si="158"/>
        <v>September!$K$1:$K$92</v>
      </c>
      <c r="D2025" s="159" t="str">
        <f t="shared" si="159"/>
        <v>September!$L$1:$L$92</v>
      </c>
      <c r="E2025" t="s">
        <v>5</v>
      </c>
      <c r="F2025" t="s">
        <v>128</v>
      </c>
      <c r="G2025" t="s">
        <v>144</v>
      </c>
      <c r="H2025" t="s">
        <v>19</v>
      </c>
      <c r="I2025" t="e">
        <f t="shared" ca="1" si="160"/>
        <v>#REF!</v>
      </c>
      <c r="J2025" t="str">
        <f>VLOOKUP($G2025,DefinitionArrays!$I$6:$J$12,2,FALSE)</f>
        <v>Workweek</v>
      </c>
    </row>
    <row r="2026" spans="1:10">
      <c r="A2026" s="159" t="str">
        <f t="shared" si="156"/>
        <v>$K$1:$K$92</v>
      </c>
      <c r="B2026" s="159" t="str">
        <f t="shared" si="157"/>
        <v>$L$1:$L$92</v>
      </c>
      <c r="C2026" s="159" t="str">
        <f t="shared" si="158"/>
        <v>September!$K$1:$K$92</v>
      </c>
      <c r="D2026" s="159" t="str">
        <f t="shared" si="159"/>
        <v>September!$L$1:$L$92</v>
      </c>
      <c r="E2026" t="s">
        <v>5</v>
      </c>
      <c r="F2026" t="s">
        <v>128</v>
      </c>
      <c r="G2026" t="s">
        <v>144</v>
      </c>
      <c r="H2026" t="s">
        <v>20</v>
      </c>
      <c r="I2026" t="e">
        <f t="shared" ca="1" si="160"/>
        <v>#REF!</v>
      </c>
      <c r="J2026" t="str">
        <f>VLOOKUP($G2026,DefinitionArrays!$I$6:$J$12,2,FALSE)</f>
        <v>Workweek</v>
      </c>
    </row>
    <row r="2027" spans="1:10">
      <c r="A2027" s="159" t="str">
        <f t="shared" si="156"/>
        <v>$K$1:$K$92</v>
      </c>
      <c r="B2027" s="159" t="str">
        <f t="shared" si="157"/>
        <v>$L$1:$L$92</v>
      </c>
      <c r="C2027" s="159" t="str">
        <f t="shared" si="158"/>
        <v>September!$K$1:$K$92</v>
      </c>
      <c r="D2027" s="159" t="str">
        <f t="shared" si="159"/>
        <v>September!$L$1:$L$92</v>
      </c>
      <c r="E2027" t="s">
        <v>5</v>
      </c>
      <c r="F2027" t="s">
        <v>128</v>
      </c>
      <c r="G2027" t="s">
        <v>144</v>
      </c>
      <c r="H2027" t="s">
        <v>21</v>
      </c>
      <c r="I2027" t="e">
        <f t="shared" ca="1" si="160"/>
        <v>#REF!</v>
      </c>
      <c r="J2027" t="str">
        <f>VLOOKUP($G2027,DefinitionArrays!$I$6:$J$12,2,FALSE)</f>
        <v>Workweek</v>
      </c>
    </row>
    <row r="2028" spans="1:10">
      <c r="A2028" s="159" t="str">
        <f t="shared" si="156"/>
        <v>$K$1:$K$92</v>
      </c>
      <c r="B2028" s="159" t="str">
        <f t="shared" si="157"/>
        <v>$L$1:$L$92</v>
      </c>
      <c r="C2028" s="159" t="str">
        <f t="shared" si="158"/>
        <v>September!$K$1:$K$92</v>
      </c>
      <c r="D2028" s="159" t="str">
        <f t="shared" si="159"/>
        <v>September!$L$1:$L$92</v>
      </c>
      <c r="E2028" t="s">
        <v>5</v>
      </c>
      <c r="F2028" t="s">
        <v>128</v>
      </c>
      <c r="G2028" t="s">
        <v>144</v>
      </c>
      <c r="H2028" t="s">
        <v>22</v>
      </c>
      <c r="I2028" t="e">
        <f t="shared" ca="1" si="160"/>
        <v>#REF!</v>
      </c>
      <c r="J2028" t="str">
        <f>VLOOKUP($G2028,DefinitionArrays!$I$6:$J$12,2,FALSE)</f>
        <v>Workweek</v>
      </c>
    </row>
    <row r="2029" spans="1:10">
      <c r="A2029" s="159" t="str">
        <f t="shared" si="156"/>
        <v>$K$1:$K$92</v>
      </c>
      <c r="B2029" s="159" t="str">
        <f t="shared" si="157"/>
        <v>$L$1:$L$92</v>
      </c>
      <c r="C2029" s="159" t="str">
        <f t="shared" si="158"/>
        <v>September!$K$1:$K$92</v>
      </c>
      <c r="D2029" s="159" t="str">
        <f t="shared" si="159"/>
        <v>September!$L$1:$L$92</v>
      </c>
      <c r="E2029" t="s">
        <v>5</v>
      </c>
      <c r="F2029" t="s">
        <v>128</v>
      </c>
      <c r="G2029" t="s">
        <v>144</v>
      </c>
      <c r="H2029" t="s">
        <v>23</v>
      </c>
      <c r="I2029" t="e">
        <f t="shared" ca="1" si="160"/>
        <v>#REF!</v>
      </c>
      <c r="J2029" t="str">
        <f>VLOOKUP($G2029,DefinitionArrays!$I$6:$J$12,2,FALSE)</f>
        <v>Workweek</v>
      </c>
    </row>
    <row r="2030" spans="1:10">
      <c r="A2030" s="159" t="str">
        <f t="shared" si="156"/>
        <v>$K$1:$K$92</v>
      </c>
      <c r="B2030" s="159" t="str">
        <f t="shared" si="157"/>
        <v>$L$1:$L$92</v>
      </c>
      <c r="C2030" s="159" t="str">
        <f t="shared" si="158"/>
        <v>September!$K$1:$K$92</v>
      </c>
      <c r="D2030" s="159" t="str">
        <f t="shared" si="159"/>
        <v>September!$L$1:$L$92</v>
      </c>
      <c r="E2030" t="s">
        <v>5</v>
      </c>
      <c r="F2030" t="s">
        <v>128</v>
      </c>
      <c r="G2030" t="s">
        <v>144</v>
      </c>
      <c r="H2030" t="s">
        <v>24</v>
      </c>
      <c r="I2030" t="e">
        <f t="shared" ca="1" si="160"/>
        <v>#REF!</v>
      </c>
      <c r="J2030" t="str">
        <f>VLOOKUP($G2030,DefinitionArrays!$I$6:$J$12,2,FALSE)</f>
        <v>Workweek</v>
      </c>
    </row>
    <row r="2031" spans="1:10">
      <c r="A2031" s="159" t="str">
        <f t="shared" si="156"/>
        <v>$K$1:$K$92</v>
      </c>
      <c r="B2031" s="159" t="str">
        <f t="shared" si="157"/>
        <v>$L$1:$L$92</v>
      </c>
      <c r="C2031" s="159" t="str">
        <f t="shared" si="158"/>
        <v>September!$K$1:$K$92</v>
      </c>
      <c r="D2031" s="159" t="str">
        <f t="shared" si="159"/>
        <v>September!$L$1:$L$92</v>
      </c>
      <c r="E2031" t="s">
        <v>5</v>
      </c>
      <c r="F2031" t="s">
        <v>128</v>
      </c>
      <c r="G2031" t="s">
        <v>144</v>
      </c>
      <c r="H2031" t="s">
        <v>179</v>
      </c>
      <c r="I2031" t="e">
        <f t="shared" ca="1" si="160"/>
        <v>#REF!</v>
      </c>
      <c r="J2031" t="str">
        <f>VLOOKUP($G2031,DefinitionArrays!$I$6:$J$12,2,FALSE)</f>
        <v>Workweek</v>
      </c>
    </row>
    <row r="2032" spans="1:10">
      <c r="A2032" s="159" t="str">
        <f t="shared" si="156"/>
        <v>$K$1:$K$92</v>
      </c>
      <c r="B2032" s="159" t="str">
        <f t="shared" si="157"/>
        <v>$L$1:$L$92</v>
      </c>
      <c r="C2032" s="159" t="str">
        <f t="shared" si="158"/>
        <v>September!$K$1:$K$92</v>
      </c>
      <c r="D2032" s="159" t="str">
        <f t="shared" si="159"/>
        <v>September!$L$1:$L$92</v>
      </c>
      <c r="E2032" t="s">
        <v>5</v>
      </c>
      <c r="F2032" t="s">
        <v>128</v>
      </c>
      <c r="G2032" t="s">
        <v>144</v>
      </c>
      <c r="H2032" t="s">
        <v>180</v>
      </c>
      <c r="I2032" t="e">
        <f t="shared" ca="1" si="160"/>
        <v>#REF!</v>
      </c>
      <c r="J2032" t="str">
        <f>VLOOKUP($G2032,DefinitionArrays!$I$6:$J$12,2,FALSE)</f>
        <v>Workweek</v>
      </c>
    </row>
    <row r="2033" spans="1:10">
      <c r="A2033" s="159" t="str">
        <f t="shared" si="156"/>
        <v>$K$1:$K$92</v>
      </c>
      <c r="B2033" s="159" t="str">
        <f t="shared" si="157"/>
        <v>$L$1:$L$92</v>
      </c>
      <c r="C2033" s="159" t="str">
        <f t="shared" si="158"/>
        <v>September!$K$1:$K$92</v>
      </c>
      <c r="D2033" s="159" t="str">
        <f t="shared" si="159"/>
        <v>September!$L$1:$L$92</v>
      </c>
      <c r="E2033" t="s">
        <v>5</v>
      </c>
      <c r="F2033" t="s">
        <v>128</v>
      </c>
      <c r="G2033" t="s">
        <v>144</v>
      </c>
      <c r="H2033" t="s">
        <v>44</v>
      </c>
      <c r="I2033" t="e">
        <f t="shared" ca="1" si="160"/>
        <v>#REF!</v>
      </c>
      <c r="J2033" t="str">
        <f>VLOOKUP($G2033,DefinitionArrays!$I$6:$J$12,2,FALSE)</f>
        <v>Workweek</v>
      </c>
    </row>
    <row r="2034" spans="1:10">
      <c r="A2034" s="159" t="str">
        <f t="shared" si="156"/>
        <v>$N$1:$N$92</v>
      </c>
      <c r="B2034" s="159" t="str">
        <f t="shared" si="157"/>
        <v>$O$1:$O$92</v>
      </c>
      <c r="C2034" s="159" t="str">
        <f t="shared" si="158"/>
        <v>September!$N$1:$N$92</v>
      </c>
      <c r="D2034" s="159" t="str">
        <f t="shared" si="159"/>
        <v>September!$O$1:$O$92</v>
      </c>
      <c r="E2034" t="s">
        <v>5</v>
      </c>
      <c r="F2034" t="s">
        <v>128</v>
      </c>
      <c r="G2034" t="s">
        <v>145</v>
      </c>
      <c r="H2034" t="s">
        <v>159</v>
      </c>
      <c r="I2034" t="e">
        <f t="shared" ca="1" si="160"/>
        <v>#REF!</v>
      </c>
      <c r="J2034" t="str">
        <f>VLOOKUP($G2034,DefinitionArrays!$I$6:$J$12,2,FALSE)</f>
        <v>Weekend</v>
      </c>
    </row>
    <row r="2035" spans="1:10">
      <c r="A2035" s="159" t="str">
        <f t="shared" si="156"/>
        <v>$N$1:$N$92</v>
      </c>
      <c r="B2035" s="159" t="str">
        <f t="shared" si="157"/>
        <v>$O$1:$O$92</v>
      </c>
      <c r="C2035" s="159" t="str">
        <f t="shared" si="158"/>
        <v>September!$N$1:$N$92</v>
      </c>
      <c r="D2035" s="159" t="str">
        <f t="shared" si="159"/>
        <v>September!$O$1:$O$92</v>
      </c>
      <c r="E2035" t="s">
        <v>5</v>
      </c>
      <c r="F2035" t="s">
        <v>128</v>
      </c>
      <c r="G2035" t="s">
        <v>145</v>
      </c>
      <c r="H2035" t="s">
        <v>18</v>
      </c>
      <c r="I2035" t="e">
        <f t="shared" ca="1" si="160"/>
        <v>#REF!</v>
      </c>
      <c r="J2035" t="str">
        <f>VLOOKUP($G2035,DefinitionArrays!$I$6:$J$12,2,FALSE)</f>
        <v>Weekend</v>
      </c>
    </row>
    <row r="2036" spans="1:10">
      <c r="A2036" s="159" t="str">
        <f t="shared" si="156"/>
        <v>$N$1:$N$92</v>
      </c>
      <c r="B2036" s="159" t="str">
        <f t="shared" si="157"/>
        <v>$O$1:$O$92</v>
      </c>
      <c r="C2036" s="159" t="str">
        <f t="shared" si="158"/>
        <v>September!$N$1:$N$92</v>
      </c>
      <c r="D2036" s="159" t="str">
        <f t="shared" si="159"/>
        <v>September!$O$1:$O$92</v>
      </c>
      <c r="E2036" t="s">
        <v>5</v>
      </c>
      <c r="F2036" t="s">
        <v>128</v>
      </c>
      <c r="G2036" t="s">
        <v>145</v>
      </c>
      <c r="H2036" t="s">
        <v>153</v>
      </c>
      <c r="I2036" t="e">
        <f t="shared" ca="1" si="160"/>
        <v>#REF!</v>
      </c>
      <c r="J2036" t="str">
        <f>VLOOKUP($G2036,DefinitionArrays!$I$6:$J$12,2,FALSE)</f>
        <v>Weekend</v>
      </c>
    </row>
    <row r="2037" spans="1:10">
      <c r="A2037" s="159" t="str">
        <f t="shared" si="156"/>
        <v>$N$1:$N$92</v>
      </c>
      <c r="B2037" s="159" t="str">
        <f t="shared" si="157"/>
        <v>$O$1:$O$92</v>
      </c>
      <c r="C2037" s="159" t="str">
        <f t="shared" si="158"/>
        <v>September!$N$1:$N$92</v>
      </c>
      <c r="D2037" s="159" t="str">
        <f t="shared" si="159"/>
        <v>September!$O$1:$O$92</v>
      </c>
      <c r="E2037" t="s">
        <v>5</v>
      </c>
      <c r="F2037" t="s">
        <v>128</v>
      </c>
      <c r="G2037" t="s">
        <v>145</v>
      </c>
      <c r="H2037" t="s">
        <v>19</v>
      </c>
      <c r="I2037" t="e">
        <f t="shared" ca="1" si="160"/>
        <v>#REF!</v>
      </c>
      <c r="J2037" t="str">
        <f>VLOOKUP($G2037,DefinitionArrays!$I$6:$J$12,2,FALSE)</f>
        <v>Weekend</v>
      </c>
    </row>
    <row r="2038" spans="1:10">
      <c r="A2038" s="159" t="str">
        <f t="shared" si="156"/>
        <v>$N$1:$N$92</v>
      </c>
      <c r="B2038" s="159" t="str">
        <f t="shared" si="157"/>
        <v>$O$1:$O$92</v>
      </c>
      <c r="C2038" s="159" t="str">
        <f t="shared" si="158"/>
        <v>September!$N$1:$N$92</v>
      </c>
      <c r="D2038" s="159" t="str">
        <f t="shared" si="159"/>
        <v>September!$O$1:$O$92</v>
      </c>
      <c r="E2038" t="s">
        <v>5</v>
      </c>
      <c r="F2038" t="s">
        <v>128</v>
      </c>
      <c r="G2038" t="s">
        <v>145</v>
      </c>
      <c r="H2038" t="s">
        <v>20</v>
      </c>
      <c r="I2038" t="e">
        <f t="shared" ca="1" si="160"/>
        <v>#REF!</v>
      </c>
      <c r="J2038" t="str">
        <f>VLOOKUP($G2038,DefinitionArrays!$I$6:$J$12,2,FALSE)</f>
        <v>Weekend</v>
      </c>
    </row>
    <row r="2039" spans="1:10">
      <c r="A2039" s="159" t="str">
        <f t="shared" si="156"/>
        <v>$N$1:$N$92</v>
      </c>
      <c r="B2039" s="159" t="str">
        <f t="shared" si="157"/>
        <v>$O$1:$O$92</v>
      </c>
      <c r="C2039" s="159" t="str">
        <f t="shared" si="158"/>
        <v>September!$N$1:$N$92</v>
      </c>
      <c r="D2039" s="159" t="str">
        <f t="shared" si="159"/>
        <v>September!$O$1:$O$92</v>
      </c>
      <c r="E2039" t="s">
        <v>5</v>
      </c>
      <c r="F2039" t="s">
        <v>128</v>
      </c>
      <c r="G2039" t="s">
        <v>145</v>
      </c>
      <c r="H2039" t="s">
        <v>21</v>
      </c>
      <c r="I2039" t="e">
        <f t="shared" ca="1" si="160"/>
        <v>#REF!</v>
      </c>
      <c r="J2039" t="str">
        <f>VLOOKUP($G2039,DefinitionArrays!$I$6:$J$12,2,FALSE)</f>
        <v>Weekend</v>
      </c>
    </row>
    <row r="2040" spans="1:10">
      <c r="A2040" s="159" t="str">
        <f t="shared" si="156"/>
        <v>$N$1:$N$92</v>
      </c>
      <c r="B2040" s="159" t="str">
        <f t="shared" si="157"/>
        <v>$O$1:$O$92</v>
      </c>
      <c r="C2040" s="159" t="str">
        <f t="shared" si="158"/>
        <v>September!$N$1:$N$92</v>
      </c>
      <c r="D2040" s="159" t="str">
        <f t="shared" si="159"/>
        <v>September!$O$1:$O$92</v>
      </c>
      <c r="E2040" t="s">
        <v>5</v>
      </c>
      <c r="F2040" t="s">
        <v>128</v>
      </c>
      <c r="G2040" t="s">
        <v>145</v>
      </c>
      <c r="H2040" t="s">
        <v>22</v>
      </c>
      <c r="I2040" t="e">
        <f t="shared" ca="1" si="160"/>
        <v>#REF!</v>
      </c>
      <c r="J2040" t="str">
        <f>VLOOKUP($G2040,DefinitionArrays!$I$6:$J$12,2,FALSE)</f>
        <v>Weekend</v>
      </c>
    </row>
    <row r="2041" spans="1:10">
      <c r="A2041" s="159" t="str">
        <f t="shared" si="156"/>
        <v>$N$1:$N$92</v>
      </c>
      <c r="B2041" s="159" t="str">
        <f t="shared" si="157"/>
        <v>$O$1:$O$92</v>
      </c>
      <c r="C2041" s="159" t="str">
        <f t="shared" si="158"/>
        <v>September!$N$1:$N$92</v>
      </c>
      <c r="D2041" s="159" t="str">
        <f t="shared" si="159"/>
        <v>September!$O$1:$O$92</v>
      </c>
      <c r="E2041" t="s">
        <v>5</v>
      </c>
      <c r="F2041" t="s">
        <v>128</v>
      </c>
      <c r="G2041" t="s">
        <v>145</v>
      </c>
      <c r="H2041" t="s">
        <v>23</v>
      </c>
      <c r="I2041" t="e">
        <f t="shared" ca="1" si="160"/>
        <v>#REF!</v>
      </c>
      <c r="J2041" t="str">
        <f>VLOOKUP($G2041,DefinitionArrays!$I$6:$J$12,2,FALSE)</f>
        <v>Weekend</v>
      </c>
    </row>
    <row r="2042" spans="1:10">
      <c r="A2042" s="159" t="str">
        <f t="shared" si="156"/>
        <v>$N$1:$N$92</v>
      </c>
      <c r="B2042" s="159" t="str">
        <f t="shared" si="157"/>
        <v>$O$1:$O$92</v>
      </c>
      <c r="C2042" s="159" t="str">
        <f t="shared" si="158"/>
        <v>September!$N$1:$N$92</v>
      </c>
      <c r="D2042" s="159" t="str">
        <f t="shared" si="159"/>
        <v>September!$O$1:$O$92</v>
      </c>
      <c r="E2042" t="s">
        <v>5</v>
      </c>
      <c r="F2042" t="s">
        <v>128</v>
      </c>
      <c r="G2042" t="s">
        <v>145</v>
      </c>
      <c r="H2042" t="s">
        <v>24</v>
      </c>
      <c r="I2042" t="e">
        <f t="shared" ca="1" si="160"/>
        <v>#REF!</v>
      </c>
      <c r="J2042" t="str">
        <f>VLOOKUP($G2042,DefinitionArrays!$I$6:$J$12,2,FALSE)</f>
        <v>Weekend</v>
      </c>
    </row>
    <row r="2043" spans="1:10">
      <c r="A2043" s="159" t="str">
        <f t="shared" si="156"/>
        <v>$N$1:$N$92</v>
      </c>
      <c r="B2043" s="159" t="str">
        <f t="shared" si="157"/>
        <v>$O$1:$O$92</v>
      </c>
      <c r="C2043" s="159" t="str">
        <f t="shared" si="158"/>
        <v>September!$N$1:$N$92</v>
      </c>
      <c r="D2043" s="159" t="str">
        <f t="shared" si="159"/>
        <v>September!$O$1:$O$92</v>
      </c>
      <c r="E2043" t="s">
        <v>5</v>
      </c>
      <c r="F2043" t="s">
        <v>128</v>
      </c>
      <c r="G2043" t="s">
        <v>145</v>
      </c>
      <c r="H2043" t="s">
        <v>179</v>
      </c>
      <c r="I2043" t="e">
        <f t="shared" ca="1" si="160"/>
        <v>#REF!</v>
      </c>
      <c r="J2043" t="str">
        <f>VLOOKUP($G2043,DefinitionArrays!$I$6:$J$12,2,FALSE)</f>
        <v>Weekend</v>
      </c>
    </row>
    <row r="2044" spans="1:10">
      <c r="A2044" s="159" t="str">
        <f t="shared" si="156"/>
        <v>$N$1:$N$92</v>
      </c>
      <c r="B2044" s="159" t="str">
        <f t="shared" si="157"/>
        <v>$O$1:$O$92</v>
      </c>
      <c r="C2044" s="159" t="str">
        <f t="shared" si="158"/>
        <v>September!$N$1:$N$92</v>
      </c>
      <c r="D2044" s="159" t="str">
        <f t="shared" si="159"/>
        <v>September!$O$1:$O$92</v>
      </c>
      <c r="E2044" t="s">
        <v>5</v>
      </c>
      <c r="F2044" t="s">
        <v>128</v>
      </c>
      <c r="G2044" t="s">
        <v>145</v>
      </c>
      <c r="H2044" t="s">
        <v>180</v>
      </c>
      <c r="I2044" t="e">
        <f t="shared" ca="1" si="160"/>
        <v>#REF!</v>
      </c>
      <c r="J2044" t="str">
        <f>VLOOKUP($G2044,DefinitionArrays!$I$6:$J$12,2,FALSE)</f>
        <v>Weekend</v>
      </c>
    </row>
    <row r="2045" spans="1:10">
      <c r="A2045" s="159" t="str">
        <f t="shared" si="156"/>
        <v>$N$1:$N$92</v>
      </c>
      <c r="B2045" s="159" t="str">
        <f t="shared" si="157"/>
        <v>$O$1:$O$92</v>
      </c>
      <c r="C2045" s="159" t="str">
        <f t="shared" si="158"/>
        <v>September!$N$1:$N$92</v>
      </c>
      <c r="D2045" s="159" t="str">
        <f t="shared" si="159"/>
        <v>September!$O$1:$O$92</v>
      </c>
      <c r="E2045" t="s">
        <v>5</v>
      </c>
      <c r="F2045" t="s">
        <v>128</v>
      </c>
      <c r="G2045" t="s">
        <v>145</v>
      </c>
      <c r="H2045" t="s">
        <v>44</v>
      </c>
      <c r="I2045" t="e">
        <f t="shared" ca="1" si="160"/>
        <v>#REF!</v>
      </c>
      <c r="J2045" t="str">
        <f>VLOOKUP($G2045,DefinitionArrays!$I$6:$J$12,2,FALSE)</f>
        <v>Weekend</v>
      </c>
    </row>
    <row r="2046" spans="1:10">
      <c r="A2046" s="159" t="str">
        <f t="shared" si="156"/>
        <v>$Q$1:$Q$92</v>
      </c>
      <c r="B2046" s="159" t="str">
        <f t="shared" si="157"/>
        <v>$R$1:$R$92</v>
      </c>
      <c r="C2046" s="159" t="str">
        <f t="shared" si="158"/>
        <v>September!$Q$1:$Q$92</v>
      </c>
      <c r="D2046" s="159" t="str">
        <f t="shared" si="159"/>
        <v>September!$R$1:$R$92</v>
      </c>
      <c r="E2046" t="s">
        <v>5</v>
      </c>
      <c r="F2046" t="s">
        <v>128</v>
      </c>
      <c r="G2046" t="s">
        <v>146</v>
      </c>
      <c r="H2046" t="s">
        <v>159</v>
      </c>
      <c r="I2046" t="e">
        <f t="shared" ca="1" si="160"/>
        <v>#REF!</v>
      </c>
      <c r="J2046" t="str">
        <f>VLOOKUP($G2046,DefinitionArrays!$I$6:$J$12,2,FALSE)</f>
        <v>Weekend</v>
      </c>
    </row>
    <row r="2047" spans="1:10">
      <c r="A2047" s="159" t="str">
        <f t="shared" si="156"/>
        <v>$T$1:$T$92</v>
      </c>
      <c r="B2047" s="159" t="str">
        <f t="shared" si="157"/>
        <v>$U$1:$U$92</v>
      </c>
      <c r="C2047" s="159" t="str">
        <f t="shared" si="158"/>
        <v>September!$T$1:$T$92</v>
      </c>
      <c r="D2047" s="159" t="str">
        <f t="shared" si="159"/>
        <v>September!$U$1:$U$92</v>
      </c>
      <c r="E2047" t="s">
        <v>5</v>
      </c>
      <c r="F2047" t="s">
        <v>128</v>
      </c>
      <c r="G2047" t="s">
        <v>141</v>
      </c>
      <c r="H2047" t="s">
        <v>159</v>
      </c>
      <c r="I2047" t="e">
        <f t="shared" ca="1" si="160"/>
        <v>#REF!</v>
      </c>
      <c r="J2047" t="str">
        <f>VLOOKUP($G2047,DefinitionArrays!$I$6:$J$12,2,FALSE)</f>
        <v>Weekend</v>
      </c>
    </row>
    <row r="2048" spans="1:10">
      <c r="A2048" s="159" t="str">
        <f t="shared" si="156"/>
        <v>$B$1:$B$92</v>
      </c>
      <c r="B2048" s="159" t="str">
        <f t="shared" si="157"/>
        <v>$C$1:$C$92</v>
      </c>
      <c r="C2048" s="159" t="str">
        <f t="shared" si="158"/>
        <v>October!$B$1:$B$92</v>
      </c>
      <c r="D2048" s="159" t="str">
        <f t="shared" si="159"/>
        <v>October!$C$1:$C$92</v>
      </c>
      <c r="E2048" t="s">
        <v>5</v>
      </c>
      <c r="F2048" t="s">
        <v>129</v>
      </c>
      <c r="G2048" t="s">
        <v>13</v>
      </c>
      <c r="H2048" t="s">
        <v>159</v>
      </c>
      <c r="I2048" t="e">
        <f ca="1">COUNTIFS(INDIRECT($C2048),$E2048,INDIRECT($D2048),$H2048)</f>
        <v>#REF!</v>
      </c>
      <c r="J2048" t="str">
        <f>VLOOKUP($G2048,DefinitionArrays!$I$6:$J$12,2,FALSE)</f>
        <v>Workweek</v>
      </c>
    </row>
    <row r="2049" spans="1:10">
      <c r="A2049" s="159" t="str">
        <f t="shared" si="156"/>
        <v>$B$1:$B$92</v>
      </c>
      <c r="B2049" s="159" t="str">
        <f t="shared" si="157"/>
        <v>$C$1:$C$92</v>
      </c>
      <c r="C2049" s="159" t="str">
        <f t="shared" si="158"/>
        <v>October!$B$1:$B$92</v>
      </c>
      <c r="D2049" s="159" t="str">
        <f t="shared" si="159"/>
        <v>October!$C$1:$C$92</v>
      </c>
      <c r="E2049" t="s">
        <v>5</v>
      </c>
      <c r="F2049" t="s">
        <v>129</v>
      </c>
      <c r="G2049" t="s">
        <v>13</v>
      </c>
      <c r="H2049" t="s">
        <v>18</v>
      </c>
      <c r="I2049" t="e">
        <f t="shared" ref="I2049:I2109" ca="1" si="161">COUNTIFS(INDIRECT($C2049),$E2049,INDIRECT($D2049),$H2049)</f>
        <v>#REF!</v>
      </c>
      <c r="J2049" t="str">
        <f>VLOOKUP($G2049,DefinitionArrays!$I$6:$J$12,2,FALSE)</f>
        <v>Workweek</v>
      </c>
    </row>
    <row r="2050" spans="1:10">
      <c r="A2050" s="159" t="str">
        <f t="shared" ref="A2050:A2113" si="162">VLOOKUP($G2050,Fx_Code,2,FALSE)</f>
        <v>$B$1:$B$92</v>
      </c>
      <c r="B2050" s="159" t="str">
        <f t="shared" ref="B2050:B2113" si="163">VLOOKUP($G2050,Fx_Code,3,FALSE)</f>
        <v>$C$1:$C$92</v>
      </c>
      <c r="C2050" s="159" t="str">
        <f t="shared" ref="C2050:C2113" si="164">CONCATENATE($F2050,$K$1,A2050)</f>
        <v>October!$B$1:$B$92</v>
      </c>
      <c r="D2050" s="159" t="str">
        <f t="shared" ref="D2050:D2113" si="165">CONCATENATE($F2050,$K$1,B2050)</f>
        <v>October!$C$1:$C$92</v>
      </c>
      <c r="E2050" t="s">
        <v>5</v>
      </c>
      <c r="F2050" t="s">
        <v>129</v>
      </c>
      <c r="G2050" t="s">
        <v>13</v>
      </c>
      <c r="H2050" t="s">
        <v>153</v>
      </c>
      <c r="I2050" t="e">
        <f t="shared" ca="1" si="161"/>
        <v>#REF!</v>
      </c>
      <c r="J2050" t="str">
        <f>VLOOKUP($G2050,DefinitionArrays!$I$6:$J$12,2,FALSE)</f>
        <v>Workweek</v>
      </c>
    </row>
    <row r="2051" spans="1:10">
      <c r="A2051" s="159" t="str">
        <f t="shared" si="162"/>
        <v>$B$1:$B$92</v>
      </c>
      <c r="B2051" s="159" t="str">
        <f t="shared" si="163"/>
        <v>$C$1:$C$92</v>
      </c>
      <c r="C2051" s="159" t="str">
        <f t="shared" si="164"/>
        <v>October!$B$1:$B$92</v>
      </c>
      <c r="D2051" s="159" t="str">
        <f t="shared" si="165"/>
        <v>October!$C$1:$C$92</v>
      </c>
      <c r="E2051" t="s">
        <v>5</v>
      </c>
      <c r="F2051" t="s">
        <v>129</v>
      </c>
      <c r="G2051" t="s">
        <v>13</v>
      </c>
      <c r="H2051" t="s">
        <v>19</v>
      </c>
      <c r="I2051" t="e">
        <f t="shared" ca="1" si="161"/>
        <v>#REF!</v>
      </c>
      <c r="J2051" t="str">
        <f>VLOOKUP($G2051,DefinitionArrays!$I$6:$J$12,2,FALSE)</f>
        <v>Workweek</v>
      </c>
    </row>
    <row r="2052" spans="1:10">
      <c r="A2052" s="159" t="str">
        <f t="shared" si="162"/>
        <v>$B$1:$B$92</v>
      </c>
      <c r="B2052" s="159" t="str">
        <f t="shared" si="163"/>
        <v>$C$1:$C$92</v>
      </c>
      <c r="C2052" s="159" t="str">
        <f t="shared" si="164"/>
        <v>October!$B$1:$B$92</v>
      </c>
      <c r="D2052" s="159" t="str">
        <f t="shared" si="165"/>
        <v>October!$C$1:$C$92</v>
      </c>
      <c r="E2052" t="s">
        <v>5</v>
      </c>
      <c r="F2052" t="s">
        <v>129</v>
      </c>
      <c r="G2052" t="s">
        <v>13</v>
      </c>
      <c r="H2052" t="s">
        <v>20</v>
      </c>
      <c r="I2052" t="e">
        <f t="shared" ca="1" si="161"/>
        <v>#REF!</v>
      </c>
      <c r="J2052" t="str">
        <f>VLOOKUP($G2052,DefinitionArrays!$I$6:$J$12,2,FALSE)</f>
        <v>Workweek</v>
      </c>
    </row>
    <row r="2053" spans="1:10">
      <c r="A2053" s="159" t="str">
        <f t="shared" si="162"/>
        <v>$B$1:$B$92</v>
      </c>
      <c r="B2053" s="159" t="str">
        <f t="shared" si="163"/>
        <v>$C$1:$C$92</v>
      </c>
      <c r="C2053" s="159" t="str">
        <f t="shared" si="164"/>
        <v>October!$B$1:$B$92</v>
      </c>
      <c r="D2053" s="159" t="str">
        <f t="shared" si="165"/>
        <v>October!$C$1:$C$92</v>
      </c>
      <c r="E2053" t="s">
        <v>5</v>
      </c>
      <c r="F2053" t="s">
        <v>129</v>
      </c>
      <c r="G2053" t="s">
        <v>13</v>
      </c>
      <c r="H2053" t="s">
        <v>21</v>
      </c>
      <c r="I2053" t="e">
        <f t="shared" ca="1" si="161"/>
        <v>#REF!</v>
      </c>
      <c r="J2053" t="str">
        <f>VLOOKUP($G2053,DefinitionArrays!$I$6:$J$12,2,FALSE)</f>
        <v>Workweek</v>
      </c>
    </row>
    <row r="2054" spans="1:10">
      <c r="A2054" s="159" t="str">
        <f t="shared" si="162"/>
        <v>$B$1:$B$92</v>
      </c>
      <c r="B2054" s="159" t="str">
        <f t="shared" si="163"/>
        <v>$C$1:$C$92</v>
      </c>
      <c r="C2054" s="159" t="str">
        <f t="shared" si="164"/>
        <v>October!$B$1:$B$92</v>
      </c>
      <c r="D2054" s="159" t="str">
        <f t="shared" si="165"/>
        <v>October!$C$1:$C$92</v>
      </c>
      <c r="E2054" t="s">
        <v>5</v>
      </c>
      <c r="F2054" t="s">
        <v>129</v>
      </c>
      <c r="G2054" t="s">
        <v>13</v>
      </c>
      <c r="H2054" t="s">
        <v>22</v>
      </c>
      <c r="I2054" t="e">
        <f t="shared" ca="1" si="161"/>
        <v>#REF!</v>
      </c>
      <c r="J2054" t="str">
        <f>VLOOKUP($G2054,DefinitionArrays!$I$6:$J$12,2,FALSE)</f>
        <v>Workweek</v>
      </c>
    </row>
    <row r="2055" spans="1:10">
      <c r="A2055" s="159" t="str">
        <f t="shared" si="162"/>
        <v>$B$1:$B$92</v>
      </c>
      <c r="B2055" s="159" t="str">
        <f t="shared" si="163"/>
        <v>$C$1:$C$92</v>
      </c>
      <c r="C2055" s="159" t="str">
        <f t="shared" si="164"/>
        <v>October!$B$1:$B$92</v>
      </c>
      <c r="D2055" s="159" t="str">
        <f t="shared" si="165"/>
        <v>October!$C$1:$C$92</v>
      </c>
      <c r="E2055" t="s">
        <v>5</v>
      </c>
      <c r="F2055" t="s">
        <v>129</v>
      </c>
      <c r="G2055" t="s">
        <v>13</v>
      </c>
      <c r="H2055" t="s">
        <v>23</v>
      </c>
      <c r="I2055" t="e">
        <f t="shared" ca="1" si="161"/>
        <v>#REF!</v>
      </c>
      <c r="J2055" t="str">
        <f>VLOOKUP($G2055,DefinitionArrays!$I$6:$J$12,2,FALSE)</f>
        <v>Workweek</v>
      </c>
    </row>
    <row r="2056" spans="1:10">
      <c r="A2056" s="159" t="str">
        <f t="shared" si="162"/>
        <v>$B$1:$B$92</v>
      </c>
      <c r="B2056" s="159" t="str">
        <f t="shared" si="163"/>
        <v>$C$1:$C$92</v>
      </c>
      <c r="C2056" s="159" t="str">
        <f t="shared" si="164"/>
        <v>October!$B$1:$B$92</v>
      </c>
      <c r="D2056" s="159" t="str">
        <f t="shared" si="165"/>
        <v>October!$C$1:$C$92</v>
      </c>
      <c r="E2056" t="s">
        <v>5</v>
      </c>
      <c r="F2056" t="s">
        <v>129</v>
      </c>
      <c r="G2056" t="s">
        <v>13</v>
      </c>
      <c r="H2056" t="s">
        <v>24</v>
      </c>
      <c r="I2056" t="e">
        <f t="shared" ca="1" si="161"/>
        <v>#REF!</v>
      </c>
      <c r="J2056" t="str">
        <f>VLOOKUP($G2056,DefinitionArrays!$I$6:$J$12,2,FALSE)</f>
        <v>Workweek</v>
      </c>
    </row>
    <row r="2057" spans="1:10">
      <c r="A2057" s="159" t="str">
        <f t="shared" si="162"/>
        <v>$B$1:$B$92</v>
      </c>
      <c r="B2057" s="159" t="str">
        <f t="shared" si="163"/>
        <v>$C$1:$C$92</v>
      </c>
      <c r="C2057" s="159" t="str">
        <f t="shared" si="164"/>
        <v>October!$B$1:$B$92</v>
      </c>
      <c r="D2057" s="159" t="str">
        <f t="shared" si="165"/>
        <v>October!$C$1:$C$92</v>
      </c>
      <c r="E2057" t="s">
        <v>5</v>
      </c>
      <c r="F2057" t="s">
        <v>129</v>
      </c>
      <c r="G2057" t="s">
        <v>13</v>
      </c>
      <c r="H2057" t="s">
        <v>179</v>
      </c>
      <c r="I2057" t="e">
        <f t="shared" ca="1" si="161"/>
        <v>#REF!</v>
      </c>
      <c r="J2057" t="str">
        <f>VLOOKUP($G2057,DefinitionArrays!$I$6:$J$12,2,FALSE)</f>
        <v>Workweek</v>
      </c>
    </row>
    <row r="2058" spans="1:10">
      <c r="A2058" s="159" t="str">
        <f t="shared" si="162"/>
        <v>$B$1:$B$92</v>
      </c>
      <c r="B2058" s="159" t="str">
        <f t="shared" si="163"/>
        <v>$C$1:$C$92</v>
      </c>
      <c r="C2058" s="159" t="str">
        <f t="shared" si="164"/>
        <v>October!$B$1:$B$92</v>
      </c>
      <c r="D2058" s="159" t="str">
        <f t="shared" si="165"/>
        <v>October!$C$1:$C$92</v>
      </c>
      <c r="E2058" t="s">
        <v>5</v>
      </c>
      <c r="F2058" t="s">
        <v>129</v>
      </c>
      <c r="G2058" t="s">
        <v>13</v>
      </c>
      <c r="H2058" t="s">
        <v>180</v>
      </c>
      <c r="I2058" t="e">
        <f t="shared" ca="1" si="161"/>
        <v>#REF!</v>
      </c>
      <c r="J2058" t="str">
        <f>VLOOKUP($G2058,DefinitionArrays!$I$6:$J$12,2,FALSE)</f>
        <v>Workweek</v>
      </c>
    </row>
    <row r="2059" spans="1:10">
      <c r="A2059" s="159" t="str">
        <f t="shared" si="162"/>
        <v>$B$1:$B$92</v>
      </c>
      <c r="B2059" s="159" t="str">
        <f t="shared" si="163"/>
        <v>$C$1:$C$92</v>
      </c>
      <c r="C2059" s="159" t="str">
        <f t="shared" si="164"/>
        <v>October!$B$1:$B$92</v>
      </c>
      <c r="D2059" s="159" t="str">
        <f t="shared" si="165"/>
        <v>October!$C$1:$C$92</v>
      </c>
      <c r="E2059" t="s">
        <v>5</v>
      </c>
      <c r="F2059" t="s">
        <v>129</v>
      </c>
      <c r="G2059" t="s">
        <v>13</v>
      </c>
      <c r="H2059" t="s">
        <v>44</v>
      </c>
      <c r="I2059" t="e">
        <f t="shared" ca="1" si="161"/>
        <v>#REF!</v>
      </c>
      <c r="J2059" t="str">
        <f>VLOOKUP($G2059,DefinitionArrays!$I$6:$J$12,2,FALSE)</f>
        <v>Workweek</v>
      </c>
    </row>
    <row r="2060" spans="1:10">
      <c r="A2060" s="159" t="str">
        <f t="shared" si="162"/>
        <v>$E$1:$E$92</v>
      </c>
      <c r="B2060" s="159" t="str">
        <f t="shared" si="163"/>
        <v>$F$1:$F$92</v>
      </c>
      <c r="C2060" s="159" t="str">
        <f t="shared" si="164"/>
        <v>October!$E$1:$E$92</v>
      </c>
      <c r="D2060" s="159" t="str">
        <f t="shared" si="165"/>
        <v>October!$F$1:$F$92</v>
      </c>
      <c r="E2060" t="s">
        <v>5</v>
      </c>
      <c r="F2060" t="s">
        <v>129</v>
      </c>
      <c r="G2060" t="s">
        <v>142</v>
      </c>
      <c r="H2060" t="s">
        <v>159</v>
      </c>
      <c r="I2060" t="e">
        <f t="shared" ca="1" si="161"/>
        <v>#REF!</v>
      </c>
      <c r="J2060" t="str">
        <f>VLOOKUP($G2060,DefinitionArrays!$I$6:$J$12,2,FALSE)</f>
        <v>Workweek</v>
      </c>
    </row>
    <row r="2061" spans="1:10">
      <c r="A2061" s="159" t="str">
        <f t="shared" si="162"/>
        <v>$E$1:$E$92</v>
      </c>
      <c r="B2061" s="159" t="str">
        <f t="shared" si="163"/>
        <v>$F$1:$F$92</v>
      </c>
      <c r="C2061" s="159" t="str">
        <f t="shared" si="164"/>
        <v>October!$E$1:$E$92</v>
      </c>
      <c r="D2061" s="159" t="str">
        <f t="shared" si="165"/>
        <v>October!$F$1:$F$92</v>
      </c>
      <c r="E2061" t="s">
        <v>5</v>
      </c>
      <c r="F2061" t="s">
        <v>129</v>
      </c>
      <c r="G2061" t="s">
        <v>142</v>
      </c>
      <c r="H2061" t="s">
        <v>18</v>
      </c>
      <c r="I2061" t="e">
        <f t="shared" ca="1" si="161"/>
        <v>#REF!</v>
      </c>
      <c r="J2061" t="str">
        <f>VLOOKUP($G2061,DefinitionArrays!$I$6:$J$12,2,FALSE)</f>
        <v>Workweek</v>
      </c>
    </row>
    <row r="2062" spans="1:10">
      <c r="A2062" s="159" t="str">
        <f t="shared" si="162"/>
        <v>$E$1:$E$92</v>
      </c>
      <c r="B2062" s="159" t="str">
        <f t="shared" si="163"/>
        <v>$F$1:$F$92</v>
      </c>
      <c r="C2062" s="159" t="str">
        <f t="shared" si="164"/>
        <v>October!$E$1:$E$92</v>
      </c>
      <c r="D2062" s="159" t="str">
        <f t="shared" si="165"/>
        <v>October!$F$1:$F$92</v>
      </c>
      <c r="E2062" t="s">
        <v>5</v>
      </c>
      <c r="F2062" t="s">
        <v>129</v>
      </c>
      <c r="G2062" t="s">
        <v>142</v>
      </c>
      <c r="H2062" t="s">
        <v>153</v>
      </c>
      <c r="I2062" t="e">
        <f t="shared" ca="1" si="161"/>
        <v>#REF!</v>
      </c>
      <c r="J2062" t="str">
        <f>VLOOKUP($G2062,DefinitionArrays!$I$6:$J$12,2,FALSE)</f>
        <v>Workweek</v>
      </c>
    </row>
    <row r="2063" spans="1:10">
      <c r="A2063" s="159" t="str">
        <f t="shared" si="162"/>
        <v>$E$1:$E$92</v>
      </c>
      <c r="B2063" s="159" t="str">
        <f t="shared" si="163"/>
        <v>$F$1:$F$92</v>
      </c>
      <c r="C2063" s="159" t="str">
        <f t="shared" si="164"/>
        <v>October!$E$1:$E$92</v>
      </c>
      <c r="D2063" s="159" t="str">
        <f t="shared" si="165"/>
        <v>October!$F$1:$F$92</v>
      </c>
      <c r="E2063" t="s">
        <v>5</v>
      </c>
      <c r="F2063" t="s">
        <v>129</v>
      </c>
      <c r="G2063" t="s">
        <v>142</v>
      </c>
      <c r="H2063" t="s">
        <v>19</v>
      </c>
      <c r="I2063" t="e">
        <f t="shared" ca="1" si="161"/>
        <v>#REF!</v>
      </c>
      <c r="J2063" t="str">
        <f>VLOOKUP($G2063,DefinitionArrays!$I$6:$J$12,2,FALSE)</f>
        <v>Workweek</v>
      </c>
    </row>
    <row r="2064" spans="1:10">
      <c r="A2064" s="159" t="str">
        <f t="shared" si="162"/>
        <v>$E$1:$E$92</v>
      </c>
      <c r="B2064" s="159" t="str">
        <f t="shared" si="163"/>
        <v>$F$1:$F$92</v>
      </c>
      <c r="C2064" s="159" t="str">
        <f t="shared" si="164"/>
        <v>October!$E$1:$E$92</v>
      </c>
      <c r="D2064" s="159" t="str">
        <f t="shared" si="165"/>
        <v>October!$F$1:$F$92</v>
      </c>
      <c r="E2064" t="s">
        <v>5</v>
      </c>
      <c r="F2064" t="s">
        <v>129</v>
      </c>
      <c r="G2064" t="s">
        <v>142</v>
      </c>
      <c r="H2064" t="s">
        <v>20</v>
      </c>
      <c r="I2064" t="e">
        <f t="shared" ca="1" si="161"/>
        <v>#REF!</v>
      </c>
      <c r="J2064" t="str">
        <f>VLOOKUP($G2064,DefinitionArrays!$I$6:$J$12,2,FALSE)</f>
        <v>Workweek</v>
      </c>
    </row>
    <row r="2065" spans="1:10">
      <c r="A2065" s="159" t="str">
        <f t="shared" si="162"/>
        <v>$E$1:$E$92</v>
      </c>
      <c r="B2065" s="159" t="str">
        <f t="shared" si="163"/>
        <v>$F$1:$F$92</v>
      </c>
      <c r="C2065" s="159" t="str">
        <f t="shared" si="164"/>
        <v>October!$E$1:$E$92</v>
      </c>
      <c r="D2065" s="159" t="str">
        <f t="shared" si="165"/>
        <v>October!$F$1:$F$92</v>
      </c>
      <c r="E2065" t="s">
        <v>5</v>
      </c>
      <c r="F2065" t="s">
        <v>129</v>
      </c>
      <c r="G2065" t="s">
        <v>142</v>
      </c>
      <c r="H2065" t="s">
        <v>21</v>
      </c>
      <c r="I2065" t="e">
        <f t="shared" ca="1" si="161"/>
        <v>#REF!</v>
      </c>
      <c r="J2065" t="str">
        <f>VLOOKUP($G2065,DefinitionArrays!$I$6:$J$12,2,FALSE)</f>
        <v>Workweek</v>
      </c>
    </row>
    <row r="2066" spans="1:10">
      <c r="A2066" s="159" t="str">
        <f t="shared" si="162"/>
        <v>$E$1:$E$92</v>
      </c>
      <c r="B2066" s="159" t="str">
        <f t="shared" si="163"/>
        <v>$F$1:$F$92</v>
      </c>
      <c r="C2066" s="159" t="str">
        <f t="shared" si="164"/>
        <v>October!$E$1:$E$92</v>
      </c>
      <c r="D2066" s="159" t="str">
        <f t="shared" si="165"/>
        <v>October!$F$1:$F$92</v>
      </c>
      <c r="E2066" t="s">
        <v>5</v>
      </c>
      <c r="F2066" t="s">
        <v>129</v>
      </c>
      <c r="G2066" t="s">
        <v>142</v>
      </c>
      <c r="H2066" t="s">
        <v>22</v>
      </c>
      <c r="I2066" t="e">
        <f t="shared" ca="1" si="161"/>
        <v>#REF!</v>
      </c>
      <c r="J2066" t="str">
        <f>VLOOKUP($G2066,DefinitionArrays!$I$6:$J$12,2,FALSE)</f>
        <v>Workweek</v>
      </c>
    </row>
    <row r="2067" spans="1:10">
      <c r="A2067" s="159" t="str">
        <f t="shared" si="162"/>
        <v>$E$1:$E$92</v>
      </c>
      <c r="B2067" s="159" t="str">
        <f t="shared" si="163"/>
        <v>$F$1:$F$92</v>
      </c>
      <c r="C2067" s="159" t="str">
        <f t="shared" si="164"/>
        <v>October!$E$1:$E$92</v>
      </c>
      <c r="D2067" s="159" t="str">
        <f t="shared" si="165"/>
        <v>October!$F$1:$F$92</v>
      </c>
      <c r="E2067" t="s">
        <v>5</v>
      </c>
      <c r="F2067" t="s">
        <v>129</v>
      </c>
      <c r="G2067" t="s">
        <v>142</v>
      </c>
      <c r="H2067" t="s">
        <v>23</v>
      </c>
      <c r="I2067" t="e">
        <f t="shared" ca="1" si="161"/>
        <v>#REF!</v>
      </c>
      <c r="J2067" t="str">
        <f>VLOOKUP($G2067,DefinitionArrays!$I$6:$J$12,2,FALSE)</f>
        <v>Workweek</v>
      </c>
    </row>
    <row r="2068" spans="1:10">
      <c r="A2068" s="159" t="str">
        <f t="shared" si="162"/>
        <v>$E$1:$E$92</v>
      </c>
      <c r="B2068" s="159" t="str">
        <f t="shared" si="163"/>
        <v>$F$1:$F$92</v>
      </c>
      <c r="C2068" s="159" t="str">
        <f t="shared" si="164"/>
        <v>October!$E$1:$E$92</v>
      </c>
      <c r="D2068" s="159" t="str">
        <f t="shared" si="165"/>
        <v>October!$F$1:$F$92</v>
      </c>
      <c r="E2068" t="s">
        <v>5</v>
      </c>
      <c r="F2068" t="s">
        <v>129</v>
      </c>
      <c r="G2068" t="s">
        <v>142</v>
      </c>
      <c r="H2068" t="s">
        <v>24</v>
      </c>
      <c r="I2068" t="e">
        <f t="shared" ca="1" si="161"/>
        <v>#REF!</v>
      </c>
      <c r="J2068" t="str">
        <f>VLOOKUP($G2068,DefinitionArrays!$I$6:$J$12,2,FALSE)</f>
        <v>Workweek</v>
      </c>
    </row>
    <row r="2069" spans="1:10">
      <c r="A2069" s="159" t="str">
        <f t="shared" si="162"/>
        <v>$E$1:$E$92</v>
      </c>
      <c r="B2069" s="159" t="str">
        <f t="shared" si="163"/>
        <v>$F$1:$F$92</v>
      </c>
      <c r="C2069" s="159" t="str">
        <f t="shared" si="164"/>
        <v>October!$E$1:$E$92</v>
      </c>
      <c r="D2069" s="159" t="str">
        <f t="shared" si="165"/>
        <v>October!$F$1:$F$92</v>
      </c>
      <c r="E2069" t="s">
        <v>5</v>
      </c>
      <c r="F2069" t="s">
        <v>129</v>
      </c>
      <c r="G2069" t="s">
        <v>142</v>
      </c>
      <c r="H2069" t="s">
        <v>179</v>
      </c>
      <c r="I2069" t="e">
        <f t="shared" ca="1" si="161"/>
        <v>#REF!</v>
      </c>
      <c r="J2069" t="str">
        <f>VLOOKUP($G2069,DefinitionArrays!$I$6:$J$12,2,FALSE)</f>
        <v>Workweek</v>
      </c>
    </row>
    <row r="2070" spans="1:10">
      <c r="A2070" s="159" t="str">
        <f t="shared" si="162"/>
        <v>$E$1:$E$92</v>
      </c>
      <c r="B2070" s="159" t="str">
        <f t="shared" si="163"/>
        <v>$F$1:$F$92</v>
      </c>
      <c r="C2070" s="159" t="str">
        <f t="shared" si="164"/>
        <v>October!$E$1:$E$92</v>
      </c>
      <c r="D2070" s="159" t="str">
        <f t="shared" si="165"/>
        <v>October!$F$1:$F$92</v>
      </c>
      <c r="E2070" t="s">
        <v>5</v>
      </c>
      <c r="F2070" t="s">
        <v>129</v>
      </c>
      <c r="G2070" t="s">
        <v>142</v>
      </c>
      <c r="H2070" t="s">
        <v>180</v>
      </c>
      <c r="I2070" t="e">
        <f t="shared" ca="1" si="161"/>
        <v>#REF!</v>
      </c>
      <c r="J2070" t="str">
        <f>VLOOKUP($G2070,DefinitionArrays!$I$6:$J$12,2,FALSE)</f>
        <v>Workweek</v>
      </c>
    </row>
    <row r="2071" spans="1:10">
      <c r="A2071" s="159" t="str">
        <f t="shared" si="162"/>
        <v>$E$1:$E$92</v>
      </c>
      <c r="B2071" s="159" t="str">
        <f t="shared" si="163"/>
        <v>$F$1:$F$92</v>
      </c>
      <c r="C2071" s="159" t="str">
        <f t="shared" si="164"/>
        <v>October!$E$1:$E$92</v>
      </c>
      <c r="D2071" s="159" t="str">
        <f t="shared" si="165"/>
        <v>October!$F$1:$F$92</v>
      </c>
      <c r="E2071" t="s">
        <v>5</v>
      </c>
      <c r="F2071" t="s">
        <v>129</v>
      </c>
      <c r="G2071" t="s">
        <v>142</v>
      </c>
      <c r="H2071" t="s">
        <v>44</v>
      </c>
      <c r="I2071" t="e">
        <f t="shared" ca="1" si="161"/>
        <v>#REF!</v>
      </c>
      <c r="J2071" t="str">
        <f>VLOOKUP($G2071,DefinitionArrays!$I$6:$J$12,2,FALSE)</f>
        <v>Workweek</v>
      </c>
    </row>
    <row r="2072" spans="1:10">
      <c r="A2072" s="159" t="str">
        <f t="shared" si="162"/>
        <v>$H$1:$H$92</v>
      </c>
      <c r="B2072" s="159" t="str">
        <f t="shared" si="163"/>
        <v>$I$1:$I$92</v>
      </c>
      <c r="C2072" s="159" t="str">
        <f t="shared" si="164"/>
        <v>October!$H$1:$H$92</v>
      </c>
      <c r="D2072" s="159" t="str">
        <f t="shared" si="165"/>
        <v>October!$I$1:$I$92</v>
      </c>
      <c r="E2072" t="s">
        <v>5</v>
      </c>
      <c r="F2072" t="s">
        <v>129</v>
      </c>
      <c r="G2072" t="s">
        <v>143</v>
      </c>
      <c r="H2072" t="s">
        <v>159</v>
      </c>
      <c r="I2072" t="e">
        <f t="shared" ca="1" si="161"/>
        <v>#REF!</v>
      </c>
      <c r="J2072" t="str">
        <f>VLOOKUP($G2072,DefinitionArrays!$I$6:$J$12,2,FALSE)</f>
        <v>Workweek</v>
      </c>
    </row>
    <row r="2073" spans="1:10">
      <c r="A2073" s="159" t="str">
        <f t="shared" si="162"/>
        <v>$H$1:$H$92</v>
      </c>
      <c r="B2073" s="159" t="str">
        <f t="shared" si="163"/>
        <v>$I$1:$I$92</v>
      </c>
      <c r="C2073" s="159" t="str">
        <f t="shared" si="164"/>
        <v>October!$H$1:$H$92</v>
      </c>
      <c r="D2073" s="159" t="str">
        <f t="shared" si="165"/>
        <v>October!$I$1:$I$92</v>
      </c>
      <c r="E2073" t="s">
        <v>5</v>
      </c>
      <c r="F2073" t="s">
        <v>129</v>
      </c>
      <c r="G2073" t="s">
        <v>143</v>
      </c>
      <c r="H2073" t="s">
        <v>18</v>
      </c>
      <c r="I2073" t="e">
        <f t="shared" ca="1" si="161"/>
        <v>#REF!</v>
      </c>
      <c r="J2073" t="str">
        <f>VLOOKUP($G2073,DefinitionArrays!$I$6:$J$12,2,FALSE)</f>
        <v>Workweek</v>
      </c>
    </row>
    <row r="2074" spans="1:10">
      <c r="A2074" s="159" t="str">
        <f t="shared" si="162"/>
        <v>$H$1:$H$92</v>
      </c>
      <c r="B2074" s="159" t="str">
        <f t="shared" si="163"/>
        <v>$I$1:$I$92</v>
      </c>
      <c r="C2074" s="159" t="str">
        <f t="shared" si="164"/>
        <v>October!$H$1:$H$92</v>
      </c>
      <c r="D2074" s="159" t="str">
        <f t="shared" si="165"/>
        <v>October!$I$1:$I$92</v>
      </c>
      <c r="E2074" t="s">
        <v>5</v>
      </c>
      <c r="F2074" t="s">
        <v>129</v>
      </c>
      <c r="G2074" t="s">
        <v>143</v>
      </c>
      <c r="H2074" t="s">
        <v>153</v>
      </c>
      <c r="I2074" t="e">
        <f t="shared" ca="1" si="161"/>
        <v>#REF!</v>
      </c>
      <c r="J2074" t="str">
        <f>VLOOKUP($G2074,DefinitionArrays!$I$6:$J$12,2,FALSE)</f>
        <v>Workweek</v>
      </c>
    </row>
    <row r="2075" spans="1:10">
      <c r="A2075" s="159" t="str">
        <f t="shared" si="162"/>
        <v>$H$1:$H$92</v>
      </c>
      <c r="B2075" s="159" t="str">
        <f t="shared" si="163"/>
        <v>$I$1:$I$92</v>
      </c>
      <c r="C2075" s="159" t="str">
        <f t="shared" si="164"/>
        <v>October!$H$1:$H$92</v>
      </c>
      <c r="D2075" s="159" t="str">
        <f t="shared" si="165"/>
        <v>October!$I$1:$I$92</v>
      </c>
      <c r="E2075" t="s">
        <v>5</v>
      </c>
      <c r="F2075" t="s">
        <v>129</v>
      </c>
      <c r="G2075" t="s">
        <v>143</v>
      </c>
      <c r="H2075" t="s">
        <v>19</v>
      </c>
      <c r="I2075" t="e">
        <f t="shared" ca="1" si="161"/>
        <v>#REF!</v>
      </c>
      <c r="J2075" t="str">
        <f>VLOOKUP($G2075,DefinitionArrays!$I$6:$J$12,2,FALSE)</f>
        <v>Workweek</v>
      </c>
    </row>
    <row r="2076" spans="1:10">
      <c r="A2076" s="159" t="str">
        <f t="shared" si="162"/>
        <v>$H$1:$H$92</v>
      </c>
      <c r="B2076" s="159" t="str">
        <f t="shared" si="163"/>
        <v>$I$1:$I$92</v>
      </c>
      <c r="C2076" s="159" t="str">
        <f t="shared" si="164"/>
        <v>October!$H$1:$H$92</v>
      </c>
      <c r="D2076" s="159" t="str">
        <f t="shared" si="165"/>
        <v>October!$I$1:$I$92</v>
      </c>
      <c r="E2076" t="s">
        <v>5</v>
      </c>
      <c r="F2076" t="s">
        <v>129</v>
      </c>
      <c r="G2076" t="s">
        <v>143</v>
      </c>
      <c r="H2076" t="s">
        <v>20</v>
      </c>
      <c r="I2076" t="e">
        <f t="shared" ca="1" si="161"/>
        <v>#REF!</v>
      </c>
      <c r="J2076" t="str">
        <f>VLOOKUP($G2076,DefinitionArrays!$I$6:$J$12,2,FALSE)</f>
        <v>Workweek</v>
      </c>
    </row>
    <row r="2077" spans="1:10">
      <c r="A2077" s="159" t="str">
        <f t="shared" si="162"/>
        <v>$H$1:$H$92</v>
      </c>
      <c r="B2077" s="159" t="str">
        <f t="shared" si="163"/>
        <v>$I$1:$I$92</v>
      </c>
      <c r="C2077" s="159" t="str">
        <f t="shared" si="164"/>
        <v>October!$H$1:$H$92</v>
      </c>
      <c r="D2077" s="159" t="str">
        <f t="shared" si="165"/>
        <v>October!$I$1:$I$92</v>
      </c>
      <c r="E2077" t="s">
        <v>5</v>
      </c>
      <c r="F2077" t="s">
        <v>129</v>
      </c>
      <c r="G2077" t="s">
        <v>143</v>
      </c>
      <c r="H2077" t="s">
        <v>21</v>
      </c>
      <c r="I2077" t="e">
        <f t="shared" ca="1" si="161"/>
        <v>#REF!</v>
      </c>
      <c r="J2077" t="str">
        <f>VLOOKUP($G2077,DefinitionArrays!$I$6:$J$12,2,FALSE)</f>
        <v>Workweek</v>
      </c>
    </row>
    <row r="2078" spans="1:10">
      <c r="A2078" s="159" t="str">
        <f t="shared" si="162"/>
        <v>$H$1:$H$92</v>
      </c>
      <c r="B2078" s="159" t="str">
        <f t="shared" si="163"/>
        <v>$I$1:$I$92</v>
      </c>
      <c r="C2078" s="159" t="str">
        <f t="shared" si="164"/>
        <v>October!$H$1:$H$92</v>
      </c>
      <c r="D2078" s="159" t="str">
        <f t="shared" si="165"/>
        <v>October!$I$1:$I$92</v>
      </c>
      <c r="E2078" t="s">
        <v>5</v>
      </c>
      <c r="F2078" t="s">
        <v>129</v>
      </c>
      <c r="G2078" t="s">
        <v>143</v>
      </c>
      <c r="H2078" t="s">
        <v>22</v>
      </c>
      <c r="I2078" t="e">
        <f t="shared" ca="1" si="161"/>
        <v>#REF!</v>
      </c>
      <c r="J2078" t="str">
        <f>VLOOKUP($G2078,DefinitionArrays!$I$6:$J$12,2,FALSE)</f>
        <v>Workweek</v>
      </c>
    </row>
    <row r="2079" spans="1:10">
      <c r="A2079" s="159" t="str">
        <f t="shared" si="162"/>
        <v>$H$1:$H$92</v>
      </c>
      <c r="B2079" s="159" t="str">
        <f t="shared" si="163"/>
        <v>$I$1:$I$92</v>
      </c>
      <c r="C2079" s="159" t="str">
        <f t="shared" si="164"/>
        <v>October!$H$1:$H$92</v>
      </c>
      <c r="D2079" s="159" t="str">
        <f t="shared" si="165"/>
        <v>October!$I$1:$I$92</v>
      </c>
      <c r="E2079" t="s">
        <v>5</v>
      </c>
      <c r="F2079" t="s">
        <v>129</v>
      </c>
      <c r="G2079" t="s">
        <v>143</v>
      </c>
      <c r="H2079" t="s">
        <v>23</v>
      </c>
      <c r="I2079" t="e">
        <f t="shared" ca="1" si="161"/>
        <v>#REF!</v>
      </c>
      <c r="J2079" t="str">
        <f>VLOOKUP($G2079,DefinitionArrays!$I$6:$J$12,2,FALSE)</f>
        <v>Workweek</v>
      </c>
    </row>
    <row r="2080" spans="1:10">
      <c r="A2080" s="159" t="str">
        <f t="shared" si="162"/>
        <v>$H$1:$H$92</v>
      </c>
      <c r="B2080" s="159" t="str">
        <f t="shared" si="163"/>
        <v>$I$1:$I$92</v>
      </c>
      <c r="C2080" s="159" t="str">
        <f t="shared" si="164"/>
        <v>October!$H$1:$H$92</v>
      </c>
      <c r="D2080" s="159" t="str">
        <f t="shared" si="165"/>
        <v>October!$I$1:$I$92</v>
      </c>
      <c r="E2080" t="s">
        <v>5</v>
      </c>
      <c r="F2080" t="s">
        <v>129</v>
      </c>
      <c r="G2080" t="s">
        <v>143</v>
      </c>
      <c r="H2080" t="s">
        <v>24</v>
      </c>
      <c r="I2080" t="e">
        <f t="shared" ca="1" si="161"/>
        <v>#REF!</v>
      </c>
      <c r="J2080" t="str">
        <f>VLOOKUP($G2080,DefinitionArrays!$I$6:$J$12,2,FALSE)</f>
        <v>Workweek</v>
      </c>
    </row>
    <row r="2081" spans="1:10">
      <c r="A2081" s="159" t="str">
        <f t="shared" si="162"/>
        <v>$H$1:$H$92</v>
      </c>
      <c r="B2081" s="159" t="str">
        <f t="shared" si="163"/>
        <v>$I$1:$I$92</v>
      </c>
      <c r="C2081" s="159" t="str">
        <f t="shared" si="164"/>
        <v>October!$H$1:$H$92</v>
      </c>
      <c r="D2081" s="159" t="str">
        <f t="shared" si="165"/>
        <v>October!$I$1:$I$92</v>
      </c>
      <c r="E2081" t="s">
        <v>5</v>
      </c>
      <c r="F2081" t="s">
        <v>129</v>
      </c>
      <c r="G2081" t="s">
        <v>143</v>
      </c>
      <c r="H2081" t="s">
        <v>179</v>
      </c>
      <c r="I2081" t="e">
        <f t="shared" ca="1" si="161"/>
        <v>#REF!</v>
      </c>
      <c r="J2081" t="str">
        <f>VLOOKUP($G2081,DefinitionArrays!$I$6:$J$12,2,FALSE)</f>
        <v>Workweek</v>
      </c>
    </row>
    <row r="2082" spans="1:10">
      <c r="A2082" s="159" t="str">
        <f t="shared" si="162"/>
        <v>$H$1:$H$92</v>
      </c>
      <c r="B2082" s="159" t="str">
        <f t="shared" si="163"/>
        <v>$I$1:$I$92</v>
      </c>
      <c r="C2082" s="159" t="str">
        <f t="shared" si="164"/>
        <v>October!$H$1:$H$92</v>
      </c>
      <c r="D2082" s="159" t="str">
        <f t="shared" si="165"/>
        <v>October!$I$1:$I$92</v>
      </c>
      <c r="E2082" t="s">
        <v>5</v>
      </c>
      <c r="F2082" t="s">
        <v>129</v>
      </c>
      <c r="G2082" t="s">
        <v>143</v>
      </c>
      <c r="H2082" t="s">
        <v>180</v>
      </c>
      <c r="I2082" t="e">
        <f t="shared" ca="1" si="161"/>
        <v>#REF!</v>
      </c>
      <c r="J2082" t="str">
        <f>VLOOKUP($G2082,DefinitionArrays!$I$6:$J$12,2,FALSE)</f>
        <v>Workweek</v>
      </c>
    </row>
    <row r="2083" spans="1:10">
      <c r="A2083" s="159" t="str">
        <f t="shared" si="162"/>
        <v>$H$1:$H$92</v>
      </c>
      <c r="B2083" s="159" t="str">
        <f t="shared" si="163"/>
        <v>$I$1:$I$92</v>
      </c>
      <c r="C2083" s="159" t="str">
        <f t="shared" si="164"/>
        <v>October!$H$1:$H$92</v>
      </c>
      <c r="D2083" s="159" t="str">
        <f t="shared" si="165"/>
        <v>October!$I$1:$I$92</v>
      </c>
      <c r="E2083" t="s">
        <v>5</v>
      </c>
      <c r="F2083" t="s">
        <v>129</v>
      </c>
      <c r="G2083" t="s">
        <v>143</v>
      </c>
      <c r="H2083" t="s">
        <v>44</v>
      </c>
      <c r="I2083" t="e">
        <f t="shared" ca="1" si="161"/>
        <v>#REF!</v>
      </c>
      <c r="J2083" t="str">
        <f>VLOOKUP($G2083,DefinitionArrays!$I$6:$J$12,2,FALSE)</f>
        <v>Workweek</v>
      </c>
    </row>
    <row r="2084" spans="1:10">
      <c r="A2084" s="159" t="str">
        <f t="shared" si="162"/>
        <v>$K$1:$K$92</v>
      </c>
      <c r="B2084" s="159" t="str">
        <f t="shared" si="163"/>
        <v>$L$1:$L$92</v>
      </c>
      <c r="C2084" s="159" t="str">
        <f t="shared" si="164"/>
        <v>October!$K$1:$K$92</v>
      </c>
      <c r="D2084" s="159" t="str">
        <f t="shared" si="165"/>
        <v>October!$L$1:$L$92</v>
      </c>
      <c r="E2084" t="s">
        <v>5</v>
      </c>
      <c r="F2084" t="s">
        <v>129</v>
      </c>
      <c r="G2084" t="s">
        <v>144</v>
      </c>
      <c r="H2084" t="s">
        <v>159</v>
      </c>
      <c r="I2084" t="e">
        <f t="shared" ca="1" si="161"/>
        <v>#REF!</v>
      </c>
      <c r="J2084" t="str">
        <f>VLOOKUP($G2084,DefinitionArrays!$I$6:$J$12,2,FALSE)</f>
        <v>Workweek</v>
      </c>
    </row>
    <row r="2085" spans="1:10">
      <c r="A2085" s="159" t="str">
        <f t="shared" si="162"/>
        <v>$K$1:$K$92</v>
      </c>
      <c r="B2085" s="159" t="str">
        <f t="shared" si="163"/>
        <v>$L$1:$L$92</v>
      </c>
      <c r="C2085" s="159" t="str">
        <f t="shared" si="164"/>
        <v>October!$K$1:$K$92</v>
      </c>
      <c r="D2085" s="159" t="str">
        <f t="shared" si="165"/>
        <v>October!$L$1:$L$92</v>
      </c>
      <c r="E2085" t="s">
        <v>5</v>
      </c>
      <c r="F2085" t="s">
        <v>129</v>
      </c>
      <c r="G2085" t="s">
        <v>144</v>
      </c>
      <c r="H2085" t="s">
        <v>18</v>
      </c>
      <c r="I2085" t="e">
        <f t="shared" ca="1" si="161"/>
        <v>#REF!</v>
      </c>
      <c r="J2085" t="str">
        <f>VLOOKUP($G2085,DefinitionArrays!$I$6:$J$12,2,FALSE)</f>
        <v>Workweek</v>
      </c>
    </row>
    <row r="2086" spans="1:10">
      <c r="A2086" s="159" t="str">
        <f t="shared" si="162"/>
        <v>$K$1:$K$92</v>
      </c>
      <c r="B2086" s="159" t="str">
        <f t="shared" si="163"/>
        <v>$L$1:$L$92</v>
      </c>
      <c r="C2086" s="159" t="str">
        <f t="shared" si="164"/>
        <v>October!$K$1:$K$92</v>
      </c>
      <c r="D2086" s="159" t="str">
        <f t="shared" si="165"/>
        <v>October!$L$1:$L$92</v>
      </c>
      <c r="E2086" t="s">
        <v>5</v>
      </c>
      <c r="F2086" t="s">
        <v>129</v>
      </c>
      <c r="G2086" t="s">
        <v>144</v>
      </c>
      <c r="H2086" t="s">
        <v>153</v>
      </c>
      <c r="I2086" t="e">
        <f t="shared" ca="1" si="161"/>
        <v>#REF!</v>
      </c>
      <c r="J2086" t="str">
        <f>VLOOKUP($G2086,DefinitionArrays!$I$6:$J$12,2,FALSE)</f>
        <v>Workweek</v>
      </c>
    </row>
    <row r="2087" spans="1:10">
      <c r="A2087" s="159" t="str">
        <f t="shared" si="162"/>
        <v>$K$1:$K$92</v>
      </c>
      <c r="B2087" s="159" t="str">
        <f t="shared" si="163"/>
        <v>$L$1:$L$92</v>
      </c>
      <c r="C2087" s="159" t="str">
        <f t="shared" si="164"/>
        <v>October!$K$1:$K$92</v>
      </c>
      <c r="D2087" s="159" t="str">
        <f t="shared" si="165"/>
        <v>October!$L$1:$L$92</v>
      </c>
      <c r="E2087" t="s">
        <v>5</v>
      </c>
      <c r="F2087" t="s">
        <v>129</v>
      </c>
      <c r="G2087" t="s">
        <v>144</v>
      </c>
      <c r="H2087" t="s">
        <v>19</v>
      </c>
      <c r="I2087" t="e">
        <f t="shared" ca="1" si="161"/>
        <v>#REF!</v>
      </c>
      <c r="J2087" t="str">
        <f>VLOOKUP($G2087,DefinitionArrays!$I$6:$J$12,2,FALSE)</f>
        <v>Workweek</v>
      </c>
    </row>
    <row r="2088" spans="1:10">
      <c r="A2088" s="159" t="str">
        <f t="shared" si="162"/>
        <v>$K$1:$K$92</v>
      </c>
      <c r="B2088" s="159" t="str">
        <f t="shared" si="163"/>
        <v>$L$1:$L$92</v>
      </c>
      <c r="C2088" s="159" t="str">
        <f t="shared" si="164"/>
        <v>October!$K$1:$K$92</v>
      </c>
      <c r="D2088" s="159" t="str">
        <f t="shared" si="165"/>
        <v>October!$L$1:$L$92</v>
      </c>
      <c r="E2088" t="s">
        <v>5</v>
      </c>
      <c r="F2088" t="s">
        <v>129</v>
      </c>
      <c r="G2088" t="s">
        <v>144</v>
      </c>
      <c r="H2088" t="s">
        <v>20</v>
      </c>
      <c r="I2088" t="e">
        <f t="shared" ca="1" si="161"/>
        <v>#REF!</v>
      </c>
      <c r="J2088" t="str">
        <f>VLOOKUP($G2088,DefinitionArrays!$I$6:$J$12,2,FALSE)</f>
        <v>Workweek</v>
      </c>
    </row>
    <row r="2089" spans="1:10">
      <c r="A2089" s="159" t="str">
        <f t="shared" si="162"/>
        <v>$K$1:$K$92</v>
      </c>
      <c r="B2089" s="159" t="str">
        <f t="shared" si="163"/>
        <v>$L$1:$L$92</v>
      </c>
      <c r="C2089" s="159" t="str">
        <f t="shared" si="164"/>
        <v>October!$K$1:$K$92</v>
      </c>
      <c r="D2089" s="159" t="str">
        <f t="shared" si="165"/>
        <v>October!$L$1:$L$92</v>
      </c>
      <c r="E2089" t="s">
        <v>5</v>
      </c>
      <c r="F2089" t="s">
        <v>129</v>
      </c>
      <c r="G2089" t="s">
        <v>144</v>
      </c>
      <c r="H2089" t="s">
        <v>21</v>
      </c>
      <c r="I2089" t="e">
        <f t="shared" ca="1" si="161"/>
        <v>#REF!</v>
      </c>
      <c r="J2089" t="str">
        <f>VLOOKUP($G2089,DefinitionArrays!$I$6:$J$12,2,FALSE)</f>
        <v>Workweek</v>
      </c>
    </row>
    <row r="2090" spans="1:10">
      <c r="A2090" s="159" t="str">
        <f t="shared" si="162"/>
        <v>$K$1:$K$92</v>
      </c>
      <c r="B2090" s="159" t="str">
        <f t="shared" si="163"/>
        <v>$L$1:$L$92</v>
      </c>
      <c r="C2090" s="159" t="str">
        <f t="shared" si="164"/>
        <v>October!$K$1:$K$92</v>
      </c>
      <c r="D2090" s="159" t="str">
        <f t="shared" si="165"/>
        <v>October!$L$1:$L$92</v>
      </c>
      <c r="E2090" t="s">
        <v>5</v>
      </c>
      <c r="F2090" t="s">
        <v>129</v>
      </c>
      <c r="G2090" t="s">
        <v>144</v>
      </c>
      <c r="H2090" t="s">
        <v>22</v>
      </c>
      <c r="I2090" t="e">
        <f t="shared" ca="1" si="161"/>
        <v>#REF!</v>
      </c>
      <c r="J2090" t="str">
        <f>VLOOKUP($G2090,DefinitionArrays!$I$6:$J$12,2,FALSE)</f>
        <v>Workweek</v>
      </c>
    </row>
    <row r="2091" spans="1:10">
      <c r="A2091" s="159" t="str">
        <f t="shared" si="162"/>
        <v>$K$1:$K$92</v>
      </c>
      <c r="B2091" s="159" t="str">
        <f t="shared" si="163"/>
        <v>$L$1:$L$92</v>
      </c>
      <c r="C2091" s="159" t="str">
        <f t="shared" si="164"/>
        <v>October!$K$1:$K$92</v>
      </c>
      <c r="D2091" s="159" t="str">
        <f t="shared" si="165"/>
        <v>October!$L$1:$L$92</v>
      </c>
      <c r="E2091" t="s">
        <v>5</v>
      </c>
      <c r="F2091" t="s">
        <v>129</v>
      </c>
      <c r="G2091" t="s">
        <v>144</v>
      </c>
      <c r="H2091" t="s">
        <v>23</v>
      </c>
      <c r="I2091" t="e">
        <f t="shared" ca="1" si="161"/>
        <v>#REF!</v>
      </c>
      <c r="J2091" t="str">
        <f>VLOOKUP($G2091,DefinitionArrays!$I$6:$J$12,2,FALSE)</f>
        <v>Workweek</v>
      </c>
    </row>
    <row r="2092" spans="1:10">
      <c r="A2092" s="159" t="str">
        <f t="shared" si="162"/>
        <v>$K$1:$K$92</v>
      </c>
      <c r="B2092" s="159" t="str">
        <f t="shared" si="163"/>
        <v>$L$1:$L$92</v>
      </c>
      <c r="C2092" s="159" t="str">
        <f t="shared" si="164"/>
        <v>October!$K$1:$K$92</v>
      </c>
      <c r="D2092" s="159" t="str">
        <f t="shared" si="165"/>
        <v>October!$L$1:$L$92</v>
      </c>
      <c r="E2092" t="s">
        <v>5</v>
      </c>
      <c r="F2092" t="s">
        <v>129</v>
      </c>
      <c r="G2092" t="s">
        <v>144</v>
      </c>
      <c r="H2092" t="s">
        <v>24</v>
      </c>
      <c r="I2092" t="e">
        <f t="shared" ca="1" si="161"/>
        <v>#REF!</v>
      </c>
      <c r="J2092" t="str">
        <f>VLOOKUP($G2092,DefinitionArrays!$I$6:$J$12,2,FALSE)</f>
        <v>Workweek</v>
      </c>
    </row>
    <row r="2093" spans="1:10">
      <c r="A2093" s="159" t="str">
        <f t="shared" si="162"/>
        <v>$K$1:$K$92</v>
      </c>
      <c r="B2093" s="159" t="str">
        <f t="shared" si="163"/>
        <v>$L$1:$L$92</v>
      </c>
      <c r="C2093" s="159" t="str">
        <f t="shared" si="164"/>
        <v>October!$K$1:$K$92</v>
      </c>
      <c r="D2093" s="159" t="str">
        <f t="shared" si="165"/>
        <v>October!$L$1:$L$92</v>
      </c>
      <c r="E2093" t="s">
        <v>5</v>
      </c>
      <c r="F2093" t="s">
        <v>129</v>
      </c>
      <c r="G2093" t="s">
        <v>144</v>
      </c>
      <c r="H2093" t="s">
        <v>179</v>
      </c>
      <c r="I2093" t="e">
        <f t="shared" ca="1" si="161"/>
        <v>#REF!</v>
      </c>
      <c r="J2093" t="str">
        <f>VLOOKUP($G2093,DefinitionArrays!$I$6:$J$12,2,FALSE)</f>
        <v>Workweek</v>
      </c>
    </row>
    <row r="2094" spans="1:10">
      <c r="A2094" s="159" t="str">
        <f t="shared" si="162"/>
        <v>$K$1:$K$92</v>
      </c>
      <c r="B2094" s="159" t="str">
        <f t="shared" si="163"/>
        <v>$L$1:$L$92</v>
      </c>
      <c r="C2094" s="159" t="str">
        <f t="shared" si="164"/>
        <v>October!$K$1:$K$92</v>
      </c>
      <c r="D2094" s="159" t="str">
        <f t="shared" si="165"/>
        <v>October!$L$1:$L$92</v>
      </c>
      <c r="E2094" t="s">
        <v>5</v>
      </c>
      <c r="F2094" t="s">
        <v>129</v>
      </c>
      <c r="G2094" t="s">
        <v>144</v>
      </c>
      <c r="H2094" t="s">
        <v>180</v>
      </c>
      <c r="I2094" t="e">
        <f t="shared" ca="1" si="161"/>
        <v>#REF!</v>
      </c>
      <c r="J2094" t="str">
        <f>VLOOKUP($G2094,DefinitionArrays!$I$6:$J$12,2,FALSE)</f>
        <v>Workweek</v>
      </c>
    </row>
    <row r="2095" spans="1:10">
      <c r="A2095" s="159" t="str">
        <f t="shared" si="162"/>
        <v>$K$1:$K$92</v>
      </c>
      <c r="B2095" s="159" t="str">
        <f t="shared" si="163"/>
        <v>$L$1:$L$92</v>
      </c>
      <c r="C2095" s="159" t="str">
        <f t="shared" si="164"/>
        <v>October!$K$1:$K$92</v>
      </c>
      <c r="D2095" s="159" t="str">
        <f t="shared" si="165"/>
        <v>October!$L$1:$L$92</v>
      </c>
      <c r="E2095" t="s">
        <v>5</v>
      </c>
      <c r="F2095" t="s">
        <v>129</v>
      </c>
      <c r="G2095" t="s">
        <v>144</v>
      </c>
      <c r="H2095" t="s">
        <v>44</v>
      </c>
      <c r="I2095" t="e">
        <f t="shared" ca="1" si="161"/>
        <v>#REF!</v>
      </c>
      <c r="J2095" t="str">
        <f>VLOOKUP($G2095,DefinitionArrays!$I$6:$J$12,2,FALSE)</f>
        <v>Workweek</v>
      </c>
    </row>
    <row r="2096" spans="1:10">
      <c r="A2096" s="159" t="str">
        <f t="shared" si="162"/>
        <v>$N$1:$N$92</v>
      </c>
      <c r="B2096" s="159" t="str">
        <f t="shared" si="163"/>
        <v>$O$1:$O$92</v>
      </c>
      <c r="C2096" s="159" t="str">
        <f t="shared" si="164"/>
        <v>October!$N$1:$N$92</v>
      </c>
      <c r="D2096" s="159" t="str">
        <f t="shared" si="165"/>
        <v>October!$O$1:$O$92</v>
      </c>
      <c r="E2096" t="s">
        <v>5</v>
      </c>
      <c r="F2096" t="s">
        <v>129</v>
      </c>
      <c r="G2096" t="s">
        <v>145</v>
      </c>
      <c r="H2096" t="s">
        <v>159</v>
      </c>
      <c r="I2096" t="e">
        <f t="shared" ca="1" si="161"/>
        <v>#REF!</v>
      </c>
      <c r="J2096" t="str">
        <f>VLOOKUP($G2096,DefinitionArrays!$I$6:$J$12,2,FALSE)</f>
        <v>Weekend</v>
      </c>
    </row>
    <row r="2097" spans="1:10">
      <c r="A2097" s="159" t="str">
        <f t="shared" si="162"/>
        <v>$N$1:$N$92</v>
      </c>
      <c r="B2097" s="159" t="str">
        <f t="shared" si="163"/>
        <v>$O$1:$O$92</v>
      </c>
      <c r="C2097" s="159" t="str">
        <f t="shared" si="164"/>
        <v>October!$N$1:$N$92</v>
      </c>
      <c r="D2097" s="159" t="str">
        <f t="shared" si="165"/>
        <v>October!$O$1:$O$92</v>
      </c>
      <c r="E2097" t="s">
        <v>5</v>
      </c>
      <c r="F2097" t="s">
        <v>129</v>
      </c>
      <c r="G2097" t="s">
        <v>145</v>
      </c>
      <c r="H2097" t="s">
        <v>18</v>
      </c>
      <c r="I2097" t="e">
        <f t="shared" ca="1" si="161"/>
        <v>#REF!</v>
      </c>
      <c r="J2097" t="str">
        <f>VLOOKUP($G2097,DefinitionArrays!$I$6:$J$12,2,FALSE)</f>
        <v>Weekend</v>
      </c>
    </row>
    <row r="2098" spans="1:10">
      <c r="A2098" s="159" t="str">
        <f t="shared" si="162"/>
        <v>$N$1:$N$92</v>
      </c>
      <c r="B2098" s="159" t="str">
        <f t="shared" si="163"/>
        <v>$O$1:$O$92</v>
      </c>
      <c r="C2098" s="159" t="str">
        <f t="shared" si="164"/>
        <v>October!$N$1:$N$92</v>
      </c>
      <c r="D2098" s="159" t="str">
        <f t="shared" si="165"/>
        <v>October!$O$1:$O$92</v>
      </c>
      <c r="E2098" t="s">
        <v>5</v>
      </c>
      <c r="F2098" t="s">
        <v>129</v>
      </c>
      <c r="G2098" t="s">
        <v>145</v>
      </c>
      <c r="H2098" t="s">
        <v>153</v>
      </c>
      <c r="I2098" t="e">
        <f t="shared" ca="1" si="161"/>
        <v>#REF!</v>
      </c>
      <c r="J2098" t="str">
        <f>VLOOKUP($G2098,DefinitionArrays!$I$6:$J$12,2,FALSE)</f>
        <v>Weekend</v>
      </c>
    </row>
    <row r="2099" spans="1:10">
      <c r="A2099" s="159" t="str">
        <f t="shared" si="162"/>
        <v>$N$1:$N$92</v>
      </c>
      <c r="B2099" s="159" t="str">
        <f t="shared" si="163"/>
        <v>$O$1:$O$92</v>
      </c>
      <c r="C2099" s="159" t="str">
        <f t="shared" si="164"/>
        <v>October!$N$1:$N$92</v>
      </c>
      <c r="D2099" s="159" t="str">
        <f t="shared" si="165"/>
        <v>October!$O$1:$O$92</v>
      </c>
      <c r="E2099" t="s">
        <v>5</v>
      </c>
      <c r="F2099" t="s">
        <v>129</v>
      </c>
      <c r="G2099" t="s">
        <v>145</v>
      </c>
      <c r="H2099" t="s">
        <v>19</v>
      </c>
      <c r="I2099" t="e">
        <f t="shared" ca="1" si="161"/>
        <v>#REF!</v>
      </c>
      <c r="J2099" t="str">
        <f>VLOOKUP($G2099,DefinitionArrays!$I$6:$J$12,2,FALSE)</f>
        <v>Weekend</v>
      </c>
    </row>
    <row r="2100" spans="1:10">
      <c r="A2100" s="159" t="str">
        <f t="shared" si="162"/>
        <v>$N$1:$N$92</v>
      </c>
      <c r="B2100" s="159" t="str">
        <f t="shared" si="163"/>
        <v>$O$1:$O$92</v>
      </c>
      <c r="C2100" s="159" t="str">
        <f t="shared" si="164"/>
        <v>October!$N$1:$N$92</v>
      </c>
      <c r="D2100" s="159" t="str">
        <f t="shared" si="165"/>
        <v>October!$O$1:$O$92</v>
      </c>
      <c r="E2100" t="s">
        <v>5</v>
      </c>
      <c r="F2100" t="s">
        <v>129</v>
      </c>
      <c r="G2100" t="s">
        <v>145</v>
      </c>
      <c r="H2100" t="s">
        <v>20</v>
      </c>
      <c r="I2100" t="e">
        <f t="shared" ca="1" si="161"/>
        <v>#REF!</v>
      </c>
      <c r="J2100" t="str">
        <f>VLOOKUP($G2100,DefinitionArrays!$I$6:$J$12,2,FALSE)</f>
        <v>Weekend</v>
      </c>
    </row>
    <row r="2101" spans="1:10">
      <c r="A2101" s="159" t="str">
        <f t="shared" si="162"/>
        <v>$N$1:$N$92</v>
      </c>
      <c r="B2101" s="159" t="str">
        <f t="shared" si="163"/>
        <v>$O$1:$O$92</v>
      </c>
      <c r="C2101" s="159" t="str">
        <f t="shared" si="164"/>
        <v>October!$N$1:$N$92</v>
      </c>
      <c r="D2101" s="159" t="str">
        <f t="shared" si="165"/>
        <v>October!$O$1:$O$92</v>
      </c>
      <c r="E2101" t="s">
        <v>5</v>
      </c>
      <c r="F2101" t="s">
        <v>129</v>
      </c>
      <c r="G2101" t="s">
        <v>145</v>
      </c>
      <c r="H2101" t="s">
        <v>21</v>
      </c>
      <c r="I2101" t="e">
        <f t="shared" ca="1" si="161"/>
        <v>#REF!</v>
      </c>
      <c r="J2101" t="str">
        <f>VLOOKUP($G2101,DefinitionArrays!$I$6:$J$12,2,FALSE)</f>
        <v>Weekend</v>
      </c>
    </row>
    <row r="2102" spans="1:10">
      <c r="A2102" s="159" t="str">
        <f t="shared" si="162"/>
        <v>$N$1:$N$92</v>
      </c>
      <c r="B2102" s="159" t="str">
        <f t="shared" si="163"/>
        <v>$O$1:$O$92</v>
      </c>
      <c r="C2102" s="159" t="str">
        <f t="shared" si="164"/>
        <v>October!$N$1:$N$92</v>
      </c>
      <c r="D2102" s="159" t="str">
        <f t="shared" si="165"/>
        <v>October!$O$1:$O$92</v>
      </c>
      <c r="E2102" t="s">
        <v>5</v>
      </c>
      <c r="F2102" t="s">
        <v>129</v>
      </c>
      <c r="G2102" t="s">
        <v>145</v>
      </c>
      <c r="H2102" t="s">
        <v>22</v>
      </c>
      <c r="I2102" t="e">
        <f t="shared" ca="1" si="161"/>
        <v>#REF!</v>
      </c>
      <c r="J2102" t="str">
        <f>VLOOKUP($G2102,DefinitionArrays!$I$6:$J$12,2,FALSE)</f>
        <v>Weekend</v>
      </c>
    </row>
    <row r="2103" spans="1:10">
      <c r="A2103" s="159" t="str">
        <f t="shared" si="162"/>
        <v>$N$1:$N$92</v>
      </c>
      <c r="B2103" s="159" t="str">
        <f t="shared" si="163"/>
        <v>$O$1:$O$92</v>
      </c>
      <c r="C2103" s="159" t="str">
        <f t="shared" si="164"/>
        <v>October!$N$1:$N$92</v>
      </c>
      <c r="D2103" s="159" t="str">
        <f t="shared" si="165"/>
        <v>October!$O$1:$O$92</v>
      </c>
      <c r="E2103" t="s">
        <v>5</v>
      </c>
      <c r="F2103" t="s">
        <v>129</v>
      </c>
      <c r="G2103" t="s">
        <v>145</v>
      </c>
      <c r="H2103" t="s">
        <v>23</v>
      </c>
      <c r="I2103" t="e">
        <f t="shared" ca="1" si="161"/>
        <v>#REF!</v>
      </c>
      <c r="J2103" t="str">
        <f>VLOOKUP($G2103,DefinitionArrays!$I$6:$J$12,2,FALSE)</f>
        <v>Weekend</v>
      </c>
    </row>
    <row r="2104" spans="1:10">
      <c r="A2104" s="159" t="str">
        <f t="shared" si="162"/>
        <v>$N$1:$N$92</v>
      </c>
      <c r="B2104" s="159" t="str">
        <f t="shared" si="163"/>
        <v>$O$1:$O$92</v>
      </c>
      <c r="C2104" s="159" t="str">
        <f t="shared" si="164"/>
        <v>October!$N$1:$N$92</v>
      </c>
      <c r="D2104" s="159" t="str">
        <f t="shared" si="165"/>
        <v>October!$O$1:$O$92</v>
      </c>
      <c r="E2104" t="s">
        <v>5</v>
      </c>
      <c r="F2104" t="s">
        <v>129</v>
      </c>
      <c r="G2104" t="s">
        <v>145</v>
      </c>
      <c r="H2104" t="s">
        <v>24</v>
      </c>
      <c r="I2104" t="e">
        <f t="shared" ca="1" si="161"/>
        <v>#REF!</v>
      </c>
      <c r="J2104" t="str">
        <f>VLOOKUP($G2104,DefinitionArrays!$I$6:$J$12,2,FALSE)</f>
        <v>Weekend</v>
      </c>
    </row>
    <row r="2105" spans="1:10">
      <c r="A2105" s="159" t="str">
        <f t="shared" si="162"/>
        <v>$N$1:$N$92</v>
      </c>
      <c r="B2105" s="159" t="str">
        <f t="shared" si="163"/>
        <v>$O$1:$O$92</v>
      </c>
      <c r="C2105" s="159" t="str">
        <f t="shared" si="164"/>
        <v>October!$N$1:$N$92</v>
      </c>
      <c r="D2105" s="159" t="str">
        <f t="shared" si="165"/>
        <v>October!$O$1:$O$92</v>
      </c>
      <c r="E2105" t="s">
        <v>5</v>
      </c>
      <c r="F2105" t="s">
        <v>129</v>
      </c>
      <c r="G2105" t="s">
        <v>145</v>
      </c>
      <c r="H2105" t="s">
        <v>179</v>
      </c>
      <c r="I2105" t="e">
        <f t="shared" ca="1" si="161"/>
        <v>#REF!</v>
      </c>
      <c r="J2105" t="str">
        <f>VLOOKUP($G2105,DefinitionArrays!$I$6:$J$12,2,FALSE)</f>
        <v>Weekend</v>
      </c>
    </row>
    <row r="2106" spans="1:10">
      <c r="A2106" s="159" t="str">
        <f t="shared" si="162"/>
        <v>$N$1:$N$92</v>
      </c>
      <c r="B2106" s="159" t="str">
        <f t="shared" si="163"/>
        <v>$O$1:$O$92</v>
      </c>
      <c r="C2106" s="159" t="str">
        <f t="shared" si="164"/>
        <v>October!$N$1:$N$92</v>
      </c>
      <c r="D2106" s="159" t="str">
        <f t="shared" si="165"/>
        <v>October!$O$1:$O$92</v>
      </c>
      <c r="E2106" t="s">
        <v>5</v>
      </c>
      <c r="F2106" t="s">
        <v>129</v>
      </c>
      <c r="G2106" t="s">
        <v>145</v>
      </c>
      <c r="H2106" t="s">
        <v>180</v>
      </c>
      <c r="I2106" t="e">
        <f t="shared" ca="1" si="161"/>
        <v>#REF!</v>
      </c>
      <c r="J2106" t="str">
        <f>VLOOKUP($G2106,DefinitionArrays!$I$6:$J$12,2,FALSE)</f>
        <v>Weekend</v>
      </c>
    </row>
    <row r="2107" spans="1:10">
      <c r="A2107" s="159" t="str">
        <f t="shared" si="162"/>
        <v>$N$1:$N$92</v>
      </c>
      <c r="B2107" s="159" t="str">
        <f t="shared" si="163"/>
        <v>$O$1:$O$92</v>
      </c>
      <c r="C2107" s="159" t="str">
        <f t="shared" si="164"/>
        <v>October!$N$1:$N$92</v>
      </c>
      <c r="D2107" s="159" t="str">
        <f t="shared" si="165"/>
        <v>October!$O$1:$O$92</v>
      </c>
      <c r="E2107" t="s">
        <v>5</v>
      </c>
      <c r="F2107" t="s">
        <v>129</v>
      </c>
      <c r="G2107" t="s">
        <v>145</v>
      </c>
      <c r="H2107" t="s">
        <v>44</v>
      </c>
      <c r="I2107" t="e">
        <f t="shared" ca="1" si="161"/>
        <v>#REF!</v>
      </c>
      <c r="J2107" t="str">
        <f>VLOOKUP($G2107,DefinitionArrays!$I$6:$J$12,2,FALSE)</f>
        <v>Weekend</v>
      </c>
    </row>
    <row r="2108" spans="1:10">
      <c r="A2108" s="159" t="str">
        <f t="shared" si="162"/>
        <v>$Q$1:$Q$92</v>
      </c>
      <c r="B2108" s="159" t="str">
        <f t="shared" si="163"/>
        <v>$R$1:$R$92</v>
      </c>
      <c r="C2108" s="159" t="str">
        <f t="shared" si="164"/>
        <v>October!$Q$1:$Q$92</v>
      </c>
      <c r="D2108" s="159" t="str">
        <f t="shared" si="165"/>
        <v>October!$R$1:$R$92</v>
      </c>
      <c r="E2108" t="s">
        <v>5</v>
      </c>
      <c r="F2108" t="s">
        <v>129</v>
      </c>
      <c r="G2108" t="s">
        <v>146</v>
      </c>
      <c r="H2108" t="s">
        <v>159</v>
      </c>
      <c r="I2108" t="e">
        <f t="shared" ca="1" si="161"/>
        <v>#REF!</v>
      </c>
      <c r="J2108" t="str">
        <f>VLOOKUP($G2108,DefinitionArrays!$I$6:$J$12,2,FALSE)</f>
        <v>Weekend</v>
      </c>
    </row>
    <row r="2109" spans="1:10">
      <c r="A2109" s="159" t="str">
        <f t="shared" si="162"/>
        <v>$T$1:$T$92</v>
      </c>
      <c r="B2109" s="159" t="str">
        <f t="shared" si="163"/>
        <v>$U$1:$U$92</v>
      </c>
      <c r="C2109" s="159" t="str">
        <f t="shared" si="164"/>
        <v>October!$T$1:$T$92</v>
      </c>
      <c r="D2109" s="159" t="str">
        <f t="shared" si="165"/>
        <v>October!$U$1:$U$92</v>
      </c>
      <c r="E2109" t="s">
        <v>5</v>
      </c>
      <c r="F2109" t="s">
        <v>129</v>
      </c>
      <c r="G2109" t="s">
        <v>141</v>
      </c>
      <c r="H2109" t="s">
        <v>159</v>
      </c>
      <c r="I2109" t="e">
        <f t="shared" ca="1" si="161"/>
        <v>#REF!</v>
      </c>
      <c r="J2109" t="str">
        <f>VLOOKUP($G2109,DefinitionArrays!$I$6:$J$12,2,FALSE)</f>
        <v>Weekend</v>
      </c>
    </row>
    <row r="2110" spans="1:10">
      <c r="A2110" s="159" t="str">
        <f t="shared" si="162"/>
        <v>$B$1:$B$92</v>
      </c>
      <c r="B2110" s="159" t="str">
        <f t="shared" si="163"/>
        <v>$C$1:$C$92</v>
      </c>
      <c r="C2110" s="159" t="str">
        <f t="shared" si="164"/>
        <v>November!$B$1:$B$92</v>
      </c>
      <c r="D2110" s="159" t="str">
        <f t="shared" si="165"/>
        <v>November!$C$1:$C$92</v>
      </c>
      <c r="E2110" t="s">
        <v>5</v>
      </c>
      <c r="F2110" t="s">
        <v>130</v>
      </c>
      <c r="G2110" t="s">
        <v>13</v>
      </c>
      <c r="H2110" t="s">
        <v>159</v>
      </c>
      <c r="I2110" t="e">
        <f ca="1">COUNTIFS(INDIRECT($C2110),$E2110,INDIRECT($D2110),$H2110)</f>
        <v>#REF!</v>
      </c>
      <c r="J2110" t="str">
        <f>VLOOKUP($G2110,DefinitionArrays!$I$6:$J$12,2,FALSE)</f>
        <v>Workweek</v>
      </c>
    </row>
    <row r="2111" spans="1:10">
      <c r="A2111" s="159" t="str">
        <f t="shared" si="162"/>
        <v>$B$1:$B$92</v>
      </c>
      <c r="B2111" s="159" t="str">
        <f t="shared" si="163"/>
        <v>$C$1:$C$92</v>
      </c>
      <c r="C2111" s="159" t="str">
        <f t="shared" si="164"/>
        <v>November!$B$1:$B$92</v>
      </c>
      <c r="D2111" s="159" t="str">
        <f t="shared" si="165"/>
        <v>November!$C$1:$C$92</v>
      </c>
      <c r="E2111" t="s">
        <v>5</v>
      </c>
      <c r="F2111" t="s">
        <v>130</v>
      </c>
      <c r="G2111" t="s">
        <v>13</v>
      </c>
      <c r="H2111" t="s">
        <v>18</v>
      </c>
      <c r="I2111" t="e">
        <f t="shared" ref="I2111:I2171" ca="1" si="166">COUNTIFS(INDIRECT($C2111),$E2111,INDIRECT($D2111),$H2111)</f>
        <v>#REF!</v>
      </c>
      <c r="J2111" t="str">
        <f>VLOOKUP($G2111,DefinitionArrays!$I$6:$J$12,2,FALSE)</f>
        <v>Workweek</v>
      </c>
    </row>
    <row r="2112" spans="1:10">
      <c r="A2112" s="159" t="str">
        <f t="shared" si="162"/>
        <v>$B$1:$B$92</v>
      </c>
      <c r="B2112" s="159" t="str">
        <f t="shared" si="163"/>
        <v>$C$1:$C$92</v>
      </c>
      <c r="C2112" s="159" t="str">
        <f t="shared" si="164"/>
        <v>November!$B$1:$B$92</v>
      </c>
      <c r="D2112" s="159" t="str">
        <f t="shared" si="165"/>
        <v>November!$C$1:$C$92</v>
      </c>
      <c r="E2112" t="s">
        <v>5</v>
      </c>
      <c r="F2112" t="s">
        <v>130</v>
      </c>
      <c r="G2112" t="s">
        <v>13</v>
      </c>
      <c r="H2112" t="s">
        <v>153</v>
      </c>
      <c r="I2112" t="e">
        <f t="shared" ca="1" si="166"/>
        <v>#REF!</v>
      </c>
      <c r="J2112" t="str">
        <f>VLOOKUP($G2112,DefinitionArrays!$I$6:$J$12,2,FALSE)</f>
        <v>Workweek</v>
      </c>
    </row>
    <row r="2113" spans="1:10">
      <c r="A2113" s="159" t="str">
        <f t="shared" si="162"/>
        <v>$B$1:$B$92</v>
      </c>
      <c r="B2113" s="159" t="str">
        <f t="shared" si="163"/>
        <v>$C$1:$C$92</v>
      </c>
      <c r="C2113" s="159" t="str">
        <f t="shared" si="164"/>
        <v>November!$B$1:$B$92</v>
      </c>
      <c r="D2113" s="159" t="str">
        <f t="shared" si="165"/>
        <v>November!$C$1:$C$92</v>
      </c>
      <c r="E2113" t="s">
        <v>5</v>
      </c>
      <c r="F2113" t="s">
        <v>130</v>
      </c>
      <c r="G2113" t="s">
        <v>13</v>
      </c>
      <c r="H2113" t="s">
        <v>19</v>
      </c>
      <c r="I2113" t="e">
        <f t="shared" ca="1" si="166"/>
        <v>#REF!</v>
      </c>
      <c r="J2113" t="str">
        <f>VLOOKUP($G2113,DefinitionArrays!$I$6:$J$12,2,FALSE)</f>
        <v>Workweek</v>
      </c>
    </row>
    <row r="2114" spans="1:10">
      <c r="A2114" s="159" t="str">
        <f t="shared" ref="A2114:A2177" si="167">VLOOKUP($G2114,Fx_Code,2,FALSE)</f>
        <v>$B$1:$B$92</v>
      </c>
      <c r="B2114" s="159" t="str">
        <f t="shared" ref="B2114:B2177" si="168">VLOOKUP($G2114,Fx_Code,3,FALSE)</f>
        <v>$C$1:$C$92</v>
      </c>
      <c r="C2114" s="159" t="str">
        <f t="shared" ref="C2114:C2177" si="169">CONCATENATE($F2114,$K$1,A2114)</f>
        <v>November!$B$1:$B$92</v>
      </c>
      <c r="D2114" s="159" t="str">
        <f t="shared" ref="D2114:D2177" si="170">CONCATENATE($F2114,$K$1,B2114)</f>
        <v>November!$C$1:$C$92</v>
      </c>
      <c r="E2114" t="s">
        <v>5</v>
      </c>
      <c r="F2114" t="s">
        <v>130</v>
      </c>
      <c r="G2114" t="s">
        <v>13</v>
      </c>
      <c r="H2114" t="s">
        <v>20</v>
      </c>
      <c r="I2114" t="e">
        <f t="shared" ca="1" si="166"/>
        <v>#REF!</v>
      </c>
      <c r="J2114" t="str">
        <f>VLOOKUP($G2114,DefinitionArrays!$I$6:$J$12,2,FALSE)</f>
        <v>Workweek</v>
      </c>
    </row>
    <row r="2115" spans="1:10">
      <c r="A2115" s="159" t="str">
        <f t="shared" si="167"/>
        <v>$B$1:$B$92</v>
      </c>
      <c r="B2115" s="159" t="str">
        <f t="shared" si="168"/>
        <v>$C$1:$C$92</v>
      </c>
      <c r="C2115" s="159" t="str">
        <f t="shared" si="169"/>
        <v>November!$B$1:$B$92</v>
      </c>
      <c r="D2115" s="159" t="str">
        <f t="shared" si="170"/>
        <v>November!$C$1:$C$92</v>
      </c>
      <c r="E2115" t="s">
        <v>5</v>
      </c>
      <c r="F2115" t="s">
        <v>130</v>
      </c>
      <c r="G2115" t="s">
        <v>13</v>
      </c>
      <c r="H2115" t="s">
        <v>21</v>
      </c>
      <c r="I2115" t="e">
        <f t="shared" ca="1" si="166"/>
        <v>#REF!</v>
      </c>
      <c r="J2115" t="str">
        <f>VLOOKUP($G2115,DefinitionArrays!$I$6:$J$12,2,FALSE)</f>
        <v>Workweek</v>
      </c>
    </row>
    <row r="2116" spans="1:10">
      <c r="A2116" s="159" t="str">
        <f t="shared" si="167"/>
        <v>$B$1:$B$92</v>
      </c>
      <c r="B2116" s="159" t="str">
        <f t="shared" si="168"/>
        <v>$C$1:$C$92</v>
      </c>
      <c r="C2116" s="159" t="str">
        <f t="shared" si="169"/>
        <v>November!$B$1:$B$92</v>
      </c>
      <c r="D2116" s="159" t="str">
        <f t="shared" si="170"/>
        <v>November!$C$1:$C$92</v>
      </c>
      <c r="E2116" t="s">
        <v>5</v>
      </c>
      <c r="F2116" t="s">
        <v>130</v>
      </c>
      <c r="G2116" t="s">
        <v>13</v>
      </c>
      <c r="H2116" t="s">
        <v>22</v>
      </c>
      <c r="I2116" t="e">
        <f t="shared" ca="1" si="166"/>
        <v>#REF!</v>
      </c>
      <c r="J2116" t="str">
        <f>VLOOKUP($G2116,DefinitionArrays!$I$6:$J$12,2,FALSE)</f>
        <v>Workweek</v>
      </c>
    </row>
    <row r="2117" spans="1:10">
      <c r="A2117" s="159" t="str">
        <f t="shared" si="167"/>
        <v>$B$1:$B$92</v>
      </c>
      <c r="B2117" s="159" t="str">
        <f t="shared" si="168"/>
        <v>$C$1:$C$92</v>
      </c>
      <c r="C2117" s="159" t="str">
        <f t="shared" si="169"/>
        <v>November!$B$1:$B$92</v>
      </c>
      <c r="D2117" s="159" t="str">
        <f t="shared" si="170"/>
        <v>November!$C$1:$C$92</v>
      </c>
      <c r="E2117" t="s">
        <v>5</v>
      </c>
      <c r="F2117" t="s">
        <v>130</v>
      </c>
      <c r="G2117" t="s">
        <v>13</v>
      </c>
      <c r="H2117" t="s">
        <v>23</v>
      </c>
      <c r="I2117" t="e">
        <f t="shared" ca="1" si="166"/>
        <v>#REF!</v>
      </c>
      <c r="J2117" t="str">
        <f>VLOOKUP($G2117,DefinitionArrays!$I$6:$J$12,2,FALSE)</f>
        <v>Workweek</v>
      </c>
    </row>
    <row r="2118" spans="1:10">
      <c r="A2118" s="159" t="str">
        <f t="shared" si="167"/>
        <v>$B$1:$B$92</v>
      </c>
      <c r="B2118" s="159" t="str">
        <f t="shared" si="168"/>
        <v>$C$1:$C$92</v>
      </c>
      <c r="C2118" s="159" t="str">
        <f t="shared" si="169"/>
        <v>November!$B$1:$B$92</v>
      </c>
      <c r="D2118" s="159" t="str">
        <f t="shared" si="170"/>
        <v>November!$C$1:$C$92</v>
      </c>
      <c r="E2118" t="s">
        <v>5</v>
      </c>
      <c r="F2118" t="s">
        <v>130</v>
      </c>
      <c r="G2118" t="s">
        <v>13</v>
      </c>
      <c r="H2118" t="s">
        <v>24</v>
      </c>
      <c r="I2118" t="e">
        <f t="shared" ca="1" si="166"/>
        <v>#REF!</v>
      </c>
      <c r="J2118" t="str">
        <f>VLOOKUP($G2118,DefinitionArrays!$I$6:$J$12,2,FALSE)</f>
        <v>Workweek</v>
      </c>
    </row>
    <row r="2119" spans="1:10">
      <c r="A2119" s="159" t="str">
        <f t="shared" si="167"/>
        <v>$B$1:$B$92</v>
      </c>
      <c r="B2119" s="159" t="str">
        <f t="shared" si="168"/>
        <v>$C$1:$C$92</v>
      </c>
      <c r="C2119" s="159" t="str">
        <f t="shared" si="169"/>
        <v>November!$B$1:$B$92</v>
      </c>
      <c r="D2119" s="159" t="str">
        <f t="shared" si="170"/>
        <v>November!$C$1:$C$92</v>
      </c>
      <c r="E2119" t="s">
        <v>5</v>
      </c>
      <c r="F2119" t="s">
        <v>130</v>
      </c>
      <c r="G2119" t="s">
        <v>13</v>
      </c>
      <c r="H2119" t="s">
        <v>179</v>
      </c>
      <c r="I2119" t="e">
        <f t="shared" ca="1" si="166"/>
        <v>#REF!</v>
      </c>
      <c r="J2119" t="str">
        <f>VLOOKUP($G2119,DefinitionArrays!$I$6:$J$12,2,FALSE)</f>
        <v>Workweek</v>
      </c>
    </row>
    <row r="2120" spans="1:10">
      <c r="A2120" s="159" t="str">
        <f t="shared" si="167"/>
        <v>$B$1:$B$92</v>
      </c>
      <c r="B2120" s="159" t="str">
        <f t="shared" si="168"/>
        <v>$C$1:$C$92</v>
      </c>
      <c r="C2120" s="159" t="str">
        <f t="shared" si="169"/>
        <v>November!$B$1:$B$92</v>
      </c>
      <c r="D2120" s="159" t="str">
        <f t="shared" si="170"/>
        <v>November!$C$1:$C$92</v>
      </c>
      <c r="E2120" t="s">
        <v>5</v>
      </c>
      <c r="F2120" t="s">
        <v>130</v>
      </c>
      <c r="G2120" t="s">
        <v>13</v>
      </c>
      <c r="H2120" t="s">
        <v>180</v>
      </c>
      <c r="I2120" t="e">
        <f t="shared" ca="1" si="166"/>
        <v>#REF!</v>
      </c>
      <c r="J2120" t="str">
        <f>VLOOKUP($G2120,DefinitionArrays!$I$6:$J$12,2,FALSE)</f>
        <v>Workweek</v>
      </c>
    </row>
    <row r="2121" spans="1:10">
      <c r="A2121" s="159" t="str">
        <f t="shared" si="167"/>
        <v>$B$1:$B$92</v>
      </c>
      <c r="B2121" s="159" t="str">
        <f t="shared" si="168"/>
        <v>$C$1:$C$92</v>
      </c>
      <c r="C2121" s="159" t="str">
        <f t="shared" si="169"/>
        <v>November!$B$1:$B$92</v>
      </c>
      <c r="D2121" s="159" t="str">
        <f t="shared" si="170"/>
        <v>November!$C$1:$C$92</v>
      </c>
      <c r="E2121" t="s">
        <v>5</v>
      </c>
      <c r="F2121" t="s">
        <v>130</v>
      </c>
      <c r="G2121" t="s">
        <v>13</v>
      </c>
      <c r="H2121" t="s">
        <v>44</v>
      </c>
      <c r="I2121" t="e">
        <f t="shared" ca="1" si="166"/>
        <v>#REF!</v>
      </c>
      <c r="J2121" t="str">
        <f>VLOOKUP($G2121,DefinitionArrays!$I$6:$J$12,2,FALSE)</f>
        <v>Workweek</v>
      </c>
    </row>
    <row r="2122" spans="1:10">
      <c r="A2122" s="159" t="str">
        <f t="shared" si="167"/>
        <v>$E$1:$E$92</v>
      </c>
      <c r="B2122" s="159" t="str">
        <f t="shared" si="168"/>
        <v>$F$1:$F$92</v>
      </c>
      <c r="C2122" s="159" t="str">
        <f t="shared" si="169"/>
        <v>November!$E$1:$E$92</v>
      </c>
      <c r="D2122" s="159" t="str">
        <f t="shared" si="170"/>
        <v>November!$F$1:$F$92</v>
      </c>
      <c r="E2122" t="s">
        <v>5</v>
      </c>
      <c r="F2122" t="s">
        <v>130</v>
      </c>
      <c r="G2122" t="s">
        <v>142</v>
      </c>
      <c r="H2122" t="s">
        <v>159</v>
      </c>
      <c r="I2122" t="e">
        <f t="shared" ca="1" si="166"/>
        <v>#REF!</v>
      </c>
      <c r="J2122" t="str">
        <f>VLOOKUP($G2122,DefinitionArrays!$I$6:$J$12,2,FALSE)</f>
        <v>Workweek</v>
      </c>
    </row>
    <row r="2123" spans="1:10">
      <c r="A2123" s="159" t="str">
        <f t="shared" si="167"/>
        <v>$E$1:$E$92</v>
      </c>
      <c r="B2123" s="159" t="str">
        <f t="shared" si="168"/>
        <v>$F$1:$F$92</v>
      </c>
      <c r="C2123" s="159" t="str">
        <f t="shared" si="169"/>
        <v>November!$E$1:$E$92</v>
      </c>
      <c r="D2123" s="159" t="str">
        <f t="shared" si="170"/>
        <v>November!$F$1:$F$92</v>
      </c>
      <c r="E2123" t="s">
        <v>5</v>
      </c>
      <c r="F2123" t="s">
        <v>130</v>
      </c>
      <c r="G2123" t="s">
        <v>142</v>
      </c>
      <c r="H2123" t="s">
        <v>18</v>
      </c>
      <c r="I2123" t="e">
        <f t="shared" ca="1" si="166"/>
        <v>#REF!</v>
      </c>
      <c r="J2123" t="str">
        <f>VLOOKUP($G2123,DefinitionArrays!$I$6:$J$12,2,FALSE)</f>
        <v>Workweek</v>
      </c>
    </row>
    <row r="2124" spans="1:10">
      <c r="A2124" s="159" t="str">
        <f t="shared" si="167"/>
        <v>$E$1:$E$92</v>
      </c>
      <c r="B2124" s="159" t="str">
        <f t="shared" si="168"/>
        <v>$F$1:$F$92</v>
      </c>
      <c r="C2124" s="159" t="str">
        <f t="shared" si="169"/>
        <v>November!$E$1:$E$92</v>
      </c>
      <c r="D2124" s="159" t="str">
        <f t="shared" si="170"/>
        <v>November!$F$1:$F$92</v>
      </c>
      <c r="E2124" t="s">
        <v>5</v>
      </c>
      <c r="F2124" t="s">
        <v>130</v>
      </c>
      <c r="G2124" t="s">
        <v>142</v>
      </c>
      <c r="H2124" t="s">
        <v>153</v>
      </c>
      <c r="I2124" t="e">
        <f t="shared" ca="1" si="166"/>
        <v>#REF!</v>
      </c>
      <c r="J2124" t="str">
        <f>VLOOKUP($G2124,DefinitionArrays!$I$6:$J$12,2,FALSE)</f>
        <v>Workweek</v>
      </c>
    </row>
    <row r="2125" spans="1:10">
      <c r="A2125" s="159" t="str">
        <f t="shared" si="167"/>
        <v>$E$1:$E$92</v>
      </c>
      <c r="B2125" s="159" t="str">
        <f t="shared" si="168"/>
        <v>$F$1:$F$92</v>
      </c>
      <c r="C2125" s="159" t="str">
        <f t="shared" si="169"/>
        <v>November!$E$1:$E$92</v>
      </c>
      <c r="D2125" s="159" t="str">
        <f t="shared" si="170"/>
        <v>November!$F$1:$F$92</v>
      </c>
      <c r="E2125" t="s">
        <v>5</v>
      </c>
      <c r="F2125" t="s">
        <v>130</v>
      </c>
      <c r="G2125" t="s">
        <v>142</v>
      </c>
      <c r="H2125" t="s">
        <v>19</v>
      </c>
      <c r="I2125" t="e">
        <f t="shared" ca="1" si="166"/>
        <v>#REF!</v>
      </c>
      <c r="J2125" t="str">
        <f>VLOOKUP($G2125,DefinitionArrays!$I$6:$J$12,2,FALSE)</f>
        <v>Workweek</v>
      </c>
    </row>
    <row r="2126" spans="1:10">
      <c r="A2126" s="159" t="str">
        <f t="shared" si="167"/>
        <v>$E$1:$E$92</v>
      </c>
      <c r="B2126" s="159" t="str">
        <f t="shared" si="168"/>
        <v>$F$1:$F$92</v>
      </c>
      <c r="C2126" s="159" t="str">
        <f t="shared" si="169"/>
        <v>November!$E$1:$E$92</v>
      </c>
      <c r="D2126" s="159" t="str">
        <f t="shared" si="170"/>
        <v>November!$F$1:$F$92</v>
      </c>
      <c r="E2126" t="s">
        <v>5</v>
      </c>
      <c r="F2126" t="s">
        <v>130</v>
      </c>
      <c r="G2126" t="s">
        <v>142</v>
      </c>
      <c r="H2126" t="s">
        <v>20</v>
      </c>
      <c r="I2126" t="e">
        <f t="shared" ca="1" si="166"/>
        <v>#REF!</v>
      </c>
      <c r="J2126" t="str">
        <f>VLOOKUP($G2126,DefinitionArrays!$I$6:$J$12,2,FALSE)</f>
        <v>Workweek</v>
      </c>
    </row>
    <row r="2127" spans="1:10">
      <c r="A2127" s="159" t="str">
        <f t="shared" si="167"/>
        <v>$E$1:$E$92</v>
      </c>
      <c r="B2127" s="159" t="str">
        <f t="shared" si="168"/>
        <v>$F$1:$F$92</v>
      </c>
      <c r="C2127" s="159" t="str">
        <f t="shared" si="169"/>
        <v>November!$E$1:$E$92</v>
      </c>
      <c r="D2127" s="159" t="str">
        <f t="shared" si="170"/>
        <v>November!$F$1:$F$92</v>
      </c>
      <c r="E2127" t="s">
        <v>5</v>
      </c>
      <c r="F2127" t="s">
        <v>130</v>
      </c>
      <c r="G2127" t="s">
        <v>142</v>
      </c>
      <c r="H2127" t="s">
        <v>21</v>
      </c>
      <c r="I2127" t="e">
        <f t="shared" ca="1" si="166"/>
        <v>#REF!</v>
      </c>
      <c r="J2127" t="str">
        <f>VLOOKUP($G2127,DefinitionArrays!$I$6:$J$12,2,FALSE)</f>
        <v>Workweek</v>
      </c>
    </row>
    <row r="2128" spans="1:10">
      <c r="A2128" s="159" t="str">
        <f t="shared" si="167"/>
        <v>$E$1:$E$92</v>
      </c>
      <c r="B2128" s="159" t="str">
        <f t="shared" si="168"/>
        <v>$F$1:$F$92</v>
      </c>
      <c r="C2128" s="159" t="str">
        <f t="shared" si="169"/>
        <v>November!$E$1:$E$92</v>
      </c>
      <c r="D2128" s="159" t="str">
        <f t="shared" si="170"/>
        <v>November!$F$1:$F$92</v>
      </c>
      <c r="E2128" t="s">
        <v>5</v>
      </c>
      <c r="F2128" t="s">
        <v>130</v>
      </c>
      <c r="G2128" t="s">
        <v>142</v>
      </c>
      <c r="H2128" t="s">
        <v>22</v>
      </c>
      <c r="I2128" t="e">
        <f t="shared" ca="1" si="166"/>
        <v>#REF!</v>
      </c>
      <c r="J2128" t="str">
        <f>VLOOKUP($G2128,DefinitionArrays!$I$6:$J$12,2,FALSE)</f>
        <v>Workweek</v>
      </c>
    </row>
    <row r="2129" spans="1:10">
      <c r="A2129" s="159" t="str">
        <f t="shared" si="167"/>
        <v>$E$1:$E$92</v>
      </c>
      <c r="B2129" s="159" t="str">
        <f t="shared" si="168"/>
        <v>$F$1:$F$92</v>
      </c>
      <c r="C2129" s="159" t="str">
        <f t="shared" si="169"/>
        <v>November!$E$1:$E$92</v>
      </c>
      <c r="D2129" s="159" t="str">
        <f t="shared" si="170"/>
        <v>November!$F$1:$F$92</v>
      </c>
      <c r="E2129" t="s">
        <v>5</v>
      </c>
      <c r="F2129" t="s">
        <v>130</v>
      </c>
      <c r="G2129" t="s">
        <v>142</v>
      </c>
      <c r="H2129" t="s">
        <v>23</v>
      </c>
      <c r="I2129" t="e">
        <f t="shared" ca="1" si="166"/>
        <v>#REF!</v>
      </c>
      <c r="J2129" t="str">
        <f>VLOOKUP($G2129,DefinitionArrays!$I$6:$J$12,2,FALSE)</f>
        <v>Workweek</v>
      </c>
    </row>
    <row r="2130" spans="1:10">
      <c r="A2130" s="159" t="str">
        <f t="shared" si="167"/>
        <v>$E$1:$E$92</v>
      </c>
      <c r="B2130" s="159" t="str">
        <f t="shared" si="168"/>
        <v>$F$1:$F$92</v>
      </c>
      <c r="C2130" s="159" t="str">
        <f t="shared" si="169"/>
        <v>November!$E$1:$E$92</v>
      </c>
      <c r="D2130" s="159" t="str">
        <f t="shared" si="170"/>
        <v>November!$F$1:$F$92</v>
      </c>
      <c r="E2130" t="s">
        <v>5</v>
      </c>
      <c r="F2130" t="s">
        <v>130</v>
      </c>
      <c r="G2130" t="s">
        <v>142</v>
      </c>
      <c r="H2130" t="s">
        <v>24</v>
      </c>
      <c r="I2130" t="e">
        <f t="shared" ca="1" si="166"/>
        <v>#REF!</v>
      </c>
      <c r="J2130" t="str">
        <f>VLOOKUP($G2130,DefinitionArrays!$I$6:$J$12,2,FALSE)</f>
        <v>Workweek</v>
      </c>
    </row>
    <row r="2131" spans="1:10">
      <c r="A2131" s="159" t="str">
        <f t="shared" si="167"/>
        <v>$E$1:$E$92</v>
      </c>
      <c r="B2131" s="159" t="str">
        <f t="shared" si="168"/>
        <v>$F$1:$F$92</v>
      </c>
      <c r="C2131" s="159" t="str">
        <f t="shared" si="169"/>
        <v>November!$E$1:$E$92</v>
      </c>
      <c r="D2131" s="159" t="str">
        <f t="shared" si="170"/>
        <v>November!$F$1:$F$92</v>
      </c>
      <c r="E2131" t="s">
        <v>5</v>
      </c>
      <c r="F2131" t="s">
        <v>130</v>
      </c>
      <c r="G2131" t="s">
        <v>142</v>
      </c>
      <c r="H2131" t="s">
        <v>179</v>
      </c>
      <c r="I2131" t="e">
        <f t="shared" ca="1" si="166"/>
        <v>#REF!</v>
      </c>
      <c r="J2131" t="str">
        <f>VLOOKUP($G2131,DefinitionArrays!$I$6:$J$12,2,FALSE)</f>
        <v>Workweek</v>
      </c>
    </row>
    <row r="2132" spans="1:10">
      <c r="A2132" s="159" t="str">
        <f t="shared" si="167"/>
        <v>$E$1:$E$92</v>
      </c>
      <c r="B2132" s="159" t="str">
        <f t="shared" si="168"/>
        <v>$F$1:$F$92</v>
      </c>
      <c r="C2132" s="159" t="str">
        <f t="shared" si="169"/>
        <v>November!$E$1:$E$92</v>
      </c>
      <c r="D2132" s="159" t="str">
        <f t="shared" si="170"/>
        <v>November!$F$1:$F$92</v>
      </c>
      <c r="E2132" t="s">
        <v>5</v>
      </c>
      <c r="F2132" t="s">
        <v>130</v>
      </c>
      <c r="G2132" t="s">
        <v>142</v>
      </c>
      <c r="H2132" t="s">
        <v>180</v>
      </c>
      <c r="I2132" t="e">
        <f t="shared" ca="1" si="166"/>
        <v>#REF!</v>
      </c>
      <c r="J2132" t="str">
        <f>VLOOKUP($G2132,DefinitionArrays!$I$6:$J$12,2,FALSE)</f>
        <v>Workweek</v>
      </c>
    </row>
    <row r="2133" spans="1:10">
      <c r="A2133" s="159" t="str">
        <f t="shared" si="167"/>
        <v>$E$1:$E$92</v>
      </c>
      <c r="B2133" s="159" t="str">
        <f t="shared" si="168"/>
        <v>$F$1:$F$92</v>
      </c>
      <c r="C2133" s="159" t="str">
        <f t="shared" si="169"/>
        <v>November!$E$1:$E$92</v>
      </c>
      <c r="D2133" s="159" t="str">
        <f t="shared" si="170"/>
        <v>November!$F$1:$F$92</v>
      </c>
      <c r="E2133" t="s">
        <v>5</v>
      </c>
      <c r="F2133" t="s">
        <v>130</v>
      </c>
      <c r="G2133" t="s">
        <v>142</v>
      </c>
      <c r="H2133" t="s">
        <v>44</v>
      </c>
      <c r="I2133" t="e">
        <f t="shared" ca="1" si="166"/>
        <v>#REF!</v>
      </c>
      <c r="J2133" t="str">
        <f>VLOOKUP($G2133,DefinitionArrays!$I$6:$J$12,2,FALSE)</f>
        <v>Workweek</v>
      </c>
    </row>
    <row r="2134" spans="1:10">
      <c r="A2134" s="159" t="str">
        <f t="shared" si="167"/>
        <v>$H$1:$H$92</v>
      </c>
      <c r="B2134" s="159" t="str">
        <f t="shared" si="168"/>
        <v>$I$1:$I$92</v>
      </c>
      <c r="C2134" s="159" t="str">
        <f t="shared" si="169"/>
        <v>November!$H$1:$H$92</v>
      </c>
      <c r="D2134" s="159" t="str">
        <f t="shared" si="170"/>
        <v>November!$I$1:$I$92</v>
      </c>
      <c r="E2134" t="s">
        <v>5</v>
      </c>
      <c r="F2134" t="s">
        <v>130</v>
      </c>
      <c r="G2134" t="s">
        <v>143</v>
      </c>
      <c r="H2134" t="s">
        <v>159</v>
      </c>
      <c r="I2134" t="e">
        <f t="shared" ca="1" si="166"/>
        <v>#REF!</v>
      </c>
      <c r="J2134" t="str">
        <f>VLOOKUP($G2134,DefinitionArrays!$I$6:$J$12,2,FALSE)</f>
        <v>Workweek</v>
      </c>
    </row>
    <row r="2135" spans="1:10">
      <c r="A2135" s="159" t="str">
        <f t="shared" si="167"/>
        <v>$H$1:$H$92</v>
      </c>
      <c r="B2135" s="159" t="str">
        <f t="shared" si="168"/>
        <v>$I$1:$I$92</v>
      </c>
      <c r="C2135" s="159" t="str">
        <f t="shared" si="169"/>
        <v>November!$H$1:$H$92</v>
      </c>
      <c r="D2135" s="159" t="str">
        <f t="shared" si="170"/>
        <v>November!$I$1:$I$92</v>
      </c>
      <c r="E2135" t="s">
        <v>5</v>
      </c>
      <c r="F2135" t="s">
        <v>130</v>
      </c>
      <c r="G2135" t="s">
        <v>143</v>
      </c>
      <c r="H2135" t="s">
        <v>18</v>
      </c>
      <c r="I2135" t="e">
        <f t="shared" ca="1" si="166"/>
        <v>#REF!</v>
      </c>
      <c r="J2135" t="str">
        <f>VLOOKUP($G2135,DefinitionArrays!$I$6:$J$12,2,FALSE)</f>
        <v>Workweek</v>
      </c>
    </row>
    <row r="2136" spans="1:10">
      <c r="A2136" s="159" t="str">
        <f t="shared" si="167"/>
        <v>$H$1:$H$92</v>
      </c>
      <c r="B2136" s="159" t="str">
        <f t="shared" si="168"/>
        <v>$I$1:$I$92</v>
      </c>
      <c r="C2136" s="159" t="str">
        <f t="shared" si="169"/>
        <v>November!$H$1:$H$92</v>
      </c>
      <c r="D2136" s="159" t="str">
        <f t="shared" si="170"/>
        <v>November!$I$1:$I$92</v>
      </c>
      <c r="E2136" t="s">
        <v>5</v>
      </c>
      <c r="F2136" t="s">
        <v>130</v>
      </c>
      <c r="G2136" t="s">
        <v>143</v>
      </c>
      <c r="H2136" t="s">
        <v>153</v>
      </c>
      <c r="I2136" t="e">
        <f t="shared" ca="1" si="166"/>
        <v>#REF!</v>
      </c>
      <c r="J2136" t="str">
        <f>VLOOKUP($G2136,DefinitionArrays!$I$6:$J$12,2,FALSE)</f>
        <v>Workweek</v>
      </c>
    </row>
    <row r="2137" spans="1:10">
      <c r="A2137" s="159" t="str">
        <f t="shared" si="167"/>
        <v>$H$1:$H$92</v>
      </c>
      <c r="B2137" s="159" t="str">
        <f t="shared" si="168"/>
        <v>$I$1:$I$92</v>
      </c>
      <c r="C2137" s="159" t="str">
        <f t="shared" si="169"/>
        <v>November!$H$1:$H$92</v>
      </c>
      <c r="D2137" s="159" t="str">
        <f t="shared" si="170"/>
        <v>November!$I$1:$I$92</v>
      </c>
      <c r="E2137" t="s">
        <v>5</v>
      </c>
      <c r="F2137" t="s">
        <v>130</v>
      </c>
      <c r="G2137" t="s">
        <v>143</v>
      </c>
      <c r="H2137" t="s">
        <v>19</v>
      </c>
      <c r="I2137" t="e">
        <f t="shared" ca="1" si="166"/>
        <v>#REF!</v>
      </c>
      <c r="J2137" t="str">
        <f>VLOOKUP($G2137,DefinitionArrays!$I$6:$J$12,2,FALSE)</f>
        <v>Workweek</v>
      </c>
    </row>
    <row r="2138" spans="1:10">
      <c r="A2138" s="159" t="str">
        <f t="shared" si="167"/>
        <v>$H$1:$H$92</v>
      </c>
      <c r="B2138" s="159" t="str">
        <f t="shared" si="168"/>
        <v>$I$1:$I$92</v>
      </c>
      <c r="C2138" s="159" t="str">
        <f t="shared" si="169"/>
        <v>November!$H$1:$H$92</v>
      </c>
      <c r="D2138" s="159" t="str">
        <f t="shared" si="170"/>
        <v>November!$I$1:$I$92</v>
      </c>
      <c r="E2138" t="s">
        <v>5</v>
      </c>
      <c r="F2138" t="s">
        <v>130</v>
      </c>
      <c r="G2138" t="s">
        <v>143</v>
      </c>
      <c r="H2138" t="s">
        <v>20</v>
      </c>
      <c r="I2138" t="e">
        <f t="shared" ca="1" si="166"/>
        <v>#REF!</v>
      </c>
      <c r="J2138" t="str">
        <f>VLOOKUP($G2138,DefinitionArrays!$I$6:$J$12,2,FALSE)</f>
        <v>Workweek</v>
      </c>
    </row>
    <row r="2139" spans="1:10">
      <c r="A2139" s="159" t="str">
        <f t="shared" si="167"/>
        <v>$H$1:$H$92</v>
      </c>
      <c r="B2139" s="159" t="str">
        <f t="shared" si="168"/>
        <v>$I$1:$I$92</v>
      </c>
      <c r="C2139" s="159" t="str">
        <f t="shared" si="169"/>
        <v>November!$H$1:$H$92</v>
      </c>
      <c r="D2139" s="159" t="str">
        <f t="shared" si="170"/>
        <v>November!$I$1:$I$92</v>
      </c>
      <c r="E2139" t="s">
        <v>5</v>
      </c>
      <c r="F2139" t="s">
        <v>130</v>
      </c>
      <c r="G2139" t="s">
        <v>143</v>
      </c>
      <c r="H2139" t="s">
        <v>21</v>
      </c>
      <c r="I2139" t="e">
        <f t="shared" ca="1" si="166"/>
        <v>#REF!</v>
      </c>
      <c r="J2139" t="str">
        <f>VLOOKUP($G2139,DefinitionArrays!$I$6:$J$12,2,FALSE)</f>
        <v>Workweek</v>
      </c>
    </row>
    <row r="2140" spans="1:10">
      <c r="A2140" s="159" t="str">
        <f t="shared" si="167"/>
        <v>$H$1:$H$92</v>
      </c>
      <c r="B2140" s="159" t="str">
        <f t="shared" si="168"/>
        <v>$I$1:$I$92</v>
      </c>
      <c r="C2140" s="159" t="str">
        <f t="shared" si="169"/>
        <v>November!$H$1:$H$92</v>
      </c>
      <c r="D2140" s="159" t="str">
        <f t="shared" si="170"/>
        <v>November!$I$1:$I$92</v>
      </c>
      <c r="E2140" t="s">
        <v>5</v>
      </c>
      <c r="F2140" t="s">
        <v>130</v>
      </c>
      <c r="G2140" t="s">
        <v>143</v>
      </c>
      <c r="H2140" t="s">
        <v>22</v>
      </c>
      <c r="I2140" t="e">
        <f t="shared" ca="1" si="166"/>
        <v>#REF!</v>
      </c>
      <c r="J2140" t="str">
        <f>VLOOKUP($G2140,DefinitionArrays!$I$6:$J$12,2,FALSE)</f>
        <v>Workweek</v>
      </c>
    </row>
    <row r="2141" spans="1:10">
      <c r="A2141" s="159" t="str">
        <f t="shared" si="167"/>
        <v>$H$1:$H$92</v>
      </c>
      <c r="B2141" s="159" t="str">
        <f t="shared" si="168"/>
        <v>$I$1:$I$92</v>
      </c>
      <c r="C2141" s="159" t="str">
        <f t="shared" si="169"/>
        <v>November!$H$1:$H$92</v>
      </c>
      <c r="D2141" s="159" t="str">
        <f t="shared" si="170"/>
        <v>November!$I$1:$I$92</v>
      </c>
      <c r="E2141" t="s">
        <v>5</v>
      </c>
      <c r="F2141" t="s">
        <v>130</v>
      </c>
      <c r="G2141" t="s">
        <v>143</v>
      </c>
      <c r="H2141" t="s">
        <v>23</v>
      </c>
      <c r="I2141" t="e">
        <f t="shared" ca="1" si="166"/>
        <v>#REF!</v>
      </c>
      <c r="J2141" t="str">
        <f>VLOOKUP($G2141,DefinitionArrays!$I$6:$J$12,2,FALSE)</f>
        <v>Workweek</v>
      </c>
    </row>
    <row r="2142" spans="1:10">
      <c r="A2142" s="159" t="str">
        <f t="shared" si="167"/>
        <v>$H$1:$H$92</v>
      </c>
      <c r="B2142" s="159" t="str">
        <f t="shared" si="168"/>
        <v>$I$1:$I$92</v>
      </c>
      <c r="C2142" s="159" t="str">
        <f t="shared" si="169"/>
        <v>November!$H$1:$H$92</v>
      </c>
      <c r="D2142" s="159" t="str">
        <f t="shared" si="170"/>
        <v>November!$I$1:$I$92</v>
      </c>
      <c r="E2142" t="s">
        <v>5</v>
      </c>
      <c r="F2142" t="s">
        <v>130</v>
      </c>
      <c r="G2142" t="s">
        <v>143</v>
      </c>
      <c r="H2142" t="s">
        <v>24</v>
      </c>
      <c r="I2142" t="e">
        <f t="shared" ca="1" si="166"/>
        <v>#REF!</v>
      </c>
      <c r="J2142" t="str">
        <f>VLOOKUP($G2142,DefinitionArrays!$I$6:$J$12,2,FALSE)</f>
        <v>Workweek</v>
      </c>
    </row>
    <row r="2143" spans="1:10">
      <c r="A2143" s="159" t="str">
        <f t="shared" si="167"/>
        <v>$H$1:$H$92</v>
      </c>
      <c r="B2143" s="159" t="str">
        <f t="shared" si="168"/>
        <v>$I$1:$I$92</v>
      </c>
      <c r="C2143" s="159" t="str">
        <f t="shared" si="169"/>
        <v>November!$H$1:$H$92</v>
      </c>
      <c r="D2143" s="159" t="str">
        <f t="shared" si="170"/>
        <v>November!$I$1:$I$92</v>
      </c>
      <c r="E2143" t="s">
        <v>5</v>
      </c>
      <c r="F2143" t="s">
        <v>130</v>
      </c>
      <c r="G2143" t="s">
        <v>143</v>
      </c>
      <c r="H2143" t="s">
        <v>179</v>
      </c>
      <c r="I2143" t="e">
        <f t="shared" ca="1" si="166"/>
        <v>#REF!</v>
      </c>
      <c r="J2143" t="str">
        <f>VLOOKUP($G2143,DefinitionArrays!$I$6:$J$12,2,FALSE)</f>
        <v>Workweek</v>
      </c>
    </row>
    <row r="2144" spans="1:10">
      <c r="A2144" s="159" t="str">
        <f t="shared" si="167"/>
        <v>$H$1:$H$92</v>
      </c>
      <c r="B2144" s="159" t="str">
        <f t="shared" si="168"/>
        <v>$I$1:$I$92</v>
      </c>
      <c r="C2144" s="159" t="str">
        <f t="shared" si="169"/>
        <v>November!$H$1:$H$92</v>
      </c>
      <c r="D2144" s="159" t="str">
        <f t="shared" si="170"/>
        <v>November!$I$1:$I$92</v>
      </c>
      <c r="E2144" t="s">
        <v>5</v>
      </c>
      <c r="F2144" t="s">
        <v>130</v>
      </c>
      <c r="G2144" t="s">
        <v>143</v>
      </c>
      <c r="H2144" t="s">
        <v>180</v>
      </c>
      <c r="I2144" t="e">
        <f t="shared" ca="1" si="166"/>
        <v>#REF!</v>
      </c>
      <c r="J2144" t="str">
        <f>VLOOKUP($G2144,DefinitionArrays!$I$6:$J$12,2,FALSE)</f>
        <v>Workweek</v>
      </c>
    </row>
    <row r="2145" spans="1:10">
      <c r="A2145" s="159" t="str">
        <f t="shared" si="167"/>
        <v>$H$1:$H$92</v>
      </c>
      <c r="B2145" s="159" t="str">
        <f t="shared" si="168"/>
        <v>$I$1:$I$92</v>
      </c>
      <c r="C2145" s="159" t="str">
        <f t="shared" si="169"/>
        <v>November!$H$1:$H$92</v>
      </c>
      <c r="D2145" s="159" t="str">
        <f t="shared" si="170"/>
        <v>November!$I$1:$I$92</v>
      </c>
      <c r="E2145" t="s">
        <v>5</v>
      </c>
      <c r="F2145" t="s">
        <v>130</v>
      </c>
      <c r="G2145" t="s">
        <v>143</v>
      </c>
      <c r="H2145" t="s">
        <v>44</v>
      </c>
      <c r="I2145" t="e">
        <f t="shared" ca="1" si="166"/>
        <v>#REF!</v>
      </c>
      <c r="J2145" t="str">
        <f>VLOOKUP($G2145,DefinitionArrays!$I$6:$J$12,2,FALSE)</f>
        <v>Workweek</v>
      </c>
    </row>
    <row r="2146" spans="1:10">
      <c r="A2146" s="159" t="str">
        <f t="shared" si="167"/>
        <v>$K$1:$K$92</v>
      </c>
      <c r="B2146" s="159" t="str">
        <f t="shared" si="168"/>
        <v>$L$1:$L$92</v>
      </c>
      <c r="C2146" s="159" t="str">
        <f t="shared" si="169"/>
        <v>November!$K$1:$K$92</v>
      </c>
      <c r="D2146" s="159" t="str">
        <f t="shared" si="170"/>
        <v>November!$L$1:$L$92</v>
      </c>
      <c r="E2146" t="s">
        <v>5</v>
      </c>
      <c r="F2146" t="s">
        <v>130</v>
      </c>
      <c r="G2146" t="s">
        <v>144</v>
      </c>
      <c r="H2146" t="s">
        <v>159</v>
      </c>
      <c r="I2146" t="e">
        <f t="shared" ca="1" si="166"/>
        <v>#REF!</v>
      </c>
      <c r="J2146" t="str">
        <f>VLOOKUP($G2146,DefinitionArrays!$I$6:$J$12,2,FALSE)</f>
        <v>Workweek</v>
      </c>
    </row>
    <row r="2147" spans="1:10">
      <c r="A2147" s="159" t="str">
        <f t="shared" si="167"/>
        <v>$K$1:$K$92</v>
      </c>
      <c r="B2147" s="159" t="str">
        <f t="shared" si="168"/>
        <v>$L$1:$L$92</v>
      </c>
      <c r="C2147" s="159" t="str">
        <f t="shared" si="169"/>
        <v>November!$K$1:$K$92</v>
      </c>
      <c r="D2147" s="159" t="str">
        <f t="shared" si="170"/>
        <v>November!$L$1:$L$92</v>
      </c>
      <c r="E2147" t="s">
        <v>5</v>
      </c>
      <c r="F2147" t="s">
        <v>130</v>
      </c>
      <c r="G2147" t="s">
        <v>144</v>
      </c>
      <c r="H2147" t="s">
        <v>18</v>
      </c>
      <c r="I2147" t="e">
        <f t="shared" ca="1" si="166"/>
        <v>#REF!</v>
      </c>
      <c r="J2147" t="str">
        <f>VLOOKUP($G2147,DefinitionArrays!$I$6:$J$12,2,FALSE)</f>
        <v>Workweek</v>
      </c>
    </row>
    <row r="2148" spans="1:10">
      <c r="A2148" s="159" t="str">
        <f t="shared" si="167"/>
        <v>$K$1:$K$92</v>
      </c>
      <c r="B2148" s="159" t="str">
        <f t="shared" si="168"/>
        <v>$L$1:$L$92</v>
      </c>
      <c r="C2148" s="159" t="str">
        <f t="shared" si="169"/>
        <v>November!$K$1:$K$92</v>
      </c>
      <c r="D2148" s="159" t="str">
        <f t="shared" si="170"/>
        <v>November!$L$1:$L$92</v>
      </c>
      <c r="E2148" t="s">
        <v>5</v>
      </c>
      <c r="F2148" t="s">
        <v>130</v>
      </c>
      <c r="G2148" t="s">
        <v>144</v>
      </c>
      <c r="H2148" t="s">
        <v>153</v>
      </c>
      <c r="I2148" t="e">
        <f t="shared" ca="1" si="166"/>
        <v>#REF!</v>
      </c>
      <c r="J2148" t="str">
        <f>VLOOKUP($G2148,DefinitionArrays!$I$6:$J$12,2,FALSE)</f>
        <v>Workweek</v>
      </c>
    </row>
    <row r="2149" spans="1:10">
      <c r="A2149" s="159" t="str">
        <f t="shared" si="167"/>
        <v>$K$1:$K$92</v>
      </c>
      <c r="B2149" s="159" t="str">
        <f t="shared" si="168"/>
        <v>$L$1:$L$92</v>
      </c>
      <c r="C2149" s="159" t="str">
        <f t="shared" si="169"/>
        <v>November!$K$1:$K$92</v>
      </c>
      <c r="D2149" s="159" t="str">
        <f t="shared" si="170"/>
        <v>November!$L$1:$L$92</v>
      </c>
      <c r="E2149" t="s">
        <v>5</v>
      </c>
      <c r="F2149" t="s">
        <v>130</v>
      </c>
      <c r="G2149" t="s">
        <v>144</v>
      </c>
      <c r="H2149" t="s">
        <v>19</v>
      </c>
      <c r="I2149" t="e">
        <f t="shared" ca="1" si="166"/>
        <v>#REF!</v>
      </c>
      <c r="J2149" t="str">
        <f>VLOOKUP($G2149,DefinitionArrays!$I$6:$J$12,2,FALSE)</f>
        <v>Workweek</v>
      </c>
    </row>
    <row r="2150" spans="1:10">
      <c r="A2150" s="159" t="str">
        <f t="shared" si="167"/>
        <v>$K$1:$K$92</v>
      </c>
      <c r="B2150" s="159" t="str">
        <f t="shared" si="168"/>
        <v>$L$1:$L$92</v>
      </c>
      <c r="C2150" s="159" t="str">
        <f t="shared" si="169"/>
        <v>November!$K$1:$K$92</v>
      </c>
      <c r="D2150" s="159" t="str">
        <f t="shared" si="170"/>
        <v>November!$L$1:$L$92</v>
      </c>
      <c r="E2150" t="s">
        <v>5</v>
      </c>
      <c r="F2150" t="s">
        <v>130</v>
      </c>
      <c r="G2150" t="s">
        <v>144</v>
      </c>
      <c r="H2150" t="s">
        <v>20</v>
      </c>
      <c r="I2150" t="e">
        <f t="shared" ca="1" si="166"/>
        <v>#REF!</v>
      </c>
      <c r="J2150" t="str">
        <f>VLOOKUP($G2150,DefinitionArrays!$I$6:$J$12,2,FALSE)</f>
        <v>Workweek</v>
      </c>
    </row>
    <row r="2151" spans="1:10">
      <c r="A2151" s="159" t="str">
        <f t="shared" si="167"/>
        <v>$K$1:$K$92</v>
      </c>
      <c r="B2151" s="159" t="str">
        <f t="shared" si="168"/>
        <v>$L$1:$L$92</v>
      </c>
      <c r="C2151" s="159" t="str">
        <f t="shared" si="169"/>
        <v>November!$K$1:$K$92</v>
      </c>
      <c r="D2151" s="159" t="str">
        <f t="shared" si="170"/>
        <v>November!$L$1:$L$92</v>
      </c>
      <c r="E2151" t="s">
        <v>5</v>
      </c>
      <c r="F2151" t="s">
        <v>130</v>
      </c>
      <c r="G2151" t="s">
        <v>144</v>
      </c>
      <c r="H2151" t="s">
        <v>21</v>
      </c>
      <c r="I2151" t="e">
        <f t="shared" ca="1" si="166"/>
        <v>#REF!</v>
      </c>
      <c r="J2151" t="str">
        <f>VLOOKUP($G2151,DefinitionArrays!$I$6:$J$12,2,FALSE)</f>
        <v>Workweek</v>
      </c>
    </row>
    <row r="2152" spans="1:10">
      <c r="A2152" s="159" t="str">
        <f t="shared" si="167"/>
        <v>$K$1:$K$92</v>
      </c>
      <c r="B2152" s="159" t="str">
        <f t="shared" si="168"/>
        <v>$L$1:$L$92</v>
      </c>
      <c r="C2152" s="159" t="str">
        <f t="shared" si="169"/>
        <v>November!$K$1:$K$92</v>
      </c>
      <c r="D2152" s="159" t="str">
        <f t="shared" si="170"/>
        <v>November!$L$1:$L$92</v>
      </c>
      <c r="E2152" t="s">
        <v>5</v>
      </c>
      <c r="F2152" t="s">
        <v>130</v>
      </c>
      <c r="G2152" t="s">
        <v>144</v>
      </c>
      <c r="H2152" t="s">
        <v>22</v>
      </c>
      <c r="I2152" t="e">
        <f t="shared" ca="1" si="166"/>
        <v>#REF!</v>
      </c>
      <c r="J2152" t="str">
        <f>VLOOKUP($G2152,DefinitionArrays!$I$6:$J$12,2,FALSE)</f>
        <v>Workweek</v>
      </c>
    </row>
    <row r="2153" spans="1:10">
      <c r="A2153" s="159" t="str">
        <f t="shared" si="167"/>
        <v>$K$1:$K$92</v>
      </c>
      <c r="B2153" s="159" t="str">
        <f t="shared" si="168"/>
        <v>$L$1:$L$92</v>
      </c>
      <c r="C2153" s="159" t="str">
        <f t="shared" si="169"/>
        <v>November!$K$1:$K$92</v>
      </c>
      <c r="D2153" s="159" t="str">
        <f t="shared" si="170"/>
        <v>November!$L$1:$L$92</v>
      </c>
      <c r="E2153" t="s">
        <v>5</v>
      </c>
      <c r="F2153" t="s">
        <v>130</v>
      </c>
      <c r="G2153" t="s">
        <v>144</v>
      </c>
      <c r="H2153" t="s">
        <v>23</v>
      </c>
      <c r="I2153" t="e">
        <f t="shared" ca="1" si="166"/>
        <v>#REF!</v>
      </c>
      <c r="J2153" t="str">
        <f>VLOOKUP($G2153,DefinitionArrays!$I$6:$J$12,2,FALSE)</f>
        <v>Workweek</v>
      </c>
    </row>
    <row r="2154" spans="1:10">
      <c r="A2154" s="159" t="str">
        <f t="shared" si="167"/>
        <v>$K$1:$K$92</v>
      </c>
      <c r="B2154" s="159" t="str">
        <f t="shared" si="168"/>
        <v>$L$1:$L$92</v>
      </c>
      <c r="C2154" s="159" t="str">
        <f t="shared" si="169"/>
        <v>November!$K$1:$K$92</v>
      </c>
      <c r="D2154" s="159" t="str">
        <f t="shared" si="170"/>
        <v>November!$L$1:$L$92</v>
      </c>
      <c r="E2154" t="s">
        <v>5</v>
      </c>
      <c r="F2154" t="s">
        <v>130</v>
      </c>
      <c r="G2154" t="s">
        <v>144</v>
      </c>
      <c r="H2154" t="s">
        <v>24</v>
      </c>
      <c r="I2154" t="e">
        <f t="shared" ca="1" si="166"/>
        <v>#REF!</v>
      </c>
      <c r="J2154" t="str">
        <f>VLOOKUP($G2154,DefinitionArrays!$I$6:$J$12,2,FALSE)</f>
        <v>Workweek</v>
      </c>
    </row>
    <row r="2155" spans="1:10">
      <c r="A2155" s="159" t="str">
        <f t="shared" si="167"/>
        <v>$K$1:$K$92</v>
      </c>
      <c r="B2155" s="159" t="str">
        <f t="shared" si="168"/>
        <v>$L$1:$L$92</v>
      </c>
      <c r="C2155" s="159" t="str">
        <f t="shared" si="169"/>
        <v>November!$K$1:$K$92</v>
      </c>
      <c r="D2155" s="159" t="str">
        <f t="shared" si="170"/>
        <v>November!$L$1:$L$92</v>
      </c>
      <c r="E2155" t="s">
        <v>5</v>
      </c>
      <c r="F2155" t="s">
        <v>130</v>
      </c>
      <c r="G2155" t="s">
        <v>144</v>
      </c>
      <c r="H2155" t="s">
        <v>179</v>
      </c>
      <c r="I2155" t="e">
        <f t="shared" ca="1" si="166"/>
        <v>#REF!</v>
      </c>
      <c r="J2155" t="str">
        <f>VLOOKUP($G2155,DefinitionArrays!$I$6:$J$12,2,FALSE)</f>
        <v>Workweek</v>
      </c>
    </row>
    <row r="2156" spans="1:10">
      <c r="A2156" s="159" t="str">
        <f t="shared" si="167"/>
        <v>$K$1:$K$92</v>
      </c>
      <c r="B2156" s="159" t="str">
        <f t="shared" si="168"/>
        <v>$L$1:$L$92</v>
      </c>
      <c r="C2156" s="159" t="str">
        <f t="shared" si="169"/>
        <v>November!$K$1:$K$92</v>
      </c>
      <c r="D2156" s="159" t="str">
        <f t="shared" si="170"/>
        <v>November!$L$1:$L$92</v>
      </c>
      <c r="E2156" t="s">
        <v>5</v>
      </c>
      <c r="F2156" t="s">
        <v>130</v>
      </c>
      <c r="G2156" t="s">
        <v>144</v>
      </c>
      <c r="H2156" t="s">
        <v>180</v>
      </c>
      <c r="I2156" t="e">
        <f t="shared" ca="1" si="166"/>
        <v>#REF!</v>
      </c>
      <c r="J2156" t="str">
        <f>VLOOKUP($G2156,DefinitionArrays!$I$6:$J$12,2,FALSE)</f>
        <v>Workweek</v>
      </c>
    </row>
    <row r="2157" spans="1:10">
      <c r="A2157" s="159" t="str">
        <f t="shared" si="167"/>
        <v>$K$1:$K$92</v>
      </c>
      <c r="B2157" s="159" t="str">
        <f t="shared" si="168"/>
        <v>$L$1:$L$92</v>
      </c>
      <c r="C2157" s="159" t="str">
        <f t="shared" si="169"/>
        <v>November!$K$1:$K$92</v>
      </c>
      <c r="D2157" s="159" t="str">
        <f t="shared" si="170"/>
        <v>November!$L$1:$L$92</v>
      </c>
      <c r="E2157" t="s">
        <v>5</v>
      </c>
      <c r="F2157" t="s">
        <v>130</v>
      </c>
      <c r="G2157" t="s">
        <v>144</v>
      </c>
      <c r="H2157" t="s">
        <v>44</v>
      </c>
      <c r="I2157" t="e">
        <f t="shared" ca="1" si="166"/>
        <v>#REF!</v>
      </c>
      <c r="J2157" t="str">
        <f>VLOOKUP($G2157,DefinitionArrays!$I$6:$J$12,2,FALSE)</f>
        <v>Workweek</v>
      </c>
    </row>
    <row r="2158" spans="1:10">
      <c r="A2158" s="159" t="str">
        <f t="shared" si="167"/>
        <v>$N$1:$N$92</v>
      </c>
      <c r="B2158" s="159" t="str">
        <f t="shared" si="168"/>
        <v>$O$1:$O$92</v>
      </c>
      <c r="C2158" s="159" t="str">
        <f t="shared" si="169"/>
        <v>November!$N$1:$N$92</v>
      </c>
      <c r="D2158" s="159" t="str">
        <f t="shared" si="170"/>
        <v>November!$O$1:$O$92</v>
      </c>
      <c r="E2158" t="s">
        <v>5</v>
      </c>
      <c r="F2158" t="s">
        <v>130</v>
      </c>
      <c r="G2158" t="s">
        <v>145</v>
      </c>
      <c r="H2158" t="s">
        <v>159</v>
      </c>
      <c r="I2158" t="e">
        <f t="shared" ca="1" si="166"/>
        <v>#REF!</v>
      </c>
      <c r="J2158" t="str">
        <f>VLOOKUP($G2158,DefinitionArrays!$I$6:$J$12,2,FALSE)</f>
        <v>Weekend</v>
      </c>
    </row>
    <row r="2159" spans="1:10">
      <c r="A2159" s="159" t="str">
        <f t="shared" si="167"/>
        <v>$N$1:$N$92</v>
      </c>
      <c r="B2159" s="159" t="str">
        <f t="shared" si="168"/>
        <v>$O$1:$O$92</v>
      </c>
      <c r="C2159" s="159" t="str">
        <f t="shared" si="169"/>
        <v>November!$N$1:$N$92</v>
      </c>
      <c r="D2159" s="159" t="str">
        <f t="shared" si="170"/>
        <v>November!$O$1:$O$92</v>
      </c>
      <c r="E2159" t="s">
        <v>5</v>
      </c>
      <c r="F2159" t="s">
        <v>130</v>
      </c>
      <c r="G2159" t="s">
        <v>145</v>
      </c>
      <c r="H2159" t="s">
        <v>18</v>
      </c>
      <c r="I2159" t="e">
        <f t="shared" ca="1" si="166"/>
        <v>#REF!</v>
      </c>
      <c r="J2159" t="str">
        <f>VLOOKUP($G2159,DefinitionArrays!$I$6:$J$12,2,FALSE)</f>
        <v>Weekend</v>
      </c>
    </row>
    <row r="2160" spans="1:10">
      <c r="A2160" s="159" t="str">
        <f t="shared" si="167"/>
        <v>$N$1:$N$92</v>
      </c>
      <c r="B2160" s="159" t="str">
        <f t="shared" si="168"/>
        <v>$O$1:$O$92</v>
      </c>
      <c r="C2160" s="159" t="str">
        <f t="shared" si="169"/>
        <v>November!$N$1:$N$92</v>
      </c>
      <c r="D2160" s="159" t="str">
        <f t="shared" si="170"/>
        <v>November!$O$1:$O$92</v>
      </c>
      <c r="E2160" t="s">
        <v>5</v>
      </c>
      <c r="F2160" t="s">
        <v>130</v>
      </c>
      <c r="G2160" t="s">
        <v>145</v>
      </c>
      <c r="H2160" t="s">
        <v>153</v>
      </c>
      <c r="I2160" t="e">
        <f t="shared" ca="1" si="166"/>
        <v>#REF!</v>
      </c>
      <c r="J2160" t="str">
        <f>VLOOKUP($G2160,DefinitionArrays!$I$6:$J$12,2,FALSE)</f>
        <v>Weekend</v>
      </c>
    </row>
    <row r="2161" spans="1:10">
      <c r="A2161" s="159" t="str">
        <f t="shared" si="167"/>
        <v>$N$1:$N$92</v>
      </c>
      <c r="B2161" s="159" t="str">
        <f t="shared" si="168"/>
        <v>$O$1:$O$92</v>
      </c>
      <c r="C2161" s="159" t="str">
        <f t="shared" si="169"/>
        <v>November!$N$1:$N$92</v>
      </c>
      <c r="D2161" s="159" t="str">
        <f t="shared" si="170"/>
        <v>November!$O$1:$O$92</v>
      </c>
      <c r="E2161" t="s">
        <v>5</v>
      </c>
      <c r="F2161" t="s">
        <v>130</v>
      </c>
      <c r="G2161" t="s">
        <v>145</v>
      </c>
      <c r="H2161" t="s">
        <v>19</v>
      </c>
      <c r="I2161" t="e">
        <f t="shared" ca="1" si="166"/>
        <v>#REF!</v>
      </c>
      <c r="J2161" t="str">
        <f>VLOOKUP($G2161,DefinitionArrays!$I$6:$J$12,2,FALSE)</f>
        <v>Weekend</v>
      </c>
    </row>
    <row r="2162" spans="1:10">
      <c r="A2162" s="159" t="str">
        <f t="shared" si="167"/>
        <v>$N$1:$N$92</v>
      </c>
      <c r="B2162" s="159" t="str">
        <f t="shared" si="168"/>
        <v>$O$1:$O$92</v>
      </c>
      <c r="C2162" s="159" t="str">
        <f t="shared" si="169"/>
        <v>November!$N$1:$N$92</v>
      </c>
      <c r="D2162" s="159" t="str">
        <f t="shared" si="170"/>
        <v>November!$O$1:$O$92</v>
      </c>
      <c r="E2162" t="s">
        <v>5</v>
      </c>
      <c r="F2162" t="s">
        <v>130</v>
      </c>
      <c r="G2162" t="s">
        <v>145</v>
      </c>
      <c r="H2162" t="s">
        <v>20</v>
      </c>
      <c r="I2162" t="e">
        <f t="shared" ca="1" si="166"/>
        <v>#REF!</v>
      </c>
      <c r="J2162" t="str">
        <f>VLOOKUP($G2162,DefinitionArrays!$I$6:$J$12,2,FALSE)</f>
        <v>Weekend</v>
      </c>
    </row>
    <row r="2163" spans="1:10">
      <c r="A2163" s="159" t="str">
        <f t="shared" si="167"/>
        <v>$N$1:$N$92</v>
      </c>
      <c r="B2163" s="159" t="str">
        <f t="shared" si="168"/>
        <v>$O$1:$O$92</v>
      </c>
      <c r="C2163" s="159" t="str">
        <f t="shared" si="169"/>
        <v>November!$N$1:$N$92</v>
      </c>
      <c r="D2163" s="159" t="str">
        <f t="shared" si="170"/>
        <v>November!$O$1:$O$92</v>
      </c>
      <c r="E2163" t="s">
        <v>5</v>
      </c>
      <c r="F2163" t="s">
        <v>130</v>
      </c>
      <c r="G2163" t="s">
        <v>145</v>
      </c>
      <c r="H2163" t="s">
        <v>21</v>
      </c>
      <c r="I2163" t="e">
        <f t="shared" ca="1" si="166"/>
        <v>#REF!</v>
      </c>
      <c r="J2163" t="str">
        <f>VLOOKUP($G2163,DefinitionArrays!$I$6:$J$12,2,FALSE)</f>
        <v>Weekend</v>
      </c>
    </row>
    <row r="2164" spans="1:10">
      <c r="A2164" s="159" t="str">
        <f t="shared" si="167"/>
        <v>$N$1:$N$92</v>
      </c>
      <c r="B2164" s="159" t="str">
        <f t="shared" si="168"/>
        <v>$O$1:$O$92</v>
      </c>
      <c r="C2164" s="159" t="str">
        <f t="shared" si="169"/>
        <v>November!$N$1:$N$92</v>
      </c>
      <c r="D2164" s="159" t="str">
        <f t="shared" si="170"/>
        <v>November!$O$1:$O$92</v>
      </c>
      <c r="E2164" t="s">
        <v>5</v>
      </c>
      <c r="F2164" t="s">
        <v>130</v>
      </c>
      <c r="G2164" t="s">
        <v>145</v>
      </c>
      <c r="H2164" t="s">
        <v>22</v>
      </c>
      <c r="I2164" t="e">
        <f t="shared" ca="1" si="166"/>
        <v>#REF!</v>
      </c>
      <c r="J2164" t="str">
        <f>VLOOKUP($G2164,DefinitionArrays!$I$6:$J$12,2,FALSE)</f>
        <v>Weekend</v>
      </c>
    </row>
    <row r="2165" spans="1:10">
      <c r="A2165" s="159" t="str">
        <f t="shared" si="167"/>
        <v>$N$1:$N$92</v>
      </c>
      <c r="B2165" s="159" t="str">
        <f t="shared" si="168"/>
        <v>$O$1:$O$92</v>
      </c>
      <c r="C2165" s="159" t="str">
        <f t="shared" si="169"/>
        <v>November!$N$1:$N$92</v>
      </c>
      <c r="D2165" s="159" t="str">
        <f t="shared" si="170"/>
        <v>November!$O$1:$O$92</v>
      </c>
      <c r="E2165" t="s">
        <v>5</v>
      </c>
      <c r="F2165" t="s">
        <v>130</v>
      </c>
      <c r="G2165" t="s">
        <v>145</v>
      </c>
      <c r="H2165" t="s">
        <v>23</v>
      </c>
      <c r="I2165" t="e">
        <f t="shared" ca="1" si="166"/>
        <v>#REF!</v>
      </c>
      <c r="J2165" t="str">
        <f>VLOOKUP($G2165,DefinitionArrays!$I$6:$J$12,2,FALSE)</f>
        <v>Weekend</v>
      </c>
    </row>
    <row r="2166" spans="1:10">
      <c r="A2166" s="159" t="str">
        <f t="shared" si="167"/>
        <v>$N$1:$N$92</v>
      </c>
      <c r="B2166" s="159" t="str">
        <f t="shared" si="168"/>
        <v>$O$1:$O$92</v>
      </c>
      <c r="C2166" s="159" t="str">
        <f t="shared" si="169"/>
        <v>November!$N$1:$N$92</v>
      </c>
      <c r="D2166" s="159" t="str">
        <f t="shared" si="170"/>
        <v>November!$O$1:$O$92</v>
      </c>
      <c r="E2166" t="s">
        <v>5</v>
      </c>
      <c r="F2166" t="s">
        <v>130</v>
      </c>
      <c r="G2166" t="s">
        <v>145</v>
      </c>
      <c r="H2166" t="s">
        <v>24</v>
      </c>
      <c r="I2166" t="e">
        <f t="shared" ca="1" si="166"/>
        <v>#REF!</v>
      </c>
      <c r="J2166" t="str">
        <f>VLOOKUP($G2166,DefinitionArrays!$I$6:$J$12,2,FALSE)</f>
        <v>Weekend</v>
      </c>
    </row>
    <row r="2167" spans="1:10">
      <c r="A2167" s="159" t="str">
        <f t="shared" si="167"/>
        <v>$N$1:$N$92</v>
      </c>
      <c r="B2167" s="159" t="str">
        <f t="shared" si="168"/>
        <v>$O$1:$O$92</v>
      </c>
      <c r="C2167" s="159" t="str">
        <f t="shared" si="169"/>
        <v>November!$N$1:$N$92</v>
      </c>
      <c r="D2167" s="159" t="str">
        <f t="shared" si="170"/>
        <v>November!$O$1:$O$92</v>
      </c>
      <c r="E2167" t="s">
        <v>5</v>
      </c>
      <c r="F2167" t="s">
        <v>130</v>
      </c>
      <c r="G2167" t="s">
        <v>145</v>
      </c>
      <c r="H2167" t="s">
        <v>179</v>
      </c>
      <c r="I2167" t="e">
        <f t="shared" ca="1" si="166"/>
        <v>#REF!</v>
      </c>
      <c r="J2167" t="str">
        <f>VLOOKUP($G2167,DefinitionArrays!$I$6:$J$12,2,FALSE)</f>
        <v>Weekend</v>
      </c>
    </row>
    <row r="2168" spans="1:10">
      <c r="A2168" s="159" t="str">
        <f t="shared" si="167"/>
        <v>$N$1:$N$92</v>
      </c>
      <c r="B2168" s="159" t="str">
        <f t="shared" si="168"/>
        <v>$O$1:$O$92</v>
      </c>
      <c r="C2168" s="159" t="str">
        <f t="shared" si="169"/>
        <v>November!$N$1:$N$92</v>
      </c>
      <c r="D2168" s="159" t="str">
        <f t="shared" si="170"/>
        <v>November!$O$1:$O$92</v>
      </c>
      <c r="E2168" t="s">
        <v>5</v>
      </c>
      <c r="F2168" t="s">
        <v>130</v>
      </c>
      <c r="G2168" t="s">
        <v>145</v>
      </c>
      <c r="H2168" t="s">
        <v>180</v>
      </c>
      <c r="I2168" t="e">
        <f t="shared" ca="1" si="166"/>
        <v>#REF!</v>
      </c>
      <c r="J2168" t="str">
        <f>VLOOKUP($G2168,DefinitionArrays!$I$6:$J$12,2,FALSE)</f>
        <v>Weekend</v>
      </c>
    </row>
    <row r="2169" spans="1:10">
      <c r="A2169" s="159" t="str">
        <f t="shared" si="167"/>
        <v>$N$1:$N$92</v>
      </c>
      <c r="B2169" s="159" t="str">
        <f t="shared" si="168"/>
        <v>$O$1:$O$92</v>
      </c>
      <c r="C2169" s="159" t="str">
        <f t="shared" si="169"/>
        <v>November!$N$1:$N$92</v>
      </c>
      <c r="D2169" s="159" t="str">
        <f t="shared" si="170"/>
        <v>November!$O$1:$O$92</v>
      </c>
      <c r="E2169" t="s">
        <v>5</v>
      </c>
      <c r="F2169" t="s">
        <v>130</v>
      </c>
      <c r="G2169" t="s">
        <v>145</v>
      </c>
      <c r="H2169" t="s">
        <v>44</v>
      </c>
      <c r="I2169" t="e">
        <f t="shared" ca="1" si="166"/>
        <v>#REF!</v>
      </c>
      <c r="J2169" t="str">
        <f>VLOOKUP($G2169,DefinitionArrays!$I$6:$J$12,2,FALSE)</f>
        <v>Weekend</v>
      </c>
    </row>
    <row r="2170" spans="1:10">
      <c r="A2170" s="159" t="str">
        <f t="shared" si="167"/>
        <v>$Q$1:$Q$92</v>
      </c>
      <c r="B2170" s="159" t="str">
        <f t="shared" si="168"/>
        <v>$R$1:$R$92</v>
      </c>
      <c r="C2170" s="159" t="str">
        <f t="shared" si="169"/>
        <v>November!$Q$1:$Q$92</v>
      </c>
      <c r="D2170" s="159" t="str">
        <f t="shared" si="170"/>
        <v>November!$R$1:$R$92</v>
      </c>
      <c r="E2170" t="s">
        <v>5</v>
      </c>
      <c r="F2170" t="s">
        <v>130</v>
      </c>
      <c r="G2170" t="s">
        <v>146</v>
      </c>
      <c r="H2170" t="s">
        <v>159</v>
      </c>
      <c r="I2170" t="e">
        <f t="shared" ca="1" si="166"/>
        <v>#REF!</v>
      </c>
      <c r="J2170" t="str">
        <f>VLOOKUP($G2170,DefinitionArrays!$I$6:$J$12,2,FALSE)</f>
        <v>Weekend</v>
      </c>
    </row>
    <row r="2171" spans="1:10">
      <c r="A2171" s="159" t="str">
        <f t="shared" si="167"/>
        <v>$T$1:$T$92</v>
      </c>
      <c r="B2171" s="159" t="str">
        <f t="shared" si="168"/>
        <v>$U$1:$U$92</v>
      </c>
      <c r="C2171" s="159" t="str">
        <f t="shared" si="169"/>
        <v>November!$T$1:$T$92</v>
      </c>
      <c r="D2171" s="159" t="str">
        <f t="shared" si="170"/>
        <v>November!$U$1:$U$92</v>
      </c>
      <c r="E2171" t="s">
        <v>5</v>
      </c>
      <c r="F2171" t="s">
        <v>130</v>
      </c>
      <c r="G2171" t="s">
        <v>141</v>
      </c>
      <c r="H2171" t="s">
        <v>159</v>
      </c>
      <c r="I2171" t="e">
        <f t="shared" ca="1" si="166"/>
        <v>#REF!</v>
      </c>
      <c r="J2171" t="str">
        <f>VLOOKUP($G2171,DefinitionArrays!$I$6:$J$12,2,FALSE)</f>
        <v>Weekend</v>
      </c>
    </row>
    <row r="2172" spans="1:10">
      <c r="A2172" s="159" t="str">
        <f t="shared" si="167"/>
        <v>$B$1:$B$92</v>
      </c>
      <c r="B2172" s="159" t="str">
        <f t="shared" si="168"/>
        <v>$C$1:$C$92</v>
      </c>
      <c r="C2172" s="159" t="str">
        <f t="shared" si="169"/>
        <v>December!$B$1:$B$92</v>
      </c>
      <c r="D2172" s="159" t="str">
        <f t="shared" si="170"/>
        <v>December!$C$1:$C$92</v>
      </c>
      <c r="E2172" t="s">
        <v>5</v>
      </c>
      <c r="F2172" t="s">
        <v>131</v>
      </c>
      <c r="G2172" t="s">
        <v>13</v>
      </c>
      <c r="H2172" t="s">
        <v>159</v>
      </c>
      <c r="I2172" t="e">
        <f ca="1">COUNTIFS(INDIRECT($C2172),$E2172,INDIRECT($D2172),$H2172)</f>
        <v>#REF!</v>
      </c>
      <c r="J2172" t="str">
        <f>VLOOKUP($G2172,DefinitionArrays!$I$6:$J$12,2,FALSE)</f>
        <v>Workweek</v>
      </c>
    </row>
    <row r="2173" spans="1:10">
      <c r="A2173" s="159" t="str">
        <f t="shared" si="167"/>
        <v>$B$1:$B$92</v>
      </c>
      <c r="B2173" s="159" t="str">
        <f t="shared" si="168"/>
        <v>$C$1:$C$92</v>
      </c>
      <c r="C2173" s="159" t="str">
        <f t="shared" si="169"/>
        <v>December!$B$1:$B$92</v>
      </c>
      <c r="D2173" s="159" t="str">
        <f t="shared" si="170"/>
        <v>December!$C$1:$C$92</v>
      </c>
      <c r="E2173" t="s">
        <v>5</v>
      </c>
      <c r="F2173" t="s">
        <v>131</v>
      </c>
      <c r="G2173" t="s">
        <v>13</v>
      </c>
      <c r="H2173" t="s">
        <v>18</v>
      </c>
      <c r="I2173" t="e">
        <f t="shared" ref="I2173:I2233" ca="1" si="171">COUNTIFS(INDIRECT($C2173),$E2173,INDIRECT($D2173),$H2173)</f>
        <v>#REF!</v>
      </c>
      <c r="J2173" t="str">
        <f>VLOOKUP($G2173,DefinitionArrays!$I$6:$J$12,2,FALSE)</f>
        <v>Workweek</v>
      </c>
    </row>
    <row r="2174" spans="1:10">
      <c r="A2174" s="159" t="str">
        <f t="shared" si="167"/>
        <v>$B$1:$B$92</v>
      </c>
      <c r="B2174" s="159" t="str">
        <f t="shared" si="168"/>
        <v>$C$1:$C$92</v>
      </c>
      <c r="C2174" s="159" t="str">
        <f t="shared" si="169"/>
        <v>December!$B$1:$B$92</v>
      </c>
      <c r="D2174" s="159" t="str">
        <f t="shared" si="170"/>
        <v>December!$C$1:$C$92</v>
      </c>
      <c r="E2174" t="s">
        <v>5</v>
      </c>
      <c r="F2174" t="s">
        <v>131</v>
      </c>
      <c r="G2174" t="s">
        <v>13</v>
      </c>
      <c r="H2174" t="s">
        <v>153</v>
      </c>
      <c r="I2174" t="e">
        <f t="shared" ca="1" si="171"/>
        <v>#REF!</v>
      </c>
      <c r="J2174" t="str">
        <f>VLOOKUP($G2174,DefinitionArrays!$I$6:$J$12,2,FALSE)</f>
        <v>Workweek</v>
      </c>
    </row>
    <row r="2175" spans="1:10">
      <c r="A2175" s="159" t="str">
        <f t="shared" si="167"/>
        <v>$B$1:$B$92</v>
      </c>
      <c r="B2175" s="159" t="str">
        <f t="shared" si="168"/>
        <v>$C$1:$C$92</v>
      </c>
      <c r="C2175" s="159" t="str">
        <f t="shared" si="169"/>
        <v>December!$B$1:$B$92</v>
      </c>
      <c r="D2175" s="159" t="str">
        <f t="shared" si="170"/>
        <v>December!$C$1:$C$92</v>
      </c>
      <c r="E2175" t="s">
        <v>5</v>
      </c>
      <c r="F2175" t="s">
        <v>131</v>
      </c>
      <c r="G2175" t="s">
        <v>13</v>
      </c>
      <c r="H2175" t="s">
        <v>19</v>
      </c>
      <c r="I2175" t="e">
        <f t="shared" ca="1" si="171"/>
        <v>#REF!</v>
      </c>
      <c r="J2175" t="str">
        <f>VLOOKUP($G2175,DefinitionArrays!$I$6:$J$12,2,FALSE)</f>
        <v>Workweek</v>
      </c>
    </row>
    <row r="2176" spans="1:10">
      <c r="A2176" s="159" t="str">
        <f t="shared" si="167"/>
        <v>$B$1:$B$92</v>
      </c>
      <c r="B2176" s="159" t="str">
        <f t="shared" si="168"/>
        <v>$C$1:$C$92</v>
      </c>
      <c r="C2176" s="159" t="str">
        <f t="shared" si="169"/>
        <v>December!$B$1:$B$92</v>
      </c>
      <c r="D2176" s="159" t="str">
        <f t="shared" si="170"/>
        <v>December!$C$1:$C$92</v>
      </c>
      <c r="E2176" t="s">
        <v>5</v>
      </c>
      <c r="F2176" t="s">
        <v>131</v>
      </c>
      <c r="G2176" t="s">
        <v>13</v>
      </c>
      <c r="H2176" t="s">
        <v>20</v>
      </c>
      <c r="I2176" t="e">
        <f t="shared" ca="1" si="171"/>
        <v>#REF!</v>
      </c>
      <c r="J2176" t="str">
        <f>VLOOKUP($G2176,DefinitionArrays!$I$6:$J$12,2,FALSE)</f>
        <v>Workweek</v>
      </c>
    </row>
    <row r="2177" spans="1:10">
      <c r="A2177" s="159" t="str">
        <f t="shared" si="167"/>
        <v>$B$1:$B$92</v>
      </c>
      <c r="B2177" s="159" t="str">
        <f t="shared" si="168"/>
        <v>$C$1:$C$92</v>
      </c>
      <c r="C2177" s="159" t="str">
        <f t="shared" si="169"/>
        <v>December!$B$1:$B$92</v>
      </c>
      <c r="D2177" s="159" t="str">
        <f t="shared" si="170"/>
        <v>December!$C$1:$C$92</v>
      </c>
      <c r="E2177" t="s">
        <v>5</v>
      </c>
      <c r="F2177" t="s">
        <v>131</v>
      </c>
      <c r="G2177" t="s">
        <v>13</v>
      </c>
      <c r="H2177" t="s">
        <v>21</v>
      </c>
      <c r="I2177" t="e">
        <f t="shared" ca="1" si="171"/>
        <v>#REF!</v>
      </c>
      <c r="J2177" t="str">
        <f>VLOOKUP($G2177,DefinitionArrays!$I$6:$J$12,2,FALSE)</f>
        <v>Workweek</v>
      </c>
    </row>
    <row r="2178" spans="1:10">
      <c r="A2178" s="159" t="str">
        <f t="shared" ref="A2178:A2241" si="172">VLOOKUP($G2178,Fx_Code,2,FALSE)</f>
        <v>$B$1:$B$92</v>
      </c>
      <c r="B2178" s="159" t="str">
        <f t="shared" ref="B2178:B2241" si="173">VLOOKUP($G2178,Fx_Code,3,FALSE)</f>
        <v>$C$1:$C$92</v>
      </c>
      <c r="C2178" s="159" t="str">
        <f t="shared" ref="C2178:C2241" si="174">CONCATENATE($F2178,$K$1,A2178)</f>
        <v>December!$B$1:$B$92</v>
      </c>
      <c r="D2178" s="159" t="str">
        <f t="shared" ref="D2178:D2241" si="175">CONCATENATE($F2178,$K$1,B2178)</f>
        <v>December!$C$1:$C$92</v>
      </c>
      <c r="E2178" t="s">
        <v>5</v>
      </c>
      <c r="F2178" t="s">
        <v>131</v>
      </c>
      <c r="G2178" t="s">
        <v>13</v>
      </c>
      <c r="H2178" t="s">
        <v>22</v>
      </c>
      <c r="I2178" t="e">
        <f t="shared" ca="1" si="171"/>
        <v>#REF!</v>
      </c>
      <c r="J2178" t="str">
        <f>VLOOKUP($G2178,DefinitionArrays!$I$6:$J$12,2,FALSE)</f>
        <v>Workweek</v>
      </c>
    </row>
    <row r="2179" spans="1:10">
      <c r="A2179" s="159" t="str">
        <f t="shared" si="172"/>
        <v>$B$1:$B$92</v>
      </c>
      <c r="B2179" s="159" t="str">
        <f t="shared" si="173"/>
        <v>$C$1:$C$92</v>
      </c>
      <c r="C2179" s="159" t="str">
        <f t="shared" si="174"/>
        <v>December!$B$1:$B$92</v>
      </c>
      <c r="D2179" s="159" t="str">
        <f t="shared" si="175"/>
        <v>December!$C$1:$C$92</v>
      </c>
      <c r="E2179" t="s">
        <v>5</v>
      </c>
      <c r="F2179" t="s">
        <v>131</v>
      </c>
      <c r="G2179" t="s">
        <v>13</v>
      </c>
      <c r="H2179" t="s">
        <v>23</v>
      </c>
      <c r="I2179" t="e">
        <f t="shared" ca="1" si="171"/>
        <v>#REF!</v>
      </c>
      <c r="J2179" t="str">
        <f>VLOOKUP($G2179,DefinitionArrays!$I$6:$J$12,2,FALSE)</f>
        <v>Workweek</v>
      </c>
    </row>
    <row r="2180" spans="1:10">
      <c r="A2180" s="159" t="str">
        <f t="shared" si="172"/>
        <v>$B$1:$B$92</v>
      </c>
      <c r="B2180" s="159" t="str">
        <f t="shared" si="173"/>
        <v>$C$1:$C$92</v>
      </c>
      <c r="C2180" s="159" t="str">
        <f t="shared" si="174"/>
        <v>December!$B$1:$B$92</v>
      </c>
      <c r="D2180" s="159" t="str">
        <f t="shared" si="175"/>
        <v>December!$C$1:$C$92</v>
      </c>
      <c r="E2180" t="s">
        <v>5</v>
      </c>
      <c r="F2180" t="s">
        <v>131</v>
      </c>
      <c r="G2180" t="s">
        <v>13</v>
      </c>
      <c r="H2180" t="s">
        <v>24</v>
      </c>
      <c r="I2180" t="e">
        <f t="shared" ca="1" si="171"/>
        <v>#REF!</v>
      </c>
      <c r="J2180" t="str">
        <f>VLOOKUP($G2180,DefinitionArrays!$I$6:$J$12,2,FALSE)</f>
        <v>Workweek</v>
      </c>
    </row>
    <row r="2181" spans="1:10">
      <c r="A2181" s="159" t="str">
        <f t="shared" si="172"/>
        <v>$B$1:$B$92</v>
      </c>
      <c r="B2181" s="159" t="str">
        <f t="shared" si="173"/>
        <v>$C$1:$C$92</v>
      </c>
      <c r="C2181" s="159" t="str">
        <f t="shared" si="174"/>
        <v>December!$B$1:$B$92</v>
      </c>
      <c r="D2181" s="159" t="str">
        <f t="shared" si="175"/>
        <v>December!$C$1:$C$92</v>
      </c>
      <c r="E2181" t="s">
        <v>5</v>
      </c>
      <c r="F2181" t="s">
        <v>131</v>
      </c>
      <c r="G2181" t="s">
        <v>13</v>
      </c>
      <c r="H2181" t="s">
        <v>179</v>
      </c>
      <c r="I2181" t="e">
        <f t="shared" ca="1" si="171"/>
        <v>#REF!</v>
      </c>
      <c r="J2181" t="str">
        <f>VLOOKUP($G2181,DefinitionArrays!$I$6:$J$12,2,FALSE)</f>
        <v>Workweek</v>
      </c>
    </row>
    <row r="2182" spans="1:10">
      <c r="A2182" s="159" t="str">
        <f t="shared" si="172"/>
        <v>$B$1:$B$92</v>
      </c>
      <c r="B2182" s="159" t="str">
        <f t="shared" si="173"/>
        <v>$C$1:$C$92</v>
      </c>
      <c r="C2182" s="159" t="str">
        <f t="shared" si="174"/>
        <v>December!$B$1:$B$92</v>
      </c>
      <c r="D2182" s="159" t="str">
        <f t="shared" si="175"/>
        <v>December!$C$1:$C$92</v>
      </c>
      <c r="E2182" t="s">
        <v>5</v>
      </c>
      <c r="F2182" t="s">
        <v>131</v>
      </c>
      <c r="G2182" t="s">
        <v>13</v>
      </c>
      <c r="H2182" t="s">
        <v>180</v>
      </c>
      <c r="I2182" t="e">
        <f t="shared" ca="1" si="171"/>
        <v>#REF!</v>
      </c>
      <c r="J2182" t="str">
        <f>VLOOKUP($G2182,DefinitionArrays!$I$6:$J$12,2,FALSE)</f>
        <v>Workweek</v>
      </c>
    </row>
    <row r="2183" spans="1:10">
      <c r="A2183" s="159" t="str">
        <f t="shared" si="172"/>
        <v>$B$1:$B$92</v>
      </c>
      <c r="B2183" s="159" t="str">
        <f t="shared" si="173"/>
        <v>$C$1:$C$92</v>
      </c>
      <c r="C2183" s="159" t="str">
        <f t="shared" si="174"/>
        <v>December!$B$1:$B$92</v>
      </c>
      <c r="D2183" s="159" t="str">
        <f t="shared" si="175"/>
        <v>December!$C$1:$C$92</v>
      </c>
      <c r="E2183" t="s">
        <v>5</v>
      </c>
      <c r="F2183" t="s">
        <v>131</v>
      </c>
      <c r="G2183" t="s">
        <v>13</v>
      </c>
      <c r="H2183" t="s">
        <v>44</v>
      </c>
      <c r="I2183" t="e">
        <f t="shared" ca="1" si="171"/>
        <v>#REF!</v>
      </c>
      <c r="J2183" t="str">
        <f>VLOOKUP($G2183,DefinitionArrays!$I$6:$J$12,2,FALSE)</f>
        <v>Workweek</v>
      </c>
    </row>
    <row r="2184" spans="1:10">
      <c r="A2184" s="159" t="str">
        <f t="shared" si="172"/>
        <v>$E$1:$E$92</v>
      </c>
      <c r="B2184" s="159" t="str">
        <f t="shared" si="173"/>
        <v>$F$1:$F$92</v>
      </c>
      <c r="C2184" s="159" t="str">
        <f t="shared" si="174"/>
        <v>December!$E$1:$E$92</v>
      </c>
      <c r="D2184" s="159" t="str">
        <f t="shared" si="175"/>
        <v>December!$F$1:$F$92</v>
      </c>
      <c r="E2184" t="s">
        <v>5</v>
      </c>
      <c r="F2184" t="s">
        <v>131</v>
      </c>
      <c r="G2184" t="s">
        <v>142</v>
      </c>
      <c r="H2184" t="s">
        <v>159</v>
      </c>
      <c r="I2184" t="e">
        <f t="shared" ca="1" si="171"/>
        <v>#REF!</v>
      </c>
      <c r="J2184" t="str">
        <f>VLOOKUP($G2184,DefinitionArrays!$I$6:$J$12,2,FALSE)</f>
        <v>Workweek</v>
      </c>
    </row>
    <row r="2185" spans="1:10">
      <c r="A2185" s="159" t="str">
        <f t="shared" si="172"/>
        <v>$E$1:$E$92</v>
      </c>
      <c r="B2185" s="159" t="str">
        <f t="shared" si="173"/>
        <v>$F$1:$F$92</v>
      </c>
      <c r="C2185" s="159" t="str">
        <f t="shared" si="174"/>
        <v>December!$E$1:$E$92</v>
      </c>
      <c r="D2185" s="159" t="str">
        <f t="shared" si="175"/>
        <v>December!$F$1:$F$92</v>
      </c>
      <c r="E2185" t="s">
        <v>5</v>
      </c>
      <c r="F2185" t="s">
        <v>131</v>
      </c>
      <c r="G2185" t="s">
        <v>142</v>
      </c>
      <c r="H2185" t="s">
        <v>18</v>
      </c>
      <c r="I2185" t="e">
        <f t="shared" ca="1" si="171"/>
        <v>#REF!</v>
      </c>
      <c r="J2185" t="str">
        <f>VLOOKUP($G2185,DefinitionArrays!$I$6:$J$12,2,FALSE)</f>
        <v>Workweek</v>
      </c>
    </row>
    <row r="2186" spans="1:10">
      <c r="A2186" s="159" t="str">
        <f t="shared" si="172"/>
        <v>$E$1:$E$92</v>
      </c>
      <c r="B2186" s="159" t="str">
        <f t="shared" si="173"/>
        <v>$F$1:$F$92</v>
      </c>
      <c r="C2186" s="159" t="str">
        <f t="shared" si="174"/>
        <v>December!$E$1:$E$92</v>
      </c>
      <c r="D2186" s="159" t="str">
        <f t="shared" si="175"/>
        <v>December!$F$1:$F$92</v>
      </c>
      <c r="E2186" t="s">
        <v>5</v>
      </c>
      <c r="F2186" t="s">
        <v>131</v>
      </c>
      <c r="G2186" t="s">
        <v>142</v>
      </c>
      <c r="H2186" t="s">
        <v>153</v>
      </c>
      <c r="I2186" t="e">
        <f t="shared" ca="1" si="171"/>
        <v>#REF!</v>
      </c>
      <c r="J2186" t="str">
        <f>VLOOKUP($G2186,DefinitionArrays!$I$6:$J$12,2,FALSE)</f>
        <v>Workweek</v>
      </c>
    </row>
    <row r="2187" spans="1:10">
      <c r="A2187" s="159" t="str">
        <f t="shared" si="172"/>
        <v>$E$1:$E$92</v>
      </c>
      <c r="B2187" s="159" t="str">
        <f t="shared" si="173"/>
        <v>$F$1:$F$92</v>
      </c>
      <c r="C2187" s="159" t="str">
        <f t="shared" si="174"/>
        <v>December!$E$1:$E$92</v>
      </c>
      <c r="D2187" s="159" t="str">
        <f t="shared" si="175"/>
        <v>December!$F$1:$F$92</v>
      </c>
      <c r="E2187" t="s">
        <v>5</v>
      </c>
      <c r="F2187" t="s">
        <v>131</v>
      </c>
      <c r="G2187" t="s">
        <v>142</v>
      </c>
      <c r="H2187" t="s">
        <v>19</v>
      </c>
      <c r="I2187" t="e">
        <f t="shared" ca="1" si="171"/>
        <v>#REF!</v>
      </c>
      <c r="J2187" t="str">
        <f>VLOOKUP($G2187,DefinitionArrays!$I$6:$J$12,2,FALSE)</f>
        <v>Workweek</v>
      </c>
    </row>
    <row r="2188" spans="1:10">
      <c r="A2188" s="159" t="str">
        <f t="shared" si="172"/>
        <v>$E$1:$E$92</v>
      </c>
      <c r="B2188" s="159" t="str">
        <f t="shared" si="173"/>
        <v>$F$1:$F$92</v>
      </c>
      <c r="C2188" s="159" t="str">
        <f t="shared" si="174"/>
        <v>December!$E$1:$E$92</v>
      </c>
      <c r="D2188" s="159" t="str">
        <f t="shared" si="175"/>
        <v>December!$F$1:$F$92</v>
      </c>
      <c r="E2188" t="s">
        <v>5</v>
      </c>
      <c r="F2188" t="s">
        <v>131</v>
      </c>
      <c r="G2188" t="s">
        <v>142</v>
      </c>
      <c r="H2188" t="s">
        <v>20</v>
      </c>
      <c r="I2188" t="e">
        <f t="shared" ca="1" si="171"/>
        <v>#REF!</v>
      </c>
      <c r="J2188" t="str">
        <f>VLOOKUP($G2188,DefinitionArrays!$I$6:$J$12,2,FALSE)</f>
        <v>Workweek</v>
      </c>
    </row>
    <row r="2189" spans="1:10">
      <c r="A2189" s="159" t="str">
        <f t="shared" si="172"/>
        <v>$E$1:$E$92</v>
      </c>
      <c r="B2189" s="159" t="str">
        <f t="shared" si="173"/>
        <v>$F$1:$F$92</v>
      </c>
      <c r="C2189" s="159" t="str">
        <f t="shared" si="174"/>
        <v>December!$E$1:$E$92</v>
      </c>
      <c r="D2189" s="159" t="str">
        <f t="shared" si="175"/>
        <v>December!$F$1:$F$92</v>
      </c>
      <c r="E2189" t="s">
        <v>5</v>
      </c>
      <c r="F2189" t="s">
        <v>131</v>
      </c>
      <c r="G2189" t="s">
        <v>142</v>
      </c>
      <c r="H2189" t="s">
        <v>21</v>
      </c>
      <c r="I2189" t="e">
        <f t="shared" ca="1" si="171"/>
        <v>#REF!</v>
      </c>
      <c r="J2189" t="str">
        <f>VLOOKUP($G2189,DefinitionArrays!$I$6:$J$12,2,FALSE)</f>
        <v>Workweek</v>
      </c>
    </row>
    <row r="2190" spans="1:10">
      <c r="A2190" s="159" t="str">
        <f t="shared" si="172"/>
        <v>$E$1:$E$92</v>
      </c>
      <c r="B2190" s="159" t="str">
        <f t="shared" si="173"/>
        <v>$F$1:$F$92</v>
      </c>
      <c r="C2190" s="159" t="str">
        <f t="shared" si="174"/>
        <v>December!$E$1:$E$92</v>
      </c>
      <c r="D2190" s="159" t="str">
        <f t="shared" si="175"/>
        <v>December!$F$1:$F$92</v>
      </c>
      <c r="E2190" t="s">
        <v>5</v>
      </c>
      <c r="F2190" t="s">
        <v>131</v>
      </c>
      <c r="G2190" t="s">
        <v>142</v>
      </c>
      <c r="H2190" t="s">
        <v>22</v>
      </c>
      <c r="I2190" t="e">
        <f t="shared" ca="1" si="171"/>
        <v>#REF!</v>
      </c>
      <c r="J2190" t="str">
        <f>VLOOKUP($G2190,DefinitionArrays!$I$6:$J$12,2,FALSE)</f>
        <v>Workweek</v>
      </c>
    </row>
    <row r="2191" spans="1:10">
      <c r="A2191" s="159" t="str">
        <f t="shared" si="172"/>
        <v>$E$1:$E$92</v>
      </c>
      <c r="B2191" s="159" t="str">
        <f t="shared" si="173"/>
        <v>$F$1:$F$92</v>
      </c>
      <c r="C2191" s="159" t="str">
        <f t="shared" si="174"/>
        <v>December!$E$1:$E$92</v>
      </c>
      <c r="D2191" s="159" t="str">
        <f t="shared" si="175"/>
        <v>December!$F$1:$F$92</v>
      </c>
      <c r="E2191" t="s">
        <v>5</v>
      </c>
      <c r="F2191" t="s">
        <v>131</v>
      </c>
      <c r="G2191" t="s">
        <v>142</v>
      </c>
      <c r="H2191" t="s">
        <v>23</v>
      </c>
      <c r="I2191" t="e">
        <f t="shared" ca="1" si="171"/>
        <v>#REF!</v>
      </c>
      <c r="J2191" t="str">
        <f>VLOOKUP($G2191,DefinitionArrays!$I$6:$J$12,2,FALSE)</f>
        <v>Workweek</v>
      </c>
    </row>
    <row r="2192" spans="1:10">
      <c r="A2192" s="159" t="str">
        <f t="shared" si="172"/>
        <v>$E$1:$E$92</v>
      </c>
      <c r="B2192" s="159" t="str">
        <f t="shared" si="173"/>
        <v>$F$1:$F$92</v>
      </c>
      <c r="C2192" s="159" t="str">
        <f t="shared" si="174"/>
        <v>December!$E$1:$E$92</v>
      </c>
      <c r="D2192" s="159" t="str">
        <f t="shared" si="175"/>
        <v>December!$F$1:$F$92</v>
      </c>
      <c r="E2192" t="s">
        <v>5</v>
      </c>
      <c r="F2192" t="s">
        <v>131</v>
      </c>
      <c r="G2192" t="s">
        <v>142</v>
      </c>
      <c r="H2192" t="s">
        <v>24</v>
      </c>
      <c r="I2192" t="e">
        <f t="shared" ca="1" si="171"/>
        <v>#REF!</v>
      </c>
      <c r="J2192" t="str">
        <f>VLOOKUP($G2192,DefinitionArrays!$I$6:$J$12,2,FALSE)</f>
        <v>Workweek</v>
      </c>
    </row>
    <row r="2193" spans="1:10">
      <c r="A2193" s="159" t="str">
        <f t="shared" si="172"/>
        <v>$E$1:$E$92</v>
      </c>
      <c r="B2193" s="159" t="str">
        <f t="shared" si="173"/>
        <v>$F$1:$F$92</v>
      </c>
      <c r="C2193" s="159" t="str">
        <f t="shared" si="174"/>
        <v>December!$E$1:$E$92</v>
      </c>
      <c r="D2193" s="159" t="str">
        <f t="shared" si="175"/>
        <v>December!$F$1:$F$92</v>
      </c>
      <c r="E2193" t="s">
        <v>5</v>
      </c>
      <c r="F2193" t="s">
        <v>131</v>
      </c>
      <c r="G2193" t="s">
        <v>142</v>
      </c>
      <c r="H2193" t="s">
        <v>179</v>
      </c>
      <c r="I2193" t="e">
        <f t="shared" ca="1" si="171"/>
        <v>#REF!</v>
      </c>
      <c r="J2193" t="str">
        <f>VLOOKUP($G2193,DefinitionArrays!$I$6:$J$12,2,FALSE)</f>
        <v>Workweek</v>
      </c>
    </row>
    <row r="2194" spans="1:10">
      <c r="A2194" s="159" t="str">
        <f t="shared" si="172"/>
        <v>$E$1:$E$92</v>
      </c>
      <c r="B2194" s="159" t="str">
        <f t="shared" si="173"/>
        <v>$F$1:$F$92</v>
      </c>
      <c r="C2194" s="159" t="str">
        <f t="shared" si="174"/>
        <v>December!$E$1:$E$92</v>
      </c>
      <c r="D2194" s="159" t="str">
        <f t="shared" si="175"/>
        <v>December!$F$1:$F$92</v>
      </c>
      <c r="E2194" t="s">
        <v>5</v>
      </c>
      <c r="F2194" t="s">
        <v>131</v>
      </c>
      <c r="G2194" t="s">
        <v>142</v>
      </c>
      <c r="H2194" t="s">
        <v>180</v>
      </c>
      <c r="I2194" t="e">
        <f t="shared" ca="1" si="171"/>
        <v>#REF!</v>
      </c>
      <c r="J2194" t="str">
        <f>VLOOKUP($G2194,DefinitionArrays!$I$6:$J$12,2,FALSE)</f>
        <v>Workweek</v>
      </c>
    </row>
    <row r="2195" spans="1:10">
      <c r="A2195" s="159" t="str">
        <f t="shared" si="172"/>
        <v>$E$1:$E$92</v>
      </c>
      <c r="B2195" s="159" t="str">
        <f t="shared" si="173"/>
        <v>$F$1:$F$92</v>
      </c>
      <c r="C2195" s="159" t="str">
        <f t="shared" si="174"/>
        <v>December!$E$1:$E$92</v>
      </c>
      <c r="D2195" s="159" t="str">
        <f t="shared" si="175"/>
        <v>December!$F$1:$F$92</v>
      </c>
      <c r="E2195" t="s">
        <v>5</v>
      </c>
      <c r="F2195" t="s">
        <v>131</v>
      </c>
      <c r="G2195" t="s">
        <v>142</v>
      </c>
      <c r="H2195" t="s">
        <v>44</v>
      </c>
      <c r="I2195" t="e">
        <f t="shared" ca="1" si="171"/>
        <v>#REF!</v>
      </c>
      <c r="J2195" t="str">
        <f>VLOOKUP($G2195,DefinitionArrays!$I$6:$J$12,2,FALSE)</f>
        <v>Workweek</v>
      </c>
    </row>
    <row r="2196" spans="1:10">
      <c r="A2196" s="159" t="str">
        <f t="shared" si="172"/>
        <v>$H$1:$H$92</v>
      </c>
      <c r="B2196" s="159" t="str">
        <f t="shared" si="173"/>
        <v>$I$1:$I$92</v>
      </c>
      <c r="C2196" s="159" t="str">
        <f t="shared" si="174"/>
        <v>December!$H$1:$H$92</v>
      </c>
      <c r="D2196" s="159" t="str">
        <f t="shared" si="175"/>
        <v>December!$I$1:$I$92</v>
      </c>
      <c r="E2196" t="s">
        <v>5</v>
      </c>
      <c r="F2196" t="s">
        <v>131</v>
      </c>
      <c r="G2196" t="s">
        <v>143</v>
      </c>
      <c r="H2196" t="s">
        <v>159</v>
      </c>
      <c r="I2196" t="e">
        <f t="shared" ca="1" si="171"/>
        <v>#REF!</v>
      </c>
      <c r="J2196" t="str">
        <f>VLOOKUP($G2196,DefinitionArrays!$I$6:$J$12,2,FALSE)</f>
        <v>Workweek</v>
      </c>
    </row>
    <row r="2197" spans="1:10">
      <c r="A2197" s="159" t="str">
        <f t="shared" si="172"/>
        <v>$H$1:$H$92</v>
      </c>
      <c r="B2197" s="159" t="str">
        <f t="shared" si="173"/>
        <v>$I$1:$I$92</v>
      </c>
      <c r="C2197" s="159" t="str">
        <f t="shared" si="174"/>
        <v>December!$H$1:$H$92</v>
      </c>
      <c r="D2197" s="159" t="str">
        <f t="shared" si="175"/>
        <v>December!$I$1:$I$92</v>
      </c>
      <c r="E2197" t="s">
        <v>5</v>
      </c>
      <c r="F2197" t="s">
        <v>131</v>
      </c>
      <c r="G2197" t="s">
        <v>143</v>
      </c>
      <c r="H2197" t="s">
        <v>18</v>
      </c>
      <c r="I2197" t="e">
        <f t="shared" ca="1" si="171"/>
        <v>#REF!</v>
      </c>
      <c r="J2197" t="str">
        <f>VLOOKUP($G2197,DefinitionArrays!$I$6:$J$12,2,FALSE)</f>
        <v>Workweek</v>
      </c>
    </row>
    <row r="2198" spans="1:10">
      <c r="A2198" s="159" t="str">
        <f t="shared" si="172"/>
        <v>$H$1:$H$92</v>
      </c>
      <c r="B2198" s="159" t="str">
        <f t="shared" si="173"/>
        <v>$I$1:$I$92</v>
      </c>
      <c r="C2198" s="159" t="str">
        <f t="shared" si="174"/>
        <v>December!$H$1:$H$92</v>
      </c>
      <c r="D2198" s="159" t="str">
        <f t="shared" si="175"/>
        <v>December!$I$1:$I$92</v>
      </c>
      <c r="E2198" t="s">
        <v>5</v>
      </c>
      <c r="F2198" t="s">
        <v>131</v>
      </c>
      <c r="G2198" t="s">
        <v>143</v>
      </c>
      <c r="H2198" t="s">
        <v>153</v>
      </c>
      <c r="I2198" t="e">
        <f t="shared" ca="1" si="171"/>
        <v>#REF!</v>
      </c>
      <c r="J2198" t="str">
        <f>VLOOKUP($G2198,DefinitionArrays!$I$6:$J$12,2,FALSE)</f>
        <v>Workweek</v>
      </c>
    </row>
    <row r="2199" spans="1:10">
      <c r="A2199" s="159" t="str">
        <f t="shared" si="172"/>
        <v>$H$1:$H$92</v>
      </c>
      <c r="B2199" s="159" t="str">
        <f t="shared" si="173"/>
        <v>$I$1:$I$92</v>
      </c>
      <c r="C2199" s="159" t="str">
        <f t="shared" si="174"/>
        <v>December!$H$1:$H$92</v>
      </c>
      <c r="D2199" s="159" t="str">
        <f t="shared" si="175"/>
        <v>December!$I$1:$I$92</v>
      </c>
      <c r="E2199" t="s">
        <v>5</v>
      </c>
      <c r="F2199" t="s">
        <v>131</v>
      </c>
      <c r="G2199" t="s">
        <v>143</v>
      </c>
      <c r="H2199" t="s">
        <v>19</v>
      </c>
      <c r="I2199" t="e">
        <f t="shared" ca="1" si="171"/>
        <v>#REF!</v>
      </c>
      <c r="J2199" t="str">
        <f>VLOOKUP($G2199,DefinitionArrays!$I$6:$J$12,2,FALSE)</f>
        <v>Workweek</v>
      </c>
    </row>
    <row r="2200" spans="1:10">
      <c r="A2200" s="159" t="str">
        <f t="shared" si="172"/>
        <v>$H$1:$H$92</v>
      </c>
      <c r="B2200" s="159" t="str">
        <f t="shared" si="173"/>
        <v>$I$1:$I$92</v>
      </c>
      <c r="C2200" s="159" t="str">
        <f t="shared" si="174"/>
        <v>December!$H$1:$H$92</v>
      </c>
      <c r="D2200" s="159" t="str">
        <f t="shared" si="175"/>
        <v>December!$I$1:$I$92</v>
      </c>
      <c r="E2200" t="s">
        <v>5</v>
      </c>
      <c r="F2200" t="s">
        <v>131</v>
      </c>
      <c r="G2200" t="s">
        <v>143</v>
      </c>
      <c r="H2200" t="s">
        <v>20</v>
      </c>
      <c r="I2200" t="e">
        <f t="shared" ca="1" si="171"/>
        <v>#REF!</v>
      </c>
      <c r="J2200" t="str">
        <f>VLOOKUP($G2200,DefinitionArrays!$I$6:$J$12,2,FALSE)</f>
        <v>Workweek</v>
      </c>
    </row>
    <row r="2201" spans="1:10">
      <c r="A2201" s="159" t="str">
        <f t="shared" si="172"/>
        <v>$H$1:$H$92</v>
      </c>
      <c r="B2201" s="159" t="str">
        <f t="shared" si="173"/>
        <v>$I$1:$I$92</v>
      </c>
      <c r="C2201" s="159" t="str">
        <f t="shared" si="174"/>
        <v>December!$H$1:$H$92</v>
      </c>
      <c r="D2201" s="159" t="str">
        <f t="shared" si="175"/>
        <v>December!$I$1:$I$92</v>
      </c>
      <c r="E2201" t="s">
        <v>5</v>
      </c>
      <c r="F2201" t="s">
        <v>131</v>
      </c>
      <c r="G2201" t="s">
        <v>143</v>
      </c>
      <c r="H2201" t="s">
        <v>21</v>
      </c>
      <c r="I2201" t="e">
        <f t="shared" ca="1" si="171"/>
        <v>#REF!</v>
      </c>
      <c r="J2201" t="str">
        <f>VLOOKUP($G2201,DefinitionArrays!$I$6:$J$12,2,FALSE)</f>
        <v>Workweek</v>
      </c>
    </row>
    <row r="2202" spans="1:10">
      <c r="A2202" s="159" t="str">
        <f t="shared" si="172"/>
        <v>$H$1:$H$92</v>
      </c>
      <c r="B2202" s="159" t="str">
        <f t="shared" si="173"/>
        <v>$I$1:$I$92</v>
      </c>
      <c r="C2202" s="159" t="str">
        <f t="shared" si="174"/>
        <v>December!$H$1:$H$92</v>
      </c>
      <c r="D2202" s="159" t="str">
        <f t="shared" si="175"/>
        <v>December!$I$1:$I$92</v>
      </c>
      <c r="E2202" t="s">
        <v>5</v>
      </c>
      <c r="F2202" t="s">
        <v>131</v>
      </c>
      <c r="G2202" t="s">
        <v>143</v>
      </c>
      <c r="H2202" t="s">
        <v>22</v>
      </c>
      <c r="I2202" t="e">
        <f t="shared" ca="1" si="171"/>
        <v>#REF!</v>
      </c>
      <c r="J2202" t="str">
        <f>VLOOKUP($G2202,DefinitionArrays!$I$6:$J$12,2,FALSE)</f>
        <v>Workweek</v>
      </c>
    </row>
    <row r="2203" spans="1:10">
      <c r="A2203" s="159" t="str">
        <f t="shared" si="172"/>
        <v>$H$1:$H$92</v>
      </c>
      <c r="B2203" s="159" t="str">
        <f t="shared" si="173"/>
        <v>$I$1:$I$92</v>
      </c>
      <c r="C2203" s="159" t="str">
        <f t="shared" si="174"/>
        <v>December!$H$1:$H$92</v>
      </c>
      <c r="D2203" s="159" t="str">
        <f t="shared" si="175"/>
        <v>December!$I$1:$I$92</v>
      </c>
      <c r="E2203" t="s">
        <v>5</v>
      </c>
      <c r="F2203" t="s">
        <v>131</v>
      </c>
      <c r="G2203" t="s">
        <v>143</v>
      </c>
      <c r="H2203" t="s">
        <v>23</v>
      </c>
      <c r="I2203" t="e">
        <f t="shared" ca="1" si="171"/>
        <v>#REF!</v>
      </c>
      <c r="J2203" t="str">
        <f>VLOOKUP($G2203,DefinitionArrays!$I$6:$J$12,2,FALSE)</f>
        <v>Workweek</v>
      </c>
    </row>
    <row r="2204" spans="1:10">
      <c r="A2204" s="159" t="str">
        <f t="shared" si="172"/>
        <v>$H$1:$H$92</v>
      </c>
      <c r="B2204" s="159" t="str">
        <f t="shared" si="173"/>
        <v>$I$1:$I$92</v>
      </c>
      <c r="C2204" s="159" t="str">
        <f t="shared" si="174"/>
        <v>December!$H$1:$H$92</v>
      </c>
      <c r="D2204" s="159" t="str">
        <f t="shared" si="175"/>
        <v>December!$I$1:$I$92</v>
      </c>
      <c r="E2204" t="s">
        <v>5</v>
      </c>
      <c r="F2204" t="s">
        <v>131</v>
      </c>
      <c r="G2204" t="s">
        <v>143</v>
      </c>
      <c r="H2204" t="s">
        <v>24</v>
      </c>
      <c r="I2204" t="e">
        <f t="shared" ca="1" si="171"/>
        <v>#REF!</v>
      </c>
      <c r="J2204" t="str">
        <f>VLOOKUP($G2204,DefinitionArrays!$I$6:$J$12,2,FALSE)</f>
        <v>Workweek</v>
      </c>
    </row>
    <row r="2205" spans="1:10">
      <c r="A2205" s="159" t="str">
        <f t="shared" si="172"/>
        <v>$H$1:$H$92</v>
      </c>
      <c r="B2205" s="159" t="str">
        <f t="shared" si="173"/>
        <v>$I$1:$I$92</v>
      </c>
      <c r="C2205" s="159" t="str">
        <f t="shared" si="174"/>
        <v>December!$H$1:$H$92</v>
      </c>
      <c r="D2205" s="159" t="str">
        <f t="shared" si="175"/>
        <v>December!$I$1:$I$92</v>
      </c>
      <c r="E2205" t="s">
        <v>5</v>
      </c>
      <c r="F2205" t="s">
        <v>131</v>
      </c>
      <c r="G2205" t="s">
        <v>143</v>
      </c>
      <c r="H2205" t="s">
        <v>179</v>
      </c>
      <c r="I2205" t="e">
        <f t="shared" ca="1" si="171"/>
        <v>#REF!</v>
      </c>
      <c r="J2205" t="str">
        <f>VLOOKUP($G2205,DefinitionArrays!$I$6:$J$12,2,FALSE)</f>
        <v>Workweek</v>
      </c>
    </row>
    <row r="2206" spans="1:10">
      <c r="A2206" s="159" t="str">
        <f t="shared" si="172"/>
        <v>$H$1:$H$92</v>
      </c>
      <c r="B2206" s="159" t="str">
        <f t="shared" si="173"/>
        <v>$I$1:$I$92</v>
      </c>
      <c r="C2206" s="159" t="str">
        <f t="shared" si="174"/>
        <v>December!$H$1:$H$92</v>
      </c>
      <c r="D2206" s="159" t="str">
        <f t="shared" si="175"/>
        <v>December!$I$1:$I$92</v>
      </c>
      <c r="E2206" t="s">
        <v>5</v>
      </c>
      <c r="F2206" t="s">
        <v>131</v>
      </c>
      <c r="G2206" t="s">
        <v>143</v>
      </c>
      <c r="H2206" t="s">
        <v>180</v>
      </c>
      <c r="I2206" t="e">
        <f t="shared" ca="1" si="171"/>
        <v>#REF!</v>
      </c>
      <c r="J2206" t="str">
        <f>VLOOKUP($G2206,DefinitionArrays!$I$6:$J$12,2,FALSE)</f>
        <v>Workweek</v>
      </c>
    </row>
    <row r="2207" spans="1:10">
      <c r="A2207" s="159" t="str">
        <f t="shared" si="172"/>
        <v>$H$1:$H$92</v>
      </c>
      <c r="B2207" s="159" t="str">
        <f t="shared" si="173"/>
        <v>$I$1:$I$92</v>
      </c>
      <c r="C2207" s="159" t="str">
        <f t="shared" si="174"/>
        <v>December!$H$1:$H$92</v>
      </c>
      <c r="D2207" s="159" t="str">
        <f t="shared" si="175"/>
        <v>December!$I$1:$I$92</v>
      </c>
      <c r="E2207" t="s">
        <v>5</v>
      </c>
      <c r="F2207" t="s">
        <v>131</v>
      </c>
      <c r="G2207" t="s">
        <v>143</v>
      </c>
      <c r="H2207" t="s">
        <v>44</v>
      </c>
      <c r="I2207" t="e">
        <f t="shared" ca="1" si="171"/>
        <v>#REF!</v>
      </c>
      <c r="J2207" t="str">
        <f>VLOOKUP($G2207,DefinitionArrays!$I$6:$J$12,2,FALSE)</f>
        <v>Workweek</v>
      </c>
    </row>
    <row r="2208" spans="1:10">
      <c r="A2208" s="159" t="str">
        <f t="shared" si="172"/>
        <v>$K$1:$K$92</v>
      </c>
      <c r="B2208" s="159" t="str">
        <f t="shared" si="173"/>
        <v>$L$1:$L$92</v>
      </c>
      <c r="C2208" s="159" t="str">
        <f t="shared" si="174"/>
        <v>December!$K$1:$K$92</v>
      </c>
      <c r="D2208" s="159" t="str">
        <f t="shared" si="175"/>
        <v>December!$L$1:$L$92</v>
      </c>
      <c r="E2208" t="s">
        <v>5</v>
      </c>
      <c r="F2208" t="s">
        <v>131</v>
      </c>
      <c r="G2208" t="s">
        <v>144</v>
      </c>
      <c r="H2208" t="s">
        <v>159</v>
      </c>
      <c r="I2208" t="e">
        <f t="shared" ca="1" si="171"/>
        <v>#REF!</v>
      </c>
      <c r="J2208" t="str">
        <f>VLOOKUP($G2208,DefinitionArrays!$I$6:$J$12,2,FALSE)</f>
        <v>Workweek</v>
      </c>
    </row>
    <row r="2209" spans="1:10">
      <c r="A2209" s="159" t="str">
        <f t="shared" si="172"/>
        <v>$K$1:$K$92</v>
      </c>
      <c r="B2209" s="159" t="str">
        <f t="shared" si="173"/>
        <v>$L$1:$L$92</v>
      </c>
      <c r="C2209" s="159" t="str">
        <f t="shared" si="174"/>
        <v>December!$K$1:$K$92</v>
      </c>
      <c r="D2209" s="159" t="str">
        <f t="shared" si="175"/>
        <v>December!$L$1:$L$92</v>
      </c>
      <c r="E2209" t="s">
        <v>5</v>
      </c>
      <c r="F2209" t="s">
        <v>131</v>
      </c>
      <c r="G2209" t="s">
        <v>144</v>
      </c>
      <c r="H2209" t="s">
        <v>18</v>
      </c>
      <c r="I2209" t="e">
        <f t="shared" ca="1" si="171"/>
        <v>#REF!</v>
      </c>
      <c r="J2209" t="str">
        <f>VLOOKUP($G2209,DefinitionArrays!$I$6:$J$12,2,FALSE)</f>
        <v>Workweek</v>
      </c>
    </row>
    <row r="2210" spans="1:10">
      <c r="A2210" s="159" t="str">
        <f t="shared" si="172"/>
        <v>$K$1:$K$92</v>
      </c>
      <c r="B2210" s="159" t="str">
        <f t="shared" si="173"/>
        <v>$L$1:$L$92</v>
      </c>
      <c r="C2210" s="159" t="str">
        <f t="shared" si="174"/>
        <v>December!$K$1:$K$92</v>
      </c>
      <c r="D2210" s="159" t="str">
        <f t="shared" si="175"/>
        <v>December!$L$1:$L$92</v>
      </c>
      <c r="E2210" t="s">
        <v>5</v>
      </c>
      <c r="F2210" t="s">
        <v>131</v>
      </c>
      <c r="G2210" t="s">
        <v>144</v>
      </c>
      <c r="H2210" t="s">
        <v>153</v>
      </c>
      <c r="I2210" t="e">
        <f t="shared" ca="1" si="171"/>
        <v>#REF!</v>
      </c>
      <c r="J2210" t="str">
        <f>VLOOKUP($G2210,DefinitionArrays!$I$6:$J$12,2,FALSE)</f>
        <v>Workweek</v>
      </c>
    </row>
    <row r="2211" spans="1:10">
      <c r="A2211" s="159" t="str">
        <f t="shared" si="172"/>
        <v>$K$1:$K$92</v>
      </c>
      <c r="B2211" s="159" t="str">
        <f t="shared" si="173"/>
        <v>$L$1:$L$92</v>
      </c>
      <c r="C2211" s="159" t="str">
        <f t="shared" si="174"/>
        <v>December!$K$1:$K$92</v>
      </c>
      <c r="D2211" s="159" t="str">
        <f t="shared" si="175"/>
        <v>December!$L$1:$L$92</v>
      </c>
      <c r="E2211" t="s">
        <v>5</v>
      </c>
      <c r="F2211" t="s">
        <v>131</v>
      </c>
      <c r="G2211" t="s">
        <v>144</v>
      </c>
      <c r="H2211" t="s">
        <v>19</v>
      </c>
      <c r="I2211" t="e">
        <f t="shared" ca="1" si="171"/>
        <v>#REF!</v>
      </c>
      <c r="J2211" t="str">
        <f>VLOOKUP($G2211,DefinitionArrays!$I$6:$J$12,2,FALSE)</f>
        <v>Workweek</v>
      </c>
    </row>
    <row r="2212" spans="1:10">
      <c r="A2212" s="159" t="str">
        <f t="shared" si="172"/>
        <v>$K$1:$K$92</v>
      </c>
      <c r="B2212" s="159" t="str">
        <f t="shared" si="173"/>
        <v>$L$1:$L$92</v>
      </c>
      <c r="C2212" s="159" t="str">
        <f t="shared" si="174"/>
        <v>December!$K$1:$K$92</v>
      </c>
      <c r="D2212" s="159" t="str">
        <f t="shared" si="175"/>
        <v>December!$L$1:$L$92</v>
      </c>
      <c r="E2212" t="s">
        <v>5</v>
      </c>
      <c r="F2212" t="s">
        <v>131</v>
      </c>
      <c r="G2212" t="s">
        <v>144</v>
      </c>
      <c r="H2212" t="s">
        <v>20</v>
      </c>
      <c r="I2212" t="e">
        <f t="shared" ca="1" si="171"/>
        <v>#REF!</v>
      </c>
      <c r="J2212" t="str">
        <f>VLOOKUP($G2212,DefinitionArrays!$I$6:$J$12,2,FALSE)</f>
        <v>Workweek</v>
      </c>
    </row>
    <row r="2213" spans="1:10">
      <c r="A2213" s="159" t="str">
        <f t="shared" si="172"/>
        <v>$K$1:$K$92</v>
      </c>
      <c r="B2213" s="159" t="str">
        <f t="shared" si="173"/>
        <v>$L$1:$L$92</v>
      </c>
      <c r="C2213" s="159" t="str">
        <f t="shared" si="174"/>
        <v>December!$K$1:$K$92</v>
      </c>
      <c r="D2213" s="159" t="str">
        <f t="shared" si="175"/>
        <v>December!$L$1:$L$92</v>
      </c>
      <c r="E2213" t="s">
        <v>5</v>
      </c>
      <c r="F2213" t="s">
        <v>131</v>
      </c>
      <c r="G2213" t="s">
        <v>144</v>
      </c>
      <c r="H2213" t="s">
        <v>21</v>
      </c>
      <c r="I2213" t="e">
        <f t="shared" ca="1" si="171"/>
        <v>#REF!</v>
      </c>
      <c r="J2213" t="str">
        <f>VLOOKUP($G2213,DefinitionArrays!$I$6:$J$12,2,FALSE)</f>
        <v>Workweek</v>
      </c>
    </row>
    <row r="2214" spans="1:10">
      <c r="A2214" s="159" t="str">
        <f t="shared" si="172"/>
        <v>$K$1:$K$92</v>
      </c>
      <c r="B2214" s="159" t="str">
        <f t="shared" si="173"/>
        <v>$L$1:$L$92</v>
      </c>
      <c r="C2214" s="159" t="str">
        <f t="shared" si="174"/>
        <v>December!$K$1:$K$92</v>
      </c>
      <c r="D2214" s="159" t="str">
        <f t="shared" si="175"/>
        <v>December!$L$1:$L$92</v>
      </c>
      <c r="E2214" t="s">
        <v>5</v>
      </c>
      <c r="F2214" t="s">
        <v>131</v>
      </c>
      <c r="G2214" t="s">
        <v>144</v>
      </c>
      <c r="H2214" t="s">
        <v>22</v>
      </c>
      <c r="I2214" t="e">
        <f t="shared" ca="1" si="171"/>
        <v>#REF!</v>
      </c>
      <c r="J2214" t="str">
        <f>VLOOKUP($G2214,DefinitionArrays!$I$6:$J$12,2,FALSE)</f>
        <v>Workweek</v>
      </c>
    </row>
    <row r="2215" spans="1:10">
      <c r="A2215" s="159" t="str">
        <f t="shared" si="172"/>
        <v>$K$1:$K$92</v>
      </c>
      <c r="B2215" s="159" t="str">
        <f t="shared" si="173"/>
        <v>$L$1:$L$92</v>
      </c>
      <c r="C2215" s="159" t="str">
        <f t="shared" si="174"/>
        <v>December!$K$1:$K$92</v>
      </c>
      <c r="D2215" s="159" t="str">
        <f t="shared" si="175"/>
        <v>December!$L$1:$L$92</v>
      </c>
      <c r="E2215" t="s">
        <v>5</v>
      </c>
      <c r="F2215" t="s">
        <v>131</v>
      </c>
      <c r="G2215" t="s">
        <v>144</v>
      </c>
      <c r="H2215" t="s">
        <v>23</v>
      </c>
      <c r="I2215" t="e">
        <f t="shared" ca="1" si="171"/>
        <v>#REF!</v>
      </c>
      <c r="J2215" t="str">
        <f>VLOOKUP($G2215,DefinitionArrays!$I$6:$J$12,2,FALSE)</f>
        <v>Workweek</v>
      </c>
    </row>
    <row r="2216" spans="1:10">
      <c r="A2216" s="159" t="str">
        <f t="shared" si="172"/>
        <v>$K$1:$K$92</v>
      </c>
      <c r="B2216" s="159" t="str">
        <f t="shared" si="173"/>
        <v>$L$1:$L$92</v>
      </c>
      <c r="C2216" s="159" t="str">
        <f t="shared" si="174"/>
        <v>December!$K$1:$K$92</v>
      </c>
      <c r="D2216" s="159" t="str">
        <f t="shared" si="175"/>
        <v>December!$L$1:$L$92</v>
      </c>
      <c r="E2216" t="s">
        <v>5</v>
      </c>
      <c r="F2216" t="s">
        <v>131</v>
      </c>
      <c r="G2216" t="s">
        <v>144</v>
      </c>
      <c r="H2216" t="s">
        <v>24</v>
      </c>
      <c r="I2216" t="e">
        <f t="shared" ca="1" si="171"/>
        <v>#REF!</v>
      </c>
      <c r="J2216" t="str">
        <f>VLOOKUP($G2216,DefinitionArrays!$I$6:$J$12,2,FALSE)</f>
        <v>Workweek</v>
      </c>
    </row>
    <row r="2217" spans="1:10">
      <c r="A2217" s="159" t="str">
        <f t="shared" si="172"/>
        <v>$K$1:$K$92</v>
      </c>
      <c r="B2217" s="159" t="str">
        <f t="shared" si="173"/>
        <v>$L$1:$L$92</v>
      </c>
      <c r="C2217" s="159" t="str">
        <f t="shared" si="174"/>
        <v>December!$K$1:$K$92</v>
      </c>
      <c r="D2217" s="159" t="str">
        <f t="shared" si="175"/>
        <v>December!$L$1:$L$92</v>
      </c>
      <c r="E2217" t="s">
        <v>5</v>
      </c>
      <c r="F2217" t="s">
        <v>131</v>
      </c>
      <c r="G2217" t="s">
        <v>144</v>
      </c>
      <c r="H2217" t="s">
        <v>179</v>
      </c>
      <c r="I2217" t="e">
        <f t="shared" ca="1" si="171"/>
        <v>#REF!</v>
      </c>
      <c r="J2217" t="str">
        <f>VLOOKUP($G2217,DefinitionArrays!$I$6:$J$12,2,FALSE)</f>
        <v>Workweek</v>
      </c>
    </row>
    <row r="2218" spans="1:10">
      <c r="A2218" s="159" t="str">
        <f t="shared" si="172"/>
        <v>$K$1:$K$92</v>
      </c>
      <c r="B2218" s="159" t="str">
        <f t="shared" si="173"/>
        <v>$L$1:$L$92</v>
      </c>
      <c r="C2218" s="159" t="str">
        <f t="shared" si="174"/>
        <v>December!$K$1:$K$92</v>
      </c>
      <c r="D2218" s="159" t="str">
        <f t="shared" si="175"/>
        <v>December!$L$1:$L$92</v>
      </c>
      <c r="E2218" t="s">
        <v>5</v>
      </c>
      <c r="F2218" t="s">
        <v>131</v>
      </c>
      <c r="G2218" t="s">
        <v>144</v>
      </c>
      <c r="H2218" t="s">
        <v>180</v>
      </c>
      <c r="I2218" t="e">
        <f t="shared" ca="1" si="171"/>
        <v>#REF!</v>
      </c>
      <c r="J2218" t="str">
        <f>VLOOKUP($G2218,DefinitionArrays!$I$6:$J$12,2,FALSE)</f>
        <v>Workweek</v>
      </c>
    </row>
    <row r="2219" spans="1:10">
      <c r="A2219" s="159" t="str">
        <f t="shared" si="172"/>
        <v>$K$1:$K$92</v>
      </c>
      <c r="B2219" s="159" t="str">
        <f t="shared" si="173"/>
        <v>$L$1:$L$92</v>
      </c>
      <c r="C2219" s="159" t="str">
        <f t="shared" si="174"/>
        <v>December!$K$1:$K$92</v>
      </c>
      <c r="D2219" s="159" t="str">
        <f t="shared" si="175"/>
        <v>December!$L$1:$L$92</v>
      </c>
      <c r="E2219" t="s">
        <v>5</v>
      </c>
      <c r="F2219" t="s">
        <v>131</v>
      </c>
      <c r="G2219" t="s">
        <v>144</v>
      </c>
      <c r="H2219" t="s">
        <v>44</v>
      </c>
      <c r="I2219" t="e">
        <f t="shared" ca="1" si="171"/>
        <v>#REF!</v>
      </c>
      <c r="J2219" t="str">
        <f>VLOOKUP($G2219,DefinitionArrays!$I$6:$J$12,2,FALSE)</f>
        <v>Workweek</v>
      </c>
    </row>
    <row r="2220" spans="1:10">
      <c r="A2220" s="159" t="str">
        <f t="shared" si="172"/>
        <v>$N$1:$N$92</v>
      </c>
      <c r="B2220" s="159" t="str">
        <f t="shared" si="173"/>
        <v>$O$1:$O$92</v>
      </c>
      <c r="C2220" s="159" t="str">
        <f t="shared" si="174"/>
        <v>December!$N$1:$N$92</v>
      </c>
      <c r="D2220" s="159" t="str">
        <f t="shared" si="175"/>
        <v>December!$O$1:$O$92</v>
      </c>
      <c r="E2220" t="s">
        <v>5</v>
      </c>
      <c r="F2220" t="s">
        <v>131</v>
      </c>
      <c r="G2220" t="s">
        <v>145</v>
      </c>
      <c r="H2220" t="s">
        <v>159</v>
      </c>
      <c r="I2220" t="e">
        <f t="shared" ca="1" si="171"/>
        <v>#REF!</v>
      </c>
      <c r="J2220" t="str">
        <f>VLOOKUP($G2220,DefinitionArrays!$I$6:$J$12,2,FALSE)</f>
        <v>Weekend</v>
      </c>
    </row>
    <row r="2221" spans="1:10">
      <c r="A2221" s="159" t="str">
        <f t="shared" si="172"/>
        <v>$N$1:$N$92</v>
      </c>
      <c r="B2221" s="159" t="str">
        <f t="shared" si="173"/>
        <v>$O$1:$O$92</v>
      </c>
      <c r="C2221" s="159" t="str">
        <f t="shared" si="174"/>
        <v>December!$N$1:$N$92</v>
      </c>
      <c r="D2221" s="159" t="str">
        <f t="shared" si="175"/>
        <v>December!$O$1:$O$92</v>
      </c>
      <c r="E2221" t="s">
        <v>5</v>
      </c>
      <c r="F2221" t="s">
        <v>131</v>
      </c>
      <c r="G2221" t="s">
        <v>145</v>
      </c>
      <c r="H2221" t="s">
        <v>18</v>
      </c>
      <c r="I2221" t="e">
        <f t="shared" ca="1" si="171"/>
        <v>#REF!</v>
      </c>
      <c r="J2221" t="str">
        <f>VLOOKUP($G2221,DefinitionArrays!$I$6:$J$12,2,FALSE)</f>
        <v>Weekend</v>
      </c>
    </row>
    <row r="2222" spans="1:10">
      <c r="A2222" s="159" t="str">
        <f t="shared" si="172"/>
        <v>$N$1:$N$92</v>
      </c>
      <c r="B2222" s="159" t="str">
        <f t="shared" si="173"/>
        <v>$O$1:$O$92</v>
      </c>
      <c r="C2222" s="159" t="str">
        <f t="shared" si="174"/>
        <v>December!$N$1:$N$92</v>
      </c>
      <c r="D2222" s="159" t="str">
        <f t="shared" si="175"/>
        <v>December!$O$1:$O$92</v>
      </c>
      <c r="E2222" t="s">
        <v>5</v>
      </c>
      <c r="F2222" t="s">
        <v>131</v>
      </c>
      <c r="G2222" t="s">
        <v>145</v>
      </c>
      <c r="H2222" t="s">
        <v>153</v>
      </c>
      <c r="I2222" t="e">
        <f t="shared" ca="1" si="171"/>
        <v>#REF!</v>
      </c>
      <c r="J2222" t="str">
        <f>VLOOKUP($G2222,DefinitionArrays!$I$6:$J$12,2,FALSE)</f>
        <v>Weekend</v>
      </c>
    </row>
    <row r="2223" spans="1:10">
      <c r="A2223" s="159" t="str">
        <f t="shared" si="172"/>
        <v>$N$1:$N$92</v>
      </c>
      <c r="B2223" s="159" t="str">
        <f t="shared" si="173"/>
        <v>$O$1:$O$92</v>
      </c>
      <c r="C2223" s="159" t="str">
        <f t="shared" si="174"/>
        <v>December!$N$1:$N$92</v>
      </c>
      <c r="D2223" s="159" t="str">
        <f t="shared" si="175"/>
        <v>December!$O$1:$O$92</v>
      </c>
      <c r="E2223" t="s">
        <v>5</v>
      </c>
      <c r="F2223" t="s">
        <v>131</v>
      </c>
      <c r="G2223" t="s">
        <v>145</v>
      </c>
      <c r="H2223" t="s">
        <v>19</v>
      </c>
      <c r="I2223" t="e">
        <f t="shared" ca="1" si="171"/>
        <v>#REF!</v>
      </c>
      <c r="J2223" t="str">
        <f>VLOOKUP($G2223,DefinitionArrays!$I$6:$J$12,2,FALSE)</f>
        <v>Weekend</v>
      </c>
    </row>
    <row r="2224" spans="1:10">
      <c r="A2224" s="159" t="str">
        <f t="shared" si="172"/>
        <v>$N$1:$N$92</v>
      </c>
      <c r="B2224" s="159" t="str">
        <f t="shared" si="173"/>
        <v>$O$1:$O$92</v>
      </c>
      <c r="C2224" s="159" t="str">
        <f t="shared" si="174"/>
        <v>December!$N$1:$N$92</v>
      </c>
      <c r="D2224" s="159" t="str">
        <f t="shared" si="175"/>
        <v>December!$O$1:$O$92</v>
      </c>
      <c r="E2224" t="s">
        <v>5</v>
      </c>
      <c r="F2224" t="s">
        <v>131</v>
      </c>
      <c r="G2224" t="s">
        <v>145</v>
      </c>
      <c r="H2224" t="s">
        <v>20</v>
      </c>
      <c r="I2224" t="e">
        <f t="shared" ca="1" si="171"/>
        <v>#REF!</v>
      </c>
      <c r="J2224" t="str">
        <f>VLOOKUP($G2224,DefinitionArrays!$I$6:$J$12,2,FALSE)</f>
        <v>Weekend</v>
      </c>
    </row>
    <row r="2225" spans="1:10">
      <c r="A2225" s="159" t="str">
        <f t="shared" si="172"/>
        <v>$N$1:$N$92</v>
      </c>
      <c r="B2225" s="159" t="str">
        <f t="shared" si="173"/>
        <v>$O$1:$O$92</v>
      </c>
      <c r="C2225" s="159" t="str">
        <f t="shared" si="174"/>
        <v>December!$N$1:$N$92</v>
      </c>
      <c r="D2225" s="159" t="str">
        <f t="shared" si="175"/>
        <v>December!$O$1:$O$92</v>
      </c>
      <c r="E2225" t="s">
        <v>5</v>
      </c>
      <c r="F2225" t="s">
        <v>131</v>
      </c>
      <c r="G2225" t="s">
        <v>145</v>
      </c>
      <c r="H2225" t="s">
        <v>21</v>
      </c>
      <c r="I2225" t="e">
        <f t="shared" ca="1" si="171"/>
        <v>#REF!</v>
      </c>
      <c r="J2225" t="str">
        <f>VLOOKUP($G2225,DefinitionArrays!$I$6:$J$12,2,FALSE)</f>
        <v>Weekend</v>
      </c>
    </row>
    <row r="2226" spans="1:10">
      <c r="A2226" s="159" t="str">
        <f t="shared" si="172"/>
        <v>$N$1:$N$92</v>
      </c>
      <c r="B2226" s="159" t="str">
        <f t="shared" si="173"/>
        <v>$O$1:$O$92</v>
      </c>
      <c r="C2226" s="159" t="str">
        <f t="shared" si="174"/>
        <v>December!$N$1:$N$92</v>
      </c>
      <c r="D2226" s="159" t="str">
        <f t="shared" si="175"/>
        <v>December!$O$1:$O$92</v>
      </c>
      <c r="E2226" t="s">
        <v>5</v>
      </c>
      <c r="F2226" t="s">
        <v>131</v>
      </c>
      <c r="G2226" t="s">
        <v>145</v>
      </c>
      <c r="H2226" t="s">
        <v>22</v>
      </c>
      <c r="I2226" t="e">
        <f t="shared" ca="1" si="171"/>
        <v>#REF!</v>
      </c>
      <c r="J2226" t="str">
        <f>VLOOKUP($G2226,DefinitionArrays!$I$6:$J$12,2,FALSE)</f>
        <v>Weekend</v>
      </c>
    </row>
    <row r="2227" spans="1:10">
      <c r="A2227" s="159" t="str">
        <f t="shared" si="172"/>
        <v>$N$1:$N$92</v>
      </c>
      <c r="B2227" s="159" t="str">
        <f t="shared" si="173"/>
        <v>$O$1:$O$92</v>
      </c>
      <c r="C2227" s="159" t="str">
        <f t="shared" si="174"/>
        <v>December!$N$1:$N$92</v>
      </c>
      <c r="D2227" s="159" t="str">
        <f t="shared" si="175"/>
        <v>December!$O$1:$O$92</v>
      </c>
      <c r="E2227" t="s">
        <v>5</v>
      </c>
      <c r="F2227" t="s">
        <v>131</v>
      </c>
      <c r="G2227" t="s">
        <v>145</v>
      </c>
      <c r="H2227" t="s">
        <v>23</v>
      </c>
      <c r="I2227" t="e">
        <f t="shared" ca="1" si="171"/>
        <v>#REF!</v>
      </c>
      <c r="J2227" t="str">
        <f>VLOOKUP($G2227,DefinitionArrays!$I$6:$J$12,2,FALSE)</f>
        <v>Weekend</v>
      </c>
    </row>
    <row r="2228" spans="1:10">
      <c r="A2228" s="159" t="str">
        <f t="shared" si="172"/>
        <v>$N$1:$N$92</v>
      </c>
      <c r="B2228" s="159" t="str">
        <f t="shared" si="173"/>
        <v>$O$1:$O$92</v>
      </c>
      <c r="C2228" s="159" t="str">
        <f t="shared" si="174"/>
        <v>December!$N$1:$N$92</v>
      </c>
      <c r="D2228" s="159" t="str">
        <f t="shared" si="175"/>
        <v>December!$O$1:$O$92</v>
      </c>
      <c r="E2228" t="s">
        <v>5</v>
      </c>
      <c r="F2228" t="s">
        <v>131</v>
      </c>
      <c r="G2228" t="s">
        <v>145</v>
      </c>
      <c r="H2228" t="s">
        <v>24</v>
      </c>
      <c r="I2228" t="e">
        <f t="shared" ca="1" si="171"/>
        <v>#REF!</v>
      </c>
      <c r="J2228" t="str">
        <f>VLOOKUP($G2228,DefinitionArrays!$I$6:$J$12,2,FALSE)</f>
        <v>Weekend</v>
      </c>
    </row>
    <row r="2229" spans="1:10">
      <c r="A2229" s="159" t="str">
        <f t="shared" si="172"/>
        <v>$N$1:$N$92</v>
      </c>
      <c r="B2229" s="159" t="str">
        <f t="shared" si="173"/>
        <v>$O$1:$O$92</v>
      </c>
      <c r="C2229" s="159" t="str">
        <f t="shared" si="174"/>
        <v>December!$N$1:$N$92</v>
      </c>
      <c r="D2229" s="159" t="str">
        <f t="shared" si="175"/>
        <v>December!$O$1:$O$92</v>
      </c>
      <c r="E2229" t="s">
        <v>5</v>
      </c>
      <c r="F2229" t="s">
        <v>131</v>
      </c>
      <c r="G2229" t="s">
        <v>145</v>
      </c>
      <c r="H2229" t="s">
        <v>179</v>
      </c>
      <c r="I2229" t="e">
        <f t="shared" ca="1" si="171"/>
        <v>#REF!</v>
      </c>
      <c r="J2229" t="str">
        <f>VLOOKUP($G2229,DefinitionArrays!$I$6:$J$12,2,FALSE)</f>
        <v>Weekend</v>
      </c>
    </row>
    <row r="2230" spans="1:10">
      <c r="A2230" s="159" t="str">
        <f t="shared" si="172"/>
        <v>$N$1:$N$92</v>
      </c>
      <c r="B2230" s="159" t="str">
        <f t="shared" si="173"/>
        <v>$O$1:$O$92</v>
      </c>
      <c r="C2230" s="159" t="str">
        <f t="shared" si="174"/>
        <v>December!$N$1:$N$92</v>
      </c>
      <c r="D2230" s="159" t="str">
        <f t="shared" si="175"/>
        <v>December!$O$1:$O$92</v>
      </c>
      <c r="E2230" t="s">
        <v>5</v>
      </c>
      <c r="F2230" t="s">
        <v>131</v>
      </c>
      <c r="G2230" t="s">
        <v>145</v>
      </c>
      <c r="H2230" t="s">
        <v>180</v>
      </c>
      <c r="I2230" t="e">
        <f t="shared" ca="1" si="171"/>
        <v>#REF!</v>
      </c>
      <c r="J2230" t="str">
        <f>VLOOKUP($G2230,DefinitionArrays!$I$6:$J$12,2,FALSE)</f>
        <v>Weekend</v>
      </c>
    </row>
    <row r="2231" spans="1:10">
      <c r="A2231" s="159" t="str">
        <f t="shared" si="172"/>
        <v>$N$1:$N$92</v>
      </c>
      <c r="B2231" s="159" t="str">
        <f t="shared" si="173"/>
        <v>$O$1:$O$92</v>
      </c>
      <c r="C2231" s="159" t="str">
        <f t="shared" si="174"/>
        <v>December!$N$1:$N$92</v>
      </c>
      <c r="D2231" s="159" t="str">
        <f t="shared" si="175"/>
        <v>December!$O$1:$O$92</v>
      </c>
      <c r="E2231" t="s">
        <v>5</v>
      </c>
      <c r="F2231" t="s">
        <v>131</v>
      </c>
      <c r="G2231" t="s">
        <v>145</v>
      </c>
      <c r="H2231" t="s">
        <v>44</v>
      </c>
      <c r="I2231" t="e">
        <f t="shared" ca="1" si="171"/>
        <v>#REF!</v>
      </c>
      <c r="J2231" t="str">
        <f>VLOOKUP($G2231,DefinitionArrays!$I$6:$J$12,2,FALSE)</f>
        <v>Weekend</v>
      </c>
    </row>
    <row r="2232" spans="1:10">
      <c r="A2232" s="159" t="str">
        <f t="shared" si="172"/>
        <v>$Q$1:$Q$92</v>
      </c>
      <c r="B2232" s="159" t="str">
        <f t="shared" si="173"/>
        <v>$R$1:$R$92</v>
      </c>
      <c r="C2232" s="159" t="str">
        <f t="shared" si="174"/>
        <v>December!$Q$1:$Q$92</v>
      </c>
      <c r="D2232" s="159" t="str">
        <f t="shared" si="175"/>
        <v>December!$R$1:$R$92</v>
      </c>
      <c r="E2232" t="s">
        <v>5</v>
      </c>
      <c r="F2232" t="s">
        <v>131</v>
      </c>
      <c r="G2232" t="s">
        <v>146</v>
      </c>
      <c r="H2232" t="s">
        <v>159</v>
      </c>
      <c r="I2232" t="e">
        <f t="shared" ca="1" si="171"/>
        <v>#REF!</v>
      </c>
      <c r="J2232" t="str">
        <f>VLOOKUP($G2232,DefinitionArrays!$I$6:$J$12,2,FALSE)</f>
        <v>Weekend</v>
      </c>
    </row>
    <row r="2233" spans="1:10">
      <c r="A2233" s="159" t="str">
        <f t="shared" si="172"/>
        <v>$T$1:$T$92</v>
      </c>
      <c r="B2233" s="159" t="str">
        <f t="shared" si="173"/>
        <v>$U$1:$U$92</v>
      </c>
      <c r="C2233" s="159" t="str">
        <f t="shared" si="174"/>
        <v>December!$T$1:$T$92</v>
      </c>
      <c r="D2233" s="159" t="str">
        <f t="shared" si="175"/>
        <v>December!$U$1:$U$92</v>
      </c>
      <c r="E2233" t="s">
        <v>5</v>
      </c>
      <c r="F2233" t="s">
        <v>131</v>
      </c>
      <c r="G2233" t="s">
        <v>141</v>
      </c>
      <c r="H2233" t="s">
        <v>159</v>
      </c>
      <c r="I2233" t="e">
        <f t="shared" ca="1" si="171"/>
        <v>#REF!</v>
      </c>
      <c r="J2233" t="str">
        <f>VLOOKUP($G2233,DefinitionArrays!$I$6:$J$12,2,FALSE)</f>
        <v>Weekend</v>
      </c>
    </row>
    <row r="2234" spans="1:10">
      <c r="A2234" s="159" t="str">
        <f t="shared" si="172"/>
        <v>$B$1:$B$92</v>
      </c>
      <c r="B2234" s="159" t="str">
        <f t="shared" si="173"/>
        <v>$C$1:$C$92</v>
      </c>
      <c r="C2234" s="159" t="str">
        <f t="shared" si="174"/>
        <v>January!$B$1:$B$92</v>
      </c>
      <c r="D2234" s="159" t="str">
        <f t="shared" si="175"/>
        <v>January!$C$1:$C$92</v>
      </c>
      <c r="E2234" t="s">
        <v>6</v>
      </c>
      <c r="F2234" t="s">
        <v>48</v>
      </c>
      <c r="G2234" t="s">
        <v>13</v>
      </c>
      <c r="H2234" t="s">
        <v>159</v>
      </c>
      <c r="I2234" t="e">
        <f ca="1">COUNTIFS(INDIRECT($C2234),$E2234,INDIRECT($D2234),$H2234)</f>
        <v>#REF!</v>
      </c>
      <c r="J2234" t="str">
        <f>VLOOKUP($G2234,DefinitionArrays!$I$6:$J$12,2,FALSE)</f>
        <v>Workweek</v>
      </c>
    </row>
    <row r="2235" spans="1:10">
      <c r="A2235" s="159" t="str">
        <f t="shared" si="172"/>
        <v>$B$1:$B$92</v>
      </c>
      <c r="B2235" s="159" t="str">
        <f t="shared" si="173"/>
        <v>$C$1:$C$92</v>
      </c>
      <c r="C2235" s="159" t="str">
        <f t="shared" si="174"/>
        <v>January!$B$1:$B$92</v>
      </c>
      <c r="D2235" s="159" t="str">
        <f t="shared" si="175"/>
        <v>January!$C$1:$C$92</v>
      </c>
      <c r="E2235" t="s">
        <v>6</v>
      </c>
      <c r="F2235" t="s">
        <v>48</v>
      </c>
      <c r="G2235" t="s">
        <v>13</v>
      </c>
      <c r="H2235" t="s">
        <v>18</v>
      </c>
      <c r="I2235" t="e">
        <f t="shared" ref="I2235:I2295" ca="1" si="176">COUNTIFS(INDIRECT($C2235),$E2235,INDIRECT($D2235),$H2235)</f>
        <v>#REF!</v>
      </c>
      <c r="J2235" t="str">
        <f>VLOOKUP($G2235,DefinitionArrays!$I$6:$J$12,2,FALSE)</f>
        <v>Workweek</v>
      </c>
    </row>
    <row r="2236" spans="1:10">
      <c r="A2236" s="159" t="str">
        <f t="shared" si="172"/>
        <v>$B$1:$B$92</v>
      </c>
      <c r="B2236" s="159" t="str">
        <f t="shared" si="173"/>
        <v>$C$1:$C$92</v>
      </c>
      <c r="C2236" s="159" t="str">
        <f t="shared" si="174"/>
        <v>January!$B$1:$B$92</v>
      </c>
      <c r="D2236" s="159" t="str">
        <f t="shared" si="175"/>
        <v>January!$C$1:$C$92</v>
      </c>
      <c r="E2236" t="s">
        <v>6</v>
      </c>
      <c r="F2236" t="s">
        <v>48</v>
      </c>
      <c r="G2236" t="s">
        <v>13</v>
      </c>
      <c r="H2236" t="s">
        <v>153</v>
      </c>
      <c r="I2236" t="e">
        <f t="shared" ca="1" si="176"/>
        <v>#REF!</v>
      </c>
      <c r="J2236" t="str">
        <f>VLOOKUP($G2236,DefinitionArrays!$I$6:$J$12,2,FALSE)</f>
        <v>Workweek</v>
      </c>
    </row>
    <row r="2237" spans="1:10">
      <c r="A2237" s="159" t="str">
        <f t="shared" si="172"/>
        <v>$B$1:$B$92</v>
      </c>
      <c r="B2237" s="159" t="str">
        <f t="shared" si="173"/>
        <v>$C$1:$C$92</v>
      </c>
      <c r="C2237" s="159" t="str">
        <f t="shared" si="174"/>
        <v>January!$B$1:$B$92</v>
      </c>
      <c r="D2237" s="159" t="str">
        <f t="shared" si="175"/>
        <v>January!$C$1:$C$92</v>
      </c>
      <c r="E2237" t="s">
        <v>6</v>
      </c>
      <c r="F2237" t="s">
        <v>48</v>
      </c>
      <c r="G2237" t="s">
        <v>13</v>
      </c>
      <c r="H2237" t="s">
        <v>19</v>
      </c>
      <c r="I2237" t="e">
        <f t="shared" ca="1" si="176"/>
        <v>#REF!</v>
      </c>
      <c r="J2237" t="str">
        <f>VLOOKUP($G2237,DefinitionArrays!$I$6:$J$12,2,FALSE)</f>
        <v>Workweek</v>
      </c>
    </row>
    <row r="2238" spans="1:10">
      <c r="A2238" s="159" t="str">
        <f t="shared" si="172"/>
        <v>$B$1:$B$92</v>
      </c>
      <c r="B2238" s="159" t="str">
        <f t="shared" si="173"/>
        <v>$C$1:$C$92</v>
      </c>
      <c r="C2238" s="159" t="str">
        <f t="shared" si="174"/>
        <v>January!$B$1:$B$92</v>
      </c>
      <c r="D2238" s="159" t="str">
        <f t="shared" si="175"/>
        <v>January!$C$1:$C$92</v>
      </c>
      <c r="E2238" t="s">
        <v>6</v>
      </c>
      <c r="F2238" t="s">
        <v>48</v>
      </c>
      <c r="G2238" t="s">
        <v>13</v>
      </c>
      <c r="H2238" t="s">
        <v>20</v>
      </c>
      <c r="I2238" t="e">
        <f t="shared" ca="1" si="176"/>
        <v>#REF!</v>
      </c>
      <c r="J2238" t="str">
        <f>VLOOKUP($G2238,DefinitionArrays!$I$6:$J$12,2,FALSE)</f>
        <v>Workweek</v>
      </c>
    </row>
    <row r="2239" spans="1:10">
      <c r="A2239" s="159" t="str">
        <f t="shared" si="172"/>
        <v>$B$1:$B$92</v>
      </c>
      <c r="B2239" s="159" t="str">
        <f t="shared" si="173"/>
        <v>$C$1:$C$92</v>
      </c>
      <c r="C2239" s="159" t="str">
        <f t="shared" si="174"/>
        <v>January!$B$1:$B$92</v>
      </c>
      <c r="D2239" s="159" t="str">
        <f t="shared" si="175"/>
        <v>January!$C$1:$C$92</v>
      </c>
      <c r="E2239" t="s">
        <v>6</v>
      </c>
      <c r="F2239" t="s">
        <v>48</v>
      </c>
      <c r="G2239" t="s">
        <v>13</v>
      </c>
      <c r="H2239" t="s">
        <v>21</v>
      </c>
      <c r="I2239" t="e">
        <f t="shared" ca="1" si="176"/>
        <v>#REF!</v>
      </c>
      <c r="J2239" t="str">
        <f>VLOOKUP($G2239,DefinitionArrays!$I$6:$J$12,2,FALSE)</f>
        <v>Workweek</v>
      </c>
    </row>
    <row r="2240" spans="1:10">
      <c r="A2240" s="159" t="str">
        <f t="shared" si="172"/>
        <v>$B$1:$B$92</v>
      </c>
      <c r="B2240" s="159" t="str">
        <f t="shared" si="173"/>
        <v>$C$1:$C$92</v>
      </c>
      <c r="C2240" s="159" t="str">
        <f t="shared" si="174"/>
        <v>January!$B$1:$B$92</v>
      </c>
      <c r="D2240" s="159" t="str">
        <f t="shared" si="175"/>
        <v>January!$C$1:$C$92</v>
      </c>
      <c r="E2240" t="s">
        <v>6</v>
      </c>
      <c r="F2240" t="s">
        <v>48</v>
      </c>
      <c r="G2240" t="s">
        <v>13</v>
      </c>
      <c r="H2240" t="s">
        <v>22</v>
      </c>
      <c r="I2240" t="e">
        <f t="shared" ca="1" si="176"/>
        <v>#REF!</v>
      </c>
      <c r="J2240" t="str">
        <f>VLOOKUP($G2240,DefinitionArrays!$I$6:$J$12,2,FALSE)</f>
        <v>Workweek</v>
      </c>
    </row>
    <row r="2241" spans="1:10">
      <c r="A2241" s="159" t="str">
        <f t="shared" si="172"/>
        <v>$B$1:$B$92</v>
      </c>
      <c r="B2241" s="159" t="str">
        <f t="shared" si="173"/>
        <v>$C$1:$C$92</v>
      </c>
      <c r="C2241" s="159" t="str">
        <f t="shared" si="174"/>
        <v>January!$B$1:$B$92</v>
      </c>
      <c r="D2241" s="159" t="str">
        <f t="shared" si="175"/>
        <v>January!$C$1:$C$92</v>
      </c>
      <c r="E2241" t="s">
        <v>6</v>
      </c>
      <c r="F2241" t="s">
        <v>48</v>
      </c>
      <c r="G2241" t="s">
        <v>13</v>
      </c>
      <c r="H2241" t="s">
        <v>23</v>
      </c>
      <c r="I2241" t="e">
        <f t="shared" ca="1" si="176"/>
        <v>#REF!</v>
      </c>
      <c r="J2241" t="str">
        <f>VLOOKUP($G2241,DefinitionArrays!$I$6:$J$12,2,FALSE)</f>
        <v>Workweek</v>
      </c>
    </row>
    <row r="2242" spans="1:10">
      <c r="A2242" s="159" t="str">
        <f t="shared" ref="A2242:A2305" si="177">VLOOKUP($G2242,Fx_Code,2,FALSE)</f>
        <v>$B$1:$B$92</v>
      </c>
      <c r="B2242" s="159" t="str">
        <f t="shared" ref="B2242:B2305" si="178">VLOOKUP($G2242,Fx_Code,3,FALSE)</f>
        <v>$C$1:$C$92</v>
      </c>
      <c r="C2242" s="159" t="str">
        <f t="shared" ref="C2242:C2305" si="179">CONCATENATE($F2242,$K$1,A2242)</f>
        <v>January!$B$1:$B$92</v>
      </c>
      <c r="D2242" s="159" t="str">
        <f t="shared" ref="D2242:D2305" si="180">CONCATENATE($F2242,$K$1,B2242)</f>
        <v>January!$C$1:$C$92</v>
      </c>
      <c r="E2242" t="s">
        <v>6</v>
      </c>
      <c r="F2242" t="s">
        <v>48</v>
      </c>
      <c r="G2242" t="s">
        <v>13</v>
      </c>
      <c r="H2242" t="s">
        <v>24</v>
      </c>
      <c r="I2242" t="e">
        <f t="shared" ca="1" si="176"/>
        <v>#REF!</v>
      </c>
      <c r="J2242" t="str">
        <f>VLOOKUP($G2242,DefinitionArrays!$I$6:$J$12,2,FALSE)</f>
        <v>Workweek</v>
      </c>
    </row>
    <row r="2243" spans="1:10">
      <c r="A2243" s="159" t="str">
        <f t="shared" si="177"/>
        <v>$B$1:$B$92</v>
      </c>
      <c r="B2243" s="159" t="str">
        <f t="shared" si="178"/>
        <v>$C$1:$C$92</v>
      </c>
      <c r="C2243" s="159" t="str">
        <f t="shared" si="179"/>
        <v>January!$B$1:$B$92</v>
      </c>
      <c r="D2243" s="159" t="str">
        <f t="shared" si="180"/>
        <v>January!$C$1:$C$92</v>
      </c>
      <c r="E2243" t="s">
        <v>6</v>
      </c>
      <c r="F2243" t="s">
        <v>48</v>
      </c>
      <c r="G2243" t="s">
        <v>13</v>
      </c>
      <c r="H2243" t="s">
        <v>179</v>
      </c>
      <c r="I2243" t="e">
        <f t="shared" ca="1" si="176"/>
        <v>#REF!</v>
      </c>
      <c r="J2243" t="str">
        <f>VLOOKUP($G2243,DefinitionArrays!$I$6:$J$12,2,FALSE)</f>
        <v>Workweek</v>
      </c>
    </row>
    <row r="2244" spans="1:10">
      <c r="A2244" s="159" t="str">
        <f t="shared" si="177"/>
        <v>$B$1:$B$92</v>
      </c>
      <c r="B2244" s="159" t="str">
        <f t="shared" si="178"/>
        <v>$C$1:$C$92</v>
      </c>
      <c r="C2244" s="159" t="str">
        <f t="shared" si="179"/>
        <v>January!$B$1:$B$92</v>
      </c>
      <c r="D2244" s="159" t="str">
        <f t="shared" si="180"/>
        <v>January!$C$1:$C$92</v>
      </c>
      <c r="E2244" t="s">
        <v>6</v>
      </c>
      <c r="F2244" t="s">
        <v>48</v>
      </c>
      <c r="G2244" t="s">
        <v>13</v>
      </c>
      <c r="H2244" t="s">
        <v>180</v>
      </c>
      <c r="I2244" t="e">
        <f t="shared" ca="1" si="176"/>
        <v>#REF!</v>
      </c>
      <c r="J2244" t="str">
        <f>VLOOKUP($G2244,DefinitionArrays!$I$6:$J$12,2,FALSE)</f>
        <v>Workweek</v>
      </c>
    </row>
    <row r="2245" spans="1:10">
      <c r="A2245" s="159" t="str">
        <f t="shared" si="177"/>
        <v>$B$1:$B$92</v>
      </c>
      <c r="B2245" s="159" t="str">
        <f t="shared" si="178"/>
        <v>$C$1:$C$92</v>
      </c>
      <c r="C2245" s="159" t="str">
        <f t="shared" si="179"/>
        <v>January!$B$1:$B$92</v>
      </c>
      <c r="D2245" s="159" t="str">
        <f t="shared" si="180"/>
        <v>January!$C$1:$C$92</v>
      </c>
      <c r="E2245" t="s">
        <v>6</v>
      </c>
      <c r="F2245" t="s">
        <v>48</v>
      </c>
      <c r="G2245" t="s">
        <v>13</v>
      </c>
      <c r="H2245" t="s">
        <v>44</v>
      </c>
      <c r="I2245" t="e">
        <f t="shared" ca="1" si="176"/>
        <v>#REF!</v>
      </c>
      <c r="J2245" t="str">
        <f>VLOOKUP($G2245,DefinitionArrays!$I$6:$J$12,2,FALSE)</f>
        <v>Workweek</v>
      </c>
    </row>
    <row r="2246" spans="1:10">
      <c r="A2246" s="159" t="str">
        <f t="shared" si="177"/>
        <v>$E$1:$E$92</v>
      </c>
      <c r="B2246" s="159" t="str">
        <f t="shared" si="178"/>
        <v>$F$1:$F$92</v>
      </c>
      <c r="C2246" s="159" t="str">
        <f t="shared" si="179"/>
        <v>January!$E$1:$E$92</v>
      </c>
      <c r="D2246" s="159" t="str">
        <f t="shared" si="180"/>
        <v>January!$F$1:$F$92</v>
      </c>
      <c r="E2246" t="s">
        <v>6</v>
      </c>
      <c r="F2246" t="s">
        <v>48</v>
      </c>
      <c r="G2246" t="s">
        <v>142</v>
      </c>
      <c r="H2246" t="s">
        <v>159</v>
      </c>
      <c r="I2246" t="e">
        <f t="shared" ca="1" si="176"/>
        <v>#REF!</v>
      </c>
      <c r="J2246" t="str">
        <f>VLOOKUP($G2246,DefinitionArrays!$I$6:$J$12,2,FALSE)</f>
        <v>Workweek</v>
      </c>
    </row>
    <row r="2247" spans="1:10">
      <c r="A2247" s="159" t="str">
        <f t="shared" si="177"/>
        <v>$E$1:$E$92</v>
      </c>
      <c r="B2247" s="159" t="str">
        <f t="shared" si="178"/>
        <v>$F$1:$F$92</v>
      </c>
      <c r="C2247" s="159" t="str">
        <f t="shared" si="179"/>
        <v>January!$E$1:$E$92</v>
      </c>
      <c r="D2247" s="159" t="str">
        <f t="shared" si="180"/>
        <v>January!$F$1:$F$92</v>
      </c>
      <c r="E2247" t="s">
        <v>6</v>
      </c>
      <c r="F2247" t="s">
        <v>48</v>
      </c>
      <c r="G2247" t="s">
        <v>142</v>
      </c>
      <c r="H2247" t="s">
        <v>18</v>
      </c>
      <c r="I2247" t="e">
        <f t="shared" ca="1" si="176"/>
        <v>#REF!</v>
      </c>
      <c r="J2247" t="str">
        <f>VLOOKUP($G2247,DefinitionArrays!$I$6:$J$12,2,FALSE)</f>
        <v>Workweek</v>
      </c>
    </row>
    <row r="2248" spans="1:10">
      <c r="A2248" s="159" t="str">
        <f t="shared" si="177"/>
        <v>$E$1:$E$92</v>
      </c>
      <c r="B2248" s="159" t="str">
        <f t="shared" si="178"/>
        <v>$F$1:$F$92</v>
      </c>
      <c r="C2248" s="159" t="str">
        <f t="shared" si="179"/>
        <v>January!$E$1:$E$92</v>
      </c>
      <c r="D2248" s="159" t="str">
        <f t="shared" si="180"/>
        <v>January!$F$1:$F$92</v>
      </c>
      <c r="E2248" t="s">
        <v>6</v>
      </c>
      <c r="F2248" t="s">
        <v>48</v>
      </c>
      <c r="G2248" t="s">
        <v>142</v>
      </c>
      <c r="H2248" t="s">
        <v>153</v>
      </c>
      <c r="I2248" t="e">
        <f t="shared" ca="1" si="176"/>
        <v>#REF!</v>
      </c>
      <c r="J2248" t="str">
        <f>VLOOKUP($G2248,DefinitionArrays!$I$6:$J$12,2,FALSE)</f>
        <v>Workweek</v>
      </c>
    </row>
    <row r="2249" spans="1:10">
      <c r="A2249" s="159" t="str">
        <f t="shared" si="177"/>
        <v>$E$1:$E$92</v>
      </c>
      <c r="B2249" s="159" t="str">
        <f t="shared" si="178"/>
        <v>$F$1:$F$92</v>
      </c>
      <c r="C2249" s="159" t="str">
        <f t="shared" si="179"/>
        <v>January!$E$1:$E$92</v>
      </c>
      <c r="D2249" s="159" t="str">
        <f t="shared" si="180"/>
        <v>January!$F$1:$F$92</v>
      </c>
      <c r="E2249" t="s">
        <v>6</v>
      </c>
      <c r="F2249" t="s">
        <v>48</v>
      </c>
      <c r="G2249" t="s">
        <v>142</v>
      </c>
      <c r="H2249" t="s">
        <v>19</v>
      </c>
      <c r="I2249" t="e">
        <f t="shared" ca="1" si="176"/>
        <v>#REF!</v>
      </c>
      <c r="J2249" t="str">
        <f>VLOOKUP($G2249,DefinitionArrays!$I$6:$J$12,2,FALSE)</f>
        <v>Workweek</v>
      </c>
    </row>
    <row r="2250" spans="1:10">
      <c r="A2250" s="159" t="str">
        <f t="shared" si="177"/>
        <v>$E$1:$E$92</v>
      </c>
      <c r="B2250" s="159" t="str">
        <f t="shared" si="178"/>
        <v>$F$1:$F$92</v>
      </c>
      <c r="C2250" s="159" t="str">
        <f t="shared" si="179"/>
        <v>January!$E$1:$E$92</v>
      </c>
      <c r="D2250" s="159" t="str">
        <f t="shared" si="180"/>
        <v>January!$F$1:$F$92</v>
      </c>
      <c r="E2250" t="s">
        <v>6</v>
      </c>
      <c r="F2250" t="s">
        <v>48</v>
      </c>
      <c r="G2250" t="s">
        <v>142</v>
      </c>
      <c r="H2250" t="s">
        <v>20</v>
      </c>
      <c r="I2250" t="e">
        <f t="shared" ca="1" si="176"/>
        <v>#REF!</v>
      </c>
      <c r="J2250" t="str">
        <f>VLOOKUP($G2250,DefinitionArrays!$I$6:$J$12,2,FALSE)</f>
        <v>Workweek</v>
      </c>
    </row>
    <row r="2251" spans="1:10">
      <c r="A2251" s="159" t="str">
        <f t="shared" si="177"/>
        <v>$E$1:$E$92</v>
      </c>
      <c r="B2251" s="159" t="str">
        <f t="shared" si="178"/>
        <v>$F$1:$F$92</v>
      </c>
      <c r="C2251" s="159" t="str">
        <f t="shared" si="179"/>
        <v>January!$E$1:$E$92</v>
      </c>
      <c r="D2251" s="159" t="str">
        <f t="shared" si="180"/>
        <v>January!$F$1:$F$92</v>
      </c>
      <c r="E2251" t="s">
        <v>6</v>
      </c>
      <c r="F2251" t="s">
        <v>48</v>
      </c>
      <c r="G2251" t="s">
        <v>142</v>
      </c>
      <c r="H2251" t="s">
        <v>21</v>
      </c>
      <c r="I2251" t="e">
        <f t="shared" ca="1" si="176"/>
        <v>#REF!</v>
      </c>
      <c r="J2251" t="str">
        <f>VLOOKUP($G2251,DefinitionArrays!$I$6:$J$12,2,FALSE)</f>
        <v>Workweek</v>
      </c>
    </row>
    <row r="2252" spans="1:10">
      <c r="A2252" s="159" t="str">
        <f t="shared" si="177"/>
        <v>$E$1:$E$92</v>
      </c>
      <c r="B2252" s="159" t="str">
        <f t="shared" si="178"/>
        <v>$F$1:$F$92</v>
      </c>
      <c r="C2252" s="159" t="str">
        <f t="shared" si="179"/>
        <v>January!$E$1:$E$92</v>
      </c>
      <c r="D2252" s="159" t="str">
        <f t="shared" si="180"/>
        <v>January!$F$1:$F$92</v>
      </c>
      <c r="E2252" t="s">
        <v>6</v>
      </c>
      <c r="F2252" t="s">
        <v>48</v>
      </c>
      <c r="G2252" t="s">
        <v>142</v>
      </c>
      <c r="H2252" t="s">
        <v>22</v>
      </c>
      <c r="I2252" t="e">
        <f t="shared" ca="1" si="176"/>
        <v>#REF!</v>
      </c>
      <c r="J2252" t="str">
        <f>VLOOKUP($G2252,DefinitionArrays!$I$6:$J$12,2,FALSE)</f>
        <v>Workweek</v>
      </c>
    </row>
    <row r="2253" spans="1:10">
      <c r="A2253" s="159" t="str">
        <f t="shared" si="177"/>
        <v>$E$1:$E$92</v>
      </c>
      <c r="B2253" s="159" t="str">
        <f t="shared" si="178"/>
        <v>$F$1:$F$92</v>
      </c>
      <c r="C2253" s="159" t="str">
        <f t="shared" si="179"/>
        <v>January!$E$1:$E$92</v>
      </c>
      <c r="D2253" s="159" t="str">
        <f t="shared" si="180"/>
        <v>January!$F$1:$F$92</v>
      </c>
      <c r="E2253" t="s">
        <v>6</v>
      </c>
      <c r="F2253" t="s">
        <v>48</v>
      </c>
      <c r="G2253" t="s">
        <v>142</v>
      </c>
      <c r="H2253" t="s">
        <v>23</v>
      </c>
      <c r="I2253" t="e">
        <f t="shared" ca="1" si="176"/>
        <v>#REF!</v>
      </c>
      <c r="J2253" t="str">
        <f>VLOOKUP($G2253,DefinitionArrays!$I$6:$J$12,2,FALSE)</f>
        <v>Workweek</v>
      </c>
    </row>
    <row r="2254" spans="1:10">
      <c r="A2254" s="159" t="str">
        <f t="shared" si="177"/>
        <v>$E$1:$E$92</v>
      </c>
      <c r="B2254" s="159" t="str">
        <f t="shared" si="178"/>
        <v>$F$1:$F$92</v>
      </c>
      <c r="C2254" s="159" t="str">
        <f t="shared" si="179"/>
        <v>January!$E$1:$E$92</v>
      </c>
      <c r="D2254" s="159" t="str">
        <f t="shared" si="180"/>
        <v>January!$F$1:$F$92</v>
      </c>
      <c r="E2254" t="s">
        <v>6</v>
      </c>
      <c r="F2254" t="s">
        <v>48</v>
      </c>
      <c r="G2254" t="s">
        <v>142</v>
      </c>
      <c r="H2254" t="s">
        <v>24</v>
      </c>
      <c r="I2254" t="e">
        <f t="shared" ca="1" si="176"/>
        <v>#REF!</v>
      </c>
      <c r="J2254" t="str">
        <f>VLOOKUP($G2254,DefinitionArrays!$I$6:$J$12,2,FALSE)</f>
        <v>Workweek</v>
      </c>
    </row>
    <row r="2255" spans="1:10">
      <c r="A2255" s="159" t="str">
        <f t="shared" si="177"/>
        <v>$E$1:$E$92</v>
      </c>
      <c r="B2255" s="159" t="str">
        <f t="shared" si="178"/>
        <v>$F$1:$F$92</v>
      </c>
      <c r="C2255" s="159" t="str">
        <f t="shared" si="179"/>
        <v>January!$E$1:$E$92</v>
      </c>
      <c r="D2255" s="159" t="str">
        <f t="shared" si="180"/>
        <v>January!$F$1:$F$92</v>
      </c>
      <c r="E2255" t="s">
        <v>6</v>
      </c>
      <c r="F2255" t="s">
        <v>48</v>
      </c>
      <c r="G2255" t="s">
        <v>142</v>
      </c>
      <c r="H2255" t="s">
        <v>179</v>
      </c>
      <c r="I2255" t="e">
        <f t="shared" ca="1" si="176"/>
        <v>#REF!</v>
      </c>
      <c r="J2255" t="str">
        <f>VLOOKUP($G2255,DefinitionArrays!$I$6:$J$12,2,FALSE)</f>
        <v>Workweek</v>
      </c>
    </row>
    <row r="2256" spans="1:10">
      <c r="A2256" s="159" t="str">
        <f t="shared" si="177"/>
        <v>$E$1:$E$92</v>
      </c>
      <c r="B2256" s="159" t="str">
        <f t="shared" si="178"/>
        <v>$F$1:$F$92</v>
      </c>
      <c r="C2256" s="159" t="str">
        <f t="shared" si="179"/>
        <v>January!$E$1:$E$92</v>
      </c>
      <c r="D2256" s="159" t="str">
        <f t="shared" si="180"/>
        <v>January!$F$1:$F$92</v>
      </c>
      <c r="E2256" t="s">
        <v>6</v>
      </c>
      <c r="F2256" t="s">
        <v>48</v>
      </c>
      <c r="G2256" t="s">
        <v>142</v>
      </c>
      <c r="H2256" t="s">
        <v>180</v>
      </c>
      <c r="I2256" t="e">
        <f t="shared" ca="1" si="176"/>
        <v>#REF!</v>
      </c>
      <c r="J2256" t="str">
        <f>VLOOKUP($G2256,DefinitionArrays!$I$6:$J$12,2,FALSE)</f>
        <v>Workweek</v>
      </c>
    </row>
    <row r="2257" spans="1:10">
      <c r="A2257" s="159" t="str">
        <f t="shared" si="177"/>
        <v>$E$1:$E$92</v>
      </c>
      <c r="B2257" s="159" t="str">
        <f t="shared" si="178"/>
        <v>$F$1:$F$92</v>
      </c>
      <c r="C2257" s="159" t="str">
        <f t="shared" si="179"/>
        <v>January!$E$1:$E$92</v>
      </c>
      <c r="D2257" s="159" t="str">
        <f t="shared" si="180"/>
        <v>January!$F$1:$F$92</v>
      </c>
      <c r="E2257" t="s">
        <v>6</v>
      </c>
      <c r="F2257" t="s">
        <v>48</v>
      </c>
      <c r="G2257" t="s">
        <v>142</v>
      </c>
      <c r="H2257" t="s">
        <v>44</v>
      </c>
      <c r="I2257" t="e">
        <f t="shared" ca="1" si="176"/>
        <v>#REF!</v>
      </c>
      <c r="J2257" t="str">
        <f>VLOOKUP($G2257,DefinitionArrays!$I$6:$J$12,2,FALSE)</f>
        <v>Workweek</v>
      </c>
    </row>
    <row r="2258" spans="1:10">
      <c r="A2258" s="159" t="str">
        <f t="shared" si="177"/>
        <v>$H$1:$H$92</v>
      </c>
      <c r="B2258" s="159" t="str">
        <f t="shared" si="178"/>
        <v>$I$1:$I$92</v>
      </c>
      <c r="C2258" s="159" t="str">
        <f t="shared" si="179"/>
        <v>January!$H$1:$H$92</v>
      </c>
      <c r="D2258" s="159" t="str">
        <f t="shared" si="180"/>
        <v>January!$I$1:$I$92</v>
      </c>
      <c r="E2258" t="s">
        <v>6</v>
      </c>
      <c r="F2258" t="s">
        <v>48</v>
      </c>
      <c r="G2258" t="s">
        <v>143</v>
      </c>
      <c r="H2258" t="s">
        <v>159</v>
      </c>
      <c r="I2258" t="e">
        <f t="shared" ca="1" si="176"/>
        <v>#REF!</v>
      </c>
      <c r="J2258" t="str">
        <f>VLOOKUP($G2258,DefinitionArrays!$I$6:$J$12,2,FALSE)</f>
        <v>Workweek</v>
      </c>
    </row>
    <row r="2259" spans="1:10">
      <c r="A2259" s="159" t="str">
        <f t="shared" si="177"/>
        <v>$H$1:$H$92</v>
      </c>
      <c r="B2259" s="159" t="str">
        <f t="shared" si="178"/>
        <v>$I$1:$I$92</v>
      </c>
      <c r="C2259" s="159" t="str">
        <f t="shared" si="179"/>
        <v>January!$H$1:$H$92</v>
      </c>
      <c r="D2259" s="159" t="str">
        <f t="shared" si="180"/>
        <v>January!$I$1:$I$92</v>
      </c>
      <c r="E2259" t="s">
        <v>6</v>
      </c>
      <c r="F2259" t="s">
        <v>48</v>
      </c>
      <c r="G2259" t="s">
        <v>143</v>
      </c>
      <c r="H2259" t="s">
        <v>18</v>
      </c>
      <c r="I2259" t="e">
        <f t="shared" ca="1" si="176"/>
        <v>#REF!</v>
      </c>
      <c r="J2259" t="str">
        <f>VLOOKUP($G2259,DefinitionArrays!$I$6:$J$12,2,FALSE)</f>
        <v>Workweek</v>
      </c>
    </row>
    <row r="2260" spans="1:10">
      <c r="A2260" s="159" t="str">
        <f t="shared" si="177"/>
        <v>$H$1:$H$92</v>
      </c>
      <c r="B2260" s="159" t="str">
        <f t="shared" si="178"/>
        <v>$I$1:$I$92</v>
      </c>
      <c r="C2260" s="159" t="str">
        <f t="shared" si="179"/>
        <v>January!$H$1:$H$92</v>
      </c>
      <c r="D2260" s="159" t="str">
        <f t="shared" si="180"/>
        <v>January!$I$1:$I$92</v>
      </c>
      <c r="E2260" t="s">
        <v>6</v>
      </c>
      <c r="F2260" t="s">
        <v>48</v>
      </c>
      <c r="G2260" t="s">
        <v>143</v>
      </c>
      <c r="H2260" t="s">
        <v>153</v>
      </c>
      <c r="I2260" t="e">
        <f t="shared" ca="1" si="176"/>
        <v>#REF!</v>
      </c>
      <c r="J2260" t="str">
        <f>VLOOKUP($G2260,DefinitionArrays!$I$6:$J$12,2,FALSE)</f>
        <v>Workweek</v>
      </c>
    </row>
    <row r="2261" spans="1:10">
      <c r="A2261" s="159" t="str">
        <f t="shared" si="177"/>
        <v>$H$1:$H$92</v>
      </c>
      <c r="B2261" s="159" t="str">
        <f t="shared" si="178"/>
        <v>$I$1:$I$92</v>
      </c>
      <c r="C2261" s="159" t="str">
        <f t="shared" si="179"/>
        <v>January!$H$1:$H$92</v>
      </c>
      <c r="D2261" s="159" t="str">
        <f t="shared" si="180"/>
        <v>January!$I$1:$I$92</v>
      </c>
      <c r="E2261" t="s">
        <v>6</v>
      </c>
      <c r="F2261" t="s">
        <v>48</v>
      </c>
      <c r="G2261" t="s">
        <v>143</v>
      </c>
      <c r="H2261" t="s">
        <v>19</v>
      </c>
      <c r="I2261" t="e">
        <f t="shared" ca="1" si="176"/>
        <v>#REF!</v>
      </c>
      <c r="J2261" t="str">
        <f>VLOOKUP($G2261,DefinitionArrays!$I$6:$J$12,2,FALSE)</f>
        <v>Workweek</v>
      </c>
    </row>
    <row r="2262" spans="1:10">
      <c r="A2262" s="159" t="str">
        <f t="shared" si="177"/>
        <v>$H$1:$H$92</v>
      </c>
      <c r="B2262" s="159" t="str">
        <f t="shared" si="178"/>
        <v>$I$1:$I$92</v>
      </c>
      <c r="C2262" s="159" t="str">
        <f t="shared" si="179"/>
        <v>January!$H$1:$H$92</v>
      </c>
      <c r="D2262" s="159" t="str">
        <f t="shared" si="180"/>
        <v>January!$I$1:$I$92</v>
      </c>
      <c r="E2262" t="s">
        <v>6</v>
      </c>
      <c r="F2262" t="s">
        <v>48</v>
      </c>
      <c r="G2262" t="s">
        <v>143</v>
      </c>
      <c r="H2262" t="s">
        <v>20</v>
      </c>
      <c r="I2262" t="e">
        <f t="shared" ca="1" si="176"/>
        <v>#REF!</v>
      </c>
      <c r="J2262" t="str">
        <f>VLOOKUP($G2262,DefinitionArrays!$I$6:$J$12,2,FALSE)</f>
        <v>Workweek</v>
      </c>
    </row>
    <row r="2263" spans="1:10">
      <c r="A2263" s="159" t="str">
        <f t="shared" si="177"/>
        <v>$H$1:$H$92</v>
      </c>
      <c r="B2263" s="159" t="str">
        <f t="shared" si="178"/>
        <v>$I$1:$I$92</v>
      </c>
      <c r="C2263" s="159" t="str">
        <f t="shared" si="179"/>
        <v>January!$H$1:$H$92</v>
      </c>
      <c r="D2263" s="159" t="str">
        <f t="shared" si="180"/>
        <v>January!$I$1:$I$92</v>
      </c>
      <c r="E2263" t="s">
        <v>6</v>
      </c>
      <c r="F2263" t="s">
        <v>48</v>
      </c>
      <c r="G2263" t="s">
        <v>143</v>
      </c>
      <c r="H2263" t="s">
        <v>21</v>
      </c>
      <c r="I2263" t="e">
        <f t="shared" ca="1" si="176"/>
        <v>#REF!</v>
      </c>
      <c r="J2263" t="str">
        <f>VLOOKUP($G2263,DefinitionArrays!$I$6:$J$12,2,FALSE)</f>
        <v>Workweek</v>
      </c>
    </row>
    <row r="2264" spans="1:10">
      <c r="A2264" s="159" t="str">
        <f t="shared" si="177"/>
        <v>$H$1:$H$92</v>
      </c>
      <c r="B2264" s="159" t="str">
        <f t="shared" si="178"/>
        <v>$I$1:$I$92</v>
      </c>
      <c r="C2264" s="159" t="str">
        <f t="shared" si="179"/>
        <v>January!$H$1:$H$92</v>
      </c>
      <c r="D2264" s="159" t="str">
        <f t="shared" si="180"/>
        <v>January!$I$1:$I$92</v>
      </c>
      <c r="E2264" t="s">
        <v>6</v>
      </c>
      <c r="F2264" t="s">
        <v>48</v>
      </c>
      <c r="G2264" t="s">
        <v>143</v>
      </c>
      <c r="H2264" t="s">
        <v>22</v>
      </c>
      <c r="I2264" t="e">
        <f t="shared" ca="1" si="176"/>
        <v>#REF!</v>
      </c>
      <c r="J2264" t="str">
        <f>VLOOKUP($G2264,DefinitionArrays!$I$6:$J$12,2,FALSE)</f>
        <v>Workweek</v>
      </c>
    </row>
    <row r="2265" spans="1:10">
      <c r="A2265" s="159" t="str">
        <f t="shared" si="177"/>
        <v>$H$1:$H$92</v>
      </c>
      <c r="B2265" s="159" t="str">
        <f t="shared" si="178"/>
        <v>$I$1:$I$92</v>
      </c>
      <c r="C2265" s="159" t="str">
        <f t="shared" si="179"/>
        <v>January!$H$1:$H$92</v>
      </c>
      <c r="D2265" s="159" t="str">
        <f t="shared" si="180"/>
        <v>January!$I$1:$I$92</v>
      </c>
      <c r="E2265" t="s">
        <v>6</v>
      </c>
      <c r="F2265" t="s">
        <v>48</v>
      </c>
      <c r="G2265" t="s">
        <v>143</v>
      </c>
      <c r="H2265" t="s">
        <v>23</v>
      </c>
      <c r="I2265" t="e">
        <f t="shared" ca="1" si="176"/>
        <v>#REF!</v>
      </c>
      <c r="J2265" t="str">
        <f>VLOOKUP($G2265,DefinitionArrays!$I$6:$J$12,2,FALSE)</f>
        <v>Workweek</v>
      </c>
    </row>
    <row r="2266" spans="1:10">
      <c r="A2266" s="159" t="str">
        <f t="shared" si="177"/>
        <v>$H$1:$H$92</v>
      </c>
      <c r="B2266" s="159" t="str">
        <f t="shared" si="178"/>
        <v>$I$1:$I$92</v>
      </c>
      <c r="C2266" s="159" t="str">
        <f t="shared" si="179"/>
        <v>January!$H$1:$H$92</v>
      </c>
      <c r="D2266" s="159" t="str">
        <f t="shared" si="180"/>
        <v>January!$I$1:$I$92</v>
      </c>
      <c r="E2266" t="s">
        <v>6</v>
      </c>
      <c r="F2266" t="s">
        <v>48</v>
      </c>
      <c r="G2266" t="s">
        <v>143</v>
      </c>
      <c r="H2266" t="s">
        <v>24</v>
      </c>
      <c r="I2266" t="e">
        <f t="shared" ca="1" si="176"/>
        <v>#REF!</v>
      </c>
      <c r="J2266" t="str">
        <f>VLOOKUP($G2266,DefinitionArrays!$I$6:$J$12,2,FALSE)</f>
        <v>Workweek</v>
      </c>
    </row>
    <row r="2267" spans="1:10">
      <c r="A2267" s="159" t="str">
        <f t="shared" si="177"/>
        <v>$H$1:$H$92</v>
      </c>
      <c r="B2267" s="159" t="str">
        <f t="shared" si="178"/>
        <v>$I$1:$I$92</v>
      </c>
      <c r="C2267" s="159" t="str">
        <f t="shared" si="179"/>
        <v>January!$H$1:$H$92</v>
      </c>
      <c r="D2267" s="159" t="str">
        <f t="shared" si="180"/>
        <v>January!$I$1:$I$92</v>
      </c>
      <c r="E2267" t="s">
        <v>6</v>
      </c>
      <c r="F2267" t="s">
        <v>48</v>
      </c>
      <c r="G2267" t="s">
        <v>143</v>
      </c>
      <c r="H2267" t="s">
        <v>179</v>
      </c>
      <c r="I2267" t="e">
        <f t="shared" ca="1" si="176"/>
        <v>#REF!</v>
      </c>
      <c r="J2267" t="str">
        <f>VLOOKUP($G2267,DefinitionArrays!$I$6:$J$12,2,FALSE)</f>
        <v>Workweek</v>
      </c>
    </row>
    <row r="2268" spans="1:10">
      <c r="A2268" s="159" t="str">
        <f t="shared" si="177"/>
        <v>$H$1:$H$92</v>
      </c>
      <c r="B2268" s="159" t="str">
        <f t="shared" si="178"/>
        <v>$I$1:$I$92</v>
      </c>
      <c r="C2268" s="159" t="str">
        <f t="shared" si="179"/>
        <v>January!$H$1:$H$92</v>
      </c>
      <c r="D2268" s="159" t="str">
        <f t="shared" si="180"/>
        <v>January!$I$1:$I$92</v>
      </c>
      <c r="E2268" t="s">
        <v>6</v>
      </c>
      <c r="F2268" t="s">
        <v>48</v>
      </c>
      <c r="G2268" t="s">
        <v>143</v>
      </c>
      <c r="H2268" t="s">
        <v>180</v>
      </c>
      <c r="I2268" t="e">
        <f t="shared" ca="1" si="176"/>
        <v>#REF!</v>
      </c>
      <c r="J2268" t="str">
        <f>VLOOKUP($G2268,DefinitionArrays!$I$6:$J$12,2,FALSE)</f>
        <v>Workweek</v>
      </c>
    </row>
    <row r="2269" spans="1:10">
      <c r="A2269" s="159" t="str">
        <f t="shared" si="177"/>
        <v>$H$1:$H$92</v>
      </c>
      <c r="B2269" s="159" t="str">
        <f t="shared" si="178"/>
        <v>$I$1:$I$92</v>
      </c>
      <c r="C2269" s="159" t="str">
        <f t="shared" si="179"/>
        <v>January!$H$1:$H$92</v>
      </c>
      <c r="D2269" s="159" t="str">
        <f t="shared" si="180"/>
        <v>January!$I$1:$I$92</v>
      </c>
      <c r="E2269" t="s">
        <v>6</v>
      </c>
      <c r="F2269" t="s">
        <v>48</v>
      </c>
      <c r="G2269" t="s">
        <v>143</v>
      </c>
      <c r="H2269" t="s">
        <v>44</v>
      </c>
      <c r="I2269" t="e">
        <f t="shared" ca="1" si="176"/>
        <v>#REF!</v>
      </c>
      <c r="J2269" t="str">
        <f>VLOOKUP($G2269,DefinitionArrays!$I$6:$J$12,2,FALSE)</f>
        <v>Workweek</v>
      </c>
    </row>
    <row r="2270" spans="1:10">
      <c r="A2270" s="159" t="str">
        <f t="shared" si="177"/>
        <v>$K$1:$K$92</v>
      </c>
      <c r="B2270" s="159" t="str">
        <f t="shared" si="178"/>
        <v>$L$1:$L$92</v>
      </c>
      <c r="C2270" s="159" t="str">
        <f t="shared" si="179"/>
        <v>January!$K$1:$K$92</v>
      </c>
      <c r="D2270" s="159" t="str">
        <f t="shared" si="180"/>
        <v>January!$L$1:$L$92</v>
      </c>
      <c r="E2270" t="s">
        <v>6</v>
      </c>
      <c r="F2270" t="s">
        <v>48</v>
      </c>
      <c r="G2270" t="s">
        <v>144</v>
      </c>
      <c r="H2270" t="s">
        <v>159</v>
      </c>
      <c r="I2270" t="e">
        <f t="shared" ca="1" si="176"/>
        <v>#REF!</v>
      </c>
      <c r="J2270" t="str">
        <f>VLOOKUP($G2270,DefinitionArrays!$I$6:$J$12,2,FALSE)</f>
        <v>Workweek</v>
      </c>
    </row>
    <row r="2271" spans="1:10">
      <c r="A2271" s="159" t="str">
        <f t="shared" si="177"/>
        <v>$K$1:$K$92</v>
      </c>
      <c r="B2271" s="159" t="str">
        <f t="shared" si="178"/>
        <v>$L$1:$L$92</v>
      </c>
      <c r="C2271" s="159" t="str">
        <f t="shared" si="179"/>
        <v>January!$K$1:$K$92</v>
      </c>
      <c r="D2271" s="159" t="str">
        <f t="shared" si="180"/>
        <v>January!$L$1:$L$92</v>
      </c>
      <c r="E2271" t="s">
        <v>6</v>
      </c>
      <c r="F2271" t="s">
        <v>48</v>
      </c>
      <c r="G2271" t="s">
        <v>144</v>
      </c>
      <c r="H2271" t="s">
        <v>18</v>
      </c>
      <c r="I2271" t="e">
        <f t="shared" ca="1" si="176"/>
        <v>#REF!</v>
      </c>
      <c r="J2271" t="str">
        <f>VLOOKUP($G2271,DefinitionArrays!$I$6:$J$12,2,FALSE)</f>
        <v>Workweek</v>
      </c>
    </row>
    <row r="2272" spans="1:10">
      <c r="A2272" s="159" t="str">
        <f t="shared" si="177"/>
        <v>$K$1:$K$92</v>
      </c>
      <c r="B2272" s="159" t="str">
        <f t="shared" si="178"/>
        <v>$L$1:$L$92</v>
      </c>
      <c r="C2272" s="159" t="str">
        <f t="shared" si="179"/>
        <v>January!$K$1:$K$92</v>
      </c>
      <c r="D2272" s="159" t="str">
        <f t="shared" si="180"/>
        <v>January!$L$1:$L$92</v>
      </c>
      <c r="E2272" t="s">
        <v>6</v>
      </c>
      <c r="F2272" t="s">
        <v>48</v>
      </c>
      <c r="G2272" t="s">
        <v>144</v>
      </c>
      <c r="H2272" t="s">
        <v>153</v>
      </c>
      <c r="I2272" t="e">
        <f t="shared" ca="1" si="176"/>
        <v>#REF!</v>
      </c>
      <c r="J2272" t="str">
        <f>VLOOKUP($G2272,DefinitionArrays!$I$6:$J$12,2,FALSE)</f>
        <v>Workweek</v>
      </c>
    </row>
    <row r="2273" spans="1:10">
      <c r="A2273" s="159" t="str">
        <f t="shared" si="177"/>
        <v>$K$1:$K$92</v>
      </c>
      <c r="B2273" s="159" t="str">
        <f t="shared" si="178"/>
        <v>$L$1:$L$92</v>
      </c>
      <c r="C2273" s="159" t="str">
        <f t="shared" si="179"/>
        <v>January!$K$1:$K$92</v>
      </c>
      <c r="D2273" s="159" t="str">
        <f t="shared" si="180"/>
        <v>January!$L$1:$L$92</v>
      </c>
      <c r="E2273" t="s">
        <v>6</v>
      </c>
      <c r="F2273" t="s">
        <v>48</v>
      </c>
      <c r="G2273" t="s">
        <v>144</v>
      </c>
      <c r="H2273" t="s">
        <v>19</v>
      </c>
      <c r="I2273" t="e">
        <f t="shared" ca="1" si="176"/>
        <v>#REF!</v>
      </c>
      <c r="J2273" t="str">
        <f>VLOOKUP($G2273,DefinitionArrays!$I$6:$J$12,2,FALSE)</f>
        <v>Workweek</v>
      </c>
    </row>
    <row r="2274" spans="1:10">
      <c r="A2274" s="159" t="str">
        <f t="shared" si="177"/>
        <v>$K$1:$K$92</v>
      </c>
      <c r="B2274" s="159" t="str">
        <f t="shared" si="178"/>
        <v>$L$1:$L$92</v>
      </c>
      <c r="C2274" s="159" t="str">
        <f t="shared" si="179"/>
        <v>January!$K$1:$K$92</v>
      </c>
      <c r="D2274" s="159" t="str">
        <f t="shared" si="180"/>
        <v>January!$L$1:$L$92</v>
      </c>
      <c r="E2274" t="s">
        <v>6</v>
      </c>
      <c r="F2274" t="s">
        <v>48</v>
      </c>
      <c r="G2274" t="s">
        <v>144</v>
      </c>
      <c r="H2274" t="s">
        <v>20</v>
      </c>
      <c r="I2274" t="e">
        <f t="shared" ca="1" si="176"/>
        <v>#REF!</v>
      </c>
      <c r="J2274" t="str">
        <f>VLOOKUP($G2274,DefinitionArrays!$I$6:$J$12,2,FALSE)</f>
        <v>Workweek</v>
      </c>
    </row>
    <row r="2275" spans="1:10">
      <c r="A2275" s="159" t="str">
        <f t="shared" si="177"/>
        <v>$K$1:$K$92</v>
      </c>
      <c r="B2275" s="159" t="str">
        <f t="shared" si="178"/>
        <v>$L$1:$L$92</v>
      </c>
      <c r="C2275" s="159" t="str">
        <f t="shared" si="179"/>
        <v>January!$K$1:$K$92</v>
      </c>
      <c r="D2275" s="159" t="str">
        <f t="shared" si="180"/>
        <v>January!$L$1:$L$92</v>
      </c>
      <c r="E2275" t="s">
        <v>6</v>
      </c>
      <c r="F2275" t="s">
        <v>48</v>
      </c>
      <c r="G2275" t="s">
        <v>144</v>
      </c>
      <c r="H2275" t="s">
        <v>21</v>
      </c>
      <c r="I2275" t="e">
        <f t="shared" ca="1" si="176"/>
        <v>#REF!</v>
      </c>
      <c r="J2275" t="str">
        <f>VLOOKUP($G2275,DefinitionArrays!$I$6:$J$12,2,FALSE)</f>
        <v>Workweek</v>
      </c>
    </row>
    <row r="2276" spans="1:10">
      <c r="A2276" s="159" t="str">
        <f t="shared" si="177"/>
        <v>$K$1:$K$92</v>
      </c>
      <c r="B2276" s="159" t="str">
        <f t="shared" si="178"/>
        <v>$L$1:$L$92</v>
      </c>
      <c r="C2276" s="159" t="str">
        <f t="shared" si="179"/>
        <v>January!$K$1:$K$92</v>
      </c>
      <c r="D2276" s="159" t="str">
        <f t="shared" si="180"/>
        <v>January!$L$1:$L$92</v>
      </c>
      <c r="E2276" t="s">
        <v>6</v>
      </c>
      <c r="F2276" t="s">
        <v>48</v>
      </c>
      <c r="G2276" t="s">
        <v>144</v>
      </c>
      <c r="H2276" t="s">
        <v>22</v>
      </c>
      <c r="I2276" t="e">
        <f t="shared" ca="1" si="176"/>
        <v>#REF!</v>
      </c>
      <c r="J2276" t="str">
        <f>VLOOKUP($G2276,DefinitionArrays!$I$6:$J$12,2,FALSE)</f>
        <v>Workweek</v>
      </c>
    </row>
    <row r="2277" spans="1:10">
      <c r="A2277" s="159" t="str">
        <f t="shared" si="177"/>
        <v>$K$1:$K$92</v>
      </c>
      <c r="B2277" s="159" t="str">
        <f t="shared" si="178"/>
        <v>$L$1:$L$92</v>
      </c>
      <c r="C2277" s="159" t="str">
        <f t="shared" si="179"/>
        <v>January!$K$1:$K$92</v>
      </c>
      <c r="D2277" s="159" t="str">
        <f t="shared" si="180"/>
        <v>January!$L$1:$L$92</v>
      </c>
      <c r="E2277" t="s">
        <v>6</v>
      </c>
      <c r="F2277" t="s">
        <v>48</v>
      </c>
      <c r="G2277" t="s">
        <v>144</v>
      </c>
      <c r="H2277" t="s">
        <v>23</v>
      </c>
      <c r="I2277" t="e">
        <f t="shared" ca="1" si="176"/>
        <v>#REF!</v>
      </c>
      <c r="J2277" t="str">
        <f>VLOOKUP($G2277,DefinitionArrays!$I$6:$J$12,2,FALSE)</f>
        <v>Workweek</v>
      </c>
    </row>
    <row r="2278" spans="1:10">
      <c r="A2278" s="159" t="str">
        <f t="shared" si="177"/>
        <v>$K$1:$K$92</v>
      </c>
      <c r="B2278" s="159" t="str">
        <f t="shared" si="178"/>
        <v>$L$1:$L$92</v>
      </c>
      <c r="C2278" s="159" t="str">
        <f t="shared" si="179"/>
        <v>January!$K$1:$K$92</v>
      </c>
      <c r="D2278" s="159" t="str">
        <f t="shared" si="180"/>
        <v>January!$L$1:$L$92</v>
      </c>
      <c r="E2278" t="s">
        <v>6</v>
      </c>
      <c r="F2278" t="s">
        <v>48</v>
      </c>
      <c r="G2278" t="s">
        <v>144</v>
      </c>
      <c r="H2278" t="s">
        <v>24</v>
      </c>
      <c r="I2278" t="e">
        <f t="shared" ca="1" si="176"/>
        <v>#REF!</v>
      </c>
      <c r="J2278" t="str">
        <f>VLOOKUP($G2278,DefinitionArrays!$I$6:$J$12,2,FALSE)</f>
        <v>Workweek</v>
      </c>
    </row>
    <row r="2279" spans="1:10">
      <c r="A2279" s="159" t="str">
        <f t="shared" si="177"/>
        <v>$K$1:$K$92</v>
      </c>
      <c r="B2279" s="159" t="str">
        <f t="shared" si="178"/>
        <v>$L$1:$L$92</v>
      </c>
      <c r="C2279" s="159" t="str">
        <f t="shared" si="179"/>
        <v>January!$K$1:$K$92</v>
      </c>
      <c r="D2279" s="159" t="str">
        <f t="shared" si="180"/>
        <v>January!$L$1:$L$92</v>
      </c>
      <c r="E2279" t="s">
        <v>6</v>
      </c>
      <c r="F2279" t="s">
        <v>48</v>
      </c>
      <c r="G2279" t="s">
        <v>144</v>
      </c>
      <c r="H2279" t="s">
        <v>179</v>
      </c>
      <c r="I2279" t="e">
        <f t="shared" ca="1" si="176"/>
        <v>#REF!</v>
      </c>
      <c r="J2279" t="str">
        <f>VLOOKUP($G2279,DefinitionArrays!$I$6:$J$12,2,FALSE)</f>
        <v>Workweek</v>
      </c>
    </row>
    <row r="2280" spans="1:10">
      <c r="A2280" s="159" t="str">
        <f t="shared" si="177"/>
        <v>$K$1:$K$92</v>
      </c>
      <c r="B2280" s="159" t="str">
        <f t="shared" si="178"/>
        <v>$L$1:$L$92</v>
      </c>
      <c r="C2280" s="159" t="str">
        <f t="shared" si="179"/>
        <v>January!$K$1:$K$92</v>
      </c>
      <c r="D2280" s="159" t="str">
        <f t="shared" si="180"/>
        <v>January!$L$1:$L$92</v>
      </c>
      <c r="E2280" t="s">
        <v>6</v>
      </c>
      <c r="F2280" t="s">
        <v>48</v>
      </c>
      <c r="G2280" t="s">
        <v>144</v>
      </c>
      <c r="H2280" t="s">
        <v>180</v>
      </c>
      <c r="I2280" t="e">
        <f t="shared" ca="1" si="176"/>
        <v>#REF!</v>
      </c>
      <c r="J2280" t="str">
        <f>VLOOKUP($G2280,DefinitionArrays!$I$6:$J$12,2,FALSE)</f>
        <v>Workweek</v>
      </c>
    </row>
    <row r="2281" spans="1:10">
      <c r="A2281" s="159" t="str">
        <f t="shared" si="177"/>
        <v>$K$1:$K$92</v>
      </c>
      <c r="B2281" s="159" t="str">
        <f t="shared" si="178"/>
        <v>$L$1:$L$92</v>
      </c>
      <c r="C2281" s="159" t="str">
        <f t="shared" si="179"/>
        <v>January!$K$1:$K$92</v>
      </c>
      <c r="D2281" s="159" t="str">
        <f t="shared" si="180"/>
        <v>January!$L$1:$L$92</v>
      </c>
      <c r="E2281" t="s">
        <v>6</v>
      </c>
      <c r="F2281" t="s">
        <v>48</v>
      </c>
      <c r="G2281" t="s">
        <v>144</v>
      </c>
      <c r="H2281" t="s">
        <v>44</v>
      </c>
      <c r="I2281" t="e">
        <f t="shared" ca="1" si="176"/>
        <v>#REF!</v>
      </c>
      <c r="J2281" t="str">
        <f>VLOOKUP($G2281,DefinitionArrays!$I$6:$J$12,2,FALSE)</f>
        <v>Workweek</v>
      </c>
    </row>
    <row r="2282" spans="1:10">
      <c r="A2282" s="159" t="str">
        <f t="shared" si="177"/>
        <v>$N$1:$N$92</v>
      </c>
      <c r="B2282" s="159" t="str">
        <f t="shared" si="178"/>
        <v>$O$1:$O$92</v>
      </c>
      <c r="C2282" s="159" t="str">
        <f t="shared" si="179"/>
        <v>January!$N$1:$N$92</v>
      </c>
      <c r="D2282" s="159" t="str">
        <f t="shared" si="180"/>
        <v>January!$O$1:$O$92</v>
      </c>
      <c r="E2282" t="s">
        <v>6</v>
      </c>
      <c r="F2282" t="s">
        <v>48</v>
      </c>
      <c r="G2282" t="s">
        <v>145</v>
      </c>
      <c r="H2282" t="s">
        <v>159</v>
      </c>
      <c r="I2282" t="e">
        <f t="shared" ca="1" si="176"/>
        <v>#REF!</v>
      </c>
      <c r="J2282" t="str">
        <f>VLOOKUP($G2282,DefinitionArrays!$I$6:$J$12,2,FALSE)</f>
        <v>Weekend</v>
      </c>
    </row>
    <row r="2283" spans="1:10">
      <c r="A2283" s="159" t="str">
        <f t="shared" si="177"/>
        <v>$N$1:$N$92</v>
      </c>
      <c r="B2283" s="159" t="str">
        <f t="shared" si="178"/>
        <v>$O$1:$O$92</v>
      </c>
      <c r="C2283" s="159" t="str">
        <f t="shared" si="179"/>
        <v>January!$N$1:$N$92</v>
      </c>
      <c r="D2283" s="159" t="str">
        <f t="shared" si="180"/>
        <v>January!$O$1:$O$92</v>
      </c>
      <c r="E2283" t="s">
        <v>6</v>
      </c>
      <c r="F2283" t="s">
        <v>48</v>
      </c>
      <c r="G2283" t="s">
        <v>145</v>
      </c>
      <c r="H2283" t="s">
        <v>18</v>
      </c>
      <c r="I2283" t="e">
        <f t="shared" ca="1" si="176"/>
        <v>#REF!</v>
      </c>
      <c r="J2283" t="str">
        <f>VLOOKUP($G2283,DefinitionArrays!$I$6:$J$12,2,FALSE)</f>
        <v>Weekend</v>
      </c>
    </row>
    <row r="2284" spans="1:10">
      <c r="A2284" s="159" t="str">
        <f t="shared" si="177"/>
        <v>$N$1:$N$92</v>
      </c>
      <c r="B2284" s="159" t="str">
        <f t="shared" si="178"/>
        <v>$O$1:$O$92</v>
      </c>
      <c r="C2284" s="159" t="str">
        <f t="shared" si="179"/>
        <v>January!$N$1:$N$92</v>
      </c>
      <c r="D2284" s="159" t="str">
        <f t="shared" si="180"/>
        <v>January!$O$1:$O$92</v>
      </c>
      <c r="E2284" t="s">
        <v>6</v>
      </c>
      <c r="F2284" t="s">
        <v>48</v>
      </c>
      <c r="G2284" t="s">
        <v>145</v>
      </c>
      <c r="H2284" t="s">
        <v>153</v>
      </c>
      <c r="I2284" t="e">
        <f t="shared" ca="1" si="176"/>
        <v>#REF!</v>
      </c>
      <c r="J2284" t="str">
        <f>VLOOKUP($G2284,DefinitionArrays!$I$6:$J$12,2,FALSE)</f>
        <v>Weekend</v>
      </c>
    </row>
    <row r="2285" spans="1:10">
      <c r="A2285" s="159" t="str">
        <f t="shared" si="177"/>
        <v>$N$1:$N$92</v>
      </c>
      <c r="B2285" s="159" t="str">
        <f t="shared" si="178"/>
        <v>$O$1:$O$92</v>
      </c>
      <c r="C2285" s="159" t="str">
        <f t="shared" si="179"/>
        <v>January!$N$1:$N$92</v>
      </c>
      <c r="D2285" s="159" t="str">
        <f t="shared" si="180"/>
        <v>January!$O$1:$O$92</v>
      </c>
      <c r="E2285" t="s">
        <v>6</v>
      </c>
      <c r="F2285" t="s">
        <v>48</v>
      </c>
      <c r="G2285" t="s">
        <v>145</v>
      </c>
      <c r="H2285" t="s">
        <v>19</v>
      </c>
      <c r="I2285" t="e">
        <f t="shared" ca="1" si="176"/>
        <v>#REF!</v>
      </c>
      <c r="J2285" t="str">
        <f>VLOOKUP($G2285,DefinitionArrays!$I$6:$J$12,2,FALSE)</f>
        <v>Weekend</v>
      </c>
    </row>
    <row r="2286" spans="1:10">
      <c r="A2286" s="159" t="str">
        <f t="shared" si="177"/>
        <v>$N$1:$N$92</v>
      </c>
      <c r="B2286" s="159" t="str">
        <f t="shared" si="178"/>
        <v>$O$1:$O$92</v>
      </c>
      <c r="C2286" s="159" t="str">
        <f t="shared" si="179"/>
        <v>January!$N$1:$N$92</v>
      </c>
      <c r="D2286" s="159" t="str">
        <f t="shared" si="180"/>
        <v>January!$O$1:$O$92</v>
      </c>
      <c r="E2286" t="s">
        <v>6</v>
      </c>
      <c r="F2286" t="s">
        <v>48</v>
      </c>
      <c r="G2286" t="s">
        <v>145</v>
      </c>
      <c r="H2286" t="s">
        <v>20</v>
      </c>
      <c r="I2286" t="e">
        <f t="shared" ca="1" si="176"/>
        <v>#REF!</v>
      </c>
      <c r="J2286" t="str">
        <f>VLOOKUP($G2286,DefinitionArrays!$I$6:$J$12,2,FALSE)</f>
        <v>Weekend</v>
      </c>
    </row>
    <row r="2287" spans="1:10">
      <c r="A2287" s="159" t="str">
        <f t="shared" si="177"/>
        <v>$N$1:$N$92</v>
      </c>
      <c r="B2287" s="159" t="str">
        <f t="shared" si="178"/>
        <v>$O$1:$O$92</v>
      </c>
      <c r="C2287" s="159" t="str">
        <f t="shared" si="179"/>
        <v>January!$N$1:$N$92</v>
      </c>
      <c r="D2287" s="159" t="str">
        <f t="shared" si="180"/>
        <v>January!$O$1:$O$92</v>
      </c>
      <c r="E2287" t="s">
        <v>6</v>
      </c>
      <c r="F2287" t="s">
        <v>48</v>
      </c>
      <c r="G2287" t="s">
        <v>145</v>
      </c>
      <c r="H2287" t="s">
        <v>21</v>
      </c>
      <c r="I2287" t="e">
        <f t="shared" ca="1" si="176"/>
        <v>#REF!</v>
      </c>
      <c r="J2287" t="str">
        <f>VLOOKUP($G2287,DefinitionArrays!$I$6:$J$12,2,FALSE)</f>
        <v>Weekend</v>
      </c>
    </row>
    <row r="2288" spans="1:10">
      <c r="A2288" s="159" t="str">
        <f t="shared" si="177"/>
        <v>$N$1:$N$92</v>
      </c>
      <c r="B2288" s="159" t="str">
        <f t="shared" si="178"/>
        <v>$O$1:$O$92</v>
      </c>
      <c r="C2288" s="159" t="str">
        <f t="shared" si="179"/>
        <v>January!$N$1:$N$92</v>
      </c>
      <c r="D2288" s="159" t="str">
        <f t="shared" si="180"/>
        <v>January!$O$1:$O$92</v>
      </c>
      <c r="E2288" t="s">
        <v>6</v>
      </c>
      <c r="F2288" t="s">
        <v>48</v>
      </c>
      <c r="G2288" t="s">
        <v>145</v>
      </c>
      <c r="H2288" t="s">
        <v>22</v>
      </c>
      <c r="I2288" t="e">
        <f t="shared" ca="1" si="176"/>
        <v>#REF!</v>
      </c>
      <c r="J2288" t="str">
        <f>VLOOKUP($G2288,DefinitionArrays!$I$6:$J$12,2,FALSE)</f>
        <v>Weekend</v>
      </c>
    </row>
    <row r="2289" spans="1:10">
      <c r="A2289" s="159" t="str">
        <f t="shared" si="177"/>
        <v>$N$1:$N$92</v>
      </c>
      <c r="B2289" s="159" t="str">
        <f t="shared" si="178"/>
        <v>$O$1:$O$92</v>
      </c>
      <c r="C2289" s="159" t="str">
        <f t="shared" si="179"/>
        <v>January!$N$1:$N$92</v>
      </c>
      <c r="D2289" s="159" t="str">
        <f t="shared" si="180"/>
        <v>January!$O$1:$O$92</v>
      </c>
      <c r="E2289" t="s">
        <v>6</v>
      </c>
      <c r="F2289" t="s">
        <v>48</v>
      </c>
      <c r="G2289" t="s">
        <v>145</v>
      </c>
      <c r="H2289" t="s">
        <v>23</v>
      </c>
      <c r="I2289" t="e">
        <f t="shared" ca="1" si="176"/>
        <v>#REF!</v>
      </c>
      <c r="J2289" t="str">
        <f>VLOOKUP($G2289,DefinitionArrays!$I$6:$J$12,2,FALSE)</f>
        <v>Weekend</v>
      </c>
    </row>
    <row r="2290" spans="1:10">
      <c r="A2290" s="159" t="str">
        <f t="shared" si="177"/>
        <v>$N$1:$N$92</v>
      </c>
      <c r="B2290" s="159" t="str">
        <f t="shared" si="178"/>
        <v>$O$1:$O$92</v>
      </c>
      <c r="C2290" s="159" t="str">
        <f t="shared" si="179"/>
        <v>January!$N$1:$N$92</v>
      </c>
      <c r="D2290" s="159" t="str">
        <f t="shared" si="180"/>
        <v>January!$O$1:$O$92</v>
      </c>
      <c r="E2290" t="s">
        <v>6</v>
      </c>
      <c r="F2290" t="s">
        <v>48</v>
      </c>
      <c r="G2290" t="s">
        <v>145</v>
      </c>
      <c r="H2290" t="s">
        <v>24</v>
      </c>
      <c r="I2290" t="e">
        <f t="shared" ca="1" si="176"/>
        <v>#REF!</v>
      </c>
      <c r="J2290" t="str">
        <f>VLOOKUP($G2290,DefinitionArrays!$I$6:$J$12,2,FALSE)</f>
        <v>Weekend</v>
      </c>
    </row>
    <row r="2291" spans="1:10">
      <c r="A2291" s="159" t="str">
        <f t="shared" si="177"/>
        <v>$N$1:$N$92</v>
      </c>
      <c r="B2291" s="159" t="str">
        <f t="shared" si="178"/>
        <v>$O$1:$O$92</v>
      </c>
      <c r="C2291" s="159" t="str">
        <f t="shared" si="179"/>
        <v>January!$N$1:$N$92</v>
      </c>
      <c r="D2291" s="159" t="str">
        <f t="shared" si="180"/>
        <v>January!$O$1:$O$92</v>
      </c>
      <c r="E2291" t="s">
        <v>6</v>
      </c>
      <c r="F2291" t="s">
        <v>48</v>
      </c>
      <c r="G2291" t="s">
        <v>145</v>
      </c>
      <c r="H2291" t="s">
        <v>179</v>
      </c>
      <c r="I2291" t="e">
        <f t="shared" ca="1" si="176"/>
        <v>#REF!</v>
      </c>
      <c r="J2291" t="str">
        <f>VLOOKUP($G2291,DefinitionArrays!$I$6:$J$12,2,FALSE)</f>
        <v>Weekend</v>
      </c>
    </row>
    <row r="2292" spans="1:10">
      <c r="A2292" s="159" t="str">
        <f t="shared" si="177"/>
        <v>$N$1:$N$92</v>
      </c>
      <c r="B2292" s="159" t="str">
        <f t="shared" si="178"/>
        <v>$O$1:$O$92</v>
      </c>
      <c r="C2292" s="159" t="str">
        <f t="shared" si="179"/>
        <v>January!$N$1:$N$92</v>
      </c>
      <c r="D2292" s="159" t="str">
        <f t="shared" si="180"/>
        <v>January!$O$1:$O$92</v>
      </c>
      <c r="E2292" t="s">
        <v>6</v>
      </c>
      <c r="F2292" t="s">
        <v>48</v>
      </c>
      <c r="G2292" t="s">
        <v>145</v>
      </c>
      <c r="H2292" t="s">
        <v>180</v>
      </c>
      <c r="I2292" t="e">
        <f t="shared" ca="1" si="176"/>
        <v>#REF!</v>
      </c>
      <c r="J2292" t="str">
        <f>VLOOKUP($G2292,DefinitionArrays!$I$6:$J$12,2,FALSE)</f>
        <v>Weekend</v>
      </c>
    </row>
    <row r="2293" spans="1:10">
      <c r="A2293" s="159" t="str">
        <f t="shared" si="177"/>
        <v>$N$1:$N$92</v>
      </c>
      <c r="B2293" s="159" t="str">
        <f t="shared" si="178"/>
        <v>$O$1:$O$92</v>
      </c>
      <c r="C2293" s="159" t="str">
        <f t="shared" si="179"/>
        <v>January!$N$1:$N$92</v>
      </c>
      <c r="D2293" s="159" t="str">
        <f t="shared" si="180"/>
        <v>January!$O$1:$O$92</v>
      </c>
      <c r="E2293" t="s">
        <v>6</v>
      </c>
      <c r="F2293" t="s">
        <v>48</v>
      </c>
      <c r="G2293" t="s">
        <v>145</v>
      </c>
      <c r="H2293" t="s">
        <v>44</v>
      </c>
      <c r="I2293" t="e">
        <f t="shared" ca="1" si="176"/>
        <v>#REF!</v>
      </c>
      <c r="J2293" t="str">
        <f>VLOOKUP($G2293,DefinitionArrays!$I$6:$J$12,2,FALSE)</f>
        <v>Weekend</v>
      </c>
    </row>
    <row r="2294" spans="1:10">
      <c r="A2294" s="159" t="str">
        <f t="shared" si="177"/>
        <v>$Q$1:$Q$92</v>
      </c>
      <c r="B2294" s="159" t="str">
        <f t="shared" si="178"/>
        <v>$R$1:$R$92</v>
      </c>
      <c r="C2294" s="159" t="str">
        <f t="shared" si="179"/>
        <v>January!$Q$1:$Q$92</v>
      </c>
      <c r="D2294" s="159" t="str">
        <f t="shared" si="180"/>
        <v>January!$R$1:$R$92</v>
      </c>
      <c r="E2294" t="s">
        <v>6</v>
      </c>
      <c r="F2294" t="s">
        <v>48</v>
      </c>
      <c r="G2294" t="s">
        <v>146</v>
      </c>
      <c r="H2294" t="s">
        <v>159</v>
      </c>
      <c r="I2294" t="e">
        <f t="shared" ca="1" si="176"/>
        <v>#REF!</v>
      </c>
      <c r="J2294" t="str">
        <f>VLOOKUP($G2294,DefinitionArrays!$I$6:$J$12,2,FALSE)</f>
        <v>Weekend</v>
      </c>
    </row>
    <row r="2295" spans="1:10">
      <c r="A2295" s="159" t="str">
        <f t="shared" si="177"/>
        <v>$T$1:$T$92</v>
      </c>
      <c r="B2295" s="159" t="str">
        <f t="shared" si="178"/>
        <v>$U$1:$U$92</v>
      </c>
      <c r="C2295" s="159" t="str">
        <f t="shared" si="179"/>
        <v>January!$T$1:$T$92</v>
      </c>
      <c r="D2295" s="159" t="str">
        <f t="shared" si="180"/>
        <v>January!$U$1:$U$92</v>
      </c>
      <c r="E2295" t="s">
        <v>6</v>
      </c>
      <c r="F2295" t="s">
        <v>48</v>
      </c>
      <c r="G2295" t="s">
        <v>141</v>
      </c>
      <c r="H2295" t="s">
        <v>159</v>
      </c>
      <c r="I2295" t="e">
        <f t="shared" ca="1" si="176"/>
        <v>#REF!</v>
      </c>
      <c r="J2295" t="str">
        <f>VLOOKUP($G2295,DefinitionArrays!$I$6:$J$12,2,FALSE)</f>
        <v>Weekend</v>
      </c>
    </row>
    <row r="2296" spans="1:10">
      <c r="A2296" s="159" t="str">
        <f t="shared" si="177"/>
        <v>$B$1:$B$92</v>
      </c>
      <c r="B2296" s="159" t="str">
        <f t="shared" si="178"/>
        <v>$C$1:$C$92</v>
      </c>
      <c r="C2296" s="159" t="str">
        <f t="shared" si="179"/>
        <v>February!$B$1:$B$92</v>
      </c>
      <c r="D2296" s="159" t="str">
        <f t="shared" si="180"/>
        <v>February!$C$1:$C$92</v>
      </c>
      <c r="E2296" t="s">
        <v>6</v>
      </c>
      <c r="F2296" t="s">
        <v>121</v>
      </c>
      <c r="G2296" t="s">
        <v>13</v>
      </c>
      <c r="H2296" t="s">
        <v>159</v>
      </c>
      <c r="I2296" t="e">
        <f ca="1">COUNTIFS(INDIRECT($C2296),$E2296,INDIRECT($D2296),$H2296)</f>
        <v>#REF!</v>
      </c>
      <c r="J2296" t="str">
        <f>VLOOKUP($G2296,DefinitionArrays!$I$6:$J$12,2,FALSE)</f>
        <v>Workweek</v>
      </c>
    </row>
    <row r="2297" spans="1:10">
      <c r="A2297" s="159" t="str">
        <f t="shared" si="177"/>
        <v>$B$1:$B$92</v>
      </c>
      <c r="B2297" s="159" t="str">
        <f t="shared" si="178"/>
        <v>$C$1:$C$92</v>
      </c>
      <c r="C2297" s="159" t="str">
        <f t="shared" si="179"/>
        <v>February!$B$1:$B$92</v>
      </c>
      <c r="D2297" s="159" t="str">
        <f t="shared" si="180"/>
        <v>February!$C$1:$C$92</v>
      </c>
      <c r="E2297" t="s">
        <v>6</v>
      </c>
      <c r="F2297" t="s">
        <v>121</v>
      </c>
      <c r="G2297" t="s">
        <v>13</v>
      </c>
      <c r="H2297" t="s">
        <v>18</v>
      </c>
      <c r="I2297" t="e">
        <f t="shared" ref="I2297:I2357" ca="1" si="181">COUNTIFS(INDIRECT($C2297),$E2297,INDIRECT($D2297),$H2297)</f>
        <v>#REF!</v>
      </c>
      <c r="J2297" t="str">
        <f>VLOOKUP($G2297,DefinitionArrays!$I$6:$J$12,2,FALSE)</f>
        <v>Workweek</v>
      </c>
    </row>
    <row r="2298" spans="1:10">
      <c r="A2298" s="159" t="str">
        <f t="shared" si="177"/>
        <v>$B$1:$B$92</v>
      </c>
      <c r="B2298" s="159" t="str">
        <f t="shared" si="178"/>
        <v>$C$1:$C$92</v>
      </c>
      <c r="C2298" s="159" t="str">
        <f t="shared" si="179"/>
        <v>February!$B$1:$B$92</v>
      </c>
      <c r="D2298" s="159" t="str">
        <f t="shared" si="180"/>
        <v>February!$C$1:$C$92</v>
      </c>
      <c r="E2298" t="s">
        <v>6</v>
      </c>
      <c r="F2298" t="s">
        <v>121</v>
      </c>
      <c r="G2298" t="s">
        <v>13</v>
      </c>
      <c r="H2298" t="s">
        <v>153</v>
      </c>
      <c r="I2298" t="e">
        <f t="shared" ca="1" si="181"/>
        <v>#REF!</v>
      </c>
      <c r="J2298" t="str">
        <f>VLOOKUP($G2298,DefinitionArrays!$I$6:$J$12,2,FALSE)</f>
        <v>Workweek</v>
      </c>
    </row>
    <row r="2299" spans="1:10">
      <c r="A2299" s="159" t="str">
        <f t="shared" si="177"/>
        <v>$B$1:$B$92</v>
      </c>
      <c r="B2299" s="159" t="str">
        <f t="shared" si="178"/>
        <v>$C$1:$C$92</v>
      </c>
      <c r="C2299" s="159" t="str">
        <f t="shared" si="179"/>
        <v>February!$B$1:$B$92</v>
      </c>
      <c r="D2299" s="159" t="str">
        <f t="shared" si="180"/>
        <v>February!$C$1:$C$92</v>
      </c>
      <c r="E2299" t="s">
        <v>6</v>
      </c>
      <c r="F2299" t="s">
        <v>121</v>
      </c>
      <c r="G2299" t="s">
        <v>13</v>
      </c>
      <c r="H2299" t="s">
        <v>19</v>
      </c>
      <c r="I2299" t="e">
        <f t="shared" ca="1" si="181"/>
        <v>#REF!</v>
      </c>
      <c r="J2299" t="str">
        <f>VLOOKUP($G2299,DefinitionArrays!$I$6:$J$12,2,FALSE)</f>
        <v>Workweek</v>
      </c>
    </row>
    <row r="2300" spans="1:10">
      <c r="A2300" s="159" t="str">
        <f t="shared" si="177"/>
        <v>$B$1:$B$92</v>
      </c>
      <c r="B2300" s="159" t="str">
        <f t="shared" si="178"/>
        <v>$C$1:$C$92</v>
      </c>
      <c r="C2300" s="159" t="str">
        <f t="shared" si="179"/>
        <v>February!$B$1:$B$92</v>
      </c>
      <c r="D2300" s="159" t="str">
        <f t="shared" si="180"/>
        <v>February!$C$1:$C$92</v>
      </c>
      <c r="E2300" t="s">
        <v>6</v>
      </c>
      <c r="F2300" t="s">
        <v>121</v>
      </c>
      <c r="G2300" t="s">
        <v>13</v>
      </c>
      <c r="H2300" t="s">
        <v>20</v>
      </c>
      <c r="I2300" t="e">
        <f t="shared" ca="1" si="181"/>
        <v>#REF!</v>
      </c>
      <c r="J2300" t="str">
        <f>VLOOKUP($G2300,DefinitionArrays!$I$6:$J$12,2,FALSE)</f>
        <v>Workweek</v>
      </c>
    </row>
    <row r="2301" spans="1:10">
      <c r="A2301" s="159" t="str">
        <f t="shared" si="177"/>
        <v>$B$1:$B$92</v>
      </c>
      <c r="B2301" s="159" t="str">
        <f t="shared" si="178"/>
        <v>$C$1:$C$92</v>
      </c>
      <c r="C2301" s="159" t="str">
        <f t="shared" si="179"/>
        <v>February!$B$1:$B$92</v>
      </c>
      <c r="D2301" s="159" t="str">
        <f t="shared" si="180"/>
        <v>February!$C$1:$C$92</v>
      </c>
      <c r="E2301" t="s">
        <v>6</v>
      </c>
      <c r="F2301" t="s">
        <v>121</v>
      </c>
      <c r="G2301" t="s">
        <v>13</v>
      </c>
      <c r="H2301" t="s">
        <v>21</v>
      </c>
      <c r="I2301" t="e">
        <f t="shared" ca="1" si="181"/>
        <v>#REF!</v>
      </c>
      <c r="J2301" t="str">
        <f>VLOOKUP($G2301,DefinitionArrays!$I$6:$J$12,2,FALSE)</f>
        <v>Workweek</v>
      </c>
    </row>
    <row r="2302" spans="1:10">
      <c r="A2302" s="159" t="str">
        <f t="shared" si="177"/>
        <v>$B$1:$B$92</v>
      </c>
      <c r="B2302" s="159" t="str">
        <f t="shared" si="178"/>
        <v>$C$1:$C$92</v>
      </c>
      <c r="C2302" s="159" t="str">
        <f t="shared" si="179"/>
        <v>February!$B$1:$B$92</v>
      </c>
      <c r="D2302" s="159" t="str">
        <f t="shared" si="180"/>
        <v>February!$C$1:$C$92</v>
      </c>
      <c r="E2302" t="s">
        <v>6</v>
      </c>
      <c r="F2302" t="s">
        <v>121</v>
      </c>
      <c r="G2302" t="s">
        <v>13</v>
      </c>
      <c r="H2302" t="s">
        <v>22</v>
      </c>
      <c r="I2302" t="e">
        <f t="shared" ca="1" si="181"/>
        <v>#REF!</v>
      </c>
      <c r="J2302" t="str">
        <f>VLOOKUP($G2302,DefinitionArrays!$I$6:$J$12,2,FALSE)</f>
        <v>Workweek</v>
      </c>
    </row>
    <row r="2303" spans="1:10">
      <c r="A2303" s="159" t="str">
        <f t="shared" si="177"/>
        <v>$B$1:$B$92</v>
      </c>
      <c r="B2303" s="159" t="str">
        <f t="shared" si="178"/>
        <v>$C$1:$C$92</v>
      </c>
      <c r="C2303" s="159" t="str">
        <f t="shared" si="179"/>
        <v>February!$B$1:$B$92</v>
      </c>
      <c r="D2303" s="159" t="str">
        <f t="shared" si="180"/>
        <v>February!$C$1:$C$92</v>
      </c>
      <c r="E2303" t="s">
        <v>6</v>
      </c>
      <c r="F2303" t="s">
        <v>121</v>
      </c>
      <c r="G2303" t="s">
        <v>13</v>
      </c>
      <c r="H2303" t="s">
        <v>23</v>
      </c>
      <c r="I2303" t="e">
        <f t="shared" ca="1" si="181"/>
        <v>#REF!</v>
      </c>
      <c r="J2303" t="str">
        <f>VLOOKUP($G2303,DefinitionArrays!$I$6:$J$12,2,FALSE)</f>
        <v>Workweek</v>
      </c>
    </row>
    <row r="2304" spans="1:10">
      <c r="A2304" s="159" t="str">
        <f t="shared" si="177"/>
        <v>$B$1:$B$92</v>
      </c>
      <c r="B2304" s="159" t="str">
        <f t="shared" si="178"/>
        <v>$C$1:$C$92</v>
      </c>
      <c r="C2304" s="159" t="str">
        <f t="shared" si="179"/>
        <v>February!$B$1:$B$92</v>
      </c>
      <c r="D2304" s="159" t="str">
        <f t="shared" si="180"/>
        <v>February!$C$1:$C$92</v>
      </c>
      <c r="E2304" t="s">
        <v>6</v>
      </c>
      <c r="F2304" t="s">
        <v>121</v>
      </c>
      <c r="G2304" t="s">
        <v>13</v>
      </c>
      <c r="H2304" t="s">
        <v>24</v>
      </c>
      <c r="I2304" t="e">
        <f t="shared" ca="1" si="181"/>
        <v>#REF!</v>
      </c>
      <c r="J2304" t="str">
        <f>VLOOKUP($G2304,DefinitionArrays!$I$6:$J$12,2,FALSE)</f>
        <v>Workweek</v>
      </c>
    </row>
    <row r="2305" spans="1:10">
      <c r="A2305" s="159" t="str">
        <f t="shared" si="177"/>
        <v>$B$1:$B$92</v>
      </c>
      <c r="B2305" s="159" t="str">
        <f t="shared" si="178"/>
        <v>$C$1:$C$92</v>
      </c>
      <c r="C2305" s="159" t="str">
        <f t="shared" si="179"/>
        <v>February!$B$1:$B$92</v>
      </c>
      <c r="D2305" s="159" t="str">
        <f t="shared" si="180"/>
        <v>February!$C$1:$C$92</v>
      </c>
      <c r="E2305" t="s">
        <v>6</v>
      </c>
      <c r="F2305" t="s">
        <v>121</v>
      </c>
      <c r="G2305" t="s">
        <v>13</v>
      </c>
      <c r="H2305" t="s">
        <v>179</v>
      </c>
      <c r="I2305" t="e">
        <f t="shared" ca="1" si="181"/>
        <v>#REF!</v>
      </c>
      <c r="J2305" t="str">
        <f>VLOOKUP($G2305,DefinitionArrays!$I$6:$J$12,2,FALSE)</f>
        <v>Workweek</v>
      </c>
    </row>
    <row r="2306" spans="1:10">
      <c r="A2306" s="159" t="str">
        <f t="shared" ref="A2306:A2369" si="182">VLOOKUP($G2306,Fx_Code,2,FALSE)</f>
        <v>$B$1:$B$92</v>
      </c>
      <c r="B2306" s="159" t="str">
        <f t="shared" ref="B2306:B2369" si="183">VLOOKUP($G2306,Fx_Code,3,FALSE)</f>
        <v>$C$1:$C$92</v>
      </c>
      <c r="C2306" s="159" t="str">
        <f t="shared" ref="C2306:C2369" si="184">CONCATENATE($F2306,$K$1,A2306)</f>
        <v>February!$B$1:$B$92</v>
      </c>
      <c r="D2306" s="159" t="str">
        <f t="shared" ref="D2306:D2369" si="185">CONCATENATE($F2306,$K$1,B2306)</f>
        <v>February!$C$1:$C$92</v>
      </c>
      <c r="E2306" t="s">
        <v>6</v>
      </c>
      <c r="F2306" t="s">
        <v>121</v>
      </c>
      <c r="G2306" t="s">
        <v>13</v>
      </c>
      <c r="H2306" t="s">
        <v>180</v>
      </c>
      <c r="I2306" t="e">
        <f t="shared" ca="1" si="181"/>
        <v>#REF!</v>
      </c>
      <c r="J2306" t="str">
        <f>VLOOKUP($G2306,DefinitionArrays!$I$6:$J$12,2,FALSE)</f>
        <v>Workweek</v>
      </c>
    </row>
    <row r="2307" spans="1:10">
      <c r="A2307" s="159" t="str">
        <f t="shared" si="182"/>
        <v>$B$1:$B$92</v>
      </c>
      <c r="B2307" s="159" t="str">
        <f t="shared" si="183"/>
        <v>$C$1:$C$92</v>
      </c>
      <c r="C2307" s="159" t="str">
        <f t="shared" si="184"/>
        <v>February!$B$1:$B$92</v>
      </c>
      <c r="D2307" s="159" t="str">
        <f t="shared" si="185"/>
        <v>February!$C$1:$C$92</v>
      </c>
      <c r="E2307" t="s">
        <v>6</v>
      </c>
      <c r="F2307" t="s">
        <v>121</v>
      </c>
      <c r="G2307" t="s">
        <v>13</v>
      </c>
      <c r="H2307" t="s">
        <v>44</v>
      </c>
      <c r="I2307" t="e">
        <f t="shared" ca="1" si="181"/>
        <v>#REF!</v>
      </c>
      <c r="J2307" t="str">
        <f>VLOOKUP($G2307,DefinitionArrays!$I$6:$J$12,2,FALSE)</f>
        <v>Workweek</v>
      </c>
    </row>
    <row r="2308" spans="1:10">
      <c r="A2308" s="159" t="str">
        <f t="shared" si="182"/>
        <v>$E$1:$E$92</v>
      </c>
      <c r="B2308" s="159" t="str">
        <f t="shared" si="183"/>
        <v>$F$1:$F$92</v>
      </c>
      <c r="C2308" s="159" t="str">
        <f t="shared" si="184"/>
        <v>February!$E$1:$E$92</v>
      </c>
      <c r="D2308" s="159" t="str">
        <f t="shared" si="185"/>
        <v>February!$F$1:$F$92</v>
      </c>
      <c r="E2308" t="s">
        <v>6</v>
      </c>
      <c r="F2308" t="s">
        <v>121</v>
      </c>
      <c r="G2308" t="s">
        <v>142</v>
      </c>
      <c r="H2308" t="s">
        <v>159</v>
      </c>
      <c r="I2308" t="e">
        <f t="shared" ca="1" si="181"/>
        <v>#REF!</v>
      </c>
      <c r="J2308" t="str">
        <f>VLOOKUP($G2308,DefinitionArrays!$I$6:$J$12,2,FALSE)</f>
        <v>Workweek</v>
      </c>
    </row>
    <row r="2309" spans="1:10">
      <c r="A2309" s="159" t="str">
        <f t="shared" si="182"/>
        <v>$E$1:$E$92</v>
      </c>
      <c r="B2309" s="159" t="str">
        <f t="shared" si="183"/>
        <v>$F$1:$F$92</v>
      </c>
      <c r="C2309" s="159" t="str">
        <f t="shared" si="184"/>
        <v>February!$E$1:$E$92</v>
      </c>
      <c r="D2309" s="159" t="str">
        <f t="shared" si="185"/>
        <v>February!$F$1:$F$92</v>
      </c>
      <c r="E2309" t="s">
        <v>6</v>
      </c>
      <c r="F2309" t="s">
        <v>121</v>
      </c>
      <c r="G2309" t="s">
        <v>142</v>
      </c>
      <c r="H2309" t="s">
        <v>18</v>
      </c>
      <c r="I2309" t="e">
        <f t="shared" ca="1" si="181"/>
        <v>#REF!</v>
      </c>
      <c r="J2309" t="str">
        <f>VLOOKUP($G2309,DefinitionArrays!$I$6:$J$12,2,FALSE)</f>
        <v>Workweek</v>
      </c>
    </row>
    <row r="2310" spans="1:10">
      <c r="A2310" s="159" t="str">
        <f t="shared" si="182"/>
        <v>$E$1:$E$92</v>
      </c>
      <c r="B2310" s="159" t="str">
        <f t="shared" si="183"/>
        <v>$F$1:$F$92</v>
      </c>
      <c r="C2310" s="159" t="str">
        <f t="shared" si="184"/>
        <v>February!$E$1:$E$92</v>
      </c>
      <c r="D2310" s="159" t="str">
        <f t="shared" si="185"/>
        <v>February!$F$1:$F$92</v>
      </c>
      <c r="E2310" t="s">
        <v>6</v>
      </c>
      <c r="F2310" t="s">
        <v>121</v>
      </c>
      <c r="G2310" t="s">
        <v>142</v>
      </c>
      <c r="H2310" t="s">
        <v>153</v>
      </c>
      <c r="I2310" t="e">
        <f t="shared" ca="1" si="181"/>
        <v>#REF!</v>
      </c>
      <c r="J2310" t="str">
        <f>VLOOKUP($G2310,DefinitionArrays!$I$6:$J$12,2,FALSE)</f>
        <v>Workweek</v>
      </c>
    </row>
    <row r="2311" spans="1:10">
      <c r="A2311" s="159" t="str">
        <f t="shared" si="182"/>
        <v>$E$1:$E$92</v>
      </c>
      <c r="B2311" s="159" t="str">
        <f t="shared" si="183"/>
        <v>$F$1:$F$92</v>
      </c>
      <c r="C2311" s="159" t="str">
        <f t="shared" si="184"/>
        <v>February!$E$1:$E$92</v>
      </c>
      <c r="D2311" s="159" t="str">
        <f t="shared" si="185"/>
        <v>February!$F$1:$F$92</v>
      </c>
      <c r="E2311" t="s">
        <v>6</v>
      </c>
      <c r="F2311" t="s">
        <v>121</v>
      </c>
      <c r="G2311" t="s">
        <v>142</v>
      </c>
      <c r="H2311" t="s">
        <v>19</v>
      </c>
      <c r="I2311" t="e">
        <f t="shared" ca="1" si="181"/>
        <v>#REF!</v>
      </c>
      <c r="J2311" t="str">
        <f>VLOOKUP($G2311,DefinitionArrays!$I$6:$J$12,2,FALSE)</f>
        <v>Workweek</v>
      </c>
    </row>
    <row r="2312" spans="1:10">
      <c r="A2312" s="159" t="str">
        <f t="shared" si="182"/>
        <v>$E$1:$E$92</v>
      </c>
      <c r="B2312" s="159" t="str">
        <f t="shared" si="183"/>
        <v>$F$1:$F$92</v>
      </c>
      <c r="C2312" s="159" t="str">
        <f t="shared" si="184"/>
        <v>February!$E$1:$E$92</v>
      </c>
      <c r="D2312" s="159" t="str">
        <f t="shared" si="185"/>
        <v>February!$F$1:$F$92</v>
      </c>
      <c r="E2312" t="s">
        <v>6</v>
      </c>
      <c r="F2312" t="s">
        <v>121</v>
      </c>
      <c r="G2312" t="s">
        <v>142</v>
      </c>
      <c r="H2312" t="s">
        <v>20</v>
      </c>
      <c r="I2312" t="e">
        <f t="shared" ca="1" si="181"/>
        <v>#REF!</v>
      </c>
      <c r="J2312" t="str">
        <f>VLOOKUP($G2312,DefinitionArrays!$I$6:$J$12,2,FALSE)</f>
        <v>Workweek</v>
      </c>
    </row>
    <row r="2313" spans="1:10">
      <c r="A2313" s="159" t="str">
        <f t="shared" si="182"/>
        <v>$E$1:$E$92</v>
      </c>
      <c r="B2313" s="159" t="str">
        <f t="shared" si="183"/>
        <v>$F$1:$F$92</v>
      </c>
      <c r="C2313" s="159" t="str">
        <f t="shared" si="184"/>
        <v>February!$E$1:$E$92</v>
      </c>
      <c r="D2313" s="159" t="str">
        <f t="shared" si="185"/>
        <v>February!$F$1:$F$92</v>
      </c>
      <c r="E2313" t="s">
        <v>6</v>
      </c>
      <c r="F2313" t="s">
        <v>121</v>
      </c>
      <c r="G2313" t="s">
        <v>142</v>
      </c>
      <c r="H2313" t="s">
        <v>21</v>
      </c>
      <c r="I2313" t="e">
        <f t="shared" ca="1" si="181"/>
        <v>#REF!</v>
      </c>
      <c r="J2313" t="str">
        <f>VLOOKUP($G2313,DefinitionArrays!$I$6:$J$12,2,FALSE)</f>
        <v>Workweek</v>
      </c>
    </row>
    <row r="2314" spans="1:10">
      <c r="A2314" s="159" t="str">
        <f t="shared" si="182"/>
        <v>$E$1:$E$92</v>
      </c>
      <c r="B2314" s="159" t="str">
        <f t="shared" si="183"/>
        <v>$F$1:$F$92</v>
      </c>
      <c r="C2314" s="159" t="str">
        <f t="shared" si="184"/>
        <v>February!$E$1:$E$92</v>
      </c>
      <c r="D2314" s="159" t="str">
        <f t="shared" si="185"/>
        <v>February!$F$1:$F$92</v>
      </c>
      <c r="E2314" t="s">
        <v>6</v>
      </c>
      <c r="F2314" t="s">
        <v>121</v>
      </c>
      <c r="G2314" t="s">
        <v>142</v>
      </c>
      <c r="H2314" t="s">
        <v>22</v>
      </c>
      <c r="I2314" t="e">
        <f t="shared" ca="1" si="181"/>
        <v>#REF!</v>
      </c>
      <c r="J2314" t="str">
        <f>VLOOKUP($G2314,DefinitionArrays!$I$6:$J$12,2,FALSE)</f>
        <v>Workweek</v>
      </c>
    </row>
    <row r="2315" spans="1:10">
      <c r="A2315" s="159" t="str">
        <f t="shared" si="182"/>
        <v>$E$1:$E$92</v>
      </c>
      <c r="B2315" s="159" t="str">
        <f t="shared" si="183"/>
        <v>$F$1:$F$92</v>
      </c>
      <c r="C2315" s="159" t="str">
        <f t="shared" si="184"/>
        <v>February!$E$1:$E$92</v>
      </c>
      <c r="D2315" s="159" t="str">
        <f t="shared" si="185"/>
        <v>February!$F$1:$F$92</v>
      </c>
      <c r="E2315" t="s">
        <v>6</v>
      </c>
      <c r="F2315" t="s">
        <v>121</v>
      </c>
      <c r="G2315" t="s">
        <v>142</v>
      </c>
      <c r="H2315" t="s">
        <v>23</v>
      </c>
      <c r="I2315" t="e">
        <f t="shared" ca="1" si="181"/>
        <v>#REF!</v>
      </c>
      <c r="J2315" t="str">
        <f>VLOOKUP($G2315,DefinitionArrays!$I$6:$J$12,2,FALSE)</f>
        <v>Workweek</v>
      </c>
    </row>
    <row r="2316" spans="1:10">
      <c r="A2316" s="159" t="str">
        <f t="shared" si="182"/>
        <v>$E$1:$E$92</v>
      </c>
      <c r="B2316" s="159" t="str">
        <f t="shared" si="183"/>
        <v>$F$1:$F$92</v>
      </c>
      <c r="C2316" s="159" t="str">
        <f t="shared" si="184"/>
        <v>February!$E$1:$E$92</v>
      </c>
      <c r="D2316" s="159" t="str">
        <f t="shared" si="185"/>
        <v>February!$F$1:$F$92</v>
      </c>
      <c r="E2316" t="s">
        <v>6</v>
      </c>
      <c r="F2316" t="s">
        <v>121</v>
      </c>
      <c r="G2316" t="s">
        <v>142</v>
      </c>
      <c r="H2316" t="s">
        <v>24</v>
      </c>
      <c r="I2316" t="e">
        <f t="shared" ca="1" si="181"/>
        <v>#REF!</v>
      </c>
      <c r="J2316" t="str">
        <f>VLOOKUP($G2316,DefinitionArrays!$I$6:$J$12,2,FALSE)</f>
        <v>Workweek</v>
      </c>
    </row>
    <row r="2317" spans="1:10">
      <c r="A2317" s="159" t="str">
        <f t="shared" si="182"/>
        <v>$E$1:$E$92</v>
      </c>
      <c r="B2317" s="159" t="str">
        <f t="shared" si="183"/>
        <v>$F$1:$F$92</v>
      </c>
      <c r="C2317" s="159" t="str">
        <f t="shared" si="184"/>
        <v>February!$E$1:$E$92</v>
      </c>
      <c r="D2317" s="159" t="str">
        <f t="shared" si="185"/>
        <v>February!$F$1:$F$92</v>
      </c>
      <c r="E2317" t="s">
        <v>6</v>
      </c>
      <c r="F2317" t="s">
        <v>121</v>
      </c>
      <c r="G2317" t="s">
        <v>142</v>
      </c>
      <c r="H2317" t="s">
        <v>179</v>
      </c>
      <c r="I2317" t="e">
        <f t="shared" ca="1" si="181"/>
        <v>#REF!</v>
      </c>
      <c r="J2317" t="str">
        <f>VLOOKUP($G2317,DefinitionArrays!$I$6:$J$12,2,FALSE)</f>
        <v>Workweek</v>
      </c>
    </row>
    <row r="2318" spans="1:10">
      <c r="A2318" s="159" t="str">
        <f t="shared" si="182"/>
        <v>$E$1:$E$92</v>
      </c>
      <c r="B2318" s="159" t="str">
        <f t="shared" si="183"/>
        <v>$F$1:$F$92</v>
      </c>
      <c r="C2318" s="159" t="str">
        <f t="shared" si="184"/>
        <v>February!$E$1:$E$92</v>
      </c>
      <c r="D2318" s="159" t="str">
        <f t="shared" si="185"/>
        <v>February!$F$1:$F$92</v>
      </c>
      <c r="E2318" t="s">
        <v>6</v>
      </c>
      <c r="F2318" t="s">
        <v>121</v>
      </c>
      <c r="G2318" t="s">
        <v>142</v>
      </c>
      <c r="H2318" t="s">
        <v>180</v>
      </c>
      <c r="I2318" t="e">
        <f t="shared" ca="1" si="181"/>
        <v>#REF!</v>
      </c>
      <c r="J2318" t="str">
        <f>VLOOKUP($G2318,DefinitionArrays!$I$6:$J$12,2,FALSE)</f>
        <v>Workweek</v>
      </c>
    </row>
    <row r="2319" spans="1:10">
      <c r="A2319" s="159" t="str">
        <f t="shared" si="182"/>
        <v>$E$1:$E$92</v>
      </c>
      <c r="B2319" s="159" t="str">
        <f t="shared" si="183"/>
        <v>$F$1:$F$92</v>
      </c>
      <c r="C2319" s="159" t="str">
        <f t="shared" si="184"/>
        <v>February!$E$1:$E$92</v>
      </c>
      <c r="D2319" s="159" t="str">
        <f t="shared" si="185"/>
        <v>February!$F$1:$F$92</v>
      </c>
      <c r="E2319" t="s">
        <v>6</v>
      </c>
      <c r="F2319" t="s">
        <v>121</v>
      </c>
      <c r="G2319" t="s">
        <v>142</v>
      </c>
      <c r="H2319" t="s">
        <v>44</v>
      </c>
      <c r="I2319" t="e">
        <f t="shared" ca="1" si="181"/>
        <v>#REF!</v>
      </c>
      <c r="J2319" t="str">
        <f>VLOOKUP($G2319,DefinitionArrays!$I$6:$J$12,2,FALSE)</f>
        <v>Workweek</v>
      </c>
    </row>
    <row r="2320" spans="1:10">
      <c r="A2320" s="159" t="str">
        <f t="shared" si="182"/>
        <v>$H$1:$H$92</v>
      </c>
      <c r="B2320" s="159" t="str">
        <f t="shared" si="183"/>
        <v>$I$1:$I$92</v>
      </c>
      <c r="C2320" s="159" t="str">
        <f t="shared" si="184"/>
        <v>February!$H$1:$H$92</v>
      </c>
      <c r="D2320" s="159" t="str">
        <f t="shared" si="185"/>
        <v>February!$I$1:$I$92</v>
      </c>
      <c r="E2320" t="s">
        <v>6</v>
      </c>
      <c r="F2320" t="s">
        <v>121</v>
      </c>
      <c r="G2320" t="s">
        <v>143</v>
      </c>
      <c r="H2320" t="s">
        <v>159</v>
      </c>
      <c r="I2320" t="e">
        <f t="shared" ca="1" si="181"/>
        <v>#REF!</v>
      </c>
      <c r="J2320" t="str">
        <f>VLOOKUP($G2320,DefinitionArrays!$I$6:$J$12,2,FALSE)</f>
        <v>Workweek</v>
      </c>
    </row>
    <row r="2321" spans="1:10">
      <c r="A2321" s="159" t="str">
        <f t="shared" si="182"/>
        <v>$H$1:$H$92</v>
      </c>
      <c r="B2321" s="159" t="str">
        <f t="shared" si="183"/>
        <v>$I$1:$I$92</v>
      </c>
      <c r="C2321" s="159" t="str">
        <f t="shared" si="184"/>
        <v>February!$H$1:$H$92</v>
      </c>
      <c r="D2321" s="159" t="str">
        <f t="shared" si="185"/>
        <v>February!$I$1:$I$92</v>
      </c>
      <c r="E2321" t="s">
        <v>6</v>
      </c>
      <c r="F2321" t="s">
        <v>121</v>
      </c>
      <c r="G2321" t="s">
        <v>143</v>
      </c>
      <c r="H2321" t="s">
        <v>18</v>
      </c>
      <c r="I2321" t="e">
        <f t="shared" ca="1" si="181"/>
        <v>#REF!</v>
      </c>
      <c r="J2321" t="str">
        <f>VLOOKUP($G2321,DefinitionArrays!$I$6:$J$12,2,FALSE)</f>
        <v>Workweek</v>
      </c>
    </row>
    <row r="2322" spans="1:10">
      <c r="A2322" s="159" t="str">
        <f t="shared" si="182"/>
        <v>$H$1:$H$92</v>
      </c>
      <c r="B2322" s="159" t="str">
        <f t="shared" si="183"/>
        <v>$I$1:$I$92</v>
      </c>
      <c r="C2322" s="159" t="str">
        <f t="shared" si="184"/>
        <v>February!$H$1:$H$92</v>
      </c>
      <c r="D2322" s="159" t="str">
        <f t="shared" si="185"/>
        <v>February!$I$1:$I$92</v>
      </c>
      <c r="E2322" t="s">
        <v>6</v>
      </c>
      <c r="F2322" t="s">
        <v>121</v>
      </c>
      <c r="G2322" t="s">
        <v>143</v>
      </c>
      <c r="H2322" t="s">
        <v>153</v>
      </c>
      <c r="I2322" t="e">
        <f t="shared" ca="1" si="181"/>
        <v>#REF!</v>
      </c>
      <c r="J2322" t="str">
        <f>VLOOKUP($G2322,DefinitionArrays!$I$6:$J$12,2,FALSE)</f>
        <v>Workweek</v>
      </c>
    </row>
    <row r="2323" spans="1:10">
      <c r="A2323" s="159" t="str">
        <f t="shared" si="182"/>
        <v>$H$1:$H$92</v>
      </c>
      <c r="B2323" s="159" t="str">
        <f t="shared" si="183"/>
        <v>$I$1:$I$92</v>
      </c>
      <c r="C2323" s="159" t="str">
        <f t="shared" si="184"/>
        <v>February!$H$1:$H$92</v>
      </c>
      <c r="D2323" s="159" t="str">
        <f t="shared" si="185"/>
        <v>February!$I$1:$I$92</v>
      </c>
      <c r="E2323" t="s">
        <v>6</v>
      </c>
      <c r="F2323" t="s">
        <v>121</v>
      </c>
      <c r="G2323" t="s">
        <v>143</v>
      </c>
      <c r="H2323" t="s">
        <v>19</v>
      </c>
      <c r="I2323" t="e">
        <f t="shared" ca="1" si="181"/>
        <v>#REF!</v>
      </c>
      <c r="J2323" t="str">
        <f>VLOOKUP($G2323,DefinitionArrays!$I$6:$J$12,2,FALSE)</f>
        <v>Workweek</v>
      </c>
    </row>
    <row r="2324" spans="1:10">
      <c r="A2324" s="159" t="str">
        <f t="shared" si="182"/>
        <v>$H$1:$H$92</v>
      </c>
      <c r="B2324" s="159" t="str">
        <f t="shared" si="183"/>
        <v>$I$1:$I$92</v>
      </c>
      <c r="C2324" s="159" t="str">
        <f t="shared" si="184"/>
        <v>February!$H$1:$H$92</v>
      </c>
      <c r="D2324" s="159" t="str">
        <f t="shared" si="185"/>
        <v>February!$I$1:$I$92</v>
      </c>
      <c r="E2324" t="s">
        <v>6</v>
      </c>
      <c r="F2324" t="s">
        <v>121</v>
      </c>
      <c r="G2324" t="s">
        <v>143</v>
      </c>
      <c r="H2324" t="s">
        <v>20</v>
      </c>
      <c r="I2324" t="e">
        <f t="shared" ca="1" si="181"/>
        <v>#REF!</v>
      </c>
      <c r="J2324" t="str">
        <f>VLOOKUP($G2324,DefinitionArrays!$I$6:$J$12,2,FALSE)</f>
        <v>Workweek</v>
      </c>
    </row>
    <row r="2325" spans="1:10">
      <c r="A2325" s="159" t="str">
        <f t="shared" si="182"/>
        <v>$H$1:$H$92</v>
      </c>
      <c r="B2325" s="159" t="str">
        <f t="shared" si="183"/>
        <v>$I$1:$I$92</v>
      </c>
      <c r="C2325" s="159" t="str">
        <f t="shared" si="184"/>
        <v>February!$H$1:$H$92</v>
      </c>
      <c r="D2325" s="159" t="str">
        <f t="shared" si="185"/>
        <v>February!$I$1:$I$92</v>
      </c>
      <c r="E2325" t="s">
        <v>6</v>
      </c>
      <c r="F2325" t="s">
        <v>121</v>
      </c>
      <c r="G2325" t="s">
        <v>143</v>
      </c>
      <c r="H2325" t="s">
        <v>21</v>
      </c>
      <c r="I2325" t="e">
        <f t="shared" ca="1" si="181"/>
        <v>#REF!</v>
      </c>
      <c r="J2325" t="str">
        <f>VLOOKUP($G2325,DefinitionArrays!$I$6:$J$12,2,FALSE)</f>
        <v>Workweek</v>
      </c>
    </row>
    <row r="2326" spans="1:10">
      <c r="A2326" s="159" t="str">
        <f t="shared" si="182"/>
        <v>$H$1:$H$92</v>
      </c>
      <c r="B2326" s="159" t="str">
        <f t="shared" si="183"/>
        <v>$I$1:$I$92</v>
      </c>
      <c r="C2326" s="159" t="str">
        <f t="shared" si="184"/>
        <v>February!$H$1:$H$92</v>
      </c>
      <c r="D2326" s="159" t="str">
        <f t="shared" si="185"/>
        <v>February!$I$1:$I$92</v>
      </c>
      <c r="E2326" t="s">
        <v>6</v>
      </c>
      <c r="F2326" t="s">
        <v>121</v>
      </c>
      <c r="G2326" t="s">
        <v>143</v>
      </c>
      <c r="H2326" t="s">
        <v>22</v>
      </c>
      <c r="I2326" t="e">
        <f t="shared" ca="1" si="181"/>
        <v>#REF!</v>
      </c>
      <c r="J2326" t="str">
        <f>VLOOKUP($G2326,DefinitionArrays!$I$6:$J$12,2,FALSE)</f>
        <v>Workweek</v>
      </c>
    </row>
    <row r="2327" spans="1:10">
      <c r="A2327" s="159" t="str">
        <f t="shared" si="182"/>
        <v>$H$1:$H$92</v>
      </c>
      <c r="B2327" s="159" t="str">
        <f t="shared" si="183"/>
        <v>$I$1:$I$92</v>
      </c>
      <c r="C2327" s="159" t="str">
        <f t="shared" si="184"/>
        <v>February!$H$1:$H$92</v>
      </c>
      <c r="D2327" s="159" t="str">
        <f t="shared" si="185"/>
        <v>February!$I$1:$I$92</v>
      </c>
      <c r="E2327" t="s">
        <v>6</v>
      </c>
      <c r="F2327" t="s">
        <v>121</v>
      </c>
      <c r="G2327" t="s">
        <v>143</v>
      </c>
      <c r="H2327" t="s">
        <v>23</v>
      </c>
      <c r="I2327" t="e">
        <f t="shared" ca="1" si="181"/>
        <v>#REF!</v>
      </c>
      <c r="J2327" t="str">
        <f>VLOOKUP($G2327,DefinitionArrays!$I$6:$J$12,2,FALSE)</f>
        <v>Workweek</v>
      </c>
    </row>
    <row r="2328" spans="1:10">
      <c r="A2328" s="159" t="str">
        <f t="shared" si="182"/>
        <v>$H$1:$H$92</v>
      </c>
      <c r="B2328" s="159" t="str">
        <f t="shared" si="183"/>
        <v>$I$1:$I$92</v>
      </c>
      <c r="C2328" s="159" t="str">
        <f t="shared" si="184"/>
        <v>February!$H$1:$H$92</v>
      </c>
      <c r="D2328" s="159" t="str">
        <f t="shared" si="185"/>
        <v>February!$I$1:$I$92</v>
      </c>
      <c r="E2328" t="s">
        <v>6</v>
      </c>
      <c r="F2328" t="s">
        <v>121</v>
      </c>
      <c r="G2328" t="s">
        <v>143</v>
      </c>
      <c r="H2328" t="s">
        <v>24</v>
      </c>
      <c r="I2328" t="e">
        <f t="shared" ca="1" si="181"/>
        <v>#REF!</v>
      </c>
      <c r="J2328" t="str">
        <f>VLOOKUP($G2328,DefinitionArrays!$I$6:$J$12,2,FALSE)</f>
        <v>Workweek</v>
      </c>
    </row>
    <row r="2329" spans="1:10">
      <c r="A2329" s="159" t="str">
        <f t="shared" si="182"/>
        <v>$H$1:$H$92</v>
      </c>
      <c r="B2329" s="159" t="str">
        <f t="shared" si="183"/>
        <v>$I$1:$I$92</v>
      </c>
      <c r="C2329" s="159" t="str">
        <f t="shared" si="184"/>
        <v>February!$H$1:$H$92</v>
      </c>
      <c r="D2329" s="159" t="str">
        <f t="shared" si="185"/>
        <v>February!$I$1:$I$92</v>
      </c>
      <c r="E2329" t="s">
        <v>6</v>
      </c>
      <c r="F2329" t="s">
        <v>121</v>
      </c>
      <c r="G2329" t="s">
        <v>143</v>
      </c>
      <c r="H2329" t="s">
        <v>179</v>
      </c>
      <c r="I2329" t="e">
        <f t="shared" ca="1" si="181"/>
        <v>#REF!</v>
      </c>
      <c r="J2329" t="str">
        <f>VLOOKUP($G2329,DefinitionArrays!$I$6:$J$12,2,FALSE)</f>
        <v>Workweek</v>
      </c>
    </row>
    <row r="2330" spans="1:10">
      <c r="A2330" s="159" t="str">
        <f t="shared" si="182"/>
        <v>$H$1:$H$92</v>
      </c>
      <c r="B2330" s="159" t="str">
        <f t="shared" si="183"/>
        <v>$I$1:$I$92</v>
      </c>
      <c r="C2330" s="159" t="str">
        <f t="shared" si="184"/>
        <v>February!$H$1:$H$92</v>
      </c>
      <c r="D2330" s="159" t="str">
        <f t="shared" si="185"/>
        <v>February!$I$1:$I$92</v>
      </c>
      <c r="E2330" t="s">
        <v>6</v>
      </c>
      <c r="F2330" t="s">
        <v>121</v>
      </c>
      <c r="G2330" t="s">
        <v>143</v>
      </c>
      <c r="H2330" t="s">
        <v>180</v>
      </c>
      <c r="I2330" t="e">
        <f t="shared" ca="1" si="181"/>
        <v>#REF!</v>
      </c>
      <c r="J2330" t="str">
        <f>VLOOKUP($G2330,DefinitionArrays!$I$6:$J$12,2,FALSE)</f>
        <v>Workweek</v>
      </c>
    </row>
    <row r="2331" spans="1:10">
      <c r="A2331" s="159" t="str">
        <f t="shared" si="182"/>
        <v>$H$1:$H$92</v>
      </c>
      <c r="B2331" s="159" t="str">
        <f t="shared" si="183"/>
        <v>$I$1:$I$92</v>
      </c>
      <c r="C2331" s="159" t="str">
        <f t="shared" si="184"/>
        <v>February!$H$1:$H$92</v>
      </c>
      <c r="D2331" s="159" t="str">
        <f t="shared" si="185"/>
        <v>February!$I$1:$I$92</v>
      </c>
      <c r="E2331" t="s">
        <v>6</v>
      </c>
      <c r="F2331" t="s">
        <v>121</v>
      </c>
      <c r="G2331" t="s">
        <v>143</v>
      </c>
      <c r="H2331" t="s">
        <v>44</v>
      </c>
      <c r="I2331" t="e">
        <f t="shared" ca="1" si="181"/>
        <v>#REF!</v>
      </c>
      <c r="J2331" t="str">
        <f>VLOOKUP($G2331,DefinitionArrays!$I$6:$J$12,2,FALSE)</f>
        <v>Workweek</v>
      </c>
    </row>
    <row r="2332" spans="1:10">
      <c r="A2332" s="159" t="str">
        <f t="shared" si="182"/>
        <v>$K$1:$K$92</v>
      </c>
      <c r="B2332" s="159" t="str">
        <f t="shared" si="183"/>
        <v>$L$1:$L$92</v>
      </c>
      <c r="C2332" s="159" t="str">
        <f t="shared" si="184"/>
        <v>February!$K$1:$K$92</v>
      </c>
      <c r="D2332" s="159" t="str">
        <f t="shared" si="185"/>
        <v>February!$L$1:$L$92</v>
      </c>
      <c r="E2332" t="s">
        <v>6</v>
      </c>
      <c r="F2332" t="s">
        <v>121</v>
      </c>
      <c r="G2332" t="s">
        <v>144</v>
      </c>
      <c r="H2332" t="s">
        <v>159</v>
      </c>
      <c r="I2332" t="e">
        <f t="shared" ca="1" si="181"/>
        <v>#REF!</v>
      </c>
      <c r="J2332" t="str">
        <f>VLOOKUP($G2332,DefinitionArrays!$I$6:$J$12,2,FALSE)</f>
        <v>Workweek</v>
      </c>
    </row>
    <row r="2333" spans="1:10">
      <c r="A2333" s="159" t="str">
        <f t="shared" si="182"/>
        <v>$K$1:$K$92</v>
      </c>
      <c r="B2333" s="159" t="str">
        <f t="shared" si="183"/>
        <v>$L$1:$L$92</v>
      </c>
      <c r="C2333" s="159" t="str">
        <f t="shared" si="184"/>
        <v>February!$K$1:$K$92</v>
      </c>
      <c r="D2333" s="159" t="str">
        <f t="shared" si="185"/>
        <v>February!$L$1:$L$92</v>
      </c>
      <c r="E2333" t="s">
        <v>6</v>
      </c>
      <c r="F2333" t="s">
        <v>121</v>
      </c>
      <c r="G2333" t="s">
        <v>144</v>
      </c>
      <c r="H2333" t="s">
        <v>18</v>
      </c>
      <c r="I2333" t="e">
        <f t="shared" ca="1" si="181"/>
        <v>#REF!</v>
      </c>
      <c r="J2333" t="str">
        <f>VLOOKUP($G2333,DefinitionArrays!$I$6:$J$12,2,FALSE)</f>
        <v>Workweek</v>
      </c>
    </row>
    <row r="2334" spans="1:10">
      <c r="A2334" s="159" t="str">
        <f t="shared" si="182"/>
        <v>$K$1:$K$92</v>
      </c>
      <c r="B2334" s="159" t="str">
        <f t="shared" si="183"/>
        <v>$L$1:$L$92</v>
      </c>
      <c r="C2334" s="159" t="str">
        <f t="shared" si="184"/>
        <v>February!$K$1:$K$92</v>
      </c>
      <c r="D2334" s="159" t="str">
        <f t="shared" si="185"/>
        <v>February!$L$1:$L$92</v>
      </c>
      <c r="E2334" t="s">
        <v>6</v>
      </c>
      <c r="F2334" t="s">
        <v>121</v>
      </c>
      <c r="G2334" t="s">
        <v>144</v>
      </c>
      <c r="H2334" t="s">
        <v>153</v>
      </c>
      <c r="I2334" t="e">
        <f t="shared" ca="1" si="181"/>
        <v>#REF!</v>
      </c>
      <c r="J2334" t="str">
        <f>VLOOKUP($G2334,DefinitionArrays!$I$6:$J$12,2,FALSE)</f>
        <v>Workweek</v>
      </c>
    </row>
    <row r="2335" spans="1:10">
      <c r="A2335" s="159" t="str">
        <f t="shared" si="182"/>
        <v>$K$1:$K$92</v>
      </c>
      <c r="B2335" s="159" t="str">
        <f t="shared" si="183"/>
        <v>$L$1:$L$92</v>
      </c>
      <c r="C2335" s="159" t="str">
        <f t="shared" si="184"/>
        <v>February!$K$1:$K$92</v>
      </c>
      <c r="D2335" s="159" t="str">
        <f t="shared" si="185"/>
        <v>February!$L$1:$L$92</v>
      </c>
      <c r="E2335" t="s">
        <v>6</v>
      </c>
      <c r="F2335" t="s">
        <v>121</v>
      </c>
      <c r="G2335" t="s">
        <v>144</v>
      </c>
      <c r="H2335" t="s">
        <v>19</v>
      </c>
      <c r="I2335" t="e">
        <f t="shared" ca="1" si="181"/>
        <v>#REF!</v>
      </c>
      <c r="J2335" t="str">
        <f>VLOOKUP($G2335,DefinitionArrays!$I$6:$J$12,2,FALSE)</f>
        <v>Workweek</v>
      </c>
    </row>
    <row r="2336" spans="1:10">
      <c r="A2336" s="159" t="str">
        <f t="shared" si="182"/>
        <v>$K$1:$K$92</v>
      </c>
      <c r="B2336" s="159" t="str">
        <f t="shared" si="183"/>
        <v>$L$1:$L$92</v>
      </c>
      <c r="C2336" s="159" t="str">
        <f t="shared" si="184"/>
        <v>February!$K$1:$K$92</v>
      </c>
      <c r="D2336" s="159" t="str">
        <f t="shared" si="185"/>
        <v>February!$L$1:$L$92</v>
      </c>
      <c r="E2336" t="s">
        <v>6</v>
      </c>
      <c r="F2336" t="s">
        <v>121</v>
      </c>
      <c r="G2336" t="s">
        <v>144</v>
      </c>
      <c r="H2336" t="s">
        <v>20</v>
      </c>
      <c r="I2336" t="e">
        <f t="shared" ca="1" si="181"/>
        <v>#REF!</v>
      </c>
      <c r="J2336" t="str">
        <f>VLOOKUP($G2336,DefinitionArrays!$I$6:$J$12,2,FALSE)</f>
        <v>Workweek</v>
      </c>
    </row>
    <row r="2337" spans="1:10">
      <c r="A2337" s="159" t="str">
        <f t="shared" si="182"/>
        <v>$K$1:$K$92</v>
      </c>
      <c r="B2337" s="159" t="str">
        <f t="shared" si="183"/>
        <v>$L$1:$L$92</v>
      </c>
      <c r="C2337" s="159" t="str">
        <f t="shared" si="184"/>
        <v>February!$K$1:$K$92</v>
      </c>
      <c r="D2337" s="159" t="str">
        <f t="shared" si="185"/>
        <v>February!$L$1:$L$92</v>
      </c>
      <c r="E2337" t="s">
        <v>6</v>
      </c>
      <c r="F2337" t="s">
        <v>121</v>
      </c>
      <c r="G2337" t="s">
        <v>144</v>
      </c>
      <c r="H2337" t="s">
        <v>21</v>
      </c>
      <c r="I2337" t="e">
        <f t="shared" ca="1" si="181"/>
        <v>#REF!</v>
      </c>
      <c r="J2337" t="str">
        <f>VLOOKUP($G2337,DefinitionArrays!$I$6:$J$12,2,FALSE)</f>
        <v>Workweek</v>
      </c>
    </row>
    <row r="2338" spans="1:10">
      <c r="A2338" s="159" t="str">
        <f t="shared" si="182"/>
        <v>$K$1:$K$92</v>
      </c>
      <c r="B2338" s="159" t="str">
        <f t="shared" si="183"/>
        <v>$L$1:$L$92</v>
      </c>
      <c r="C2338" s="159" t="str">
        <f t="shared" si="184"/>
        <v>February!$K$1:$K$92</v>
      </c>
      <c r="D2338" s="159" t="str">
        <f t="shared" si="185"/>
        <v>February!$L$1:$L$92</v>
      </c>
      <c r="E2338" t="s">
        <v>6</v>
      </c>
      <c r="F2338" t="s">
        <v>121</v>
      </c>
      <c r="G2338" t="s">
        <v>144</v>
      </c>
      <c r="H2338" t="s">
        <v>22</v>
      </c>
      <c r="I2338" t="e">
        <f t="shared" ca="1" si="181"/>
        <v>#REF!</v>
      </c>
      <c r="J2338" t="str">
        <f>VLOOKUP($G2338,DefinitionArrays!$I$6:$J$12,2,FALSE)</f>
        <v>Workweek</v>
      </c>
    </row>
    <row r="2339" spans="1:10">
      <c r="A2339" s="159" t="str">
        <f t="shared" si="182"/>
        <v>$K$1:$K$92</v>
      </c>
      <c r="B2339" s="159" t="str">
        <f t="shared" si="183"/>
        <v>$L$1:$L$92</v>
      </c>
      <c r="C2339" s="159" t="str">
        <f t="shared" si="184"/>
        <v>February!$K$1:$K$92</v>
      </c>
      <c r="D2339" s="159" t="str">
        <f t="shared" si="185"/>
        <v>February!$L$1:$L$92</v>
      </c>
      <c r="E2339" t="s">
        <v>6</v>
      </c>
      <c r="F2339" t="s">
        <v>121</v>
      </c>
      <c r="G2339" t="s">
        <v>144</v>
      </c>
      <c r="H2339" t="s">
        <v>23</v>
      </c>
      <c r="I2339" t="e">
        <f t="shared" ca="1" si="181"/>
        <v>#REF!</v>
      </c>
      <c r="J2339" t="str">
        <f>VLOOKUP($G2339,DefinitionArrays!$I$6:$J$12,2,FALSE)</f>
        <v>Workweek</v>
      </c>
    </row>
    <row r="2340" spans="1:10">
      <c r="A2340" s="159" t="str">
        <f t="shared" si="182"/>
        <v>$K$1:$K$92</v>
      </c>
      <c r="B2340" s="159" t="str">
        <f t="shared" si="183"/>
        <v>$L$1:$L$92</v>
      </c>
      <c r="C2340" s="159" t="str">
        <f t="shared" si="184"/>
        <v>February!$K$1:$K$92</v>
      </c>
      <c r="D2340" s="159" t="str">
        <f t="shared" si="185"/>
        <v>February!$L$1:$L$92</v>
      </c>
      <c r="E2340" t="s">
        <v>6</v>
      </c>
      <c r="F2340" t="s">
        <v>121</v>
      </c>
      <c r="G2340" t="s">
        <v>144</v>
      </c>
      <c r="H2340" t="s">
        <v>24</v>
      </c>
      <c r="I2340" t="e">
        <f t="shared" ca="1" si="181"/>
        <v>#REF!</v>
      </c>
      <c r="J2340" t="str">
        <f>VLOOKUP($G2340,DefinitionArrays!$I$6:$J$12,2,FALSE)</f>
        <v>Workweek</v>
      </c>
    </row>
    <row r="2341" spans="1:10">
      <c r="A2341" s="159" t="str">
        <f t="shared" si="182"/>
        <v>$K$1:$K$92</v>
      </c>
      <c r="B2341" s="159" t="str">
        <f t="shared" si="183"/>
        <v>$L$1:$L$92</v>
      </c>
      <c r="C2341" s="159" t="str">
        <f t="shared" si="184"/>
        <v>February!$K$1:$K$92</v>
      </c>
      <c r="D2341" s="159" t="str">
        <f t="shared" si="185"/>
        <v>February!$L$1:$L$92</v>
      </c>
      <c r="E2341" t="s">
        <v>6</v>
      </c>
      <c r="F2341" t="s">
        <v>121</v>
      </c>
      <c r="G2341" t="s">
        <v>144</v>
      </c>
      <c r="H2341" t="s">
        <v>179</v>
      </c>
      <c r="I2341" t="e">
        <f t="shared" ca="1" si="181"/>
        <v>#REF!</v>
      </c>
      <c r="J2341" t="str">
        <f>VLOOKUP($G2341,DefinitionArrays!$I$6:$J$12,2,FALSE)</f>
        <v>Workweek</v>
      </c>
    </row>
    <row r="2342" spans="1:10">
      <c r="A2342" s="159" t="str">
        <f t="shared" si="182"/>
        <v>$K$1:$K$92</v>
      </c>
      <c r="B2342" s="159" t="str">
        <f t="shared" si="183"/>
        <v>$L$1:$L$92</v>
      </c>
      <c r="C2342" s="159" t="str">
        <f t="shared" si="184"/>
        <v>February!$K$1:$K$92</v>
      </c>
      <c r="D2342" s="159" t="str">
        <f t="shared" si="185"/>
        <v>February!$L$1:$L$92</v>
      </c>
      <c r="E2342" t="s">
        <v>6</v>
      </c>
      <c r="F2342" t="s">
        <v>121</v>
      </c>
      <c r="G2342" t="s">
        <v>144</v>
      </c>
      <c r="H2342" t="s">
        <v>180</v>
      </c>
      <c r="I2342" t="e">
        <f t="shared" ca="1" si="181"/>
        <v>#REF!</v>
      </c>
      <c r="J2342" t="str">
        <f>VLOOKUP($G2342,DefinitionArrays!$I$6:$J$12,2,FALSE)</f>
        <v>Workweek</v>
      </c>
    </row>
    <row r="2343" spans="1:10">
      <c r="A2343" s="159" t="str">
        <f t="shared" si="182"/>
        <v>$K$1:$K$92</v>
      </c>
      <c r="B2343" s="159" t="str">
        <f t="shared" si="183"/>
        <v>$L$1:$L$92</v>
      </c>
      <c r="C2343" s="159" t="str">
        <f t="shared" si="184"/>
        <v>February!$K$1:$K$92</v>
      </c>
      <c r="D2343" s="159" t="str">
        <f t="shared" si="185"/>
        <v>February!$L$1:$L$92</v>
      </c>
      <c r="E2343" t="s">
        <v>6</v>
      </c>
      <c r="F2343" t="s">
        <v>121</v>
      </c>
      <c r="G2343" t="s">
        <v>144</v>
      </c>
      <c r="H2343" t="s">
        <v>44</v>
      </c>
      <c r="I2343" t="e">
        <f t="shared" ca="1" si="181"/>
        <v>#REF!</v>
      </c>
      <c r="J2343" t="str">
        <f>VLOOKUP($G2343,DefinitionArrays!$I$6:$J$12,2,FALSE)</f>
        <v>Workweek</v>
      </c>
    </row>
    <row r="2344" spans="1:10">
      <c r="A2344" s="159" t="str">
        <f t="shared" si="182"/>
        <v>$N$1:$N$92</v>
      </c>
      <c r="B2344" s="159" t="str">
        <f t="shared" si="183"/>
        <v>$O$1:$O$92</v>
      </c>
      <c r="C2344" s="159" t="str">
        <f t="shared" si="184"/>
        <v>February!$N$1:$N$92</v>
      </c>
      <c r="D2344" s="159" t="str">
        <f t="shared" si="185"/>
        <v>February!$O$1:$O$92</v>
      </c>
      <c r="E2344" t="s">
        <v>6</v>
      </c>
      <c r="F2344" t="s">
        <v>121</v>
      </c>
      <c r="G2344" t="s">
        <v>145</v>
      </c>
      <c r="H2344" t="s">
        <v>159</v>
      </c>
      <c r="I2344" t="e">
        <f t="shared" ca="1" si="181"/>
        <v>#REF!</v>
      </c>
      <c r="J2344" t="str">
        <f>VLOOKUP($G2344,DefinitionArrays!$I$6:$J$12,2,FALSE)</f>
        <v>Weekend</v>
      </c>
    </row>
    <row r="2345" spans="1:10">
      <c r="A2345" s="159" t="str">
        <f t="shared" si="182"/>
        <v>$N$1:$N$92</v>
      </c>
      <c r="B2345" s="159" t="str">
        <f t="shared" si="183"/>
        <v>$O$1:$O$92</v>
      </c>
      <c r="C2345" s="159" t="str">
        <f t="shared" si="184"/>
        <v>February!$N$1:$N$92</v>
      </c>
      <c r="D2345" s="159" t="str">
        <f t="shared" si="185"/>
        <v>February!$O$1:$O$92</v>
      </c>
      <c r="E2345" t="s">
        <v>6</v>
      </c>
      <c r="F2345" t="s">
        <v>121</v>
      </c>
      <c r="G2345" t="s">
        <v>145</v>
      </c>
      <c r="H2345" t="s">
        <v>18</v>
      </c>
      <c r="I2345" t="e">
        <f t="shared" ca="1" si="181"/>
        <v>#REF!</v>
      </c>
      <c r="J2345" t="str">
        <f>VLOOKUP($G2345,DefinitionArrays!$I$6:$J$12,2,FALSE)</f>
        <v>Weekend</v>
      </c>
    </row>
    <row r="2346" spans="1:10">
      <c r="A2346" s="159" t="str">
        <f t="shared" si="182"/>
        <v>$N$1:$N$92</v>
      </c>
      <c r="B2346" s="159" t="str">
        <f t="shared" si="183"/>
        <v>$O$1:$O$92</v>
      </c>
      <c r="C2346" s="159" t="str">
        <f t="shared" si="184"/>
        <v>February!$N$1:$N$92</v>
      </c>
      <c r="D2346" s="159" t="str">
        <f t="shared" si="185"/>
        <v>February!$O$1:$O$92</v>
      </c>
      <c r="E2346" t="s">
        <v>6</v>
      </c>
      <c r="F2346" t="s">
        <v>121</v>
      </c>
      <c r="G2346" t="s">
        <v>145</v>
      </c>
      <c r="H2346" t="s">
        <v>153</v>
      </c>
      <c r="I2346" t="e">
        <f t="shared" ca="1" si="181"/>
        <v>#REF!</v>
      </c>
      <c r="J2346" t="str">
        <f>VLOOKUP($G2346,DefinitionArrays!$I$6:$J$12,2,FALSE)</f>
        <v>Weekend</v>
      </c>
    </row>
    <row r="2347" spans="1:10">
      <c r="A2347" s="159" t="str">
        <f t="shared" si="182"/>
        <v>$N$1:$N$92</v>
      </c>
      <c r="B2347" s="159" t="str">
        <f t="shared" si="183"/>
        <v>$O$1:$O$92</v>
      </c>
      <c r="C2347" s="159" t="str">
        <f t="shared" si="184"/>
        <v>February!$N$1:$N$92</v>
      </c>
      <c r="D2347" s="159" t="str">
        <f t="shared" si="185"/>
        <v>February!$O$1:$O$92</v>
      </c>
      <c r="E2347" t="s">
        <v>6</v>
      </c>
      <c r="F2347" t="s">
        <v>121</v>
      </c>
      <c r="G2347" t="s">
        <v>145</v>
      </c>
      <c r="H2347" t="s">
        <v>19</v>
      </c>
      <c r="I2347" t="e">
        <f t="shared" ca="1" si="181"/>
        <v>#REF!</v>
      </c>
      <c r="J2347" t="str">
        <f>VLOOKUP($G2347,DefinitionArrays!$I$6:$J$12,2,FALSE)</f>
        <v>Weekend</v>
      </c>
    </row>
    <row r="2348" spans="1:10">
      <c r="A2348" s="159" t="str">
        <f t="shared" si="182"/>
        <v>$N$1:$N$92</v>
      </c>
      <c r="B2348" s="159" t="str">
        <f t="shared" si="183"/>
        <v>$O$1:$O$92</v>
      </c>
      <c r="C2348" s="159" t="str">
        <f t="shared" si="184"/>
        <v>February!$N$1:$N$92</v>
      </c>
      <c r="D2348" s="159" t="str">
        <f t="shared" si="185"/>
        <v>February!$O$1:$O$92</v>
      </c>
      <c r="E2348" t="s">
        <v>6</v>
      </c>
      <c r="F2348" t="s">
        <v>121</v>
      </c>
      <c r="G2348" t="s">
        <v>145</v>
      </c>
      <c r="H2348" t="s">
        <v>20</v>
      </c>
      <c r="I2348" t="e">
        <f t="shared" ca="1" si="181"/>
        <v>#REF!</v>
      </c>
      <c r="J2348" t="str">
        <f>VLOOKUP($G2348,DefinitionArrays!$I$6:$J$12,2,FALSE)</f>
        <v>Weekend</v>
      </c>
    </row>
    <row r="2349" spans="1:10">
      <c r="A2349" s="159" t="str">
        <f t="shared" si="182"/>
        <v>$N$1:$N$92</v>
      </c>
      <c r="B2349" s="159" t="str">
        <f t="shared" si="183"/>
        <v>$O$1:$O$92</v>
      </c>
      <c r="C2349" s="159" t="str">
        <f t="shared" si="184"/>
        <v>February!$N$1:$N$92</v>
      </c>
      <c r="D2349" s="159" t="str">
        <f t="shared" si="185"/>
        <v>February!$O$1:$O$92</v>
      </c>
      <c r="E2349" t="s">
        <v>6</v>
      </c>
      <c r="F2349" t="s">
        <v>121</v>
      </c>
      <c r="G2349" t="s">
        <v>145</v>
      </c>
      <c r="H2349" t="s">
        <v>21</v>
      </c>
      <c r="I2349" t="e">
        <f t="shared" ca="1" si="181"/>
        <v>#REF!</v>
      </c>
      <c r="J2349" t="str">
        <f>VLOOKUP($G2349,DefinitionArrays!$I$6:$J$12,2,FALSE)</f>
        <v>Weekend</v>
      </c>
    </row>
    <row r="2350" spans="1:10">
      <c r="A2350" s="159" t="str">
        <f t="shared" si="182"/>
        <v>$N$1:$N$92</v>
      </c>
      <c r="B2350" s="159" t="str">
        <f t="shared" si="183"/>
        <v>$O$1:$O$92</v>
      </c>
      <c r="C2350" s="159" t="str">
        <f t="shared" si="184"/>
        <v>February!$N$1:$N$92</v>
      </c>
      <c r="D2350" s="159" t="str">
        <f t="shared" si="185"/>
        <v>February!$O$1:$O$92</v>
      </c>
      <c r="E2350" t="s">
        <v>6</v>
      </c>
      <c r="F2350" t="s">
        <v>121</v>
      </c>
      <c r="G2350" t="s">
        <v>145</v>
      </c>
      <c r="H2350" t="s">
        <v>22</v>
      </c>
      <c r="I2350" t="e">
        <f t="shared" ca="1" si="181"/>
        <v>#REF!</v>
      </c>
      <c r="J2350" t="str">
        <f>VLOOKUP($G2350,DefinitionArrays!$I$6:$J$12,2,FALSE)</f>
        <v>Weekend</v>
      </c>
    </row>
    <row r="2351" spans="1:10">
      <c r="A2351" s="159" t="str">
        <f t="shared" si="182"/>
        <v>$N$1:$N$92</v>
      </c>
      <c r="B2351" s="159" t="str">
        <f t="shared" si="183"/>
        <v>$O$1:$O$92</v>
      </c>
      <c r="C2351" s="159" t="str">
        <f t="shared" si="184"/>
        <v>February!$N$1:$N$92</v>
      </c>
      <c r="D2351" s="159" t="str">
        <f t="shared" si="185"/>
        <v>February!$O$1:$O$92</v>
      </c>
      <c r="E2351" t="s">
        <v>6</v>
      </c>
      <c r="F2351" t="s">
        <v>121</v>
      </c>
      <c r="G2351" t="s">
        <v>145</v>
      </c>
      <c r="H2351" t="s">
        <v>23</v>
      </c>
      <c r="I2351" t="e">
        <f t="shared" ca="1" si="181"/>
        <v>#REF!</v>
      </c>
      <c r="J2351" t="str">
        <f>VLOOKUP($G2351,DefinitionArrays!$I$6:$J$12,2,FALSE)</f>
        <v>Weekend</v>
      </c>
    </row>
    <row r="2352" spans="1:10">
      <c r="A2352" s="159" t="str">
        <f t="shared" si="182"/>
        <v>$N$1:$N$92</v>
      </c>
      <c r="B2352" s="159" t="str">
        <f t="shared" si="183"/>
        <v>$O$1:$O$92</v>
      </c>
      <c r="C2352" s="159" t="str">
        <f t="shared" si="184"/>
        <v>February!$N$1:$N$92</v>
      </c>
      <c r="D2352" s="159" t="str">
        <f t="shared" si="185"/>
        <v>February!$O$1:$O$92</v>
      </c>
      <c r="E2352" t="s">
        <v>6</v>
      </c>
      <c r="F2352" t="s">
        <v>121</v>
      </c>
      <c r="G2352" t="s">
        <v>145</v>
      </c>
      <c r="H2352" t="s">
        <v>24</v>
      </c>
      <c r="I2352" t="e">
        <f t="shared" ca="1" si="181"/>
        <v>#REF!</v>
      </c>
      <c r="J2352" t="str">
        <f>VLOOKUP($G2352,DefinitionArrays!$I$6:$J$12,2,FALSE)</f>
        <v>Weekend</v>
      </c>
    </row>
    <row r="2353" spans="1:10">
      <c r="A2353" s="159" t="str">
        <f t="shared" si="182"/>
        <v>$N$1:$N$92</v>
      </c>
      <c r="B2353" s="159" t="str">
        <f t="shared" si="183"/>
        <v>$O$1:$O$92</v>
      </c>
      <c r="C2353" s="159" t="str">
        <f t="shared" si="184"/>
        <v>February!$N$1:$N$92</v>
      </c>
      <c r="D2353" s="159" t="str">
        <f t="shared" si="185"/>
        <v>February!$O$1:$O$92</v>
      </c>
      <c r="E2353" t="s">
        <v>6</v>
      </c>
      <c r="F2353" t="s">
        <v>121</v>
      </c>
      <c r="G2353" t="s">
        <v>145</v>
      </c>
      <c r="H2353" t="s">
        <v>179</v>
      </c>
      <c r="I2353" t="e">
        <f t="shared" ca="1" si="181"/>
        <v>#REF!</v>
      </c>
      <c r="J2353" t="str">
        <f>VLOOKUP($G2353,DefinitionArrays!$I$6:$J$12,2,FALSE)</f>
        <v>Weekend</v>
      </c>
    </row>
    <row r="2354" spans="1:10">
      <c r="A2354" s="159" t="str">
        <f t="shared" si="182"/>
        <v>$N$1:$N$92</v>
      </c>
      <c r="B2354" s="159" t="str">
        <f t="shared" si="183"/>
        <v>$O$1:$O$92</v>
      </c>
      <c r="C2354" s="159" t="str">
        <f t="shared" si="184"/>
        <v>February!$N$1:$N$92</v>
      </c>
      <c r="D2354" s="159" t="str">
        <f t="shared" si="185"/>
        <v>February!$O$1:$O$92</v>
      </c>
      <c r="E2354" t="s">
        <v>6</v>
      </c>
      <c r="F2354" t="s">
        <v>121</v>
      </c>
      <c r="G2354" t="s">
        <v>145</v>
      </c>
      <c r="H2354" t="s">
        <v>180</v>
      </c>
      <c r="I2354" t="e">
        <f t="shared" ca="1" si="181"/>
        <v>#REF!</v>
      </c>
      <c r="J2354" t="str">
        <f>VLOOKUP($G2354,DefinitionArrays!$I$6:$J$12,2,FALSE)</f>
        <v>Weekend</v>
      </c>
    </row>
    <row r="2355" spans="1:10">
      <c r="A2355" s="159" t="str">
        <f t="shared" si="182"/>
        <v>$N$1:$N$92</v>
      </c>
      <c r="B2355" s="159" t="str">
        <f t="shared" si="183"/>
        <v>$O$1:$O$92</v>
      </c>
      <c r="C2355" s="159" t="str">
        <f t="shared" si="184"/>
        <v>February!$N$1:$N$92</v>
      </c>
      <c r="D2355" s="159" t="str">
        <f t="shared" si="185"/>
        <v>February!$O$1:$O$92</v>
      </c>
      <c r="E2355" t="s">
        <v>6</v>
      </c>
      <c r="F2355" t="s">
        <v>121</v>
      </c>
      <c r="G2355" t="s">
        <v>145</v>
      </c>
      <c r="H2355" t="s">
        <v>44</v>
      </c>
      <c r="I2355" t="e">
        <f t="shared" ca="1" si="181"/>
        <v>#REF!</v>
      </c>
      <c r="J2355" t="str">
        <f>VLOOKUP($G2355,DefinitionArrays!$I$6:$J$12,2,FALSE)</f>
        <v>Weekend</v>
      </c>
    </row>
    <row r="2356" spans="1:10">
      <c r="A2356" s="159" t="str">
        <f t="shared" si="182"/>
        <v>$Q$1:$Q$92</v>
      </c>
      <c r="B2356" s="159" t="str">
        <f t="shared" si="183"/>
        <v>$R$1:$R$92</v>
      </c>
      <c r="C2356" s="159" t="str">
        <f t="shared" si="184"/>
        <v>February!$Q$1:$Q$92</v>
      </c>
      <c r="D2356" s="159" t="str">
        <f t="shared" si="185"/>
        <v>February!$R$1:$R$92</v>
      </c>
      <c r="E2356" t="s">
        <v>6</v>
      </c>
      <c r="F2356" t="s">
        <v>121</v>
      </c>
      <c r="G2356" t="s">
        <v>146</v>
      </c>
      <c r="H2356" t="s">
        <v>159</v>
      </c>
      <c r="I2356" t="e">
        <f t="shared" ca="1" si="181"/>
        <v>#REF!</v>
      </c>
      <c r="J2356" t="str">
        <f>VLOOKUP($G2356,DefinitionArrays!$I$6:$J$12,2,FALSE)</f>
        <v>Weekend</v>
      </c>
    </row>
    <row r="2357" spans="1:10">
      <c r="A2357" s="159" t="str">
        <f t="shared" si="182"/>
        <v>$T$1:$T$92</v>
      </c>
      <c r="B2357" s="159" t="str">
        <f t="shared" si="183"/>
        <v>$U$1:$U$92</v>
      </c>
      <c r="C2357" s="159" t="str">
        <f t="shared" si="184"/>
        <v>February!$T$1:$T$92</v>
      </c>
      <c r="D2357" s="159" t="str">
        <f t="shared" si="185"/>
        <v>February!$U$1:$U$92</v>
      </c>
      <c r="E2357" t="s">
        <v>6</v>
      </c>
      <c r="F2357" t="s">
        <v>121</v>
      </c>
      <c r="G2357" t="s">
        <v>141</v>
      </c>
      <c r="H2357" t="s">
        <v>159</v>
      </c>
      <c r="I2357" t="e">
        <f t="shared" ca="1" si="181"/>
        <v>#REF!</v>
      </c>
      <c r="J2357" t="str">
        <f>VLOOKUP($G2357,DefinitionArrays!$I$6:$J$12,2,FALSE)</f>
        <v>Weekend</v>
      </c>
    </row>
    <row r="2358" spans="1:10">
      <c r="A2358" s="159" t="str">
        <f t="shared" si="182"/>
        <v>$B$1:$B$92</v>
      </c>
      <c r="B2358" s="159" t="str">
        <f t="shared" si="183"/>
        <v>$C$1:$C$92</v>
      </c>
      <c r="C2358" s="159" t="str">
        <f t="shared" si="184"/>
        <v>March!$B$1:$B$92</v>
      </c>
      <c r="D2358" s="159" t="str">
        <f t="shared" si="185"/>
        <v>March!$C$1:$C$92</v>
      </c>
      <c r="E2358" t="s">
        <v>6</v>
      </c>
      <c r="F2358" t="s">
        <v>122</v>
      </c>
      <c r="G2358" t="s">
        <v>13</v>
      </c>
      <c r="H2358" t="s">
        <v>159</v>
      </c>
      <c r="I2358" t="e">
        <f ca="1">COUNTIFS(INDIRECT($C2358),$E2358,INDIRECT($D2358),$H2358)</f>
        <v>#REF!</v>
      </c>
      <c r="J2358" t="str">
        <f>VLOOKUP($G2358,DefinitionArrays!$I$6:$J$12,2,FALSE)</f>
        <v>Workweek</v>
      </c>
    </row>
    <row r="2359" spans="1:10">
      <c r="A2359" s="159" t="str">
        <f t="shared" si="182"/>
        <v>$B$1:$B$92</v>
      </c>
      <c r="B2359" s="159" t="str">
        <f t="shared" si="183"/>
        <v>$C$1:$C$92</v>
      </c>
      <c r="C2359" s="159" t="str">
        <f t="shared" si="184"/>
        <v>March!$B$1:$B$92</v>
      </c>
      <c r="D2359" s="159" t="str">
        <f t="shared" si="185"/>
        <v>March!$C$1:$C$92</v>
      </c>
      <c r="E2359" t="s">
        <v>6</v>
      </c>
      <c r="F2359" t="s">
        <v>122</v>
      </c>
      <c r="G2359" t="s">
        <v>13</v>
      </c>
      <c r="H2359" t="s">
        <v>18</v>
      </c>
      <c r="I2359" t="e">
        <f t="shared" ref="I2359:I2419" ca="1" si="186">COUNTIFS(INDIRECT($C2359),$E2359,INDIRECT($D2359),$H2359)</f>
        <v>#REF!</v>
      </c>
      <c r="J2359" t="str">
        <f>VLOOKUP($G2359,DefinitionArrays!$I$6:$J$12,2,FALSE)</f>
        <v>Workweek</v>
      </c>
    </row>
    <row r="2360" spans="1:10">
      <c r="A2360" s="159" t="str">
        <f t="shared" si="182"/>
        <v>$B$1:$B$92</v>
      </c>
      <c r="B2360" s="159" t="str">
        <f t="shared" si="183"/>
        <v>$C$1:$C$92</v>
      </c>
      <c r="C2360" s="159" t="str">
        <f t="shared" si="184"/>
        <v>March!$B$1:$B$92</v>
      </c>
      <c r="D2360" s="159" t="str">
        <f t="shared" si="185"/>
        <v>March!$C$1:$C$92</v>
      </c>
      <c r="E2360" t="s">
        <v>6</v>
      </c>
      <c r="F2360" t="s">
        <v>122</v>
      </c>
      <c r="G2360" t="s">
        <v>13</v>
      </c>
      <c r="H2360" t="s">
        <v>153</v>
      </c>
      <c r="I2360" t="e">
        <f t="shared" ca="1" si="186"/>
        <v>#REF!</v>
      </c>
      <c r="J2360" t="str">
        <f>VLOOKUP($G2360,DefinitionArrays!$I$6:$J$12,2,FALSE)</f>
        <v>Workweek</v>
      </c>
    </row>
    <row r="2361" spans="1:10">
      <c r="A2361" s="159" t="str">
        <f t="shared" si="182"/>
        <v>$B$1:$B$92</v>
      </c>
      <c r="B2361" s="159" t="str">
        <f t="shared" si="183"/>
        <v>$C$1:$C$92</v>
      </c>
      <c r="C2361" s="159" t="str">
        <f t="shared" si="184"/>
        <v>March!$B$1:$B$92</v>
      </c>
      <c r="D2361" s="159" t="str">
        <f t="shared" si="185"/>
        <v>March!$C$1:$C$92</v>
      </c>
      <c r="E2361" t="s">
        <v>6</v>
      </c>
      <c r="F2361" t="s">
        <v>122</v>
      </c>
      <c r="G2361" t="s">
        <v>13</v>
      </c>
      <c r="H2361" t="s">
        <v>19</v>
      </c>
      <c r="I2361" t="e">
        <f t="shared" ca="1" si="186"/>
        <v>#REF!</v>
      </c>
      <c r="J2361" t="str">
        <f>VLOOKUP($G2361,DefinitionArrays!$I$6:$J$12,2,FALSE)</f>
        <v>Workweek</v>
      </c>
    </row>
    <row r="2362" spans="1:10">
      <c r="A2362" s="159" t="str">
        <f t="shared" si="182"/>
        <v>$B$1:$B$92</v>
      </c>
      <c r="B2362" s="159" t="str">
        <f t="shared" si="183"/>
        <v>$C$1:$C$92</v>
      </c>
      <c r="C2362" s="159" t="str">
        <f t="shared" si="184"/>
        <v>March!$B$1:$B$92</v>
      </c>
      <c r="D2362" s="159" t="str">
        <f t="shared" si="185"/>
        <v>March!$C$1:$C$92</v>
      </c>
      <c r="E2362" t="s">
        <v>6</v>
      </c>
      <c r="F2362" t="s">
        <v>122</v>
      </c>
      <c r="G2362" t="s">
        <v>13</v>
      </c>
      <c r="H2362" t="s">
        <v>20</v>
      </c>
      <c r="I2362" t="e">
        <f t="shared" ca="1" si="186"/>
        <v>#REF!</v>
      </c>
      <c r="J2362" t="str">
        <f>VLOOKUP($G2362,DefinitionArrays!$I$6:$J$12,2,FALSE)</f>
        <v>Workweek</v>
      </c>
    </row>
    <row r="2363" spans="1:10">
      <c r="A2363" s="159" t="str">
        <f t="shared" si="182"/>
        <v>$B$1:$B$92</v>
      </c>
      <c r="B2363" s="159" t="str">
        <f t="shared" si="183"/>
        <v>$C$1:$C$92</v>
      </c>
      <c r="C2363" s="159" t="str">
        <f t="shared" si="184"/>
        <v>March!$B$1:$B$92</v>
      </c>
      <c r="D2363" s="159" t="str">
        <f t="shared" si="185"/>
        <v>March!$C$1:$C$92</v>
      </c>
      <c r="E2363" t="s">
        <v>6</v>
      </c>
      <c r="F2363" t="s">
        <v>122</v>
      </c>
      <c r="G2363" t="s">
        <v>13</v>
      </c>
      <c r="H2363" t="s">
        <v>21</v>
      </c>
      <c r="I2363" t="e">
        <f t="shared" ca="1" si="186"/>
        <v>#REF!</v>
      </c>
      <c r="J2363" t="str">
        <f>VLOOKUP($G2363,DefinitionArrays!$I$6:$J$12,2,FALSE)</f>
        <v>Workweek</v>
      </c>
    </row>
    <row r="2364" spans="1:10">
      <c r="A2364" s="159" t="str">
        <f t="shared" si="182"/>
        <v>$B$1:$B$92</v>
      </c>
      <c r="B2364" s="159" t="str">
        <f t="shared" si="183"/>
        <v>$C$1:$C$92</v>
      </c>
      <c r="C2364" s="159" t="str">
        <f t="shared" si="184"/>
        <v>March!$B$1:$B$92</v>
      </c>
      <c r="D2364" s="159" t="str">
        <f t="shared" si="185"/>
        <v>March!$C$1:$C$92</v>
      </c>
      <c r="E2364" t="s">
        <v>6</v>
      </c>
      <c r="F2364" t="s">
        <v>122</v>
      </c>
      <c r="G2364" t="s">
        <v>13</v>
      </c>
      <c r="H2364" t="s">
        <v>22</v>
      </c>
      <c r="I2364" t="e">
        <f t="shared" ca="1" si="186"/>
        <v>#REF!</v>
      </c>
      <c r="J2364" t="str">
        <f>VLOOKUP($G2364,DefinitionArrays!$I$6:$J$12,2,FALSE)</f>
        <v>Workweek</v>
      </c>
    </row>
    <row r="2365" spans="1:10">
      <c r="A2365" s="159" t="str">
        <f t="shared" si="182"/>
        <v>$B$1:$B$92</v>
      </c>
      <c r="B2365" s="159" t="str">
        <f t="shared" si="183"/>
        <v>$C$1:$C$92</v>
      </c>
      <c r="C2365" s="159" t="str">
        <f t="shared" si="184"/>
        <v>March!$B$1:$B$92</v>
      </c>
      <c r="D2365" s="159" t="str">
        <f t="shared" si="185"/>
        <v>March!$C$1:$C$92</v>
      </c>
      <c r="E2365" t="s">
        <v>6</v>
      </c>
      <c r="F2365" t="s">
        <v>122</v>
      </c>
      <c r="G2365" t="s">
        <v>13</v>
      </c>
      <c r="H2365" t="s">
        <v>23</v>
      </c>
      <c r="I2365" t="e">
        <f t="shared" ca="1" si="186"/>
        <v>#REF!</v>
      </c>
      <c r="J2365" t="str">
        <f>VLOOKUP($G2365,DefinitionArrays!$I$6:$J$12,2,FALSE)</f>
        <v>Workweek</v>
      </c>
    </row>
    <row r="2366" spans="1:10">
      <c r="A2366" s="159" t="str">
        <f t="shared" si="182"/>
        <v>$B$1:$B$92</v>
      </c>
      <c r="B2366" s="159" t="str">
        <f t="shared" si="183"/>
        <v>$C$1:$C$92</v>
      </c>
      <c r="C2366" s="159" t="str">
        <f t="shared" si="184"/>
        <v>March!$B$1:$B$92</v>
      </c>
      <c r="D2366" s="159" t="str">
        <f t="shared" si="185"/>
        <v>March!$C$1:$C$92</v>
      </c>
      <c r="E2366" t="s">
        <v>6</v>
      </c>
      <c r="F2366" t="s">
        <v>122</v>
      </c>
      <c r="G2366" t="s">
        <v>13</v>
      </c>
      <c r="H2366" t="s">
        <v>24</v>
      </c>
      <c r="I2366" t="e">
        <f t="shared" ca="1" si="186"/>
        <v>#REF!</v>
      </c>
      <c r="J2366" t="str">
        <f>VLOOKUP($G2366,DefinitionArrays!$I$6:$J$12,2,FALSE)</f>
        <v>Workweek</v>
      </c>
    </row>
    <row r="2367" spans="1:10">
      <c r="A2367" s="159" t="str">
        <f t="shared" si="182"/>
        <v>$B$1:$B$92</v>
      </c>
      <c r="B2367" s="159" t="str">
        <f t="shared" si="183"/>
        <v>$C$1:$C$92</v>
      </c>
      <c r="C2367" s="159" t="str">
        <f t="shared" si="184"/>
        <v>March!$B$1:$B$92</v>
      </c>
      <c r="D2367" s="159" t="str">
        <f t="shared" si="185"/>
        <v>March!$C$1:$C$92</v>
      </c>
      <c r="E2367" t="s">
        <v>6</v>
      </c>
      <c r="F2367" t="s">
        <v>122</v>
      </c>
      <c r="G2367" t="s">
        <v>13</v>
      </c>
      <c r="H2367" t="s">
        <v>179</v>
      </c>
      <c r="I2367" t="e">
        <f t="shared" ca="1" si="186"/>
        <v>#REF!</v>
      </c>
      <c r="J2367" t="str">
        <f>VLOOKUP($G2367,DefinitionArrays!$I$6:$J$12,2,FALSE)</f>
        <v>Workweek</v>
      </c>
    </row>
    <row r="2368" spans="1:10">
      <c r="A2368" s="159" t="str">
        <f t="shared" si="182"/>
        <v>$B$1:$B$92</v>
      </c>
      <c r="B2368" s="159" t="str">
        <f t="shared" si="183"/>
        <v>$C$1:$C$92</v>
      </c>
      <c r="C2368" s="159" t="str">
        <f t="shared" si="184"/>
        <v>March!$B$1:$B$92</v>
      </c>
      <c r="D2368" s="159" t="str">
        <f t="shared" si="185"/>
        <v>March!$C$1:$C$92</v>
      </c>
      <c r="E2368" t="s">
        <v>6</v>
      </c>
      <c r="F2368" t="s">
        <v>122</v>
      </c>
      <c r="G2368" t="s">
        <v>13</v>
      </c>
      <c r="H2368" t="s">
        <v>180</v>
      </c>
      <c r="I2368" t="e">
        <f t="shared" ca="1" si="186"/>
        <v>#REF!</v>
      </c>
      <c r="J2368" t="str">
        <f>VLOOKUP($G2368,DefinitionArrays!$I$6:$J$12,2,FALSE)</f>
        <v>Workweek</v>
      </c>
    </row>
    <row r="2369" spans="1:10">
      <c r="A2369" s="159" t="str">
        <f t="shared" si="182"/>
        <v>$B$1:$B$92</v>
      </c>
      <c r="B2369" s="159" t="str">
        <f t="shared" si="183"/>
        <v>$C$1:$C$92</v>
      </c>
      <c r="C2369" s="159" t="str">
        <f t="shared" si="184"/>
        <v>March!$B$1:$B$92</v>
      </c>
      <c r="D2369" s="159" t="str">
        <f t="shared" si="185"/>
        <v>March!$C$1:$C$92</v>
      </c>
      <c r="E2369" t="s">
        <v>6</v>
      </c>
      <c r="F2369" t="s">
        <v>122</v>
      </c>
      <c r="G2369" t="s">
        <v>13</v>
      </c>
      <c r="H2369" t="s">
        <v>44</v>
      </c>
      <c r="I2369" t="e">
        <f t="shared" ca="1" si="186"/>
        <v>#REF!</v>
      </c>
      <c r="J2369" t="str">
        <f>VLOOKUP($G2369,DefinitionArrays!$I$6:$J$12,2,FALSE)</f>
        <v>Workweek</v>
      </c>
    </row>
    <row r="2370" spans="1:10">
      <c r="A2370" s="159" t="str">
        <f t="shared" ref="A2370:A2433" si="187">VLOOKUP($G2370,Fx_Code,2,FALSE)</f>
        <v>$E$1:$E$92</v>
      </c>
      <c r="B2370" s="159" t="str">
        <f t="shared" ref="B2370:B2433" si="188">VLOOKUP($G2370,Fx_Code,3,FALSE)</f>
        <v>$F$1:$F$92</v>
      </c>
      <c r="C2370" s="159" t="str">
        <f t="shared" ref="C2370:C2433" si="189">CONCATENATE($F2370,$K$1,A2370)</f>
        <v>March!$E$1:$E$92</v>
      </c>
      <c r="D2370" s="159" t="str">
        <f t="shared" ref="D2370:D2433" si="190">CONCATENATE($F2370,$K$1,B2370)</f>
        <v>March!$F$1:$F$92</v>
      </c>
      <c r="E2370" t="s">
        <v>6</v>
      </c>
      <c r="F2370" t="s">
        <v>122</v>
      </c>
      <c r="G2370" t="s">
        <v>142</v>
      </c>
      <c r="H2370" t="s">
        <v>159</v>
      </c>
      <c r="I2370" t="e">
        <f t="shared" ca="1" si="186"/>
        <v>#REF!</v>
      </c>
      <c r="J2370" t="str">
        <f>VLOOKUP($G2370,DefinitionArrays!$I$6:$J$12,2,FALSE)</f>
        <v>Workweek</v>
      </c>
    </row>
    <row r="2371" spans="1:10">
      <c r="A2371" s="159" t="str">
        <f t="shared" si="187"/>
        <v>$E$1:$E$92</v>
      </c>
      <c r="B2371" s="159" t="str">
        <f t="shared" si="188"/>
        <v>$F$1:$F$92</v>
      </c>
      <c r="C2371" s="159" t="str">
        <f t="shared" si="189"/>
        <v>March!$E$1:$E$92</v>
      </c>
      <c r="D2371" s="159" t="str">
        <f t="shared" si="190"/>
        <v>March!$F$1:$F$92</v>
      </c>
      <c r="E2371" t="s">
        <v>6</v>
      </c>
      <c r="F2371" t="s">
        <v>122</v>
      </c>
      <c r="G2371" t="s">
        <v>142</v>
      </c>
      <c r="H2371" t="s">
        <v>18</v>
      </c>
      <c r="I2371" t="e">
        <f t="shared" ca="1" si="186"/>
        <v>#REF!</v>
      </c>
      <c r="J2371" t="str">
        <f>VLOOKUP($G2371,DefinitionArrays!$I$6:$J$12,2,FALSE)</f>
        <v>Workweek</v>
      </c>
    </row>
    <row r="2372" spans="1:10">
      <c r="A2372" s="159" t="str">
        <f t="shared" si="187"/>
        <v>$E$1:$E$92</v>
      </c>
      <c r="B2372" s="159" t="str">
        <f t="shared" si="188"/>
        <v>$F$1:$F$92</v>
      </c>
      <c r="C2372" s="159" t="str">
        <f t="shared" si="189"/>
        <v>March!$E$1:$E$92</v>
      </c>
      <c r="D2372" s="159" t="str">
        <f t="shared" si="190"/>
        <v>March!$F$1:$F$92</v>
      </c>
      <c r="E2372" t="s">
        <v>6</v>
      </c>
      <c r="F2372" t="s">
        <v>122</v>
      </c>
      <c r="G2372" t="s">
        <v>142</v>
      </c>
      <c r="H2372" t="s">
        <v>153</v>
      </c>
      <c r="I2372" t="e">
        <f t="shared" ca="1" si="186"/>
        <v>#REF!</v>
      </c>
      <c r="J2372" t="str">
        <f>VLOOKUP($G2372,DefinitionArrays!$I$6:$J$12,2,FALSE)</f>
        <v>Workweek</v>
      </c>
    </row>
    <row r="2373" spans="1:10">
      <c r="A2373" s="159" t="str">
        <f t="shared" si="187"/>
        <v>$E$1:$E$92</v>
      </c>
      <c r="B2373" s="159" t="str">
        <f t="shared" si="188"/>
        <v>$F$1:$F$92</v>
      </c>
      <c r="C2373" s="159" t="str">
        <f t="shared" si="189"/>
        <v>March!$E$1:$E$92</v>
      </c>
      <c r="D2373" s="159" t="str">
        <f t="shared" si="190"/>
        <v>March!$F$1:$F$92</v>
      </c>
      <c r="E2373" t="s">
        <v>6</v>
      </c>
      <c r="F2373" t="s">
        <v>122</v>
      </c>
      <c r="G2373" t="s">
        <v>142</v>
      </c>
      <c r="H2373" t="s">
        <v>19</v>
      </c>
      <c r="I2373" t="e">
        <f t="shared" ca="1" si="186"/>
        <v>#REF!</v>
      </c>
      <c r="J2373" t="str">
        <f>VLOOKUP($G2373,DefinitionArrays!$I$6:$J$12,2,FALSE)</f>
        <v>Workweek</v>
      </c>
    </row>
    <row r="2374" spans="1:10">
      <c r="A2374" s="159" t="str">
        <f t="shared" si="187"/>
        <v>$E$1:$E$92</v>
      </c>
      <c r="B2374" s="159" t="str">
        <f t="shared" si="188"/>
        <v>$F$1:$F$92</v>
      </c>
      <c r="C2374" s="159" t="str">
        <f t="shared" si="189"/>
        <v>March!$E$1:$E$92</v>
      </c>
      <c r="D2374" s="159" t="str">
        <f t="shared" si="190"/>
        <v>March!$F$1:$F$92</v>
      </c>
      <c r="E2374" t="s">
        <v>6</v>
      </c>
      <c r="F2374" t="s">
        <v>122</v>
      </c>
      <c r="G2374" t="s">
        <v>142</v>
      </c>
      <c r="H2374" t="s">
        <v>20</v>
      </c>
      <c r="I2374" t="e">
        <f t="shared" ca="1" si="186"/>
        <v>#REF!</v>
      </c>
      <c r="J2374" t="str">
        <f>VLOOKUP($G2374,DefinitionArrays!$I$6:$J$12,2,FALSE)</f>
        <v>Workweek</v>
      </c>
    </row>
    <row r="2375" spans="1:10">
      <c r="A2375" s="159" t="str">
        <f t="shared" si="187"/>
        <v>$E$1:$E$92</v>
      </c>
      <c r="B2375" s="159" t="str">
        <f t="shared" si="188"/>
        <v>$F$1:$F$92</v>
      </c>
      <c r="C2375" s="159" t="str">
        <f t="shared" si="189"/>
        <v>March!$E$1:$E$92</v>
      </c>
      <c r="D2375" s="159" t="str">
        <f t="shared" si="190"/>
        <v>March!$F$1:$F$92</v>
      </c>
      <c r="E2375" t="s">
        <v>6</v>
      </c>
      <c r="F2375" t="s">
        <v>122</v>
      </c>
      <c r="G2375" t="s">
        <v>142</v>
      </c>
      <c r="H2375" t="s">
        <v>21</v>
      </c>
      <c r="I2375" t="e">
        <f t="shared" ca="1" si="186"/>
        <v>#REF!</v>
      </c>
      <c r="J2375" t="str">
        <f>VLOOKUP($G2375,DefinitionArrays!$I$6:$J$12,2,FALSE)</f>
        <v>Workweek</v>
      </c>
    </row>
    <row r="2376" spans="1:10">
      <c r="A2376" s="159" t="str">
        <f t="shared" si="187"/>
        <v>$E$1:$E$92</v>
      </c>
      <c r="B2376" s="159" t="str">
        <f t="shared" si="188"/>
        <v>$F$1:$F$92</v>
      </c>
      <c r="C2376" s="159" t="str">
        <f t="shared" si="189"/>
        <v>March!$E$1:$E$92</v>
      </c>
      <c r="D2376" s="159" t="str">
        <f t="shared" si="190"/>
        <v>March!$F$1:$F$92</v>
      </c>
      <c r="E2376" t="s">
        <v>6</v>
      </c>
      <c r="F2376" t="s">
        <v>122</v>
      </c>
      <c r="G2376" t="s">
        <v>142</v>
      </c>
      <c r="H2376" t="s">
        <v>22</v>
      </c>
      <c r="I2376" t="e">
        <f t="shared" ca="1" si="186"/>
        <v>#REF!</v>
      </c>
      <c r="J2376" t="str">
        <f>VLOOKUP($G2376,DefinitionArrays!$I$6:$J$12,2,FALSE)</f>
        <v>Workweek</v>
      </c>
    </row>
    <row r="2377" spans="1:10">
      <c r="A2377" s="159" t="str">
        <f t="shared" si="187"/>
        <v>$E$1:$E$92</v>
      </c>
      <c r="B2377" s="159" t="str">
        <f t="shared" si="188"/>
        <v>$F$1:$F$92</v>
      </c>
      <c r="C2377" s="159" t="str">
        <f t="shared" si="189"/>
        <v>March!$E$1:$E$92</v>
      </c>
      <c r="D2377" s="159" t="str">
        <f t="shared" si="190"/>
        <v>March!$F$1:$F$92</v>
      </c>
      <c r="E2377" t="s">
        <v>6</v>
      </c>
      <c r="F2377" t="s">
        <v>122</v>
      </c>
      <c r="G2377" t="s">
        <v>142</v>
      </c>
      <c r="H2377" t="s">
        <v>23</v>
      </c>
      <c r="I2377" t="e">
        <f t="shared" ca="1" si="186"/>
        <v>#REF!</v>
      </c>
      <c r="J2377" t="str">
        <f>VLOOKUP($G2377,DefinitionArrays!$I$6:$J$12,2,FALSE)</f>
        <v>Workweek</v>
      </c>
    </row>
    <row r="2378" spans="1:10">
      <c r="A2378" s="159" t="str">
        <f t="shared" si="187"/>
        <v>$E$1:$E$92</v>
      </c>
      <c r="B2378" s="159" t="str">
        <f t="shared" si="188"/>
        <v>$F$1:$F$92</v>
      </c>
      <c r="C2378" s="159" t="str">
        <f t="shared" si="189"/>
        <v>March!$E$1:$E$92</v>
      </c>
      <c r="D2378" s="159" t="str">
        <f t="shared" si="190"/>
        <v>March!$F$1:$F$92</v>
      </c>
      <c r="E2378" t="s">
        <v>6</v>
      </c>
      <c r="F2378" t="s">
        <v>122</v>
      </c>
      <c r="G2378" t="s">
        <v>142</v>
      </c>
      <c r="H2378" t="s">
        <v>24</v>
      </c>
      <c r="I2378" t="e">
        <f t="shared" ca="1" si="186"/>
        <v>#REF!</v>
      </c>
      <c r="J2378" t="str">
        <f>VLOOKUP($G2378,DefinitionArrays!$I$6:$J$12,2,FALSE)</f>
        <v>Workweek</v>
      </c>
    </row>
    <row r="2379" spans="1:10">
      <c r="A2379" s="159" t="str">
        <f t="shared" si="187"/>
        <v>$E$1:$E$92</v>
      </c>
      <c r="B2379" s="159" t="str">
        <f t="shared" si="188"/>
        <v>$F$1:$F$92</v>
      </c>
      <c r="C2379" s="159" t="str">
        <f t="shared" si="189"/>
        <v>March!$E$1:$E$92</v>
      </c>
      <c r="D2379" s="159" t="str">
        <f t="shared" si="190"/>
        <v>March!$F$1:$F$92</v>
      </c>
      <c r="E2379" t="s">
        <v>6</v>
      </c>
      <c r="F2379" t="s">
        <v>122</v>
      </c>
      <c r="G2379" t="s">
        <v>142</v>
      </c>
      <c r="H2379" t="s">
        <v>179</v>
      </c>
      <c r="I2379" t="e">
        <f t="shared" ca="1" si="186"/>
        <v>#REF!</v>
      </c>
      <c r="J2379" t="str">
        <f>VLOOKUP($G2379,DefinitionArrays!$I$6:$J$12,2,FALSE)</f>
        <v>Workweek</v>
      </c>
    </row>
    <row r="2380" spans="1:10">
      <c r="A2380" s="159" t="str">
        <f t="shared" si="187"/>
        <v>$E$1:$E$92</v>
      </c>
      <c r="B2380" s="159" t="str">
        <f t="shared" si="188"/>
        <v>$F$1:$F$92</v>
      </c>
      <c r="C2380" s="159" t="str">
        <f t="shared" si="189"/>
        <v>March!$E$1:$E$92</v>
      </c>
      <c r="D2380" s="159" t="str">
        <f t="shared" si="190"/>
        <v>March!$F$1:$F$92</v>
      </c>
      <c r="E2380" t="s">
        <v>6</v>
      </c>
      <c r="F2380" t="s">
        <v>122</v>
      </c>
      <c r="G2380" t="s">
        <v>142</v>
      </c>
      <c r="H2380" t="s">
        <v>180</v>
      </c>
      <c r="I2380" t="e">
        <f t="shared" ca="1" si="186"/>
        <v>#REF!</v>
      </c>
      <c r="J2380" t="str">
        <f>VLOOKUP($G2380,DefinitionArrays!$I$6:$J$12,2,FALSE)</f>
        <v>Workweek</v>
      </c>
    </row>
    <row r="2381" spans="1:10">
      <c r="A2381" s="159" t="str">
        <f t="shared" si="187"/>
        <v>$E$1:$E$92</v>
      </c>
      <c r="B2381" s="159" t="str">
        <f t="shared" si="188"/>
        <v>$F$1:$F$92</v>
      </c>
      <c r="C2381" s="159" t="str">
        <f t="shared" si="189"/>
        <v>March!$E$1:$E$92</v>
      </c>
      <c r="D2381" s="159" t="str">
        <f t="shared" si="190"/>
        <v>March!$F$1:$F$92</v>
      </c>
      <c r="E2381" t="s">
        <v>6</v>
      </c>
      <c r="F2381" t="s">
        <v>122</v>
      </c>
      <c r="G2381" t="s">
        <v>142</v>
      </c>
      <c r="H2381" t="s">
        <v>44</v>
      </c>
      <c r="I2381" t="e">
        <f t="shared" ca="1" si="186"/>
        <v>#REF!</v>
      </c>
      <c r="J2381" t="str">
        <f>VLOOKUP($G2381,DefinitionArrays!$I$6:$J$12,2,FALSE)</f>
        <v>Workweek</v>
      </c>
    </row>
    <row r="2382" spans="1:10">
      <c r="A2382" s="159" t="str">
        <f t="shared" si="187"/>
        <v>$H$1:$H$92</v>
      </c>
      <c r="B2382" s="159" t="str">
        <f t="shared" si="188"/>
        <v>$I$1:$I$92</v>
      </c>
      <c r="C2382" s="159" t="str">
        <f t="shared" si="189"/>
        <v>March!$H$1:$H$92</v>
      </c>
      <c r="D2382" s="159" t="str">
        <f t="shared" si="190"/>
        <v>March!$I$1:$I$92</v>
      </c>
      <c r="E2382" t="s">
        <v>6</v>
      </c>
      <c r="F2382" t="s">
        <v>122</v>
      </c>
      <c r="G2382" t="s">
        <v>143</v>
      </c>
      <c r="H2382" t="s">
        <v>159</v>
      </c>
      <c r="I2382" t="e">
        <f t="shared" ca="1" si="186"/>
        <v>#REF!</v>
      </c>
      <c r="J2382" t="str">
        <f>VLOOKUP($G2382,DefinitionArrays!$I$6:$J$12,2,FALSE)</f>
        <v>Workweek</v>
      </c>
    </row>
    <row r="2383" spans="1:10">
      <c r="A2383" s="159" t="str">
        <f t="shared" si="187"/>
        <v>$H$1:$H$92</v>
      </c>
      <c r="B2383" s="159" t="str">
        <f t="shared" si="188"/>
        <v>$I$1:$I$92</v>
      </c>
      <c r="C2383" s="159" t="str">
        <f t="shared" si="189"/>
        <v>March!$H$1:$H$92</v>
      </c>
      <c r="D2383" s="159" t="str">
        <f t="shared" si="190"/>
        <v>March!$I$1:$I$92</v>
      </c>
      <c r="E2383" t="s">
        <v>6</v>
      </c>
      <c r="F2383" t="s">
        <v>122</v>
      </c>
      <c r="G2383" t="s">
        <v>143</v>
      </c>
      <c r="H2383" t="s">
        <v>18</v>
      </c>
      <c r="I2383" t="e">
        <f t="shared" ca="1" si="186"/>
        <v>#REF!</v>
      </c>
      <c r="J2383" t="str">
        <f>VLOOKUP($G2383,DefinitionArrays!$I$6:$J$12,2,FALSE)</f>
        <v>Workweek</v>
      </c>
    </row>
    <row r="2384" spans="1:10">
      <c r="A2384" s="159" t="str">
        <f t="shared" si="187"/>
        <v>$H$1:$H$92</v>
      </c>
      <c r="B2384" s="159" t="str">
        <f t="shared" si="188"/>
        <v>$I$1:$I$92</v>
      </c>
      <c r="C2384" s="159" t="str">
        <f t="shared" si="189"/>
        <v>March!$H$1:$H$92</v>
      </c>
      <c r="D2384" s="159" t="str">
        <f t="shared" si="190"/>
        <v>March!$I$1:$I$92</v>
      </c>
      <c r="E2384" t="s">
        <v>6</v>
      </c>
      <c r="F2384" t="s">
        <v>122</v>
      </c>
      <c r="G2384" t="s">
        <v>143</v>
      </c>
      <c r="H2384" t="s">
        <v>153</v>
      </c>
      <c r="I2384" t="e">
        <f t="shared" ca="1" si="186"/>
        <v>#REF!</v>
      </c>
      <c r="J2384" t="str">
        <f>VLOOKUP($G2384,DefinitionArrays!$I$6:$J$12,2,FALSE)</f>
        <v>Workweek</v>
      </c>
    </row>
    <row r="2385" spans="1:10">
      <c r="A2385" s="159" t="str">
        <f t="shared" si="187"/>
        <v>$H$1:$H$92</v>
      </c>
      <c r="B2385" s="159" t="str">
        <f t="shared" si="188"/>
        <v>$I$1:$I$92</v>
      </c>
      <c r="C2385" s="159" t="str">
        <f t="shared" si="189"/>
        <v>March!$H$1:$H$92</v>
      </c>
      <c r="D2385" s="159" t="str">
        <f t="shared" si="190"/>
        <v>March!$I$1:$I$92</v>
      </c>
      <c r="E2385" t="s">
        <v>6</v>
      </c>
      <c r="F2385" t="s">
        <v>122</v>
      </c>
      <c r="G2385" t="s">
        <v>143</v>
      </c>
      <c r="H2385" t="s">
        <v>19</v>
      </c>
      <c r="I2385" t="e">
        <f t="shared" ca="1" si="186"/>
        <v>#REF!</v>
      </c>
      <c r="J2385" t="str">
        <f>VLOOKUP($G2385,DefinitionArrays!$I$6:$J$12,2,FALSE)</f>
        <v>Workweek</v>
      </c>
    </row>
    <row r="2386" spans="1:10">
      <c r="A2386" s="159" t="str">
        <f t="shared" si="187"/>
        <v>$H$1:$H$92</v>
      </c>
      <c r="B2386" s="159" t="str">
        <f t="shared" si="188"/>
        <v>$I$1:$I$92</v>
      </c>
      <c r="C2386" s="159" t="str">
        <f t="shared" si="189"/>
        <v>March!$H$1:$H$92</v>
      </c>
      <c r="D2386" s="159" t="str">
        <f t="shared" si="190"/>
        <v>March!$I$1:$I$92</v>
      </c>
      <c r="E2386" t="s">
        <v>6</v>
      </c>
      <c r="F2386" t="s">
        <v>122</v>
      </c>
      <c r="G2386" t="s">
        <v>143</v>
      </c>
      <c r="H2386" t="s">
        <v>20</v>
      </c>
      <c r="I2386" t="e">
        <f t="shared" ca="1" si="186"/>
        <v>#REF!</v>
      </c>
      <c r="J2386" t="str">
        <f>VLOOKUP($G2386,DefinitionArrays!$I$6:$J$12,2,FALSE)</f>
        <v>Workweek</v>
      </c>
    </row>
    <row r="2387" spans="1:10">
      <c r="A2387" s="159" t="str">
        <f t="shared" si="187"/>
        <v>$H$1:$H$92</v>
      </c>
      <c r="B2387" s="159" t="str">
        <f t="shared" si="188"/>
        <v>$I$1:$I$92</v>
      </c>
      <c r="C2387" s="159" t="str">
        <f t="shared" si="189"/>
        <v>March!$H$1:$H$92</v>
      </c>
      <c r="D2387" s="159" t="str">
        <f t="shared" si="190"/>
        <v>March!$I$1:$I$92</v>
      </c>
      <c r="E2387" t="s">
        <v>6</v>
      </c>
      <c r="F2387" t="s">
        <v>122</v>
      </c>
      <c r="G2387" t="s">
        <v>143</v>
      </c>
      <c r="H2387" t="s">
        <v>21</v>
      </c>
      <c r="I2387" t="e">
        <f t="shared" ca="1" si="186"/>
        <v>#REF!</v>
      </c>
      <c r="J2387" t="str">
        <f>VLOOKUP($G2387,DefinitionArrays!$I$6:$J$12,2,FALSE)</f>
        <v>Workweek</v>
      </c>
    </row>
    <row r="2388" spans="1:10">
      <c r="A2388" s="159" t="str">
        <f t="shared" si="187"/>
        <v>$H$1:$H$92</v>
      </c>
      <c r="B2388" s="159" t="str">
        <f t="shared" si="188"/>
        <v>$I$1:$I$92</v>
      </c>
      <c r="C2388" s="159" t="str">
        <f t="shared" si="189"/>
        <v>March!$H$1:$H$92</v>
      </c>
      <c r="D2388" s="159" t="str">
        <f t="shared" si="190"/>
        <v>March!$I$1:$I$92</v>
      </c>
      <c r="E2388" t="s">
        <v>6</v>
      </c>
      <c r="F2388" t="s">
        <v>122</v>
      </c>
      <c r="G2388" t="s">
        <v>143</v>
      </c>
      <c r="H2388" t="s">
        <v>22</v>
      </c>
      <c r="I2388" t="e">
        <f t="shared" ca="1" si="186"/>
        <v>#REF!</v>
      </c>
      <c r="J2388" t="str">
        <f>VLOOKUP($G2388,DefinitionArrays!$I$6:$J$12,2,FALSE)</f>
        <v>Workweek</v>
      </c>
    </row>
    <row r="2389" spans="1:10">
      <c r="A2389" s="159" t="str">
        <f t="shared" si="187"/>
        <v>$H$1:$H$92</v>
      </c>
      <c r="B2389" s="159" t="str">
        <f t="shared" si="188"/>
        <v>$I$1:$I$92</v>
      </c>
      <c r="C2389" s="159" t="str">
        <f t="shared" si="189"/>
        <v>March!$H$1:$H$92</v>
      </c>
      <c r="D2389" s="159" t="str">
        <f t="shared" si="190"/>
        <v>March!$I$1:$I$92</v>
      </c>
      <c r="E2389" t="s">
        <v>6</v>
      </c>
      <c r="F2389" t="s">
        <v>122</v>
      </c>
      <c r="G2389" t="s">
        <v>143</v>
      </c>
      <c r="H2389" t="s">
        <v>23</v>
      </c>
      <c r="I2389" t="e">
        <f t="shared" ca="1" si="186"/>
        <v>#REF!</v>
      </c>
      <c r="J2389" t="str">
        <f>VLOOKUP($G2389,DefinitionArrays!$I$6:$J$12,2,FALSE)</f>
        <v>Workweek</v>
      </c>
    </row>
    <row r="2390" spans="1:10">
      <c r="A2390" s="159" t="str">
        <f t="shared" si="187"/>
        <v>$H$1:$H$92</v>
      </c>
      <c r="B2390" s="159" t="str">
        <f t="shared" si="188"/>
        <v>$I$1:$I$92</v>
      </c>
      <c r="C2390" s="159" t="str">
        <f t="shared" si="189"/>
        <v>March!$H$1:$H$92</v>
      </c>
      <c r="D2390" s="159" t="str">
        <f t="shared" si="190"/>
        <v>March!$I$1:$I$92</v>
      </c>
      <c r="E2390" t="s">
        <v>6</v>
      </c>
      <c r="F2390" t="s">
        <v>122</v>
      </c>
      <c r="G2390" t="s">
        <v>143</v>
      </c>
      <c r="H2390" t="s">
        <v>24</v>
      </c>
      <c r="I2390" t="e">
        <f t="shared" ca="1" si="186"/>
        <v>#REF!</v>
      </c>
      <c r="J2390" t="str">
        <f>VLOOKUP($G2390,DefinitionArrays!$I$6:$J$12,2,FALSE)</f>
        <v>Workweek</v>
      </c>
    </row>
    <row r="2391" spans="1:10">
      <c r="A2391" s="159" t="str">
        <f t="shared" si="187"/>
        <v>$H$1:$H$92</v>
      </c>
      <c r="B2391" s="159" t="str">
        <f t="shared" si="188"/>
        <v>$I$1:$I$92</v>
      </c>
      <c r="C2391" s="159" t="str">
        <f t="shared" si="189"/>
        <v>March!$H$1:$H$92</v>
      </c>
      <c r="D2391" s="159" t="str">
        <f t="shared" si="190"/>
        <v>March!$I$1:$I$92</v>
      </c>
      <c r="E2391" t="s">
        <v>6</v>
      </c>
      <c r="F2391" t="s">
        <v>122</v>
      </c>
      <c r="G2391" t="s">
        <v>143</v>
      </c>
      <c r="H2391" t="s">
        <v>179</v>
      </c>
      <c r="I2391" t="e">
        <f t="shared" ca="1" si="186"/>
        <v>#REF!</v>
      </c>
      <c r="J2391" t="str">
        <f>VLOOKUP($G2391,DefinitionArrays!$I$6:$J$12,2,FALSE)</f>
        <v>Workweek</v>
      </c>
    </row>
    <row r="2392" spans="1:10">
      <c r="A2392" s="159" t="str">
        <f t="shared" si="187"/>
        <v>$H$1:$H$92</v>
      </c>
      <c r="B2392" s="159" t="str">
        <f t="shared" si="188"/>
        <v>$I$1:$I$92</v>
      </c>
      <c r="C2392" s="159" t="str">
        <f t="shared" si="189"/>
        <v>March!$H$1:$H$92</v>
      </c>
      <c r="D2392" s="159" t="str">
        <f t="shared" si="190"/>
        <v>March!$I$1:$I$92</v>
      </c>
      <c r="E2392" t="s">
        <v>6</v>
      </c>
      <c r="F2392" t="s">
        <v>122</v>
      </c>
      <c r="G2392" t="s">
        <v>143</v>
      </c>
      <c r="H2392" t="s">
        <v>180</v>
      </c>
      <c r="I2392" t="e">
        <f t="shared" ca="1" si="186"/>
        <v>#REF!</v>
      </c>
      <c r="J2392" t="str">
        <f>VLOOKUP($G2392,DefinitionArrays!$I$6:$J$12,2,FALSE)</f>
        <v>Workweek</v>
      </c>
    </row>
    <row r="2393" spans="1:10">
      <c r="A2393" s="159" t="str">
        <f t="shared" si="187"/>
        <v>$H$1:$H$92</v>
      </c>
      <c r="B2393" s="159" t="str">
        <f t="shared" si="188"/>
        <v>$I$1:$I$92</v>
      </c>
      <c r="C2393" s="159" t="str">
        <f t="shared" si="189"/>
        <v>March!$H$1:$H$92</v>
      </c>
      <c r="D2393" s="159" t="str">
        <f t="shared" si="190"/>
        <v>March!$I$1:$I$92</v>
      </c>
      <c r="E2393" t="s">
        <v>6</v>
      </c>
      <c r="F2393" t="s">
        <v>122</v>
      </c>
      <c r="G2393" t="s">
        <v>143</v>
      </c>
      <c r="H2393" t="s">
        <v>44</v>
      </c>
      <c r="I2393" t="e">
        <f t="shared" ca="1" si="186"/>
        <v>#REF!</v>
      </c>
      <c r="J2393" t="str">
        <f>VLOOKUP($G2393,DefinitionArrays!$I$6:$J$12,2,FALSE)</f>
        <v>Workweek</v>
      </c>
    </row>
    <row r="2394" spans="1:10">
      <c r="A2394" s="159" t="str">
        <f t="shared" si="187"/>
        <v>$K$1:$K$92</v>
      </c>
      <c r="B2394" s="159" t="str">
        <f t="shared" si="188"/>
        <v>$L$1:$L$92</v>
      </c>
      <c r="C2394" s="159" t="str">
        <f t="shared" si="189"/>
        <v>March!$K$1:$K$92</v>
      </c>
      <c r="D2394" s="159" t="str">
        <f t="shared" si="190"/>
        <v>March!$L$1:$L$92</v>
      </c>
      <c r="E2394" t="s">
        <v>6</v>
      </c>
      <c r="F2394" t="s">
        <v>122</v>
      </c>
      <c r="G2394" t="s">
        <v>144</v>
      </c>
      <c r="H2394" t="s">
        <v>159</v>
      </c>
      <c r="I2394" t="e">
        <f t="shared" ca="1" si="186"/>
        <v>#REF!</v>
      </c>
      <c r="J2394" t="str">
        <f>VLOOKUP($G2394,DefinitionArrays!$I$6:$J$12,2,FALSE)</f>
        <v>Workweek</v>
      </c>
    </row>
    <row r="2395" spans="1:10">
      <c r="A2395" s="159" t="str">
        <f t="shared" si="187"/>
        <v>$K$1:$K$92</v>
      </c>
      <c r="B2395" s="159" t="str">
        <f t="shared" si="188"/>
        <v>$L$1:$L$92</v>
      </c>
      <c r="C2395" s="159" t="str">
        <f t="shared" si="189"/>
        <v>March!$K$1:$K$92</v>
      </c>
      <c r="D2395" s="159" t="str">
        <f t="shared" si="190"/>
        <v>March!$L$1:$L$92</v>
      </c>
      <c r="E2395" t="s">
        <v>6</v>
      </c>
      <c r="F2395" t="s">
        <v>122</v>
      </c>
      <c r="G2395" t="s">
        <v>144</v>
      </c>
      <c r="H2395" t="s">
        <v>18</v>
      </c>
      <c r="I2395" t="e">
        <f t="shared" ca="1" si="186"/>
        <v>#REF!</v>
      </c>
      <c r="J2395" t="str">
        <f>VLOOKUP($G2395,DefinitionArrays!$I$6:$J$12,2,FALSE)</f>
        <v>Workweek</v>
      </c>
    </row>
    <row r="2396" spans="1:10">
      <c r="A2396" s="159" t="str">
        <f t="shared" si="187"/>
        <v>$K$1:$K$92</v>
      </c>
      <c r="B2396" s="159" t="str">
        <f t="shared" si="188"/>
        <v>$L$1:$L$92</v>
      </c>
      <c r="C2396" s="159" t="str">
        <f t="shared" si="189"/>
        <v>March!$K$1:$K$92</v>
      </c>
      <c r="D2396" s="159" t="str">
        <f t="shared" si="190"/>
        <v>March!$L$1:$L$92</v>
      </c>
      <c r="E2396" t="s">
        <v>6</v>
      </c>
      <c r="F2396" t="s">
        <v>122</v>
      </c>
      <c r="G2396" t="s">
        <v>144</v>
      </c>
      <c r="H2396" t="s">
        <v>153</v>
      </c>
      <c r="I2396" t="e">
        <f t="shared" ca="1" si="186"/>
        <v>#REF!</v>
      </c>
      <c r="J2396" t="str">
        <f>VLOOKUP($G2396,DefinitionArrays!$I$6:$J$12,2,FALSE)</f>
        <v>Workweek</v>
      </c>
    </row>
    <row r="2397" spans="1:10">
      <c r="A2397" s="159" t="str">
        <f t="shared" si="187"/>
        <v>$K$1:$K$92</v>
      </c>
      <c r="B2397" s="159" t="str">
        <f t="shared" si="188"/>
        <v>$L$1:$L$92</v>
      </c>
      <c r="C2397" s="159" t="str">
        <f t="shared" si="189"/>
        <v>March!$K$1:$K$92</v>
      </c>
      <c r="D2397" s="159" t="str">
        <f t="shared" si="190"/>
        <v>March!$L$1:$L$92</v>
      </c>
      <c r="E2397" t="s">
        <v>6</v>
      </c>
      <c r="F2397" t="s">
        <v>122</v>
      </c>
      <c r="G2397" t="s">
        <v>144</v>
      </c>
      <c r="H2397" t="s">
        <v>19</v>
      </c>
      <c r="I2397" t="e">
        <f t="shared" ca="1" si="186"/>
        <v>#REF!</v>
      </c>
      <c r="J2397" t="str">
        <f>VLOOKUP($G2397,DefinitionArrays!$I$6:$J$12,2,FALSE)</f>
        <v>Workweek</v>
      </c>
    </row>
    <row r="2398" spans="1:10">
      <c r="A2398" s="159" t="str">
        <f t="shared" si="187"/>
        <v>$K$1:$K$92</v>
      </c>
      <c r="B2398" s="159" t="str">
        <f t="shared" si="188"/>
        <v>$L$1:$L$92</v>
      </c>
      <c r="C2398" s="159" t="str">
        <f t="shared" si="189"/>
        <v>March!$K$1:$K$92</v>
      </c>
      <c r="D2398" s="159" t="str">
        <f t="shared" si="190"/>
        <v>March!$L$1:$L$92</v>
      </c>
      <c r="E2398" t="s">
        <v>6</v>
      </c>
      <c r="F2398" t="s">
        <v>122</v>
      </c>
      <c r="G2398" t="s">
        <v>144</v>
      </c>
      <c r="H2398" t="s">
        <v>20</v>
      </c>
      <c r="I2398" t="e">
        <f t="shared" ca="1" si="186"/>
        <v>#REF!</v>
      </c>
      <c r="J2398" t="str">
        <f>VLOOKUP($G2398,DefinitionArrays!$I$6:$J$12,2,FALSE)</f>
        <v>Workweek</v>
      </c>
    </row>
    <row r="2399" spans="1:10">
      <c r="A2399" s="159" t="str">
        <f t="shared" si="187"/>
        <v>$K$1:$K$92</v>
      </c>
      <c r="B2399" s="159" t="str">
        <f t="shared" si="188"/>
        <v>$L$1:$L$92</v>
      </c>
      <c r="C2399" s="159" t="str">
        <f t="shared" si="189"/>
        <v>March!$K$1:$K$92</v>
      </c>
      <c r="D2399" s="159" t="str">
        <f t="shared" si="190"/>
        <v>March!$L$1:$L$92</v>
      </c>
      <c r="E2399" t="s">
        <v>6</v>
      </c>
      <c r="F2399" t="s">
        <v>122</v>
      </c>
      <c r="G2399" t="s">
        <v>144</v>
      </c>
      <c r="H2399" t="s">
        <v>21</v>
      </c>
      <c r="I2399" t="e">
        <f t="shared" ca="1" si="186"/>
        <v>#REF!</v>
      </c>
      <c r="J2399" t="str">
        <f>VLOOKUP($G2399,DefinitionArrays!$I$6:$J$12,2,FALSE)</f>
        <v>Workweek</v>
      </c>
    </row>
    <row r="2400" spans="1:10">
      <c r="A2400" s="159" t="str">
        <f t="shared" si="187"/>
        <v>$K$1:$K$92</v>
      </c>
      <c r="B2400" s="159" t="str">
        <f t="shared" si="188"/>
        <v>$L$1:$L$92</v>
      </c>
      <c r="C2400" s="159" t="str">
        <f t="shared" si="189"/>
        <v>March!$K$1:$K$92</v>
      </c>
      <c r="D2400" s="159" t="str">
        <f t="shared" si="190"/>
        <v>March!$L$1:$L$92</v>
      </c>
      <c r="E2400" t="s">
        <v>6</v>
      </c>
      <c r="F2400" t="s">
        <v>122</v>
      </c>
      <c r="G2400" t="s">
        <v>144</v>
      </c>
      <c r="H2400" t="s">
        <v>22</v>
      </c>
      <c r="I2400" t="e">
        <f t="shared" ca="1" si="186"/>
        <v>#REF!</v>
      </c>
      <c r="J2400" t="str">
        <f>VLOOKUP($G2400,DefinitionArrays!$I$6:$J$12,2,FALSE)</f>
        <v>Workweek</v>
      </c>
    </row>
    <row r="2401" spans="1:10">
      <c r="A2401" s="159" t="str">
        <f t="shared" si="187"/>
        <v>$K$1:$K$92</v>
      </c>
      <c r="B2401" s="159" t="str">
        <f t="shared" si="188"/>
        <v>$L$1:$L$92</v>
      </c>
      <c r="C2401" s="159" t="str">
        <f t="shared" si="189"/>
        <v>March!$K$1:$K$92</v>
      </c>
      <c r="D2401" s="159" t="str">
        <f t="shared" si="190"/>
        <v>March!$L$1:$L$92</v>
      </c>
      <c r="E2401" t="s">
        <v>6</v>
      </c>
      <c r="F2401" t="s">
        <v>122</v>
      </c>
      <c r="G2401" t="s">
        <v>144</v>
      </c>
      <c r="H2401" t="s">
        <v>23</v>
      </c>
      <c r="I2401" t="e">
        <f t="shared" ca="1" si="186"/>
        <v>#REF!</v>
      </c>
      <c r="J2401" t="str">
        <f>VLOOKUP($G2401,DefinitionArrays!$I$6:$J$12,2,FALSE)</f>
        <v>Workweek</v>
      </c>
    </row>
    <row r="2402" spans="1:10">
      <c r="A2402" s="159" t="str">
        <f t="shared" si="187"/>
        <v>$K$1:$K$92</v>
      </c>
      <c r="B2402" s="159" t="str">
        <f t="shared" si="188"/>
        <v>$L$1:$L$92</v>
      </c>
      <c r="C2402" s="159" t="str">
        <f t="shared" si="189"/>
        <v>March!$K$1:$K$92</v>
      </c>
      <c r="D2402" s="159" t="str">
        <f t="shared" si="190"/>
        <v>March!$L$1:$L$92</v>
      </c>
      <c r="E2402" t="s">
        <v>6</v>
      </c>
      <c r="F2402" t="s">
        <v>122</v>
      </c>
      <c r="G2402" t="s">
        <v>144</v>
      </c>
      <c r="H2402" t="s">
        <v>24</v>
      </c>
      <c r="I2402" t="e">
        <f t="shared" ca="1" si="186"/>
        <v>#REF!</v>
      </c>
      <c r="J2402" t="str">
        <f>VLOOKUP($G2402,DefinitionArrays!$I$6:$J$12,2,FALSE)</f>
        <v>Workweek</v>
      </c>
    </row>
    <row r="2403" spans="1:10">
      <c r="A2403" s="159" t="str">
        <f t="shared" si="187"/>
        <v>$K$1:$K$92</v>
      </c>
      <c r="B2403" s="159" t="str">
        <f t="shared" si="188"/>
        <v>$L$1:$L$92</v>
      </c>
      <c r="C2403" s="159" t="str">
        <f t="shared" si="189"/>
        <v>March!$K$1:$K$92</v>
      </c>
      <c r="D2403" s="159" t="str">
        <f t="shared" si="190"/>
        <v>March!$L$1:$L$92</v>
      </c>
      <c r="E2403" t="s">
        <v>6</v>
      </c>
      <c r="F2403" t="s">
        <v>122</v>
      </c>
      <c r="G2403" t="s">
        <v>144</v>
      </c>
      <c r="H2403" t="s">
        <v>179</v>
      </c>
      <c r="I2403" t="e">
        <f t="shared" ca="1" si="186"/>
        <v>#REF!</v>
      </c>
      <c r="J2403" t="str">
        <f>VLOOKUP($G2403,DefinitionArrays!$I$6:$J$12,2,FALSE)</f>
        <v>Workweek</v>
      </c>
    </row>
    <row r="2404" spans="1:10">
      <c r="A2404" s="159" t="str">
        <f t="shared" si="187"/>
        <v>$K$1:$K$92</v>
      </c>
      <c r="B2404" s="159" t="str">
        <f t="shared" si="188"/>
        <v>$L$1:$L$92</v>
      </c>
      <c r="C2404" s="159" t="str">
        <f t="shared" si="189"/>
        <v>March!$K$1:$K$92</v>
      </c>
      <c r="D2404" s="159" t="str">
        <f t="shared" si="190"/>
        <v>March!$L$1:$L$92</v>
      </c>
      <c r="E2404" t="s">
        <v>6</v>
      </c>
      <c r="F2404" t="s">
        <v>122</v>
      </c>
      <c r="G2404" t="s">
        <v>144</v>
      </c>
      <c r="H2404" t="s">
        <v>180</v>
      </c>
      <c r="I2404" t="e">
        <f t="shared" ca="1" si="186"/>
        <v>#REF!</v>
      </c>
      <c r="J2404" t="str">
        <f>VLOOKUP($G2404,DefinitionArrays!$I$6:$J$12,2,FALSE)</f>
        <v>Workweek</v>
      </c>
    </row>
    <row r="2405" spans="1:10">
      <c r="A2405" s="159" t="str">
        <f t="shared" si="187"/>
        <v>$K$1:$K$92</v>
      </c>
      <c r="B2405" s="159" t="str">
        <f t="shared" si="188"/>
        <v>$L$1:$L$92</v>
      </c>
      <c r="C2405" s="159" t="str">
        <f t="shared" si="189"/>
        <v>March!$K$1:$K$92</v>
      </c>
      <c r="D2405" s="159" t="str">
        <f t="shared" si="190"/>
        <v>March!$L$1:$L$92</v>
      </c>
      <c r="E2405" t="s">
        <v>6</v>
      </c>
      <c r="F2405" t="s">
        <v>122</v>
      </c>
      <c r="G2405" t="s">
        <v>144</v>
      </c>
      <c r="H2405" t="s">
        <v>44</v>
      </c>
      <c r="I2405" t="e">
        <f t="shared" ca="1" si="186"/>
        <v>#REF!</v>
      </c>
      <c r="J2405" t="str">
        <f>VLOOKUP($G2405,DefinitionArrays!$I$6:$J$12,2,FALSE)</f>
        <v>Workweek</v>
      </c>
    </row>
    <row r="2406" spans="1:10">
      <c r="A2406" s="159" t="str">
        <f t="shared" si="187"/>
        <v>$N$1:$N$92</v>
      </c>
      <c r="B2406" s="159" t="str">
        <f t="shared" si="188"/>
        <v>$O$1:$O$92</v>
      </c>
      <c r="C2406" s="159" t="str">
        <f t="shared" si="189"/>
        <v>March!$N$1:$N$92</v>
      </c>
      <c r="D2406" s="159" t="str">
        <f t="shared" si="190"/>
        <v>March!$O$1:$O$92</v>
      </c>
      <c r="E2406" t="s">
        <v>6</v>
      </c>
      <c r="F2406" t="s">
        <v>122</v>
      </c>
      <c r="G2406" t="s">
        <v>145</v>
      </c>
      <c r="H2406" t="s">
        <v>159</v>
      </c>
      <c r="I2406" t="e">
        <f t="shared" ca="1" si="186"/>
        <v>#REF!</v>
      </c>
      <c r="J2406" t="str">
        <f>VLOOKUP($G2406,DefinitionArrays!$I$6:$J$12,2,FALSE)</f>
        <v>Weekend</v>
      </c>
    </row>
    <row r="2407" spans="1:10">
      <c r="A2407" s="159" t="str">
        <f t="shared" si="187"/>
        <v>$N$1:$N$92</v>
      </c>
      <c r="B2407" s="159" t="str">
        <f t="shared" si="188"/>
        <v>$O$1:$O$92</v>
      </c>
      <c r="C2407" s="159" t="str">
        <f t="shared" si="189"/>
        <v>March!$N$1:$N$92</v>
      </c>
      <c r="D2407" s="159" t="str">
        <f t="shared" si="190"/>
        <v>March!$O$1:$O$92</v>
      </c>
      <c r="E2407" t="s">
        <v>6</v>
      </c>
      <c r="F2407" t="s">
        <v>122</v>
      </c>
      <c r="G2407" t="s">
        <v>145</v>
      </c>
      <c r="H2407" t="s">
        <v>18</v>
      </c>
      <c r="I2407" t="e">
        <f t="shared" ca="1" si="186"/>
        <v>#REF!</v>
      </c>
      <c r="J2407" t="str">
        <f>VLOOKUP($G2407,DefinitionArrays!$I$6:$J$12,2,FALSE)</f>
        <v>Weekend</v>
      </c>
    </row>
    <row r="2408" spans="1:10">
      <c r="A2408" s="159" t="str">
        <f t="shared" si="187"/>
        <v>$N$1:$N$92</v>
      </c>
      <c r="B2408" s="159" t="str">
        <f t="shared" si="188"/>
        <v>$O$1:$O$92</v>
      </c>
      <c r="C2408" s="159" t="str">
        <f t="shared" si="189"/>
        <v>March!$N$1:$N$92</v>
      </c>
      <c r="D2408" s="159" t="str">
        <f t="shared" si="190"/>
        <v>March!$O$1:$O$92</v>
      </c>
      <c r="E2408" t="s">
        <v>6</v>
      </c>
      <c r="F2408" t="s">
        <v>122</v>
      </c>
      <c r="G2408" t="s">
        <v>145</v>
      </c>
      <c r="H2408" t="s">
        <v>153</v>
      </c>
      <c r="I2408" t="e">
        <f t="shared" ca="1" si="186"/>
        <v>#REF!</v>
      </c>
      <c r="J2408" t="str">
        <f>VLOOKUP($G2408,DefinitionArrays!$I$6:$J$12,2,FALSE)</f>
        <v>Weekend</v>
      </c>
    </row>
    <row r="2409" spans="1:10">
      <c r="A2409" s="159" t="str">
        <f t="shared" si="187"/>
        <v>$N$1:$N$92</v>
      </c>
      <c r="B2409" s="159" t="str">
        <f t="shared" si="188"/>
        <v>$O$1:$O$92</v>
      </c>
      <c r="C2409" s="159" t="str">
        <f t="shared" si="189"/>
        <v>March!$N$1:$N$92</v>
      </c>
      <c r="D2409" s="159" t="str">
        <f t="shared" si="190"/>
        <v>March!$O$1:$O$92</v>
      </c>
      <c r="E2409" t="s">
        <v>6</v>
      </c>
      <c r="F2409" t="s">
        <v>122</v>
      </c>
      <c r="G2409" t="s">
        <v>145</v>
      </c>
      <c r="H2409" t="s">
        <v>19</v>
      </c>
      <c r="I2409" t="e">
        <f t="shared" ca="1" si="186"/>
        <v>#REF!</v>
      </c>
      <c r="J2409" t="str">
        <f>VLOOKUP($G2409,DefinitionArrays!$I$6:$J$12,2,FALSE)</f>
        <v>Weekend</v>
      </c>
    </row>
    <row r="2410" spans="1:10">
      <c r="A2410" s="159" t="str">
        <f t="shared" si="187"/>
        <v>$N$1:$N$92</v>
      </c>
      <c r="B2410" s="159" t="str">
        <f t="shared" si="188"/>
        <v>$O$1:$O$92</v>
      </c>
      <c r="C2410" s="159" t="str">
        <f t="shared" si="189"/>
        <v>March!$N$1:$N$92</v>
      </c>
      <c r="D2410" s="159" t="str">
        <f t="shared" si="190"/>
        <v>March!$O$1:$O$92</v>
      </c>
      <c r="E2410" t="s">
        <v>6</v>
      </c>
      <c r="F2410" t="s">
        <v>122</v>
      </c>
      <c r="G2410" t="s">
        <v>145</v>
      </c>
      <c r="H2410" t="s">
        <v>20</v>
      </c>
      <c r="I2410" t="e">
        <f t="shared" ca="1" si="186"/>
        <v>#REF!</v>
      </c>
      <c r="J2410" t="str">
        <f>VLOOKUP($G2410,DefinitionArrays!$I$6:$J$12,2,FALSE)</f>
        <v>Weekend</v>
      </c>
    </row>
    <row r="2411" spans="1:10">
      <c r="A2411" s="159" t="str">
        <f t="shared" si="187"/>
        <v>$N$1:$N$92</v>
      </c>
      <c r="B2411" s="159" t="str">
        <f t="shared" si="188"/>
        <v>$O$1:$O$92</v>
      </c>
      <c r="C2411" s="159" t="str">
        <f t="shared" si="189"/>
        <v>March!$N$1:$N$92</v>
      </c>
      <c r="D2411" s="159" t="str">
        <f t="shared" si="190"/>
        <v>March!$O$1:$O$92</v>
      </c>
      <c r="E2411" t="s">
        <v>6</v>
      </c>
      <c r="F2411" t="s">
        <v>122</v>
      </c>
      <c r="G2411" t="s">
        <v>145</v>
      </c>
      <c r="H2411" t="s">
        <v>21</v>
      </c>
      <c r="I2411" t="e">
        <f t="shared" ca="1" si="186"/>
        <v>#REF!</v>
      </c>
      <c r="J2411" t="str">
        <f>VLOOKUP($G2411,DefinitionArrays!$I$6:$J$12,2,FALSE)</f>
        <v>Weekend</v>
      </c>
    </row>
    <row r="2412" spans="1:10">
      <c r="A2412" s="159" t="str">
        <f t="shared" si="187"/>
        <v>$N$1:$N$92</v>
      </c>
      <c r="B2412" s="159" t="str">
        <f t="shared" si="188"/>
        <v>$O$1:$O$92</v>
      </c>
      <c r="C2412" s="159" t="str">
        <f t="shared" si="189"/>
        <v>March!$N$1:$N$92</v>
      </c>
      <c r="D2412" s="159" t="str">
        <f t="shared" si="190"/>
        <v>March!$O$1:$O$92</v>
      </c>
      <c r="E2412" t="s">
        <v>6</v>
      </c>
      <c r="F2412" t="s">
        <v>122</v>
      </c>
      <c r="G2412" t="s">
        <v>145</v>
      </c>
      <c r="H2412" t="s">
        <v>22</v>
      </c>
      <c r="I2412" t="e">
        <f t="shared" ca="1" si="186"/>
        <v>#REF!</v>
      </c>
      <c r="J2412" t="str">
        <f>VLOOKUP($G2412,DefinitionArrays!$I$6:$J$12,2,FALSE)</f>
        <v>Weekend</v>
      </c>
    </row>
    <row r="2413" spans="1:10">
      <c r="A2413" s="159" t="str">
        <f t="shared" si="187"/>
        <v>$N$1:$N$92</v>
      </c>
      <c r="B2413" s="159" t="str">
        <f t="shared" si="188"/>
        <v>$O$1:$O$92</v>
      </c>
      <c r="C2413" s="159" t="str">
        <f t="shared" si="189"/>
        <v>March!$N$1:$N$92</v>
      </c>
      <c r="D2413" s="159" t="str">
        <f t="shared" si="190"/>
        <v>March!$O$1:$O$92</v>
      </c>
      <c r="E2413" t="s">
        <v>6</v>
      </c>
      <c r="F2413" t="s">
        <v>122</v>
      </c>
      <c r="G2413" t="s">
        <v>145</v>
      </c>
      <c r="H2413" t="s">
        <v>23</v>
      </c>
      <c r="I2413" t="e">
        <f t="shared" ca="1" si="186"/>
        <v>#REF!</v>
      </c>
      <c r="J2413" t="str">
        <f>VLOOKUP($G2413,DefinitionArrays!$I$6:$J$12,2,FALSE)</f>
        <v>Weekend</v>
      </c>
    </row>
    <row r="2414" spans="1:10">
      <c r="A2414" s="159" t="str">
        <f t="shared" si="187"/>
        <v>$N$1:$N$92</v>
      </c>
      <c r="B2414" s="159" t="str">
        <f t="shared" si="188"/>
        <v>$O$1:$O$92</v>
      </c>
      <c r="C2414" s="159" t="str">
        <f t="shared" si="189"/>
        <v>March!$N$1:$N$92</v>
      </c>
      <c r="D2414" s="159" t="str">
        <f t="shared" si="190"/>
        <v>March!$O$1:$O$92</v>
      </c>
      <c r="E2414" t="s">
        <v>6</v>
      </c>
      <c r="F2414" t="s">
        <v>122</v>
      </c>
      <c r="G2414" t="s">
        <v>145</v>
      </c>
      <c r="H2414" t="s">
        <v>24</v>
      </c>
      <c r="I2414" t="e">
        <f t="shared" ca="1" si="186"/>
        <v>#REF!</v>
      </c>
      <c r="J2414" t="str">
        <f>VLOOKUP($G2414,DefinitionArrays!$I$6:$J$12,2,FALSE)</f>
        <v>Weekend</v>
      </c>
    </row>
    <row r="2415" spans="1:10">
      <c r="A2415" s="159" t="str">
        <f t="shared" si="187"/>
        <v>$N$1:$N$92</v>
      </c>
      <c r="B2415" s="159" t="str">
        <f t="shared" si="188"/>
        <v>$O$1:$O$92</v>
      </c>
      <c r="C2415" s="159" t="str">
        <f t="shared" si="189"/>
        <v>March!$N$1:$N$92</v>
      </c>
      <c r="D2415" s="159" t="str">
        <f t="shared" si="190"/>
        <v>March!$O$1:$O$92</v>
      </c>
      <c r="E2415" t="s">
        <v>6</v>
      </c>
      <c r="F2415" t="s">
        <v>122</v>
      </c>
      <c r="G2415" t="s">
        <v>145</v>
      </c>
      <c r="H2415" t="s">
        <v>179</v>
      </c>
      <c r="I2415" t="e">
        <f t="shared" ca="1" si="186"/>
        <v>#REF!</v>
      </c>
      <c r="J2415" t="str">
        <f>VLOOKUP($G2415,DefinitionArrays!$I$6:$J$12,2,FALSE)</f>
        <v>Weekend</v>
      </c>
    </row>
    <row r="2416" spans="1:10">
      <c r="A2416" s="159" t="str">
        <f t="shared" si="187"/>
        <v>$N$1:$N$92</v>
      </c>
      <c r="B2416" s="159" t="str">
        <f t="shared" si="188"/>
        <v>$O$1:$O$92</v>
      </c>
      <c r="C2416" s="159" t="str">
        <f t="shared" si="189"/>
        <v>March!$N$1:$N$92</v>
      </c>
      <c r="D2416" s="159" t="str">
        <f t="shared" si="190"/>
        <v>March!$O$1:$O$92</v>
      </c>
      <c r="E2416" t="s">
        <v>6</v>
      </c>
      <c r="F2416" t="s">
        <v>122</v>
      </c>
      <c r="G2416" t="s">
        <v>145</v>
      </c>
      <c r="H2416" t="s">
        <v>180</v>
      </c>
      <c r="I2416" t="e">
        <f t="shared" ca="1" si="186"/>
        <v>#REF!</v>
      </c>
      <c r="J2416" t="str">
        <f>VLOOKUP($G2416,DefinitionArrays!$I$6:$J$12,2,FALSE)</f>
        <v>Weekend</v>
      </c>
    </row>
    <row r="2417" spans="1:10">
      <c r="A2417" s="159" t="str">
        <f t="shared" si="187"/>
        <v>$N$1:$N$92</v>
      </c>
      <c r="B2417" s="159" t="str">
        <f t="shared" si="188"/>
        <v>$O$1:$O$92</v>
      </c>
      <c r="C2417" s="159" t="str">
        <f t="shared" si="189"/>
        <v>March!$N$1:$N$92</v>
      </c>
      <c r="D2417" s="159" t="str">
        <f t="shared" si="190"/>
        <v>March!$O$1:$O$92</v>
      </c>
      <c r="E2417" t="s">
        <v>6</v>
      </c>
      <c r="F2417" t="s">
        <v>122</v>
      </c>
      <c r="G2417" t="s">
        <v>145</v>
      </c>
      <c r="H2417" t="s">
        <v>44</v>
      </c>
      <c r="I2417" t="e">
        <f t="shared" ca="1" si="186"/>
        <v>#REF!</v>
      </c>
      <c r="J2417" t="str">
        <f>VLOOKUP($G2417,DefinitionArrays!$I$6:$J$12,2,FALSE)</f>
        <v>Weekend</v>
      </c>
    </row>
    <row r="2418" spans="1:10">
      <c r="A2418" s="159" t="str">
        <f t="shared" si="187"/>
        <v>$Q$1:$Q$92</v>
      </c>
      <c r="B2418" s="159" t="str">
        <f t="shared" si="188"/>
        <v>$R$1:$R$92</v>
      </c>
      <c r="C2418" s="159" t="str">
        <f t="shared" si="189"/>
        <v>March!$Q$1:$Q$92</v>
      </c>
      <c r="D2418" s="159" t="str">
        <f t="shared" si="190"/>
        <v>March!$R$1:$R$92</v>
      </c>
      <c r="E2418" t="s">
        <v>6</v>
      </c>
      <c r="F2418" t="s">
        <v>122</v>
      </c>
      <c r="G2418" t="s">
        <v>146</v>
      </c>
      <c r="H2418" t="s">
        <v>159</v>
      </c>
      <c r="I2418" t="e">
        <f t="shared" ca="1" si="186"/>
        <v>#REF!</v>
      </c>
      <c r="J2418" t="str">
        <f>VLOOKUP($G2418,DefinitionArrays!$I$6:$J$12,2,FALSE)</f>
        <v>Weekend</v>
      </c>
    </row>
    <row r="2419" spans="1:10">
      <c r="A2419" s="159" t="str">
        <f t="shared" si="187"/>
        <v>$T$1:$T$92</v>
      </c>
      <c r="B2419" s="159" t="str">
        <f t="shared" si="188"/>
        <v>$U$1:$U$92</v>
      </c>
      <c r="C2419" s="159" t="str">
        <f t="shared" si="189"/>
        <v>March!$T$1:$T$92</v>
      </c>
      <c r="D2419" s="159" t="str">
        <f t="shared" si="190"/>
        <v>March!$U$1:$U$92</v>
      </c>
      <c r="E2419" t="s">
        <v>6</v>
      </c>
      <c r="F2419" t="s">
        <v>122</v>
      </c>
      <c r="G2419" t="s">
        <v>141</v>
      </c>
      <c r="H2419" t="s">
        <v>159</v>
      </c>
      <c r="I2419" t="e">
        <f t="shared" ca="1" si="186"/>
        <v>#REF!</v>
      </c>
      <c r="J2419" t="str">
        <f>VLOOKUP($G2419,DefinitionArrays!$I$6:$J$12,2,FALSE)</f>
        <v>Weekend</v>
      </c>
    </row>
    <row r="2420" spans="1:10">
      <c r="A2420" s="159" t="str">
        <f t="shared" si="187"/>
        <v>$B$1:$B$92</v>
      </c>
      <c r="B2420" s="159" t="str">
        <f t="shared" si="188"/>
        <v>$C$1:$C$92</v>
      </c>
      <c r="C2420" s="159" t="str">
        <f t="shared" si="189"/>
        <v>April!$B$1:$B$92</v>
      </c>
      <c r="D2420" s="159" t="str">
        <f t="shared" si="190"/>
        <v>April!$C$1:$C$92</v>
      </c>
      <c r="E2420" t="s">
        <v>6</v>
      </c>
      <c r="F2420" t="s">
        <v>123</v>
      </c>
      <c r="G2420" t="s">
        <v>13</v>
      </c>
      <c r="H2420" t="s">
        <v>159</v>
      </c>
      <c r="I2420" t="e">
        <f ca="1">COUNTIFS(INDIRECT($C2420),$E2420,INDIRECT($D2420),$H2420)</f>
        <v>#REF!</v>
      </c>
      <c r="J2420" t="str">
        <f>VLOOKUP($G2420,DefinitionArrays!$I$6:$J$12,2,FALSE)</f>
        <v>Workweek</v>
      </c>
    </row>
    <row r="2421" spans="1:10">
      <c r="A2421" s="159" t="str">
        <f t="shared" si="187"/>
        <v>$B$1:$B$92</v>
      </c>
      <c r="B2421" s="159" t="str">
        <f t="shared" si="188"/>
        <v>$C$1:$C$92</v>
      </c>
      <c r="C2421" s="159" t="str">
        <f t="shared" si="189"/>
        <v>April!$B$1:$B$92</v>
      </c>
      <c r="D2421" s="159" t="str">
        <f t="shared" si="190"/>
        <v>April!$C$1:$C$92</v>
      </c>
      <c r="E2421" t="s">
        <v>6</v>
      </c>
      <c r="F2421" t="s">
        <v>123</v>
      </c>
      <c r="G2421" t="s">
        <v>13</v>
      </c>
      <c r="H2421" t="s">
        <v>18</v>
      </c>
      <c r="I2421" t="e">
        <f t="shared" ref="I2421:I2481" ca="1" si="191">COUNTIFS(INDIRECT($C2421),$E2421,INDIRECT($D2421),$H2421)</f>
        <v>#REF!</v>
      </c>
      <c r="J2421" t="str">
        <f>VLOOKUP($G2421,DefinitionArrays!$I$6:$J$12,2,FALSE)</f>
        <v>Workweek</v>
      </c>
    </row>
    <row r="2422" spans="1:10">
      <c r="A2422" s="159" t="str">
        <f t="shared" si="187"/>
        <v>$B$1:$B$92</v>
      </c>
      <c r="B2422" s="159" t="str">
        <f t="shared" si="188"/>
        <v>$C$1:$C$92</v>
      </c>
      <c r="C2422" s="159" t="str">
        <f t="shared" si="189"/>
        <v>April!$B$1:$B$92</v>
      </c>
      <c r="D2422" s="159" t="str">
        <f t="shared" si="190"/>
        <v>April!$C$1:$C$92</v>
      </c>
      <c r="E2422" t="s">
        <v>6</v>
      </c>
      <c r="F2422" t="s">
        <v>123</v>
      </c>
      <c r="G2422" t="s">
        <v>13</v>
      </c>
      <c r="H2422" t="s">
        <v>153</v>
      </c>
      <c r="I2422" t="e">
        <f t="shared" ca="1" si="191"/>
        <v>#REF!</v>
      </c>
      <c r="J2422" t="str">
        <f>VLOOKUP($G2422,DefinitionArrays!$I$6:$J$12,2,FALSE)</f>
        <v>Workweek</v>
      </c>
    </row>
    <row r="2423" spans="1:10">
      <c r="A2423" s="159" t="str">
        <f t="shared" si="187"/>
        <v>$B$1:$B$92</v>
      </c>
      <c r="B2423" s="159" t="str">
        <f t="shared" si="188"/>
        <v>$C$1:$C$92</v>
      </c>
      <c r="C2423" s="159" t="str">
        <f t="shared" si="189"/>
        <v>April!$B$1:$B$92</v>
      </c>
      <c r="D2423" s="159" t="str">
        <f t="shared" si="190"/>
        <v>April!$C$1:$C$92</v>
      </c>
      <c r="E2423" t="s">
        <v>6</v>
      </c>
      <c r="F2423" t="s">
        <v>123</v>
      </c>
      <c r="G2423" t="s">
        <v>13</v>
      </c>
      <c r="H2423" t="s">
        <v>19</v>
      </c>
      <c r="I2423" t="e">
        <f t="shared" ca="1" si="191"/>
        <v>#REF!</v>
      </c>
      <c r="J2423" t="str">
        <f>VLOOKUP($G2423,DefinitionArrays!$I$6:$J$12,2,FALSE)</f>
        <v>Workweek</v>
      </c>
    </row>
    <row r="2424" spans="1:10">
      <c r="A2424" s="159" t="str">
        <f t="shared" si="187"/>
        <v>$B$1:$B$92</v>
      </c>
      <c r="B2424" s="159" t="str">
        <f t="shared" si="188"/>
        <v>$C$1:$C$92</v>
      </c>
      <c r="C2424" s="159" t="str">
        <f t="shared" si="189"/>
        <v>April!$B$1:$B$92</v>
      </c>
      <c r="D2424" s="159" t="str">
        <f t="shared" si="190"/>
        <v>April!$C$1:$C$92</v>
      </c>
      <c r="E2424" t="s">
        <v>6</v>
      </c>
      <c r="F2424" t="s">
        <v>123</v>
      </c>
      <c r="G2424" t="s">
        <v>13</v>
      </c>
      <c r="H2424" t="s">
        <v>20</v>
      </c>
      <c r="I2424" t="e">
        <f t="shared" ca="1" si="191"/>
        <v>#REF!</v>
      </c>
      <c r="J2424" t="str">
        <f>VLOOKUP($G2424,DefinitionArrays!$I$6:$J$12,2,FALSE)</f>
        <v>Workweek</v>
      </c>
    </row>
    <row r="2425" spans="1:10">
      <c r="A2425" s="159" t="str">
        <f t="shared" si="187"/>
        <v>$B$1:$B$92</v>
      </c>
      <c r="B2425" s="159" t="str">
        <f t="shared" si="188"/>
        <v>$C$1:$C$92</v>
      </c>
      <c r="C2425" s="159" t="str">
        <f t="shared" si="189"/>
        <v>April!$B$1:$B$92</v>
      </c>
      <c r="D2425" s="159" t="str">
        <f t="shared" si="190"/>
        <v>April!$C$1:$C$92</v>
      </c>
      <c r="E2425" t="s">
        <v>6</v>
      </c>
      <c r="F2425" t="s">
        <v>123</v>
      </c>
      <c r="G2425" t="s">
        <v>13</v>
      </c>
      <c r="H2425" t="s">
        <v>21</v>
      </c>
      <c r="I2425" t="e">
        <f t="shared" ca="1" si="191"/>
        <v>#REF!</v>
      </c>
      <c r="J2425" t="str">
        <f>VLOOKUP($G2425,DefinitionArrays!$I$6:$J$12,2,FALSE)</f>
        <v>Workweek</v>
      </c>
    </row>
    <row r="2426" spans="1:10">
      <c r="A2426" s="159" t="str">
        <f t="shared" si="187"/>
        <v>$B$1:$B$92</v>
      </c>
      <c r="B2426" s="159" t="str">
        <f t="shared" si="188"/>
        <v>$C$1:$C$92</v>
      </c>
      <c r="C2426" s="159" t="str">
        <f t="shared" si="189"/>
        <v>April!$B$1:$B$92</v>
      </c>
      <c r="D2426" s="159" t="str">
        <f t="shared" si="190"/>
        <v>April!$C$1:$C$92</v>
      </c>
      <c r="E2426" t="s">
        <v>6</v>
      </c>
      <c r="F2426" t="s">
        <v>123</v>
      </c>
      <c r="G2426" t="s">
        <v>13</v>
      </c>
      <c r="H2426" t="s">
        <v>22</v>
      </c>
      <c r="I2426" t="e">
        <f t="shared" ca="1" si="191"/>
        <v>#REF!</v>
      </c>
      <c r="J2426" t="str">
        <f>VLOOKUP($G2426,DefinitionArrays!$I$6:$J$12,2,FALSE)</f>
        <v>Workweek</v>
      </c>
    </row>
    <row r="2427" spans="1:10">
      <c r="A2427" s="159" t="str">
        <f t="shared" si="187"/>
        <v>$B$1:$B$92</v>
      </c>
      <c r="B2427" s="159" t="str">
        <f t="shared" si="188"/>
        <v>$C$1:$C$92</v>
      </c>
      <c r="C2427" s="159" t="str">
        <f t="shared" si="189"/>
        <v>April!$B$1:$B$92</v>
      </c>
      <c r="D2427" s="159" t="str">
        <f t="shared" si="190"/>
        <v>April!$C$1:$C$92</v>
      </c>
      <c r="E2427" t="s">
        <v>6</v>
      </c>
      <c r="F2427" t="s">
        <v>123</v>
      </c>
      <c r="G2427" t="s">
        <v>13</v>
      </c>
      <c r="H2427" t="s">
        <v>23</v>
      </c>
      <c r="I2427" t="e">
        <f t="shared" ca="1" si="191"/>
        <v>#REF!</v>
      </c>
      <c r="J2427" t="str">
        <f>VLOOKUP($G2427,DefinitionArrays!$I$6:$J$12,2,FALSE)</f>
        <v>Workweek</v>
      </c>
    </row>
    <row r="2428" spans="1:10">
      <c r="A2428" s="159" t="str">
        <f t="shared" si="187"/>
        <v>$B$1:$B$92</v>
      </c>
      <c r="B2428" s="159" t="str">
        <f t="shared" si="188"/>
        <v>$C$1:$C$92</v>
      </c>
      <c r="C2428" s="159" t="str">
        <f t="shared" si="189"/>
        <v>April!$B$1:$B$92</v>
      </c>
      <c r="D2428" s="159" t="str">
        <f t="shared" si="190"/>
        <v>April!$C$1:$C$92</v>
      </c>
      <c r="E2428" t="s">
        <v>6</v>
      </c>
      <c r="F2428" t="s">
        <v>123</v>
      </c>
      <c r="G2428" t="s">
        <v>13</v>
      </c>
      <c r="H2428" t="s">
        <v>24</v>
      </c>
      <c r="I2428" t="e">
        <f t="shared" ca="1" si="191"/>
        <v>#REF!</v>
      </c>
      <c r="J2428" t="str">
        <f>VLOOKUP($G2428,DefinitionArrays!$I$6:$J$12,2,FALSE)</f>
        <v>Workweek</v>
      </c>
    </row>
    <row r="2429" spans="1:10">
      <c r="A2429" s="159" t="str">
        <f t="shared" si="187"/>
        <v>$B$1:$B$92</v>
      </c>
      <c r="B2429" s="159" t="str">
        <f t="shared" si="188"/>
        <v>$C$1:$C$92</v>
      </c>
      <c r="C2429" s="159" t="str">
        <f t="shared" si="189"/>
        <v>April!$B$1:$B$92</v>
      </c>
      <c r="D2429" s="159" t="str">
        <f t="shared" si="190"/>
        <v>April!$C$1:$C$92</v>
      </c>
      <c r="E2429" t="s">
        <v>6</v>
      </c>
      <c r="F2429" t="s">
        <v>123</v>
      </c>
      <c r="G2429" t="s">
        <v>13</v>
      </c>
      <c r="H2429" t="s">
        <v>179</v>
      </c>
      <c r="I2429" t="e">
        <f t="shared" ca="1" si="191"/>
        <v>#REF!</v>
      </c>
      <c r="J2429" t="str">
        <f>VLOOKUP($G2429,DefinitionArrays!$I$6:$J$12,2,FALSE)</f>
        <v>Workweek</v>
      </c>
    </row>
    <row r="2430" spans="1:10">
      <c r="A2430" s="159" t="str">
        <f t="shared" si="187"/>
        <v>$B$1:$B$92</v>
      </c>
      <c r="B2430" s="159" t="str">
        <f t="shared" si="188"/>
        <v>$C$1:$C$92</v>
      </c>
      <c r="C2430" s="159" t="str">
        <f t="shared" si="189"/>
        <v>April!$B$1:$B$92</v>
      </c>
      <c r="D2430" s="159" t="str">
        <f t="shared" si="190"/>
        <v>April!$C$1:$C$92</v>
      </c>
      <c r="E2430" t="s">
        <v>6</v>
      </c>
      <c r="F2430" t="s">
        <v>123</v>
      </c>
      <c r="G2430" t="s">
        <v>13</v>
      </c>
      <c r="H2430" t="s">
        <v>180</v>
      </c>
      <c r="I2430" t="e">
        <f t="shared" ca="1" si="191"/>
        <v>#REF!</v>
      </c>
      <c r="J2430" t="str">
        <f>VLOOKUP($G2430,DefinitionArrays!$I$6:$J$12,2,FALSE)</f>
        <v>Workweek</v>
      </c>
    </row>
    <row r="2431" spans="1:10">
      <c r="A2431" s="159" t="str">
        <f t="shared" si="187"/>
        <v>$B$1:$B$92</v>
      </c>
      <c r="B2431" s="159" t="str">
        <f t="shared" si="188"/>
        <v>$C$1:$C$92</v>
      </c>
      <c r="C2431" s="159" t="str">
        <f t="shared" si="189"/>
        <v>April!$B$1:$B$92</v>
      </c>
      <c r="D2431" s="159" t="str">
        <f t="shared" si="190"/>
        <v>April!$C$1:$C$92</v>
      </c>
      <c r="E2431" t="s">
        <v>6</v>
      </c>
      <c r="F2431" t="s">
        <v>123</v>
      </c>
      <c r="G2431" t="s">
        <v>13</v>
      </c>
      <c r="H2431" t="s">
        <v>44</v>
      </c>
      <c r="I2431" t="e">
        <f t="shared" ca="1" si="191"/>
        <v>#REF!</v>
      </c>
      <c r="J2431" t="str">
        <f>VLOOKUP($G2431,DefinitionArrays!$I$6:$J$12,2,FALSE)</f>
        <v>Workweek</v>
      </c>
    </row>
    <row r="2432" spans="1:10">
      <c r="A2432" s="159" t="str">
        <f t="shared" si="187"/>
        <v>$E$1:$E$92</v>
      </c>
      <c r="B2432" s="159" t="str">
        <f t="shared" si="188"/>
        <v>$F$1:$F$92</v>
      </c>
      <c r="C2432" s="159" t="str">
        <f t="shared" si="189"/>
        <v>April!$E$1:$E$92</v>
      </c>
      <c r="D2432" s="159" t="str">
        <f t="shared" si="190"/>
        <v>April!$F$1:$F$92</v>
      </c>
      <c r="E2432" t="s">
        <v>6</v>
      </c>
      <c r="F2432" t="s">
        <v>123</v>
      </c>
      <c r="G2432" t="s">
        <v>142</v>
      </c>
      <c r="H2432" t="s">
        <v>159</v>
      </c>
      <c r="I2432" t="e">
        <f t="shared" ca="1" si="191"/>
        <v>#REF!</v>
      </c>
      <c r="J2432" t="str">
        <f>VLOOKUP($G2432,DefinitionArrays!$I$6:$J$12,2,FALSE)</f>
        <v>Workweek</v>
      </c>
    </row>
    <row r="2433" spans="1:10">
      <c r="A2433" s="159" t="str">
        <f t="shared" si="187"/>
        <v>$E$1:$E$92</v>
      </c>
      <c r="B2433" s="159" t="str">
        <f t="shared" si="188"/>
        <v>$F$1:$F$92</v>
      </c>
      <c r="C2433" s="159" t="str">
        <f t="shared" si="189"/>
        <v>April!$E$1:$E$92</v>
      </c>
      <c r="D2433" s="159" t="str">
        <f t="shared" si="190"/>
        <v>April!$F$1:$F$92</v>
      </c>
      <c r="E2433" t="s">
        <v>6</v>
      </c>
      <c r="F2433" t="s">
        <v>123</v>
      </c>
      <c r="G2433" t="s">
        <v>142</v>
      </c>
      <c r="H2433" t="s">
        <v>18</v>
      </c>
      <c r="I2433" t="e">
        <f t="shared" ca="1" si="191"/>
        <v>#REF!</v>
      </c>
      <c r="J2433" t="str">
        <f>VLOOKUP($G2433,DefinitionArrays!$I$6:$J$12,2,FALSE)</f>
        <v>Workweek</v>
      </c>
    </row>
    <row r="2434" spans="1:10">
      <c r="A2434" s="159" t="str">
        <f t="shared" ref="A2434:A2497" si="192">VLOOKUP($G2434,Fx_Code,2,FALSE)</f>
        <v>$E$1:$E$92</v>
      </c>
      <c r="B2434" s="159" t="str">
        <f t="shared" ref="B2434:B2497" si="193">VLOOKUP($G2434,Fx_Code,3,FALSE)</f>
        <v>$F$1:$F$92</v>
      </c>
      <c r="C2434" s="159" t="str">
        <f t="shared" ref="C2434:C2497" si="194">CONCATENATE($F2434,$K$1,A2434)</f>
        <v>April!$E$1:$E$92</v>
      </c>
      <c r="D2434" s="159" t="str">
        <f t="shared" ref="D2434:D2497" si="195">CONCATENATE($F2434,$K$1,B2434)</f>
        <v>April!$F$1:$F$92</v>
      </c>
      <c r="E2434" t="s">
        <v>6</v>
      </c>
      <c r="F2434" t="s">
        <v>123</v>
      </c>
      <c r="G2434" t="s">
        <v>142</v>
      </c>
      <c r="H2434" t="s">
        <v>153</v>
      </c>
      <c r="I2434" t="e">
        <f t="shared" ca="1" si="191"/>
        <v>#REF!</v>
      </c>
      <c r="J2434" t="str">
        <f>VLOOKUP($G2434,DefinitionArrays!$I$6:$J$12,2,FALSE)</f>
        <v>Workweek</v>
      </c>
    </row>
    <row r="2435" spans="1:10">
      <c r="A2435" s="159" t="str">
        <f t="shared" si="192"/>
        <v>$E$1:$E$92</v>
      </c>
      <c r="B2435" s="159" t="str">
        <f t="shared" si="193"/>
        <v>$F$1:$F$92</v>
      </c>
      <c r="C2435" s="159" t="str">
        <f t="shared" si="194"/>
        <v>April!$E$1:$E$92</v>
      </c>
      <c r="D2435" s="159" t="str">
        <f t="shared" si="195"/>
        <v>April!$F$1:$F$92</v>
      </c>
      <c r="E2435" t="s">
        <v>6</v>
      </c>
      <c r="F2435" t="s">
        <v>123</v>
      </c>
      <c r="G2435" t="s">
        <v>142</v>
      </c>
      <c r="H2435" t="s">
        <v>19</v>
      </c>
      <c r="I2435" t="e">
        <f t="shared" ca="1" si="191"/>
        <v>#REF!</v>
      </c>
      <c r="J2435" t="str">
        <f>VLOOKUP($G2435,DefinitionArrays!$I$6:$J$12,2,FALSE)</f>
        <v>Workweek</v>
      </c>
    </row>
    <row r="2436" spans="1:10">
      <c r="A2436" s="159" t="str">
        <f t="shared" si="192"/>
        <v>$E$1:$E$92</v>
      </c>
      <c r="B2436" s="159" t="str">
        <f t="shared" si="193"/>
        <v>$F$1:$F$92</v>
      </c>
      <c r="C2436" s="159" t="str">
        <f t="shared" si="194"/>
        <v>April!$E$1:$E$92</v>
      </c>
      <c r="D2436" s="159" t="str">
        <f t="shared" si="195"/>
        <v>April!$F$1:$F$92</v>
      </c>
      <c r="E2436" t="s">
        <v>6</v>
      </c>
      <c r="F2436" t="s">
        <v>123</v>
      </c>
      <c r="G2436" t="s">
        <v>142</v>
      </c>
      <c r="H2436" t="s">
        <v>20</v>
      </c>
      <c r="I2436" t="e">
        <f t="shared" ca="1" si="191"/>
        <v>#REF!</v>
      </c>
      <c r="J2436" t="str">
        <f>VLOOKUP($G2436,DefinitionArrays!$I$6:$J$12,2,FALSE)</f>
        <v>Workweek</v>
      </c>
    </row>
    <row r="2437" spans="1:10">
      <c r="A2437" s="159" t="str">
        <f t="shared" si="192"/>
        <v>$E$1:$E$92</v>
      </c>
      <c r="B2437" s="159" t="str">
        <f t="shared" si="193"/>
        <v>$F$1:$F$92</v>
      </c>
      <c r="C2437" s="159" t="str">
        <f t="shared" si="194"/>
        <v>April!$E$1:$E$92</v>
      </c>
      <c r="D2437" s="159" t="str">
        <f t="shared" si="195"/>
        <v>April!$F$1:$F$92</v>
      </c>
      <c r="E2437" t="s">
        <v>6</v>
      </c>
      <c r="F2437" t="s">
        <v>123</v>
      </c>
      <c r="G2437" t="s">
        <v>142</v>
      </c>
      <c r="H2437" t="s">
        <v>21</v>
      </c>
      <c r="I2437" t="e">
        <f t="shared" ca="1" si="191"/>
        <v>#REF!</v>
      </c>
      <c r="J2437" t="str">
        <f>VLOOKUP($G2437,DefinitionArrays!$I$6:$J$12,2,FALSE)</f>
        <v>Workweek</v>
      </c>
    </row>
    <row r="2438" spans="1:10">
      <c r="A2438" s="159" t="str">
        <f t="shared" si="192"/>
        <v>$E$1:$E$92</v>
      </c>
      <c r="B2438" s="159" t="str">
        <f t="shared" si="193"/>
        <v>$F$1:$F$92</v>
      </c>
      <c r="C2438" s="159" t="str">
        <f t="shared" si="194"/>
        <v>April!$E$1:$E$92</v>
      </c>
      <c r="D2438" s="159" t="str">
        <f t="shared" si="195"/>
        <v>April!$F$1:$F$92</v>
      </c>
      <c r="E2438" t="s">
        <v>6</v>
      </c>
      <c r="F2438" t="s">
        <v>123</v>
      </c>
      <c r="G2438" t="s">
        <v>142</v>
      </c>
      <c r="H2438" t="s">
        <v>22</v>
      </c>
      <c r="I2438" t="e">
        <f t="shared" ca="1" si="191"/>
        <v>#REF!</v>
      </c>
      <c r="J2438" t="str">
        <f>VLOOKUP($G2438,DefinitionArrays!$I$6:$J$12,2,FALSE)</f>
        <v>Workweek</v>
      </c>
    </row>
    <row r="2439" spans="1:10">
      <c r="A2439" s="159" t="str">
        <f t="shared" si="192"/>
        <v>$E$1:$E$92</v>
      </c>
      <c r="B2439" s="159" t="str">
        <f t="shared" si="193"/>
        <v>$F$1:$F$92</v>
      </c>
      <c r="C2439" s="159" t="str">
        <f t="shared" si="194"/>
        <v>April!$E$1:$E$92</v>
      </c>
      <c r="D2439" s="159" t="str">
        <f t="shared" si="195"/>
        <v>April!$F$1:$F$92</v>
      </c>
      <c r="E2439" t="s">
        <v>6</v>
      </c>
      <c r="F2439" t="s">
        <v>123</v>
      </c>
      <c r="G2439" t="s">
        <v>142</v>
      </c>
      <c r="H2439" t="s">
        <v>23</v>
      </c>
      <c r="I2439" t="e">
        <f t="shared" ca="1" si="191"/>
        <v>#REF!</v>
      </c>
      <c r="J2439" t="str">
        <f>VLOOKUP($G2439,DefinitionArrays!$I$6:$J$12,2,FALSE)</f>
        <v>Workweek</v>
      </c>
    </row>
    <row r="2440" spans="1:10">
      <c r="A2440" s="159" t="str">
        <f t="shared" si="192"/>
        <v>$E$1:$E$92</v>
      </c>
      <c r="B2440" s="159" t="str">
        <f t="shared" si="193"/>
        <v>$F$1:$F$92</v>
      </c>
      <c r="C2440" s="159" t="str">
        <f t="shared" si="194"/>
        <v>April!$E$1:$E$92</v>
      </c>
      <c r="D2440" s="159" t="str">
        <f t="shared" si="195"/>
        <v>April!$F$1:$F$92</v>
      </c>
      <c r="E2440" t="s">
        <v>6</v>
      </c>
      <c r="F2440" t="s">
        <v>123</v>
      </c>
      <c r="G2440" t="s">
        <v>142</v>
      </c>
      <c r="H2440" t="s">
        <v>24</v>
      </c>
      <c r="I2440" t="e">
        <f t="shared" ca="1" si="191"/>
        <v>#REF!</v>
      </c>
      <c r="J2440" t="str">
        <f>VLOOKUP($G2440,DefinitionArrays!$I$6:$J$12,2,FALSE)</f>
        <v>Workweek</v>
      </c>
    </row>
    <row r="2441" spans="1:10">
      <c r="A2441" s="159" t="str">
        <f t="shared" si="192"/>
        <v>$E$1:$E$92</v>
      </c>
      <c r="B2441" s="159" t="str">
        <f t="shared" si="193"/>
        <v>$F$1:$F$92</v>
      </c>
      <c r="C2441" s="159" t="str">
        <f t="shared" si="194"/>
        <v>April!$E$1:$E$92</v>
      </c>
      <c r="D2441" s="159" t="str">
        <f t="shared" si="195"/>
        <v>April!$F$1:$F$92</v>
      </c>
      <c r="E2441" t="s">
        <v>6</v>
      </c>
      <c r="F2441" t="s">
        <v>123</v>
      </c>
      <c r="G2441" t="s">
        <v>142</v>
      </c>
      <c r="H2441" t="s">
        <v>179</v>
      </c>
      <c r="I2441" t="e">
        <f t="shared" ca="1" si="191"/>
        <v>#REF!</v>
      </c>
      <c r="J2441" t="str">
        <f>VLOOKUP($G2441,DefinitionArrays!$I$6:$J$12,2,FALSE)</f>
        <v>Workweek</v>
      </c>
    </row>
    <row r="2442" spans="1:10">
      <c r="A2442" s="159" t="str">
        <f t="shared" si="192"/>
        <v>$E$1:$E$92</v>
      </c>
      <c r="B2442" s="159" t="str">
        <f t="shared" si="193"/>
        <v>$F$1:$F$92</v>
      </c>
      <c r="C2442" s="159" t="str">
        <f t="shared" si="194"/>
        <v>April!$E$1:$E$92</v>
      </c>
      <c r="D2442" s="159" t="str">
        <f t="shared" si="195"/>
        <v>April!$F$1:$F$92</v>
      </c>
      <c r="E2442" t="s">
        <v>6</v>
      </c>
      <c r="F2442" t="s">
        <v>123</v>
      </c>
      <c r="G2442" t="s">
        <v>142</v>
      </c>
      <c r="H2442" t="s">
        <v>180</v>
      </c>
      <c r="I2442" t="e">
        <f t="shared" ca="1" si="191"/>
        <v>#REF!</v>
      </c>
      <c r="J2442" t="str">
        <f>VLOOKUP($G2442,DefinitionArrays!$I$6:$J$12,2,FALSE)</f>
        <v>Workweek</v>
      </c>
    </row>
    <row r="2443" spans="1:10">
      <c r="A2443" s="159" t="str">
        <f t="shared" si="192"/>
        <v>$E$1:$E$92</v>
      </c>
      <c r="B2443" s="159" t="str">
        <f t="shared" si="193"/>
        <v>$F$1:$F$92</v>
      </c>
      <c r="C2443" s="159" t="str">
        <f t="shared" si="194"/>
        <v>April!$E$1:$E$92</v>
      </c>
      <c r="D2443" s="159" t="str">
        <f t="shared" si="195"/>
        <v>April!$F$1:$F$92</v>
      </c>
      <c r="E2443" t="s">
        <v>6</v>
      </c>
      <c r="F2443" t="s">
        <v>123</v>
      </c>
      <c r="G2443" t="s">
        <v>142</v>
      </c>
      <c r="H2443" t="s">
        <v>44</v>
      </c>
      <c r="I2443" t="e">
        <f t="shared" ca="1" si="191"/>
        <v>#REF!</v>
      </c>
      <c r="J2443" t="str">
        <f>VLOOKUP($G2443,DefinitionArrays!$I$6:$J$12,2,FALSE)</f>
        <v>Workweek</v>
      </c>
    </row>
    <row r="2444" spans="1:10">
      <c r="A2444" s="159" t="str">
        <f t="shared" si="192"/>
        <v>$H$1:$H$92</v>
      </c>
      <c r="B2444" s="159" t="str">
        <f t="shared" si="193"/>
        <v>$I$1:$I$92</v>
      </c>
      <c r="C2444" s="159" t="str">
        <f t="shared" si="194"/>
        <v>April!$H$1:$H$92</v>
      </c>
      <c r="D2444" s="159" t="str">
        <f t="shared" si="195"/>
        <v>April!$I$1:$I$92</v>
      </c>
      <c r="E2444" t="s">
        <v>6</v>
      </c>
      <c r="F2444" t="s">
        <v>123</v>
      </c>
      <c r="G2444" t="s">
        <v>143</v>
      </c>
      <c r="H2444" t="s">
        <v>159</v>
      </c>
      <c r="I2444" t="e">
        <f t="shared" ca="1" si="191"/>
        <v>#REF!</v>
      </c>
      <c r="J2444" t="str">
        <f>VLOOKUP($G2444,DefinitionArrays!$I$6:$J$12,2,FALSE)</f>
        <v>Workweek</v>
      </c>
    </row>
    <row r="2445" spans="1:10">
      <c r="A2445" s="159" t="str">
        <f t="shared" si="192"/>
        <v>$H$1:$H$92</v>
      </c>
      <c r="B2445" s="159" t="str">
        <f t="shared" si="193"/>
        <v>$I$1:$I$92</v>
      </c>
      <c r="C2445" s="159" t="str">
        <f t="shared" si="194"/>
        <v>April!$H$1:$H$92</v>
      </c>
      <c r="D2445" s="159" t="str">
        <f t="shared" si="195"/>
        <v>April!$I$1:$I$92</v>
      </c>
      <c r="E2445" t="s">
        <v>6</v>
      </c>
      <c r="F2445" t="s">
        <v>123</v>
      </c>
      <c r="G2445" t="s">
        <v>143</v>
      </c>
      <c r="H2445" t="s">
        <v>18</v>
      </c>
      <c r="I2445" t="e">
        <f t="shared" ca="1" si="191"/>
        <v>#REF!</v>
      </c>
      <c r="J2445" t="str">
        <f>VLOOKUP($G2445,DefinitionArrays!$I$6:$J$12,2,FALSE)</f>
        <v>Workweek</v>
      </c>
    </row>
    <row r="2446" spans="1:10">
      <c r="A2446" s="159" t="str">
        <f t="shared" si="192"/>
        <v>$H$1:$H$92</v>
      </c>
      <c r="B2446" s="159" t="str">
        <f t="shared" si="193"/>
        <v>$I$1:$I$92</v>
      </c>
      <c r="C2446" s="159" t="str">
        <f t="shared" si="194"/>
        <v>April!$H$1:$H$92</v>
      </c>
      <c r="D2446" s="159" t="str">
        <f t="shared" si="195"/>
        <v>April!$I$1:$I$92</v>
      </c>
      <c r="E2446" t="s">
        <v>6</v>
      </c>
      <c r="F2446" t="s">
        <v>123</v>
      </c>
      <c r="G2446" t="s">
        <v>143</v>
      </c>
      <c r="H2446" t="s">
        <v>153</v>
      </c>
      <c r="I2446" t="e">
        <f t="shared" ca="1" si="191"/>
        <v>#REF!</v>
      </c>
      <c r="J2446" t="str">
        <f>VLOOKUP($G2446,DefinitionArrays!$I$6:$J$12,2,FALSE)</f>
        <v>Workweek</v>
      </c>
    </row>
    <row r="2447" spans="1:10">
      <c r="A2447" s="159" t="str">
        <f t="shared" si="192"/>
        <v>$H$1:$H$92</v>
      </c>
      <c r="B2447" s="159" t="str">
        <f t="shared" si="193"/>
        <v>$I$1:$I$92</v>
      </c>
      <c r="C2447" s="159" t="str">
        <f t="shared" si="194"/>
        <v>April!$H$1:$H$92</v>
      </c>
      <c r="D2447" s="159" t="str">
        <f t="shared" si="195"/>
        <v>April!$I$1:$I$92</v>
      </c>
      <c r="E2447" t="s">
        <v>6</v>
      </c>
      <c r="F2447" t="s">
        <v>123</v>
      </c>
      <c r="G2447" t="s">
        <v>143</v>
      </c>
      <c r="H2447" t="s">
        <v>19</v>
      </c>
      <c r="I2447" t="e">
        <f t="shared" ca="1" si="191"/>
        <v>#REF!</v>
      </c>
      <c r="J2447" t="str">
        <f>VLOOKUP($G2447,DefinitionArrays!$I$6:$J$12,2,FALSE)</f>
        <v>Workweek</v>
      </c>
    </row>
    <row r="2448" spans="1:10">
      <c r="A2448" s="159" t="str">
        <f t="shared" si="192"/>
        <v>$H$1:$H$92</v>
      </c>
      <c r="B2448" s="159" t="str">
        <f t="shared" si="193"/>
        <v>$I$1:$I$92</v>
      </c>
      <c r="C2448" s="159" t="str">
        <f t="shared" si="194"/>
        <v>April!$H$1:$H$92</v>
      </c>
      <c r="D2448" s="159" t="str">
        <f t="shared" si="195"/>
        <v>April!$I$1:$I$92</v>
      </c>
      <c r="E2448" t="s">
        <v>6</v>
      </c>
      <c r="F2448" t="s">
        <v>123</v>
      </c>
      <c r="G2448" t="s">
        <v>143</v>
      </c>
      <c r="H2448" t="s">
        <v>20</v>
      </c>
      <c r="I2448" t="e">
        <f t="shared" ca="1" si="191"/>
        <v>#REF!</v>
      </c>
      <c r="J2448" t="str">
        <f>VLOOKUP($G2448,DefinitionArrays!$I$6:$J$12,2,FALSE)</f>
        <v>Workweek</v>
      </c>
    </row>
    <row r="2449" spans="1:10">
      <c r="A2449" s="159" t="str">
        <f t="shared" si="192"/>
        <v>$H$1:$H$92</v>
      </c>
      <c r="B2449" s="159" t="str">
        <f t="shared" si="193"/>
        <v>$I$1:$I$92</v>
      </c>
      <c r="C2449" s="159" t="str">
        <f t="shared" si="194"/>
        <v>April!$H$1:$H$92</v>
      </c>
      <c r="D2449" s="159" t="str">
        <f t="shared" si="195"/>
        <v>April!$I$1:$I$92</v>
      </c>
      <c r="E2449" t="s">
        <v>6</v>
      </c>
      <c r="F2449" t="s">
        <v>123</v>
      </c>
      <c r="G2449" t="s">
        <v>143</v>
      </c>
      <c r="H2449" t="s">
        <v>21</v>
      </c>
      <c r="I2449" t="e">
        <f t="shared" ca="1" si="191"/>
        <v>#REF!</v>
      </c>
      <c r="J2449" t="str">
        <f>VLOOKUP($G2449,DefinitionArrays!$I$6:$J$12,2,FALSE)</f>
        <v>Workweek</v>
      </c>
    </row>
    <row r="2450" spans="1:10">
      <c r="A2450" s="159" t="str">
        <f t="shared" si="192"/>
        <v>$H$1:$H$92</v>
      </c>
      <c r="B2450" s="159" t="str">
        <f t="shared" si="193"/>
        <v>$I$1:$I$92</v>
      </c>
      <c r="C2450" s="159" t="str">
        <f t="shared" si="194"/>
        <v>April!$H$1:$H$92</v>
      </c>
      <c r="D2450" s="159" t="str">
        <f t="shared" si="195"/>
        <v>April!$I$1:$I$92</v>
      </c>
      <c r="E2450" t="s">
        <v>6</v>
      </c>
      <c r="F2450" t="s">
        <v>123</v>
      </c>
      <c r="G2450" t="s">
        <v>143</v>
      </c>
      <c r="H2450" t="s">
        <v>22</v>
      </c>
      <c r="I2450" t="e">
        <f t="shared" ca="1" si="191"/>
        <v>#REF!</v>
      </c>
      <c r="J2450" t="str">
        <f>VLOOKUP($G2450,DefinitionArrays!$I$6:$J$12,2,FALSE)</f>
        <v>Workweek</v>
      </c>
    </row>
    <row r="2451" spans="1:10">
      <c r="A2451" s="159" t="str">
        <f t="shared" si="192"/>
        <v>$H$1:$H$92</v>
      </c>
      <c r="B2451" s="159" t="str">
        <f t="shared" si="193"/>
        <v>$I$1:$I$92</v>
      </c>
      <c r="C2451" s="159" t="str">
        <f t="shared" si="194"/>
        <v>April!$H$1:$H$92</v>
      </c>
      <c r="D2451" s="159" t="str">
        <f t="shared" si="195"/>
        <v>April!$I$1:$I$92</v>
      </c>
      <c r="E2451" t="s">
        <v>6</v>
      </c>
      <c r="F2451" t="s">
        <v>123</v>
      </c>
      <c r="G2451" t="s">
        <v>143</v>
      </c>
      <c r="H2451" t="s">
        <v>23</v>
      </c>
      <c r="I2451" t="e">
        <f t="shared" ca="1" si="191"/>
        <v>#REF!</v>
      </c>
      <c r="J2451" t="str">
        <f>VLOOKUP($G2451,DefinitionArrays!$I$6:$J$12,2,FALSE)</f>
        <v>Workweek</v>
      </c>
    </row>
    <row r="2452" spans="1:10">
      <c r="A2452" s="159" t="str">
        <f t="shared" si="192"/>
        <v>$H$1:$H$92</v>
      </c>
      <c r="B2452" s="159" t="str">
        <f t="shared" si="193"/>
        <v>$I$1:$I$92</v>
      </c>
      <c r="C2452" s="159" t="str">
        <f t="shared" si="194"/>
        <v>April!$H$1:$H$92</v>
      </c>
      <c r="D2452" s="159" t="str">
        <f t="shared" si="195"/>
        <v>April!$I$1:$I$92</v>
      </c>
      <c r="E2452" t="s">
        <v>6</v>
      </c>
      <c r="F2452" t="s">
        <v>123</v>
      </c>
      <c r="G2452" t="s">
        <v>143</v>
      </c>
      <c r="H2452" t="s">
        <v>24</v>
      </c>
      <c r="I2452" t="e">
        <f t="shared" ca="1" si="191"/>
        <v>#REF!</v>
      </c>
      <c r="J2452" t="str">
        <f>VLOOKUP($G2452,DefinitionArrays!$I$6:$J$12,2,FALSE)</f>
        <v>Workweek</v>
      </c>
    </row>
    <row r="2453" spans="1:10">
      <c r="A2453" s="159" t="str">
        <f t="shared" si="192"/>
        <v>$H$1:$H$92</v>
      </c>
      <c r="B2453" s="159" t="str">
        <f t="shared" si="193"/>
        <v>$I$1:$I$92</v>
      </c>
      <c r="C2453" s="159" t="str">
        <f t="shared" si="194"/>
        <v>April!$H$1:$H$92</v>
      </c>
      <c r="D2453" s="159" t="str">
        <f t="shared" si="195"/>
        <v>April!$I$1:$I$92</v>
      </c>
      <c r="E2453" t="s">
        <v>6</v>
      </c>
      <c r="F2453" t="s">
        <v>123</v>
      </c>
      <c r="G2453" t="s">
        <v>143</v>
      </c>
      <c r="H2453" t="s">
        <v>179</v>
      </c>
      <c r="I2453" t="e">
        <f t="shared" ca="1" si="191"/>
        <v>#REF!</v>
      </c>
      <c r="J2453" t="str">
        <f>VLOOKUP($G2453,DefinitionArrays!$I$6:$J$12,2,FALSE)</f>
        <v>Workweek</v>
      </c>
    </row>
    <row r="2454" spans="1:10">
      <c r="A2454" s="159" t="str">
        <f t="shared" si="192"/>
        <v>$H$1:$H$92</v>
      </c>
      <c r="B2454" s="159" t="str">
        <f t="shared" si="193"/>
        <v>$I$1:$I$92</v>
      </c>
      <c r="C2454" s="159" t="str">
        <f t="shared" si="194"/>
        <v>April!$H$1:$H$92</v>
      </c>
      <c r="D2454" s="159" t="str">
        <f t="shared" si="195"/>
        <v>April!$I$1:$I$92</v>
      </c>
      <c r="E2454" t="s">
        <v>6</v>
      </c>
      <c r="F2454" t="s">
        <v>123</v>
      </c>
      <c r="G2454" t="s">
        <v>143</v>
      </c>
      <c r="H2454" t="s">
        <v>180</v>
      </c>
      <c r="I2454" t="e">
        <f t="shared" ca="1" si="191"/>
        <v>#REF!</v>
      </c>
      <c r="J2454" t="str">
        <f>VLOOKUP($G2454,DefinitionArrays!$I$6:$J$12,2,FALSE)</f>
        <v>Workweek</v>
      </c>
    </row>
    <row r="2455" spans="1:10">
      <c r="A2455" s="159" t="str">
        <f t="shared" si="192"/>
        <v>$H$1:$H$92</v>
      </c>
      <c r="B2455" s="159" t="str">
        <f t="shared" si="193"/>
        <v>$I$1:$I$92</v>
      </c>
      <c r="C2455" s="159" t="str">
        <f t="shared" si="194"/>
        <v>April!$H$1:$H$92</v>
      </c>
      <c r="D2455" s="159" t="str">
        <f t="shared" si="195"/>
        <v>April!$I$1:$I$92</v>
      </c>
      <c r="E2455" t="s">
        <v>6</v>
      </c>
      <c r="F2455" t="s">
        <v>123</v>
      </c>
      <c r="G2455" t="s">
        <v>143</v>
      </c>
      <c r="H2455" t="s">
        <v>44</v>
      </c>
      <c r="I2455" t="e">
        <f t="shared" ca="1" si="191"/>
        <v>#REF!</v>
      </c>
      <c r="J2455" t="str">
        <f>VLOOKUP($G2455,DefinitionArrays!$I$6:$J$12,2,FALSE)</f>
        <v>Workweek</v>
      </c>
    </row>
    <row r="2456" spans="1:10">
      <c r="A2456" s="159" t="str">
        <f t="shared" si="192"/>
        <v>$K$1:$K$92</v>
      </c>
      <c r="B2456" s="159" t="str">
        <f t="shared" si="193"/>
        <v>$L$1:$L$92</v>
      </c>
      <c r="C2456" s="159" t="str">
        <f t="shared" si="194"/>
        <v>April!$K$1:$K$92</v>
      </c>
      <c r="D2456" s="159" t="str">
        <f t="shared" si="195"/>
        <v>April!$L$1:$L$92</v>
      </c>
      <c r="E2456" t="s">
        <v>6</v>
      </c>
      <c r="F2456" t="s">
        <v>123</v>
      </c>
      <c r="G2456" t="s">
        <v>144</v>
      </c>
      <c r="H2456" t="s">
        <v>159</v>
      </c>
      <c r="I2456" t="e">
        <f t="shared" ca="1" si="191"/>
        <v>#REF!</v>
      </c>
      <c r="J2456" t="str">
        <f>VLOOKUP($G2456,DefinitionArrays!$I$6:$J$12,2,FALSE)</f>
        <v>Workweek</v>
      </c>
    </row>
    <row r="2457" spans="1:10">
      <c r="A2457" s="159" t="str">
        <f t="shared" si="192"/>
        <v>$K$1:$K$92</v>
      </c>
      <c r="B2457" s="159" t="str">
        <f t="shared" si="193"/>
        <v>$L$1:$L$92</v>
      </c>
      <c r="C2457" s="159" t="str">
        <f t="shared" si="194"/>
        <v>April!$K$1:$K$92</v>
      </c>
      <c r="D2457" s="159" t="str">
        <f t="shared" si="195"/>
        <v>April!$L$1:$L$92</v>
      </c>
      <c r="E2457" t="s">
        <v>6</v>
      </c>
      <c r="F2457" t="s">
        <v>123</v>
      </c>
      <c r="G2457" t="s">
        <v>144</v>
      </c>
      <c r="H2457" t="s">
        <v>18</v>
      </c>
      <c r="I2457" t="e">
        <f t="shared" ca="1" si="191"/>
        <v>#REF!</v>
      </c>
      <c r="J2457" t="str">
        <f>VLOOKUP($G2457,DefinitionArrays!$I$6:$J$12,2,FALSE)</f>
        <v>Workweek</v>
      </c>
    </row>
    <row r="2458" spans="1:10">
      <c r="A2458" s="159" t="str">
        <f t="shared" si="192"/>
        <v>$K$1:$K$92</v>
      </c>
      <c r="B2458" s="159" t="str">
        <f t="shared" si="193"/>
        <v>$L$1:$L$92</v>
      </c>
      <c r="C2458" s="159" t="str">
        <f t="shared" si="194"/>
        <v>April!$K$1:$K$92</v>
      </c>
      <c r="D2458" s="159" t="str">
        <f t="shared" si="195"/>
        <v>April!$L$1:$L$92</v>
      </c>
      <c r="E2458" t="s">
        <v>6</v>
      </c>
      <c r="F2458" t="s">
        <v>123</v>
      </c>
      <c r="G2458" t="s">
        <v>144</v>
      </c>
      <c r="H2458" t="s">
        <v>153</v>
      </c>
      <c r="I2458" t="e">
        <f t="shared" ca="1" si="191"/>
        <v>#REF!</v>
      </c>
      <c r="J2458" t="str">
        <f>VLOOKUP($G2458,DefinitionArrays!$I$6:$J$12,2,FALSE)</f>
        <v>Workweek</v>
      </c>
    </row>
    <row r="2459" spans="1:10">
      <c r="A2459" s="159" t="str">
        <f t="shared" si="192"/>
        <v>$K$1:$K$92</v>
      </c>
      <c r="B2459" s="159" t="str">
        <f t="shared" si="193"/>
        <v>$L$1:$L$92</v>
      </c>
      <c r="C2459" s="159" t="str">
        <f t="shared" si="194"/>
        <v>April!$K$1:$K$92</v>
      </c>
      <c r="D2459" s="159" t="str">
        <f t="shared" si="195"/>
        <v>April!$L$1:$L$92</v>
      </c>
      <c r="E2459" t="s">
        <v>6</v>
      </c>
      <c r="F2459" t="s">
        <v>123</v>
      </c>
      <c r="G2459" t="s">
        <v>144</v>
      </c>
      <c r="H2459" t="s">
        <v>19</v>
      </c>
      <c r="I2459" t="e">
        <f t="shared" ca="1" si="191"/>
        <v>#REF!</v>
      </c>
      <c r="J2459" t="str">
        <f>VLOOKUP($G2459,DefinitionArrays!$I$6:$J$12,2,FALSE)</f>
        <v>Workweek</v>
      </c>
    </row>
    <row r="2460" spans="1:10">
      <c r="A2460" s="159" t="str">
        <f t="shared" si="192"/>
        <v>$K$1:$K$92</v>
      </c>
      <c r="B2460" s="159" t="str">
        <f t="shared" si="193"/>
        <v>$L$1:$L$92</v>
      </c>
      <c r="C2460" s="159" t="str">
        <f t="shared" si="194"/>
        <v>April!$K$1:$K$92</v>
      </c>
      <c r="D2460" s="159" t="str">
        <f t="shared" si="195"/>
        <v>April!$L$1:$L$92</v>
      </c>
      <c r="E2460" t="s">
        <v>6</v>
      </c>
      <c r="F2460" t="s">
        <v>123</v>
      </c>
      <c r="G2460" t="s">
        <v>144</v>
      </c>
      <c r="H2460" t="s">
        <v>20</v>
      </c>
      <c r="I2460" t="e">
        <f t="shared" ca="1" si="191"/>
        <v>#REF!</v>
      </c>
      <c r="J2460" t="str">
        <f>VLOOKUP($G2460,DefinitionArrays!$I$6:$J$12,2,FALSE)</f>
        <v>Workweek</v>
      </c>
    </row>
    <row r="2461" spans="1:10">
      <c r="A2461" s="159" t="str">
        <f t="shared" si="192"/>
        <v>$K$1:$K$92</v>
      </c>
      <c r="B2461" s="159" t="str">
        <f t="shared" si="193"/>
        <v>$L$1:$L$92</v>
      </c>
      <c r="C2461" s="159" t="str">
        <f t="shared" si="194"/>
        <v>April!$K$1:$K$92</v>
      </c>
      <c r="D2461" s="159" t="str">
        <f t="shared" si="195"/>
        <v>April!$L$1:$L$92</v>
      </c>
      <c r="E2461" t="s">
        <v>6</v>
      </c>
      <c r="F2461" t="s">
        <v>123</v>
      </c>
      <c r="G2461" t="s">
        <v>144</v>
      </c>
      <c r="H2461" t="s">
        <v>21</v>
      </c>
      <c r="I2461" t="e">
        <f t="shared" ca="1" si="191"/>
        <v>#REF!</v>
      </c>
      <c r="J2461" t="str">
        <f>VLOOKUP($G2461,DefinitionArrays!$I$6:$J$12,2,FALSE)</f>
        <v>Workweek</v>
      </c>
    </row>
    <row r="2462" spans="1:10">
      <c r="A2462" s="159" t="str">
        <f t="shared" si="192"/>
        <v>$K$1:$K$92</v>
      </c>
      <c r="B2462" s="159" t="str">
        <f t="shared" si="193"/>
        <v>$L$1:$L$92</v>
      </c>
      <c r="C2462" s="159" t="str">
        <f t="shared" si="194"/>
        <v>April!$K$1:$K$92</v>
      </c>
      <c r="D2462" s="159" t="str">
        <f t="shared" si="195"/>
        <v>April!$L$1:$L$92</v>
      </c>
      <c r="E2462" t="s">
        <v>6</v>
      </c>
      <c r="F2462" t="s">
        <v>123</v>
      </c>
      <c r="G2462" t="s">
        <v>144</v>
      </c>
      <c r="H2462" t="s">
        <v>22</v>
      </c>
      <c r="I2462" t="e">
        <f t="shared" ca="1" si="191"/>
        <v>#REF!</v>
      </c>
      <c r="J2462" t="str">
        <f>VLOOKUP($G2462,DefinitionArrays!$I$6:$J$12,2,FALSE)</f>
        <v>Workweek</v>
      </c>
    </row>
    <row r="2463" spans="1:10">
      <c r="A2463" s="159" t="str">
        <f t="shared" si="192"/>
        <v>$K$1:$K$92</v>
      </c>
      <c r="B2463" s="159" t="str">
        <f t="shared" si="193"/>
        <v>$L$1:$L$92</v>
      </c>
      <c r="C2463" s="159" t="str">
        <f t="shared" si="194"/>
        <v>April!$K$1:$K$92</v>
      </c>
      <c r="D2463" s="159" t="str">
        <f t="shared" si="195"/>
        <v>April!$L$1:$L$92</v>
      </c>
      <c r="E2463" t="s">
        <v>6</v>
      </c>
      <c r="F2463" t="s">
        <v>123</v>
      </c>
      <c r="G2463" t="s">
        <v>144</v>
      </c>
      <c r="H2463" t="s">
        <v>23</v>
      </c>
      <c r="I2463" t="e">
        <f t="shared" ca="1" si="191"/>
        <v>#REF!</v>
      </c>
      <c r="J2463" t="str">
        <f>VLOOKUP($G2463,DefinitionArrays!$I$6:$J$12,2,FALSE)</f>
        <v>Workweek</v>
      </c>
    </row>
    <row r="2464" spans="1:10">
      <c r="A2464" s="159" t="str">
        <f t="shared" si="192"/>
        <v>$K$1:$K$92</v>
      </c>
      <c r="B2464" s="159" t="str">
        <f t="shared" si="193"/>
        <v>$L$1:$L$92</v>
      </c>
      <c r="C2464" s="159" t="str">
        <f t="shared" si="194"/>
        <v>April!$K$1:$K$92</v>
      </c>
      <c r="D2464" s="159" t="str">
        <f t="shared" si="195"/>
        <v>April!$L$1:$L$92</v>
      </c>
      <c r="E2464" t="s">
        <v>6</v>
      </c>
      <c r="F2464" t="s">
        <v>123</v>
      </c>
      <c r="G2464" t="s">
        <v>144</v>
      </c>
      <c r="H2464" t="s">
        <v>24</v>
      </c>
      <c r="I2464" t="e">
        <f t="shared" ca="1" si="191"/>
        <v>#REF!</v>
      </c>
      <c r="J2464" t="str">
        <f>VLOOKUP($G2464,DefinitionArrays!$I$6:$J$12,2,FALSE)</f>
        <v>Workweek</v>
      </c>
    </row>
    <row r="2465" spans="1:10">
      <c r="A2465" s="159" t="str">
        <f t="shared" si="192"/>
        <v>$K$1:$K$92</v>
      </c>
      <c r="B2465" s="159" t="str">
        <f t="shared" si="193"/>
        <v>$L$1:$L$92</v>
      </c>
      <c r="C2465" s="159" t="str">
        <f t="shared" si="194"/>
        <v>April!$K$1:$K$92</v>
      </c>
      <c r="D2465" s="159" t="str">
        <f t="shared" si="195"/>
        <v>April!$L$1:$L$92</v>
      </c>
      <c r="E2465" t="s">
        <v>6</v>
      </c>
      <c r="F2465" t="s">
        <v>123</v>
      </c>
      <c r="G2465" t="s">
        <v>144</v>
      </c>
      <c r="H2465" t="s">
        <v>179</v>
      </c>
      <c r="I2465" t="e">
        <f t="shared" ca="1" si="191"/>
        <v>#REF!</v>
      </c>
      <c r="J2465" t="str">
        <f>VLOOKUP($G2465,DefinitionArrays!$I$6:$J$12,2,FALSE)</f>
        <v>Workweek</v>
      </c>
    </row>
    <row r="2466" spans="1:10">
      <c r="A2466" s="159" t="str">
        <f t="shared" si="192"/>
        <v>$K$1:$K$92</v>
      </c>
      <c r="B2466" s="159" t="str">
        <f t="shared" si="193"/>
        <v>$L$1:$L$92</v>
      </c>
      <c r="C2466" s="159" t="str">
        <f t="shared" si="194"/>
        <v>April!$K$1:$K$92</v>
      </c>
      <c r="D2466" s="159" t="str">
        <f t="shared" si="195"/>
        <v>April!$L$1:$L$92</v>
      </c>
      <c r="E2466" t="s">
        <v>6</v>
      </c>
      <c r="F2466" t="s">
        <v>123</v>
      </c>
      <c r="G2466" t="s">
        <v>144</v>
      </c>
      <c r="H2466" t="s">
        <v>180</v>
      </c>
      <c r="I2466" t="e">
        <f t="shared" ca="1" si="191"/>
        <v>#REF!</v>
      </c>
      <c r="J2466" t="str">
        <f>VLOOKUP($G2466,DefinitionArrays!$I$6:$J$12,2,FALSE)</f>
        <v>Workweek</v>
      </c>
    </row>
    <row r="2467" spans="1:10">
      <c r="A2467" s="159" t="str">
        <f t="shared" si="192"/>
        <v>$K$1:$K$92</v>
      </c>
      <c r="B2467" s="159" t="str">
        <f t="shared" si="193"/>
        <v>$L$1:$L$92</v>
      </c>
      <c r="C2467" s="159" t="str">
        <f t="shared" si="194"/>
        <v>April!$K$1:$K$92</v>
      </c>
      <c r="D2467" s="159" t="str">
        <f t="shared" si="195"/>
        <v>April!$L$1:$L$92</v>
      </c>
      <c r="E2467" t="s">
        <v>6</v>
      </c>
      <c r="F2467" t="s">
        <v>123</v>
      </c>
      <c r="G2467" t="s">
        <v>144</v>
      </c>
      <c r="H2467" t="s">
        <v>44</v>
      </c>
      <c r="I2467" t="e">
        <f t="shared" ca="1" si="191"/>
        <v>#REF!</v>
      </c>
      <c r="J2467" t="str">
        <f>VLOOKUP($G2467,DefinitionArrays!$I$6:$J$12,2,FALSE)</f>
        <v>Workweek</v>
      </c>
    </row>
    <row r="2468" spans="1:10">
      <c r="A2468" s="159" t="str">
        <f t="shared" si="192"/>
        <v>$N$1:$N$92</v>
      </c>
      <c r="B2468" s="159" t="str">
        <f t="shared" si="193"/>
        <v>$O$1:$O$92</v>
      </c>
      <c r="C2468" s="159" t="str">
        <f t="shared" si="194"/>
        <v>April!$N$1:$N$92</v>
      </c>
      <c r="D2468" s="159" t="str">
        <f t="shared" si="195"/>
        <v>April!$O$1:$O$92</v>
      </c>
      <c r="E2468" t="s">
        <v>6</v>
      </c>
      <c r="F2468" t="s">
        <v>123</v>
      </c>
      <c r="G2468" t="s">
        <v>145</v>
      </c>
      <c r="H2468" t="s">
        <v>159</v>
      </c>
      <c r="I2468" t="e">
        <f t="shared" ca="1" si="191"/>
        <v>#REF!</v>
      </c>
      <c r="J2468" t="str">
        <f>VLOOKUP($G2468,DefinitionArrays!$I$6:$J$12,2,FALSE)</f>
        <v>Weekend</v>
      </c>
    </row>
    <row r="2469" spans="1:10">
      <c r="A2469" s="159" t="str">
        <f t="shared" si="192"/>
        <v>$N$1:$N$92</v>
      </c>
      <c r="B2469" s="159" t="str">
        <f t="shared" si="193"/>
        <v>$O$1:$O$92</v>
      </c>
      <c r="C2469" s="159" t="str">
        <f t="shared" si="194"/>
        <v>April!$N$1:$N$92</v>
      </c>
      <c r="D2469" s="159" t="str">
        <f t="shared" si="195"/>
        <v>April!$O$1:$O$92</v>
      </c>
      <c r="E2469" t="s">
        <v>6</v>
      </c>
      <c r="F2469" t="s">
        <v>123</v>
      </c>
      <c r="G2469" t="s">
        <v>145</v>
      </c>
      <c r="H2469" t="s">
        <v>18</v>
      </c>
      <c r="I2469" t="e">
        <f t="shared" ca="1" si="191"/>
        <v>#REF!</v>
      </c>
      <c r="J2469" t="str">
        <f>VLOOKUP($G2469,DefinitionArrays!$I$6:$J$12,2,FALSE)</f>
        <v>Weekend</v>
      </c>
    </row>
    <row r="2470" spans="1:10">
      <c r="A2470" s="159" t="str">
        <f t="shared" si="192"/>
        <v>$N$1:$N$92</v>
      </c>
      <c r="B2470" s="159" t="str">
        <f t="shared" si="193"/>
        <v>$O$1:$O$92</v>
      </c>
      <c r="C2470" s="159" t="str">
        <f t="shared" si="194"/>
        <v>April!$N$1:$N$92</v>
      </c>
      <c r="D2470" s="159" t="str">
        <f t="shared" si="195"/>
        <v>April!$O$1:$O$92</v>
      </c>
      <c r="E2470" t="s">
        <v>6</v>
      </c>
      <c r="F2470" t="s">
        <v>123</v>
      </c>
      <c r="G2470" t="s">
        <v>145</v>
      </c>
      <c r="H2470" t="s">
        <v>153</v>
      </c>
      <c r="I2470" t="e">
        <f t="shared" ca="1" si="191"/>
        <v>#REF!</v>
      </c>
      <c r="J2470" t="str">
        <f>VLOOKUP($G2470,DefinitionArrays!$I$6:$J$12,2,FALSE)</f>
        <v>Weekend</v>
      </c>
    </row>
    <row r="2471" spans="1:10">
      <c r="A2471" s="159" t="str">
        <f t="shared" si="192"/>
        <v>$N$1:$N$92</v>
      </c>
      <c r="B2471" s="159" t="str">
        <f t="shared" si="193"/>
        <v>$O$1:$O$92</v>
      </c>
      <c r="C2471" s="159" t="str">
        <f t="shared" si="194"/>
        <v>April!$N$1:$N$92</v>
      </c>
      <c r="D2471" s="159" t="str">
        <f t="shared" si="195"/>
        <v>April!$O$1:$O$92</v>
      </c>
      <c r="E2471" t="s">
        <v>6</v>
      </c>
      <c r="F2471" t="s">
        <v>123</v>
      </c>
      <c r="G2471" t="s">
        <v>145</v>
      </c>
      <c r="H2471" t="s">
        <v>19</v>
      </c>
      <c r="I2471" t="e">
        <f t="shared" ca="1" si="191"/>
        <v>#REF!</v>
      </c>
      <c r="J2471" t="str">
        <f>VLOOKUP($G2471,DefinitionArrays!$I$6:$J$12,2,FALSE)</f>
        <v>Weekend</v>
      </c>
    </row>
    <row r="2472" spans="1:10">
      <c r="A2472" s="159" t="str">
        <f t="shared" si="192"/>
        <v>$N$1:$N$92</v>
      </c>
      <c r="B2472" s="159" t="str">
        <f t="shared" si="193"/>
        <v>$O$1:$O$92</v>
      </c>
      <c r="C2472" s="159" t="str">
        <f t="shared" si="194"/>
        <v>April!$N$1:$N$92</v>
      </c>
      <c r="D2472" s="159" t="str">
        <f t="shared" si="195"/>
        <v>April!$O$1:$O$92</v>
      </c>
      <c r="E2472" t="s">
        <v>6</v>
      </c>
      <c r="F2472" t="s">
        <v>123</v>
      </c>
      <c r="G2472" t="s">
        <v>145</v>
      </c>
      <c r="H2472" t="s">
        <v>20</v>
      </c>
      <c r="I2472" t="e">
        <f t="shared" ca="1" si="191"/>
        <v>#REF!</v>
      </c>
      <c r="J2472" t="str">
        <f>VLOOKUP($G2472,DefinitionArrays!$I$6:$J$12,2,FALSE)</f>
        <v>Weekend</v>
      </c>
    </row>
    <row r="2473" spans="1:10">
      <c r="A2473" s="159" t="str">
        <f t="shared" si="192"/>
        <v>$N$1:$N$92</v>
      </c>
      <c r="B2473" s="159" t="str">
        <f t="shared" si="193"/>
        <v>$O$1:$O$92</v>
      </c>
      <c r="C2473" s="159" t="str">
        <f t="shared" si="194"/>
        <v>April!$N$1:$N$92</v>
      </c>
      <c r="D2473" s="159" t="str">
        <f t="shared" si="195"/>
        <v>April!$O$1:$O$92</v>
      </c>
      <c r="E2473" t="s">
        <v>6</v>
      </c>
      <c r="F2473" t="s">
        <v>123</v>
      </c>
      <c r="G2473" t="s">
        <v>145</v>
      </c>
      <c r="H2473" t="s">
        <v>21</v>
      </c>
      <c r="I2473" t="e">
        <f t="shared" ca="1" si="191"/>
        <v>#REF!</v>
      </c>
      <c r="J2473" t="str">
        <f>VLOOKUP($G2473,DefinitionArrays!$I$6:$J$12,2,FALSE)</f>
        <v>Weekend</v>
      </c>
    </row>
    <row r="2474" spans="1:10">
      <c r="A2474" s="159" t="str">
        <f t="shared" si="192"/>
        <v>$N$1:$N$92</v>
      </c>
      <c r="B2474" s="159" t="str">
        <f t="shared" si="193"/>
        <v>$O$1:$O$92</v>
      </c>
      <c r="C2474" s="159" t="str">
        <f t="shared" si="194"/>
        <v>April!$N$1:$N$92</v>
      </c>
      <c r="D2474" s="159" t="str">
        <f t="shared" si="195"/>
        <v>April!$O$1:$O$92</v>
      </c>
      <c r="E2474" t="s">
        <v>6</v>
      </c>
      <c r="F2474" t="s">
        <v>123</v>
      </c>
      <c r="G2474" t="s">
        <v>145</v>
      </c>
      <c r="H2474" t="s">
        <v>22</v>
      </c>
      <c r="I2474" t="e">
        <f t="shared" ca="1" si="191"/>
        <v>#REF!</v>
      </c>
      <c r="J2474" t="str">
        <f>VLOOKUP($G2474,DefinitionArrays!$I$6:$J$12,2,FALSE)</f>
        <v>Weekend</v>
      </c>
    </row>
    <row r="2475" spans="1:10">
      <c r="A2475" s="159" t="str">
        <f t="shared" si="192"/>
        <v>$N$1:$N$92</v>
      </c>
      <c r="B2475" s="159" t="str">
        <f t="shared" si="193"/>
        <v>$O$1:$O$92</v>
      </c>
      <c r="C2475" s="159" t="str">
        <f t="shared" si="194"/>
        <v>April!$N$1:$N$92</v>
      </c>
      <c r="D2475" s="159" t="str">
        <f t="shared" si="195"/>
        <v>April!$O$1:$O$92</v>
      </c>
      <c r="E2475" t="s">
        <v>6</v>
      </c>
      <c r="F2475" t="s">
        <v>123</v>
      </c>
      <c r="G2475" t="s">
        <v>145</v>
      </c>
      <c r="H2475" t="s">
        <v>23</v>
      </c>
      <c r="I2475" t="e">
        <f t="shared" ca="1" si="191"/>
        <v>#REF!</v>
      </c>
      <c r="J2475" t="str">
        <f>VLOOKUP($G2475,DefinitionArrays!$I$6:$J$12,2,FALSE)</f>
        <v>Weekend</v>
      </c>
    </row>
    <row r="2476" spans="1:10">
      <c r="A2476" s="159" t="str">
        <f t="shared" si="192"/>
        <v>$N$1:$N$92</v>
      </c>
      <c r="B2476" s="159" t="str">
        <f t="shared" si="193"/>
        <v>$O$1:$O$92</v>
      </c>
      <c r="C2476" s="159" t="str">
        <f t="shared" si="194"/>
        <v>April!$N$1:$N$92</v>
      </c>
      <c r="D2476" s="159" t="str">
        <f t="shared" si="195"/>
        <v>April!$O$1:$O$92</v>
      </c>
      <c r="E2476" t="s">
        <v>6</v>
      </c>
      <c r="F2476" t="s">
        <v>123</v>
      </c>
      <c r="G2476" t="s">
        <v>145</v>
      </c>
      <c r="H2476" t="s">
        <v>24</v>
      </c>
      <c r="I2476" t="e">
        <f t="shared" ca="1" si="191"/>
        <v>#REF!</v>
      </c>
      <c r="J2476" t="str">
        <f>VLOOKUP($G2476,DefinitionArrays!$I$6:$J$12,2,FALSE)</f>
        <v>Weekend</v>
      </c>
    </row>
    <row r="2477" spans="1:10">
      <c r="A2477" s="159" t="str">
        <f t="shared" si="192"/>
        <v>$N$1:$N$92</v>
      </c>
      <c r="B2477" s="159" t="str">
        <f t="shared" si="193"/>
        <v>$O$1:$O$92</v>
      </c>
      <c r="C2477" s="159" t="str">
        <f t="shared" si="194"/>
        <v>April!$N$1:$N$92</v>
      </c>
      <c r="D2477" s="159" t="str">
        <f t="shared" si="195"/>
        <v>April!$O$1:$O$92</v>
      </c>
      <c r="E2477" t="s">
        <v>6</v>
      </c>
      <c r="F2477" t="s">
        <v>123</v>
      </c>
      <c r="G2477" t="s">
        <v>145</v>
      </c>
      <c r="H2477" t="s">
        <v>179</v>
      </c>
      <c r="I2477" t="e">
        <f t="shared" ca="1" si="191"/>
        <v>#REF!</v>
      </c>
      <c r="J2477" t="str">
        <f>VLOOKUP($G2477,DefinitionArrays!$I$6:$J$12,2,FALSE)</f>
        <v>Weekend</v>
      </c>
    </row>
    <row r="2478" spans="1:10">
      <c r="A2478" s="159" t="str">
        <f t="shared" si="192"/>
        <v>$N$1:$N$92</v>
      </c>
      <c r="B2478" s="159" t="str">
        <f t="shared" si="193"/>
        <v>$O$1:$O$92</v>
      </c>
      <c r="C2478" s="159" t="str">
        <f t="shared" si="194"/>
        <v>April!$N$1:$N$92</v>
      </c>
      <c r="D2478" s="159" t="str">
        <f t="shared" si="195"/>
        <v>April!$O$1:$O$92</v>
      </c>
      <c r="E2478" t="s">
        <v>6</v>
      </c>
      <c r="F2478" t="s">
        <v>123</v>
      </c>
      <c r="G2478" t="s">
        <v>145</v>
      </c>
      <c r="H2478" t="s">
        <v>180</v>
      </c>
      <c r="I2478" t="e">
        <f t="shared" ca="1" si="191"/>
        <v>#REF!</v>
      </c>
      <c r="J2478" t="str">
        <f>VLOOKUP($G2478,DefinitionArrays!$I$6:$J$12,2,FALSE)</f>
        <v>Weekend</v>
      </c>
    </row>
    <row r="2479" spans="1:10">
      <c r="A2479" s="159" t="str">
        <f t="shared" si="192"/>
        <v>$N$1:$N$92</v>
      </c>
      <c r="B2479" s="159" t="str">
        <f t="shared" si="193"/>
        <v>$O$1:$O$92</v>
      </c>
      <c r="C2479" s="159" t="str">
        <f t="shared" si="194"/>
        <v>April!$N$1:$N$92</v>
      </c>
      <c r="D2479" s="159" t="str">
        <f t="shared" si="195"/>
        <v>April!$O$1:$O$92</v>
      </c>
      <c r="E2479" t="s">
        <v>6</v>
      </c>
      <c r="F2479" t="s">
        <v>123</v>
      </c>
      <c r="G2479" t="s">
        <v>145</v>
      </c>
      <c r="H2479" t="s">
        <v>44</v>
      </c>
      <c r="I2479" t="e">
        <f t="shared" ca="1" si="191"/>
        <v>#REF!</v>
      </c>
      <c r="J2479" t="str">
        <f>VLOOKUP($G2479,DefinitionArrays!$I$6:$J$12,2,FALSE)</f>
        <v>Weekend</v>
      </c>
    </row>
    <row r="2480" spans="1:10">
      <c r="A2480" s="159" t="str">
        <f t="shared" si="192"/>
        <v>$Q$1:$Q$92</v>
      </c>
      <c r="B2480" s="159" t="str">
        <f t="shared" si="193"/>
        <v>$R$1:$R$92</v>
      </c>
      <c r="C2480" s="159" t="str">
        <f t="shared" si="194"/>
        <v>April!$Q$1:$Q$92</v>
      </c>
      <c r="D2480" s="159" t="str">
        <f t="shared" si="195"/>
        <v>April!$R$1:$R$92</v>
      </c>
      <c r="E2480" t="s">
        <v>6</v>
      </c>
      <c r="F2480" t="s">
        <v>123</v>
      </c>
      <c r="G2480" t="s">
        <v>146</v>
      </c>
      <c r="H2480" t="s">
        <v>159</v>
      </c>
      <c r="I2480" t="e">
        <f t="shared" ca="1" si="191"/>
        <v>#REF!</v>
      </c>
      <c r="J2480" t="str">
        <f>VLOOKUP($G2480,DefinitionArrays!$I$6:$J$12,2,FALSE)</f>
        <v>Weekend</v>
      </c>
    </row>
    <row r="2481" spans="1:10">
      <c r="A2481" s="159" t="str">
        <f t="shared" si="192"/>
        <v>$T$1:$T$92</v>
      </c>
      <c r="B2481" s="159" t="str">
        <f t="shared" si="193"/>
        <v>$U$1:$U$92</v>
      </c>
      <c r="C2481" s="159" t="str">
        <f t="shared" si="194"/>
        <v>April!$T$1:$T$92</v>
      </c>
      <c r="D2481" s="159" t="str">
        <f t="shared" si="195"/>
        <v>April!$U$1:$U$92</v>
      </c>
      <c r="E2481" t="s">
        <v>6</v>
      </c>
      <c r="F2481" t="s">
        <v>123</v>
      </c>
      <c r="G2481" t="s">
        <v>141</v>
      </c>
      <c r="H2481" t="s">
        <v>159</v>
      </c>
      <c r="I2481" t="e">
        <f t="shared" ca="1" si="191"/>
        <v>#REF!</v>
      </c>
      <c r="J2481" t="str">
        <f>VLOOKUP($G2481,DefinitionArrays!$I$6:$J$12,2,FALSE)</f>
        <v>Weekend</v>
      </c>
    </row>
    <row r="2482" spans="1:10">
      <c r="A2482" s="159" t="str">
        <f t="shared" si="192"/>
        <v>$B$1:$B$92</v>
      </c>
      <c r="B2482" s="159" t="str">
        <f t="shared" si="193"/>
        <v>$C$1:$C$92</v>
      </c>
      <c r="C2482" s="159" t="str">
        <f t="shared" si="194"/>
        <v>May!$B$1:$B$92</v>
      </c>
      <c r="D2482" s="159" t="str">
        <f t="shared" si="195"/>
        <v>May!$C$1:$C$92</v>
      </c>
      <c r="E2482" t="s">
        <v>6</v>
      </c>
      <c r="F2482" t="s">
        <v>124</v>
      </c>
      <c r="G2482" t="s">
        <v>13</v>
      </c>
      <c r="H2482" t="s">
        <v>159</v>
      </c>
      <c r="I2482" t="e">
        <f ca="1">COUNTIFS(INDIRECT($C2482),$E2482,INDIRECT($D2482),$H2482)</f>
        <v>#REF!</v>
      </c>
      <c r="J2482" t="str">
        <f>VLOOKUP($G2482,DefinitionArrays!$I$6:$J$12,2,FALSE)</f>
        <v>Workweek</v>
      </c>
    </row>
    <row r="2483" spans="1:10">
      <c r="A2483" s="159" t="str">
        <f t="shared" si="192"/>
        <v>$B$1:$B$92</v>
      </c>
      <c r="B2483" s="159" t="str">
        <f t="shared" si="193"/>
        <v>$C$1:$C$92</v>
      </c>
      <c r="C2483" s="159" t="str">
        <f t="shared" si="194"/>
        <v>May!$B$1:$B$92</v>
      </c>
      <c r="D2483" s="159" t="str">
        <f t="shared" si="195"/>
        <v>May!$C$1:$C$92</v>
      </c>
      <c r="E2483" t="s">
        <v>6</v>
      </c>
      <c r="F2483" t="s">
        <v>124</v>
      </c>
      <c r="G2483" t="s">
        <v>13</v>
      </c>
      <c r="H2483" t="s">
        <v>18</v>
      </c>
      <c r="I2483" t="e">
        <f t="shared" ref="I2483:I2543" ca="1" si="196">COUNTIFS(INDIRECT($C2483),$E2483,INDIRECT($D2483),$H2483)</f>
        <v>#REF!</v>
      </c>
      <c r="J2483" t="str">
        <f>VLOOKUP($G2483,DefinitionArrays!$I$6:$J$12,2,FALSE)</f>
        <v>Workweek</v>
      </c>
    </row>
    <row r="2484" spans="1:10">
      <c r="A2484" s="159" t="str">
        <f t="shared" si="192"/>
        <v>$B$1:$B$92</v>
      </c>
      <c r="B2484" s="159" t="str">
        <f t="shared" si="193"/>
        <v>$C$1:$C$92</v>
      </c>
      <c r="C2484" s="159" t="str">
        <f t="shared" si="194"/>
        <v>May!$B$1:$B$92</v>
      </c>
      <c r="D2484" s="159" t="str">
        <f t="shared" si="195"/>
        <v>May!$C$1:$C$92</v>
      </c>
      <c r="E2484" t="s">
        <v>6</v>
      </c>
      <c r="F2484" t="s">
        <v>124</v>
      </c>
      <c r="G2484" t="s">
        <v>13</v>
      </c>
      <c r="H2484" t="s">
        <v>153</v>
      </c>
      <c r="I2484" t="e">
        <f t="shared" ca="1" si="196"/>
        <v>#REF!</v>
      </c>
      <c r="J2484" t="str">
        <f>VLOOKUP($G2484,DefinitionArrays!$I$6:$J$12,2,FALSE)</f>
        <v>Workweek</v>
      </c>
    </row>
    <row r="2485" spans="1:10">
      <c r="A2485" s="159" t="str">
        <f t="shared" si="192"/>
        <v>$B$1:$B$92</v>
      </c>
      <c r="B2485" s="159" t="str">
        <f t="shared" si="193"/>
        <v>$C$1:$C$92</v>
      </c>
      <c r="C2485" s="159" t="str">
        <f t="shared" si="194"/>
        <v>May!$B$1:$B$92</v>
      </c>
      <c r="D2485" s="159" t="str">
        <f t="shared" si="195"/>
        <v>May!$C$1:$C$92</v>
      </c>
      <c r="E2485" t="s">
        <v>6</v>
      </c>
      <c r="F2485" t="s">
        <v>124</v>
      </c>
      <c r="G2485" t="s">
        <v>13</v>
      </c>
      <c r="H2485" t="s">
        <v>19</v>
      </c>
      <c r="I2485" t="e">
        <f t="shared" ca="1" si="196"/>
        <v>#REF!</v>
      </c>
      <c r="J2485" t="str">
        <f>VLOOKUP($G2485,DefinitionArrays!$I$6:$J$12,2,FALSE)</f>
        <v>Workweek</v>
      </c>
    </row>
    <row r="2486" spans="1:10">
      <c r="A2486" s="159" t="str">
        <f t="shared" si="192"/>
        <v>$B$1:$B$92</v>
      </c>
      <c r="B2486" s="159" t="str">
        <f t="shared" si="193"/>
        <v>$C$1:$C$92</v>
      </c>
      <c r="C2486" s="159" t="str">
        <f t="shared" si="194"/>
        <v>May!$B$1:$B$92</v>
      </c>
      <c r="D2486" s="159" t="str">
        <f t="shared" si="195"/>
        <v>May!$C$1:$C$92</v>
      </c>
      <c r="E2486" t="s">
        <v>6</v>
      </c>
      <c r="F2486" t="s">
        <v>124</v>
      </c>
      <c r="G2486" t="s">
        <v>13</v>
      </c>
      <c r="H2486" t="s">
        <v>20</v>
      </c>
      <c r="I2486" t="e">
        <f t="shared" ca="1" si="196"/>
        <v>#REF!</v>
      </c>
      <c r="J2486" t="str">
        <f>VLOOKUP($G2486,DefinitionArrays!$I$6:$J$12,2,FALSE)</f>
        <v>Workweek</v>
      </c>
    </row>
    <row r="2487" spans="1:10">
      <c r="A2487" s="159" t="str">
        <f t="shared" si="192"/>
        <v>$B$1:$B$92</v>
      </c>
      <c r="B2487" s="159" t="str">
        <f t="shared" si="193"/>
        <v>$C$1:$C$92</v>
      </c>
      <c r="C2487" s="159" t="str">
        <f t="shared" si="194"/>
        <v>May!$B$1:$B$92</v>
      </c>
      <c r="D2487" s="159" t="str">
        <f t="shared" si="195"/>
        <v>May!$C$1:$C$92</v>
      </c>
      <c r="E2487" t="s">
        <v>6</v>
      </c>
      <c r="F2487" t="s">
        <v>124</v>
      </c>
      <c r="G2487" t="s">
        <v>13</v>
      </c>
      <c r="H2487" t="s">
        <v>21</v>
      </c>
      <c r="I2487" t="e">
        <f t="shared" ca="1" si="196"/>
        <v>#REF!</v>
      </c>
      <c r="J2487" t="str">
        <f>VLOOKUP($G2487,DefinitionArrays!$I$6:$J$12,2,FALSE)</f>
        <v>Workweek</v>
      </c>
    </row>
    <row r="2488" spans="1:10">
      <c r="A2488" s="159" t="str">
        <f t="shared" si="192"/>
        <v>$B$1:$B$92</v>
      </c>
      <c r="B2488" s="159" t="str">
        <f t="shared" si="193"/>
        <v>$C$1:$C$92</v>
      </c>
      <c r="C2488" s="159" t="str">
        <f t="shared" si="194"/>
        <v>May!$B$1:$B$92</v>
      </c>
      <c r="D2488" s="159" t="str">
        <f t="shared" si="195"/>
        <v>May!$C$1:$C$92</v>
      </c>
      <c r="E2488" t="s">
        <v>6</v>
      </c>
      <c r="F2488" t="s">
        <v>124</v>
      </c>
      <c r="G2488" t="s">
        <v>13</v>
      </c>
      <c r="H2488" t="s">
        <v>22</v>
      </c>
      <c r="I2488" t="e">
        <f t="shared" ca="1" si="196"/>
        <v>#REF!</v>
      </c>
      <c r="J2488" t="str">
        <f>VLOOKUP($G2488,DefinitionArrays!$I$6:$J$12,2,FALSE)</f>
        <v>Workweek</v>
      </c>
    </row>
    <row r="2489" spans="1:10">
      <c r="A2489" s="159" t="str">
        <f t="shared" si="192"/>
        <v>$B$1:$B$92</v>
      </c>
      <c r="B2489" s="159" t="str">
        <f t="shared" si="193"/>
        <v>$C$1:$C$92</v>
      </c>
      <c r="C2489" s="159" t="str">
        <f t="shared" si="194"/>
        <v>May!$B$1:$B$92</v>
      </c>
      <c r="D2489" s="159" t="str">
        <f t="shared" si="195"/>
        <v>May!$C$1:$C$92</v>
      </c>
      <c r="E2489" t="s">
        <v>6</v>
      </c>
      <c r="F2489" t="s">
        <v>124</v>
      </c>
      <c r="G2489" t="s">
        <v>13</v>
      </c>
      <c r="H2489" t="s">
        <v>23</v>
      </c>
      <c r="I2489" t="e">
        <f t="shared" ca="1" si="196"/>
        <v>#REF!</v>
      </c>
      <c r="J2489" t="str">
        <f>VLOOKUP($G2489,DefinitionArrays!$I$6:$J$12,2,FALSE)</f>
        <v>Workweek</v>
      </c>
    </row>
    <row r="2490" spans="1:10">
      <c r="A2490" s="159" t="str">
        <f t="shared" si="192"/>
        <v>$B$1:$B$92</v>
      </c>
      <c r="B2490" s="159" t="str">
        <f t="shared" si="193"/>
        <v>$C$1:$C$92</v>
      </c>
      <c r="C2490" s="159" t="str">
        <f t="shared" si="194"/>
        <v>May!$B$1:$B$92</v>
      </c>
      <c r="D2490" s="159" t="str">
        <f t="shared" si="195"/>
        <v>May!$C$1:$C$92</v>
      </c>
      <c r="E2490" t="s">
        <v>6</v>
      </c>
      <c r="F2490" t="s">
        <v>124</v>
      </c>
      <c r="G2490" t="s">
        <v>13</v>
      </c>
      <c r="H2490" t="s">
        <v>24</v>
      </c>
      <c r="I2490" t="e">
        <f t="shared" ca="1" si="196"/>
        <v>#REF!</v>
      </c>
      <c r="J2490" t="str">
        <f>VLOOKUP($G2490,DefinitionArrays!$I$6:$J$12,2,FALSE)</f>
        <v>Workweek</v>
      </c>
    </row>
    <row r="2491" spans="1:10">
      <c r="A2491" s="159" t="str">
        <f t="shared" si="192"/>
        <v>$B$1:$B$92</v>
      </c>
      <c r="B2491" s="159" t="str">
        <f t="shared" si="193"/>
        <v>$C$1:$C$92</v>
      </c>
      <c r="C2491" s="159" t="str">
        <f t="shared" si="194"/>
        <v>May!$B$1:$B$92</v>
      </c>
      <c r="D2491" s="159" t="str">
        <f t="shared" si="195"/>
        <v>May!$C$1:$C$92</v>
      </c>
      <c r="E2491" t="s">
        <v>6</v>
      </c>
      <c r="F2491" t="s">
        <v>124</v>
      </c>
      <c r="G2491" t="s">
        <v>13</v>
      </c>
      <c r="H2491" t="s">
        <v>179</v>
      </c>
      <c r="I2491" t="e">
        <f t="shared" ca="1" si="196"/>
        <v>#REF!</v>
      </c>
      <c r="J2491" t="str">
        <f>VLOOKUP($G2491,DefinitionArrays!$I$6:$J$12,2,FALSE)</f>
        <v>Workweek</v>
      </c>
    </row>
    <row r="2492" spans="1:10">
      <c r="A2492" s="159" t="str">
        <f t="shared" si="192"/>
        <v>$B$1:$B$92</v>
      </c>
      <c r="B2492" s="159" t="str">
        <f t="shared" si="193"/>
        <v>$C$1:$C$92</v>
      </c>
      <c r="C2492" s="159" t="str">
        <f t="shared" si="194"/>
        <v>May!$B$1:$B$92</v>
      </c>
      <c r="D2492" s="159" t="str">
        <f t="shared" si="195"/>
        <v>May!$C$1:$C$92</v>
      </c>
      <c r="E2492" t="s">
        <v>6</v>
      </c>
      <c r="F2492" t="s">
        <v>124</v>
      </c>
      <c r="G2492" t="s">
        <v>13</v>
      </c>
      <c r="H2492" t="s">
        <v>180</v>
      </c>
      <c r="I2492" t="e">
        <f t="shared" ca="1" si="196"/>
        <v>#REF!</v>
      </c>
      <c r="J2492" t="str">
        <f>VLOOKUP($G2492,DefinitionArrays!$I$6:$J$12,2,FALSE)</f>
        <v>Workweek</v>
      </c>
    </row>
    <row r="2493" spans="1:10">
      <c r="A2493" s="159" t="str">
        <f t="shared" si="192"/>
        <v>$B$1:$B$92</v>
      </c>
      <c r="B2493" s="159" t="str">
        <f t="shared" si="193"/>
        <v>$C$1:$C$92</v>
      </c>
      <c r="C2493" s="159" t="str">
        <f t="shared" si="194"/>
        <v>May!$B$1:$B$92</v>
      </c>
      <c r="D2493" s="159" t="str">
        <f t="shared" si="195"/>
        <v>May!$C$1:$C$92</v>
      </c>
      <c r="E2493" t="s">
        <v>6</v>
      </c>
      <c r="F2493" t="s">
        <v>124</v>
      </c>
      <c r="G2493" t="s">
        <v>13</v>
      </c>
      <c r="H2493" t="s">
        <v>44</v>
      </c>
      <c r="I2493" t="e">
        <f t="shared" ca="1" si="196"/>
        <v>#REF!</v>
      </c>
      <c r="J2493" t="str">
        <f>VLOOKUP($G2493,DefinitionArrays!$I$6:$J$12,2,FALSE)</f>
        <v>Workweek</v>
      </c>
    </row>
    <row r="2494" spans="1:10">
      <c r="A2494" s="159" t="str">
        <f t="shared" si="192"/>
        <v>$E$1:$E$92</v>
      </c>
      <c r="B2494" s="159" t="str">
        <f t="shared" si="193"/>
        <v>$F$1:$F$92</v>
      </c>
      <c r="C2494" s="159" t="str">
        <f t="shared" si="194"/>
        <v>May!$E$1:$E$92</v>
      </c>
      <c r="D2494" s="159" t="str">
        <f t="shared" si="195"/>
        <v>May!$F$1:$F$92</v>
      </c>
      <c r="E2494" t="s">
        <v>6</v>
      </c>
      <c r="F2494" t="s">
        <v>124</v>
      </c>
      <c r="G2494" t="s">
        <v>142</v>
      </c>
      <c r="H2494" t="s">
        <v>159</v>
      </c>
      <c r="I2494" t="e">
        <f t="shared" ca="1" si="196"/>
        <v>#REF!</v>
      </c>
      <c r="J2494" t="str">
        <f>VLOOKUP($G2494,DefinitionArrays!$I$6:$J$12,2,FALSE)</f>
        <v>Workweek</v>
      </c>
    </row>
    <row r="2495" spans="1:10">
      <c r="A2495" s="159" t="str">
        <f t="shared" si="192"/>
        <v>$E$1:$E$92</v>
      </c>
      <c r="B2495" s="159" t="str">
        <f t="shared" si="193"/>
        <v>$F$1:$F$92</v>
      </c>
      <c r="C2495" s="159" t="str">
        <f t="shared" si="194"/>
        <v>May!$E$1:$E$92</v>
      </c>
      <c r="D2495" s="159" t="str">
        <f t="shared" si="195"/>
        <v>May!$F$1:$F$92</v>
      </c>
      <c r="E2495" t="s">
        <v>6</v>
      </c>
      <c r="F2495" t="s">
        <v>124</v>
      </c>
      <c r="G2495" t="s">
        <v>142</v>
      </c>
      <c r="H2495" t="s">
        <v>18</v>
      </c>
      <c r="I2495" t="e">
        <f t="shared" ca="1" si="196"/>
        <v>#REF!</v>
      </c>
      <c r="J2495" t="str">
        <f>VLOOKUP($G2495,DefinitionArrays!$I$6:$J$12,2,FALSE)</f>
        <v>Workweek</v>
      </c>
    </row>
    <row r="2496" spans="1:10">
      <c r="A2496" s="159" t="str">
        <f t="shared" si="192"/>
        <v>$E$1:$E$92</v>
      </c>
      <c r="B2496" s="159" t="str">
        <f t="shared" si="193"/>
        <v>$F$1:$F$92</v>
      </c>
      <c r="C2496" s="159" t="str">
        <f t="shared" si="194"/>
        <v>May!$E$1:$E$92</v>
      </c>
      <c r="D2496" s="159" t="str">
        <f t="shared" si="195"/>
        <v>May!$F$1:$F$92</v>
      </c>
      <c r="E2496" t="s">
        <v>6</v>
      </c>
      <c r="F2496" t="s">
        <v>124</v>
      </c>
      <c r="G2496" t="s">
        <v>142</v>
      </c>
      <c r="H2496" t="s">
        <v>153</v>
      </c>
      <c r="I2496" t="e">
        <f t="shared" ca="1" si="196"/>
        <v>#REF!</v>
      </c>
      <c r="J2496" t="str">
        <f>VLOOKUP($G2496,DefinitionArrays!$I$6:$J$12,2,FALSE)</f>
        <v>Workweek</v>
      </c>
    </row>
    <row r="2497" spans="1:10">
      <c r="A2497" s="159" t="str">
        <f t="shared" si="192"/>
        <v>$E$1:$E$92</v>
      </c>
      <c r="B2497" s="159" t="str">
        <f t="shared" si="193"/>
        <v>$F$1:$F$92</v>
      </c>
      <c r="C2497" s="159" t="str">
        <f t="shared" si="194"/>
        <v>May!$E$1:$E$92</v>
      </c>
      <c r="D2497" s="159" t="str">
        <f t="shared" si="195"/>
        <v>May!$F$1:$F$92</v>
      </c>
      <c r="E2497" t="s">
        <v>6</v>
      </c>
      <c r="F2497" t="s">
        <v>124</v>
      </c>
      <c r="G2497" t="s">
        <v>142</v>
      </c>
      <c r="H2497" t="s">
        <v>19</v>
      </c>
      <c r="I2497" t="e">
        <f t="shared" ca="1" si="196"/>
        <v>#REF!</v>
      </c>
      <c r="J2497" t="str">
        <f>VLOOKUP($G2497,DefinitionArrays!$I$6:$J$12,2,FALSE)</f>
        <v>Workweek</v>
      </c>
    </row>
    <row r="2498" spans="1:10">
      <c r="A2498" s="159" t="str">
        <f t="shared" ref="A2498:A2561" si="197">VLOOKUP($G2498,Fx_Code,2,FALSE)</f>
        <v>$E$1:$E$92</v>
      </c>
      <c r="B2498" s="159" t="str">
        <f t="shared" ref="B2498:B2561" si="198">VLOOKUP($G2498,Fx_Code,3,FALSE)</f>
        <v>$F$1:$F$92</v>
      </c>
      <c r="C2498" s="159" t="str">
        <f t="shared" ref="C2498:C2561" si="199">CONCATENATE($F2498,$K$1,A2498)</f>
        <v>May!$E$1:$E$92</v>
      </c>
      <c r="D2498" s="159" t="str">
        <f t="shared" ref="D2498:D2561" si="200">CONCATENATE($F2498,$K$1,B2498)</f>
        <v>May!$F$1:$F$92</v>
      </c>
      <c r="E2498" t="s">
        <v>6</v>
      </c>
      <c r="F2498" t="s">
        <v>124</v>
      </c>
      <c r="G2498" t="s">
        <v>142</v>
      </c>
      <c r="H2498" t="s">
        <v>20</v>
      </c>
      <c r="I2498" t="e">
        <f t="shared" ca="1" si="196"/>
        <v>#REF!</v>
      </c>
      <c r="J2498" t="str">
        <f>VLOOKUP($G2498,DefinitionArrays!$I$6:$J$12,2,FALSE)</f>
        <v>Workweek</v>
      </c>
    </row>
    <row r="2499" spans="1:10">
      <c r="A2499" s="159" t="str">
        <f t="shared" si="197"/>
        <v>$E$1:$E$92</v>
      </c>
      <c r="B2499" s="159" t="str">
        <f t="shared" si="198"/>
        <v>$F$1:$F$92</v>
      </c>
      <c r="C2499" s="159" t="str">
        <f t="shared" si="199"/>
        <v>May!$E$1:$E$92</v>
      </c>
      <c r="D2499" s="159" t="str">
        <f t="shared" si="200"/>
        <v>May!$F$1:$F$92</v>
      </c>
      <c r="E2499" t="s">
        <v>6</v>
      </c>
      <c r="F2499" t="s">
        <v>124</v>
      </c>
      <c r="G2499" t="s">
        <v>142</v>
      </c>
      <c r="H2499" t="s">
        <v>21</v>
      </c>
      <c r="I2499" t="e">
        <f t="shared" ca="1" si="196"/>
        <v>#REF!</v>
      </c>
      <c r="J2499" t="str">
        <f>VLOOKUP($G2499,DefinitionArrays!$I$6:$J$12,2,FALSE)</f>
        <v>Workweek</v>
      </c>
    </row>
    <row r="2500" spans="1:10">
      <c r="A2500" s="159" t="str">
        <f t="shared" si="197"/>
        <v>$E$1:$E$92</v>
      </c>
      <c r="B2500" s="159" t="str">
        <f t="shared" si="198"/>
        <v>$F$1:$F$92</v>
      </c>
      <c r="C2500" s="159" t="str">
        <f t="shared" si="199"/>
        <v>May!$E$1:$E$92</v>
      </c>
      <c r="D2500" s="159" t="str">
        <f t="shared" si="200"/>
        <v>May!$F$1:$F$92</v>
      </c>
      <c r="E2500" t="s">
        <v>6</v>
      </c>
      <c r="F2500" t="s">
        <v>124</v>
      </c>
      <c r="G2500" t="s">
        <v>142</v>
      </c>
      <c r="H2500" t="s">
        <v>22</v>
      </c>
      <c r="I2500" t="e">
        <f t="shared" ca="1" si="196"/>
        <v>#REF!</v>
      </c>
      <c r="J2500" t="str">
        <f>VLOOKUP($G2500,DefinitionArrays!$I$6:$J$12,2,FALSE)</f>
        <v>Workweek</v>
      </c>
    </row>
    <row r="2501" spans="1:10">
      <c r="A2501" s="159" t="str">
        <f t="shared" si="197"/>
        <v>$E$1:$E$92</v>
      </c>
      <c r="B2501" s="159" t="str">
        <f t="shared" si="198"/>
        <v>$F$1:$F$92</v>
      </c>
      <c r="C2501" s="159" t="str">
        <f t="shared" si="199"/>
        <v>May!$E$1:$E$92</v>
      </c>
      <c r="D2501" s="159" t="str">
        <f t="shared" si="200"/>
        <v>May!$F$1:$F$92</v>
      </c>
      <c r="E2501" t="s">
        <v>6</v>
      </c>
      <c r="F2501" t="s">
        <v>124</v>
      </c>
      <c r="G2501" t="s">
        <v>142</v>
      </c>
      <c r="H2501" t="s">
        <v>23</v>
      </c>
      <c r="I2501" t="e">
        <f t="shared" ca="1" si="196"/>
        <v>#REF!</v>
      </c>
      <c r="J2501" t="str">
        <f>VLOOKUP($G2501,DefinitionArrays!$I$6:$J$12,2,FALSE)</f>
        <v>Workweek</v>
      </c>
    </row>
    <row r="2502" spans="1:10">
      <c r="A2502" s="159" t="str">
        <f t="shared" si="197"/>
        <v>$E$1:$E$92</v>
      </c>
      <c r="B2502" s="159" t="str">
        <f t="shared" si="198"/>
        <v>$F$1:$F$92</v>
      </c>
      <c r="C2502" s="159" t="str">
        <f t="shared" si="199"/>
        <v>May!$E$1:$E$92</v>
      </c>
      <c r="D2502" s="159" t="str">
        <f t="shared" si="200"/>
        <v>May!$F$1:$F$92</v>
      </c>
      <c r="E2502" t="s">
        <v>6</v>
      </c>
      <c r="F2502" t="s">
        <v>124</v>
      </c>
      <c r="G2502" t="s">
        <v>142</v>
      </c>
      <c r="H2502" t="s">
        <v>24</v>
      </c>
      <c r="I2502" t="e">
        <f t="shared" ca="1" si="196"/>
        <v>#REF!</v>
      </c>
      <c r="J2502" t="str">
        <f>VLOOKUP($G2502,DefinitionArrays!$I$6:$J$12,2,FALSE)</f>
        <v>Workweek</v>
      </c>
    </row>
    <row r="2503" spans="1:10">
      <c r="A2503" s="159" t="str">
        <f t="shared" si="197"/>
        <v>$E$1:$E$92</v>
      </c>
      <c r="B2503" s="159" t="str">
        <f t="shared" si="198"/>
        <v>$F$1:$F$92</v>
      </c>
      <c r="C2503" s="159" t="str">
        <f t="shared" si="199"/>
        <v>May!$E$1:$E$92</v>
      </c>
      <c r="D2503" s="159" t="str">
        <f t="shared" si="200"/>
        <v>May!$F$1:$F$92</v>
      </c>
      <c r="E2503" t="s">
        <v>6</v>
      </c>
      <c r="F2503" t="s">
        <v>124</v>
      </c>
      <c r="G2503" t="s">
        <v>142</v>
      </c>
      <c r="H2503" t="s">
        <v>179</v>
      </c>
      <c r="I2503" t="e">
        <f t="shared" ca="1" si="196"/>
        <v>#REF!</v>
      </c>
      <c r="J2503" t="str">
        <f>VLOOKUP($G2503,DefinitionArrays!$I$6:$J$12,2,FALSE)</f>
        <v>Workweek</v>
      </c>
    </row>
    <row r="2504" spans="1:10">
      <c r="A2504" s="159" t="str">
        <f t="shared" si="197"/>
        <v>$E$1:$E$92</v>
      </c>
      <c r="B2504" s="159" t="str">
        <f t="shared" si="198"/>
        <v>$F$1:$F$92</v>
      </c>
      <c r="C2504" s="159" t="str">
        <f t="shared" si="199"/>
        <v>May!$E$1:$E$92</v>
      </c>
      <c r="D2504" s="159" t="str">
        <f t="shared" si="200"/>
        <v>May!$F$1:$F$92</v>
      </c>
      <c r="E2504" t="s">
        <v>6</v>
      </c>
      <c r="F2504" t="s">
        <v>124</v>
      </c>
      <c r="G2504" t="s">
        <v>142</v>
      </c>
      <c r="H2504" t="s">
        <v>180</v>
      </c>
      <c r="I2504" t="e">
        <f t="shared" ca="1" si="196"/>
        <v>#REF!</v>
      </c>
      <c r="J2504" t="str">
        <f>VLOOKUP($G2504,DefinitionArrays!$I$6:$J$12,2,FALSE)</f>
        <v>Workweek</v>
      </c>
    </row>
    <row r="2505" spans="1:10">
      <c r="A2505" s="159" t="str">
        <f t="shared" si="197"/>
        <v>$E$1:$E$92</v>
      </c>
      <c r="B2505" s="159" t="str">
        <f t="shared" si="198"/>
        <v>$F$1:$F$92</v>
      </c>
      <c r="C2505" s="159" t="str">
        <f t="shared" si="199"/>
        <v>May!$E$1:$E$92</v>
      </c>
      <c r="D2505" s="159" t="str">
        <f t="shared" si="200"/>
        <v>May!$F$1:$F$92</v>
      </c>
      <c r="E2505" t="s">
        <v>6</v>
      </c>
      <c r="F2505" t="s">
        <v>124</v>
      </c>
      <c r="G2505" t="s">
        <v>142</v>
      </c>
      <c r="H2505" t="s">
        <v>44</v>
      </c>
      <c r="I2505" t="e">
        <f t="shared" ca="1" si="196"/>
        <v>#REF!</v>
      </c>
      <c r="J2505" t="str">
        <f>VLOOKUP($G2505,DefinitionArrays!$I$6:$J$12,2,FALSE)</f>
        <v>Workweek</v>
      </c>
    </row>
    <row r="2506" spans="1:10">
      <c r="A2506" s="159" t="str">
        <f t="shared" si="197"/>
        <v>$H$1:$H$92</v>
      </c>
      <c r="B2506" s="159" t="str">
        <f t="shared" si="198"/>
        <v>$I$1:$I$92</v>
      </c>
      <c r="C2506" s="159" t="str">
        <f t="shared" si="199"/>
        <v>May!$H$1:$H$92</v>
      </c>
      <c r="D2506" s="159" t="str">
        <f t="shared" si="200"/>
        <v>May!$I$1:$I$92</v>
      </c>
      <c r="E2506" t="s">
        <v>6</v>
      </c>
      <c r="F2506" t="s">
        <v>124</v>
      </c>
      <c r="G2506" t="s">
        <v>143</v>
      </c>
      <c r="H2506" t="s">
        <v>159</v>
      </c>
      <c r="I2506" t="e">
        <f t="shared" ca="1" si="196"/>
        <v>#REF!</v>
      </c>
      <c r="J2506" t="str">
        <f>VLOOKUP($G2506,DefinitionArrays!$I$6:$J$12,2,FALSE)</f>
        <v>Workweek</v>
      </c>
    </row>
    <row r="2507" spans="1:10">
      <c r="A2507" s="159" t="str">
        <f t="shared" si="197"/>
        <v>$H$1:$H$92</v>
      </c>
      <c r="B2507" s="159" t="str">
        <f t="shared" si="198"/>
        <v>$I$1:$I$92</v>
      </c>
      <c r="C2507" s="159" t="str">
        <f t="shared" si="199"/>
        <v>May!$H$1:$H$92</v>
      </c>
      <c r="D2507" s="159" t="str">
        <f t="shared" si="200"/>
        <v>May!$I$1:$I$92</v>
      </c>
      <c r="E2507" t="s">
        <v>6</v>
      </c>
      <c r="F2507" t="s">
        <v>124</v>
      </c>
      <c r="G2507" t="s">
        <v>143</v>
      </c>
      <c r="H2507" t="s">
        <v>18</v>
      </c>
      <c r="I2507" t="e">
        <f t="shared" ca="1" si="196"/>
        <v>#REF!</v>
      </c>
      <c r="J2507" t="str">
        <f>VLOOKUP($G2507,DefinitionArrays!$I$6:$J$12,2,FALSE)</f>
        <v>Workweek</v>
      </c>
    </row>
    <row r="2508" spans="1:10">
      <c r="A2508" s="159" t="str">
        <f t="shared" si="197"/>
        <v>$H$1:$H$92</v>
      </c>
      <c r="B2508" s="159" t="str">
        <f t="shared" si="198"/>
        <v>$I$1:$I$92</v>
      </c>
      <c r="C2508" s="159" t="str">
        <f t="shared" si="199"/>
        <v>May!$H$1:$H$92</v>
      </c>
      <c r="D2508" s="159" t="str">
        <f t="shared" si="200"/>
        <v>May!$I$1:$I$92</v>
      </c>
      <c r="E2508" t="s">
        <v>6</v>
      </c>
      <c r="F2508" t="s">
        <v>124</v>
      </c>
      <c r="G2508" t="s">
        <v>143</v>
      </c>
      <c r="H2508" t="s">
        <v>153</v>
      </c>
      <c r="I2508" t="e">
        <f t="shared" ca="1" si="196"/>
        <v>#REF!</v>
      </c>
      <c r="J2508" t="str">
        <f>VLOOKUP($G2508,DefinitionArrays!$I$6:$J$12,2,FALSE)</f>
        <v>Workweek</v>
      </c>
    </row>
    <row r="2509" spans="1:10">
      <c r="A2509" s="159" t="str">
        <f t="shared" si="197"/>
        <v>$H$1:$H$92</v>
      </c>
      <c r="B2509" s="159" t="str">
        <f t="shared" si="198"/>
        <v>$I$1:$I$92</v>
      </c>
      <c r="C2509" s="159" t="str">
        <f t="shared" si="199"/>
        <v>May!$H$1:$H$92</v>
      </c>
      <c r="D2509" s="159" t="str">
        <f t="shared" si="200"/>
        <v>May!$I$1:$I$92</v>
      </c>
      <c r="E2509" t="s">
        <v>6</v>
      </c>
      <c r="F2509" t="s">
        <v>124</v>
      </c>
      <c r="G2509" t="s">
        <v>143</v>
      </c>
      <c r="H2509" t="s">
        <v>19</v>
      </c>
      <c r="I2509" t="e">
        <f t="shared" ca="1" si="196"/>
        <v>#REF!</v>
      </c>
      <c r="J2509" t="str">
        <f>VLOOKUP($G2509,DefinitionArrays!$I$6:$J$12,2,FALSE)</f>
        <v>Workweek</v>
      </c>
    </row>
    <row r="2510" spans="1:10">
      <c r="A2510" s="159" t="str">
        <f t="shared" si="197"/>
        <v>$H$1:$H$92</v>
      </c>
      <c r="B2510" s="159" t="str">
        <f t="shared" si="198"/>
        <v>$I$1:$I$92</v>
      </c>
      <c r="C2510" s="159" t="str">
        <f t="shared" si="199"/>
        <v>May!$H$1:$H$92</v>
      </c>
      <c r="D2510" s="159" t="str">
        <f t="shared" si="200"/>
        <v>May!$I$1:$I$92</v>
      </c>
      <c r="E2510" t="s">
        <v>6</v>
      </c>
      <c r="F2510" t="s">
        <v>124</v>
      </c>
      <c r="G2510" t="s">
        <v>143</v>
      </c>
      <c r="H2510" t="s">
        <v>20</v>
      </c>
      <c r="I2510" t="e">
        <f t="shared" ca="1" si="196"/>
        <v>#REF!</v>
      </c>
      <c r="J2510" t="str">
        <f>VLOOKUP($G2510,DefinitionArrays!$I$6:$J$12,2,FALSE)</f>
        <v>Workweek</v>
      </c>
    </row>
    <row r="2511" spans="1:10">
      <c r="A2511" s="159" t="str">
        <f t="shared" si="197"/>
        <v>$H$1:$H$92</v>
      </c>
      <c r="B2511" s="159" t="str">
        <f t="shared" si="198"/>
        <v>$I$1:$I$92</v>
      </c>
      <c r="C2511" s="159" t="str">
        <f t="shared" si="199"/>
        <v>May!$H$1:$H$92</v>
      </c>
      <c r="D2511" s="159" t="str">
        <f t="shared" si="200"/>
        <v>May!$I$1:$I$92</v>
      </c>
      <c r="E2511" t="s">
        <v>6</v>
      </c>
      <c r="F2511" t="s">
        <v>124</v>
      </c>
      <c r="G2511" t="s">
        <v>143</v>
      </c>
      <c r="H2511" t="s">
        <v>21</v>
      </c>
      <c r="I2511" t="e">
        <f t="shared" ca="1" si="196"/>
        <v>#REF!</v>
      </c>
      <c r="J2511" t="str">
        <f>VLOOKUP($G2511,DefinitionArrays!$I$6:$J$12,2,FALSE)</f>
        <v>Workweek</v>
      </c>
    </row>
    <row r="2512" spans="1:10">
      <c r="A2512" s="159" t="str">
        <f t="shared" si="197"/>
        <v>$H$1:$H$92</v>
      </c>
      <c r="B2512" s="159" t="str">
        <f t="shared" si="198"/>
        <v>$I$1:$I$92</v>
      </c>
      <c r="C2512" s="159" t="str">
        <f t="shared" si="199"/>
        <v>May!$H$1:$H$92</v>
      </c>
      <c r="D2512" s="159" t="str">
        <f t="shared" si="200"/>
        <v>May!$I$1:$I$92</v>
      </c>
      <c r="E2512" t="s">
        <v>6</v>
      </c>
      <c r="F2512" t="s">
        <v>124</v>
      </c>
      <c r="G2512" t="s">
        <v>143</v>
      </c>
      <c r="H2512" t="s">
        <v>22</v>
      </c>
      <c r="I2512" t="e">
        <f t="shared" ca="1" si="196"/>
        <v>#REF!</v>
      </c>
      <c r="J2512" t="str">
        <f>VLOOKUP($G2512,DefinitionArrays!$I$6:$J$12,2,FALSE)</f>
        <v>Workweek</v>
      </c>
    </row>
    <row r="2513" spans="1:10">
      <c r="A2513" s="159" t="str">
        <f t="shared" si="197"/>
        <v>$H$1:$H$92</v>
      </c>
      <c r="B2513" s="159" t="str">
        <f t="shared" si="198"/>
        <v>$I$1:$I$92</v>
      </c>
      <c r="C2513" s="159" t="str">
        <f t="shared" si="199"/>
        <v>May!$H$1:$H$92</v>
      </c>
      <c r="D2513" s="159" t="str">
        <f t="shared" si="200"/>
        <v>May!$I$1:$I$92</v>
      </c>
      <c r="E2513" t="s">
        <v>6</v>
      </c>
      <c r="F2513" t="s">
        <v>124</v>
      </c>
      <c r="G2513" t="s">
        <v>143</v>
      </c>
      <c r="H2513" t="s">
        <v>23</v>
      </c>
      <c r="I2513" t="e">
        <f t="shared" ca="1" si="196"/>
        <v>#REF!</v>
      </c>
      <c r="J2513" t="str">
        <f>VLOOKUP($G2513,DefinitionArrays!$I$6:$J$12,2,FALSE)</f>
        <v>Workweek</v>
      </c>
    </row>
    <row r="2514" spans="1:10">
      <c r="A2514" s="159" t="str">
        <f t="shared" si="197"/>
        <v>$H$1:$H$92</v>
      </c>
      <c r="B2514" s="159" t="str">
        <f t="shared" si="198"/>
        <v>$I$1:$I$92</v>
      </c>
      <c r="C2514" s="159" t="str">
        <f t="shared" si="199"/>
        <v>May!$H$1:$H$92</v>
      </c>
      <c r="D2514" s="159" t="str">
        <f t="shared" si="200"/>
        <v>May!$I$1:$I$92</v>
      </c>
      <c r="E2514" t="s">
        <v>6</v>
      </c>
      <c r="F2514" t="s">
        <v>124</v>
      </c>
      <c r="G2514" t="s">
        <v>143</v>
      </c>
      <c r="H2514" t="s">
        <v>24</v>
      </c>
      <c r="I2514" t="e">
        <f t="shared" ca="1" si="196"/>
        <v>#REF!</v>
      </c>
      <c r="J2514" t="str">
        <f>VLOOKUP($G2514,DefinitionArrays!$I$6:$J$12,2,FALSE)</f>
        <v>Workweek</v>
      </c>
    </row>
    <row r="2515" spans="1:10">
      <c r="A2515" s="159" t="str">
        <f t="shared" si="197"/>
        <v>$H$1:$H$92</v>
      </c>
      <c r="B2515" s="159" t="str">
        <f t="shared" si="198"/>
        <v>$I$1:$I$92</v>
      </c>
      <c r="C2515" s="159" t="str">
        <f t="shared" si="199"/>
        <v>May!$H$1:$H$92</v>
      </c>
      <c r="D2515" s="159" t="str">
        <f t="shared" si="200"/>
        <v>May!$I$1:$I$92</v>
      </c>
      <c r="E2515" t="s">
        <v>6</v>
      </c>
      <c r="F2515" t="s">
        <v>124</v>
      </c>
      <c r="G2515" t="s">
        <v>143</v>
      </c>
      <c r="H2515" t="s">
        <v>179</v>
      </c>
      <c r="I2515" t="e">
        <f t="shared" ca="1" si="196"/>
        <v>#REF!</v>
      </c>
      <c r="J2515" t="str">
        <f>VLOOKUP($G2515,DefinitionArrays!$I$6:$J$12,2,FALSE)</f>
        <v>Workweek</v>
      </c>
    </row>
    <row r="2516" spans="1:10">
      <c r="A2516" s="159" t="str">
        <f t="shared" si="197"/>
        <v>$H$1:$H$92</v>
      </c>
      <c r="B2516" s="159" t="str">
        <f t="shared" si="198"/>
        <v>$I$1:$I$92</v>
      </c>
      <c r="C2516" s="159" t="str">
        <f t="shared" si="199"/>
        <v>May!$H$1:$H$92</v>
      </c>
      <c r="D2516" s="159" t="str">
        <f t="shared" si="200"/>
        <v>May!$I$1:$I$92</v>
      </c>
      <c r="E2516" t="s">
        <v>6</v>
      </c>
      <c r="F2516" t="s">
        <v>124</v>
      </c>
      <c r="G2516" t="s">
        <v>143</v>
      </c>
      <c r="H2516" t="s">
        <v>180</v>
      </c>
      <c r="I2516" t="e">
        <f t="shared" ca="1" si="196"/>
        <v>#REF!</v>
      </c>
      <c r="J2516" t="str">
        <f>VLOOKUP($G2516,DefinitionArrays!$I$6:$J$12,2,FALSE)</f>
        <v>Workweek</v>
      </c>
    </row>
    <row r="2517" spans="1:10">
      <c r="A2517" s="159" t="str">
        <f t="shared" si="197"/>
        <v>$H$1:$H$92</v>
      </c>
      <c r="B2517" s="159" t="str">
        <f t="shared" si="198"/>
        <v>$I$1:$I$92</v>
      </c>
      <c r="C2517" s="159" t="str">
        <f t="shared" si="199"/>
        <v>May!$H$1:$H$92</v>
      </c>
      <c r="D2517" s="159" t="str">
        <f t="shared" si="200"/>
        <v>May!$I$1:$I$92</v>
      </c>
      <c r="E2517" t="s">
        <v>6</v>
      </c>
      <c r="F2517" t="s">
        <v>124</v>
      </c>
      <c r="G2517" t="s">
        <v>143</v>
      </c>
      <c r="H2517" t="s">
        <v>44</v>
      </c>
      <c r="I2517" t="e">
        <f t="shared" ca="1" si="196"/>
        <v>#REF!</v>
      </c>
      <c r="J2517" t="str">
        <f>VLOOKUP($G2517,DefinitionArrays!$I$6:$J$12,2,FALSE)</f>
        <v>Workweek</v>
      </c>
    </row>
    <row r="2518" spans="1:10">
      <c r="A2518" s="159" t="str">
        <f t="shared" si="197"/>
        <v>$K$1:$K$92</v>
      </c>
      <c r="B2518" s="159" t="str">
        <f t="shared" si="198"/>
        <v>$L$1:$L$92</v>
      </c>
      <c r="C2518" s="159" t="str">
        <f t="shared" si="199"/>
        <v>May!$K$1:$K$92</v>
      </c>
      <c r="D2518" s="159" t="str">
        <f t="shared" si="200"/>
        <v>May!$L$1:$L$92</v>
      </c>
      <c r="E2518" t="s">
        <v>6</v>
      </c>
      <c r="F2518" t="s">
        <v>124</v>
      </c>
      <c r="G2518" t="s">
        <v>144</v>
      </c>
      <c r="H2518" t="s">
        <v>159</v>
      </c>
      <c r="I2518" t="e">
        <f t="shared" ca="1" si="196"/>
        <v>#REF!</v>
      </c>
      <c r="J2518" t="str">
        <f>VLOOKUP($G2518,DefinitionArrays!$I$6:$J$12,2,FALSE)</f>
        <v>Workweek</v>
      </c>
    </row>
    <row r="2519" spans="1:10">
      <c r="A2519" s="159" t="str">
        <f t="shared" si="197"/>
        <v>$K$1:$K$92</v>
      </c>
      <c r="B2519" s="159" t="str">
        <f t="shared" si="198"/>
        <v>$L$1:$L$92</v>
      </c>
      <c r="C2519" s="159" t="str">
        <f t="shared" si="199"/>
        <v>May!$K$1:$K$92</v>
      </c>
      <c r="D2519" s="159" t="str">
        <f t="shared" si="200"/>
        <v>May!$L$1:$L$92</v>
      </c>
      <c r="E2519" t="s">
        <v>6</v>
      </c>
      <c r="F2519" t="s">
        <v>124</v>
      </c>
      <c r="G2519" t="s">
        <v>144</v>
      </c>
      <c r="H2519" t="s">
        <v>18</v>
      </c>
      <c r="I2519" t="e">
        <f t="shared" ca="1" si="196"/>
        <v>#REF!</v>
      </c>
      <c r="J2519" t="str">
        <f>VLOOKUP($G2519,DefinitionArrays!$I$6:$J$12,2,FALSE)</f>
        <v>Workweek</v>
      </c>
    </row>
    <row r="2520" spans="1:10">
      <c r="A2520" s="159" t="str">
        <f t="shared" si="197"/>
        <v>$K$1:$K$92</v>
      </c>
      <c r="B2520" s="159" t="str">
        <f t="shared" si="198"/>
        <v>$L$1:$L$92</v>
      </c>
      <c r="C2520" s="159" t="str">
        <f t="shared" si="199"/>
        <v>May!$K$1:$K$92</v>
      </c>
      <c r="D2520" s="159" t="str">
        <f t="shared" si="200"/>
        <v>May!$L$1:$L$92</v>
      </c>
      <c r="E2520" t="s">
        <v>6</v>
      </c>
      <c r="F2520" t="s">
        <v>124</v>
      </c>
      <c r="G2520" t="s">
        <v>144</v>
      </c>
      <c r="H2520" t="s">
        <v>153</v>
      </c>
      <c r="I2520" t="e">
        <f t="shared" ca="1" si="196"/>
        <v>#REF!</v>
      </c>
      <c r="J2520" t="str">
        <f>VLOOKUP($G2520,DefinitionArrays!$I$6:$J$12,2,FALSE)</f>
        <v>Workweek</v>
      </c>
    </row>
    <row r="2521" spans="1:10">
      <c r="A2521" s="159" t="str">
        <f t="shared" si="197"/>
        <v>$K$1:$K$92</v>
      </c>
      <c r="B2521" s="159" t="str">
        <f t="shared" si="198"/>
        <v>$L$1:$L$92</v>
      </c>
      <c r="C2521" s="159" t="str">
        <f t="shared" si="199"/>
        <v>May!$K$1:$K$92</v>
      </c>
      <c r="D2521" s="159" t="str">
        <f t="shared" si="200"/>
        <v>May!$L$1:$L$92</v>
      </c>
      <c r="E2521" t="s">
        <v>6</v>
      </c>
      <c r="F2521" t="s">
        <v>124</v>
      </c>
      <c r="G2521" t="s">
        <v>144</v>
      </c>
      <c r="H2521" t="s">
        <v>19</v>
      </c>
      <c r="I2521" t="e">
        <f t="shared" ca="1" si="196"/>
        <v>#REF!</v>
      </c>
      <c r="J2521" t="str">
        <f>VLOOKUP($G2521,DefinitionArrays!$I$6:$J$12,2,FALSE)</f>
        <v>Workweek</v>
      </c>
    </row>
    <row r="2522" spans="1:10">
      <c r="A2522" s="159" t="str">
        <f t="shared" si="197"/>
        <v>$K$1:$K$92</v>
      </c>
      <c r="B2522" s="159" t="str">
        <f t="shared" si="198"/>
        <v>$L$1:$L$92</v>
      </c>
      <c r="C2522" s="159" t="str">
        <f t="shared" si="199"/>
        <v>May!$K$1:$K$92</v>
      </c>
      <c r="D2522" s="159" t="str">
        <f t="shared" si="200"/>
        <v>May!$L$1:$L$92</v>
      </c>
      <c r="E2522" t="s">
        <v>6</v>
      </c>
      <c r="F2522" t="s">
        <v>124</v>
      </c>
      <c r="G2522" t="s">
        <v>144</v>
      </c>
      <c r="H2522" t="s">
        <v>20</v>
      </c>
      <c r="I2522" t="e">
        <f t="shared" ca="1" si="196"/>
        <v>#REF!</v>
      </c>
      <c r="J2522" t="str">
        <f>VLOOKUP($G2522,DefinitionArrays!$I$6:$J$12,2,FALSE)</f>
        <v>Workweek</v>
      </c>
    </row>
    <row r="2523" spans="1:10">
      <c r="A2523" s="159" t="str">
        <f t="shared" si="197"/>
        <v>$K$1:$K$92</v>
      </c>
      <c r="B2523" s="159" t="str">
        <f t="shared" si="198"/>
        <v>$L$1:$L$92</v>
      </c>
      <c r="C2523" s="159" t="str">
        <f t="shared" si="199"/>
        <v>May!$K$1:$K$92</v>
      </c>
      <c r="D2523" s="159" t="str">
        <f t="shared" si="200"/>
        <v>May!$L$1:$L$92</v>
      </c>
      <c r="E2523" t="s">
        <v>6</v>
      </c>
      <c r="F2523" t="s">
        <v>124</v>
      </c>
      <c r="G2523" t="s">
        <v>144</v>
      </c>
      <c r="H2523" t="s">
        <v>21</v>
      </c>
      <c r="I2523" t="e">
        <f t="shared" ca="1" si="196"/>
        <v>#REF!</v>
      </c>
      <c r="J2523" t="str">
        <f>VLOOKUP($G2523,DefinitionArrays!$I$6:$J$12,2,FALSE)</f>
        <v>Workweek</v>
      </c>
    </row>
    <row r="2524" spans="1:10">
      <c r="A2524" s="159" t="str">
        <f t="shared" si="197"/>
        <v>$K$1:$K$92</v>
      </c>
      <c r="B2524" s="159" t="str">
        <f t="shared" si="198"/>
        <v>$L$1:$L$92</v>
      </c>
      <c r="C2524" s="159" t="str">
        <f t="shared" si="199"/>
        <v>May!$K$1:$K$92</v>
      </c>
      <c r="D2524" s="159" t="str">
        <f t="shared" si="200"/>
        <v>May!$L$1:$L$92</v>
      </c>
      <c r="E2524" t="s">
        <v>6</v>
      </c>
      <c r="F2524" t="s">
        <v>124</v>
      </c>
      <c r="G2524" t="s">
        <v>144</v>
      </c>
      <c r="H2524" t="s">
        <v>22</v>
      </c>
      <c r="I2524" t="e">
        <f t="shared" ca="1" si="196"/>
        <v>#REF!</v>
      </c>
      <c r="J2524" t="str">
        <f>VLOOKUP($G2524,DefinitionArrays!$I$6:$J$12,2,FALSE)</f>
        <v>Workweek</v>
      </c>
    </row>
    <row r="2525" spans="1:10">
      <c r="A2525" s="159" t="str">
        <f t="shared" si="197"/>
        <v>$K$1:$K$92</v>
      </c>
      <c r="B2525" s="159" t="str">
        <f t="shared" si="198"/>
        <v>$L$1:$L$92</v>
      </c>
      <c r="C2525" s="159" t="str">
        <f t="shared" si="199"/>
        <v>May!$K$1:$K$92</v>
      </c>
      <c r="D2525" s="159" t="str">
        <f t="shared" si="200"/>
        <v>May!$L$1:$L$92</v>
      </c>
      <c r="E2525" t="s">
        <v>6</v>
      </c>
      <c r="F2525" t="s">
        <v>124</v>
      </c>
      <c r="G2525" t="s">
        <v>144</v>
      </c>
      <c r="H2525" t="s">
        <v>23</v>
      </c>
      <c r="I2525" t="e">
        <f t="shared" ca="1" si="196"/>
        <v>#REF!</v>
      </c>
      <c r="J2525" t="str">
        <f>VLOOKUP($G2525,DefinitionArrays!$I$6:$J$12,2,FALSE)</f>
        <v>Workweek</v>
      </c>
    </row>
    <row r="2526" spans="1:10">
      <c r="A2526" s="159" t="str">
        <f t="shared" si="197"/>
        <v>$K$1:$K$92</v>
      </c>
      <c r="B2526" s="159" t="str">
        <f t="shared" si="198"/>
        <v>$L$1:$L$92</v>
      </c>
      <c r="C2526" s="159" t="str">
        <f t="shared" si="199"/>
        <v>May!$K$1:$K$92</v>
      </c>
      <c r="D2526" s="159" t="str">
        <f t="shared" si="200"/>
        <v>May!$L$1:$L$92</v>
      </c>
      <c r="E2526" t="s">
        <v>6</v>
      </c>
      <c r="F2526" t="s">
        <v>124</v>
      </c>
      <c r="G2526" t="s">
        <v>144</v>
      </c>
      <c r="H2526" t="s">
        <v>24</v>
      </c>
      <c r="I2526" t="e">
        <f t="shared" ca="1" si="196"/>
        <v>#REF!</v>
      </c>
      <c r="J2526" t="str">
        <f>VLOOKUP($G2526,DefinitionArrays!$I$6:$J$12,2,FALSE)</f>
        <v>Workweek</v>
      </c>
    </row>
    <row r="2527" spans="1:10">
      <c r="A2527" s="159" t="str">
        <f t="shared" si="197"/>
        <v>$K$1:$K$92</v>
      </c>
      <c r="B2527" s="159" t="str">
        <f t="shared" si="198"/>
        <v>$L$1:$L$92</v>
      </c>
      <c r="C2527" s="159" t="str">
        <f t="shared" si="199"/>
        <v>May!$K$1:$K$92</v>
      </c>
      <c r="D2527" s="159" t="str">
        <f t="shared" si="200"/>
        <v>May!$L$1:$L$92</v>
      </c>
      <c r="E2527" t="s">
        <v>6</v>
      </c>
      <c r="F2527" t="s">
        <v>124</v>
      </c>
      <c r="G2527" t="s">
        <v>144</v>
      </c>
      <c r="H2527" t="s">
        <v>179</v>
      </c>
      <c r="I2527" t="e">
        <f t="shared" ca="1" si="196"/>
        <v>#REF!</v>
      </c>
      <c r="J2527" t="str">
        <f>VLOOKUP($G2527,DefinitionArrays!$I$6:$J$12,2,FALSE)</f>
        <v>Workweek</v>
      </c>
    </row>
    <row r="2528" spans="1:10">
      <c r="A2528" s="159" t="str">
        <f t="shared" si="197"/>
        <v>$K$1:$K$92</v>
      </c>
      <c r="B2528" s="159" t="str">
        <f t="shared" si="198"/>
        <v>$L$1:$L$92</v>
      </c>
      <c r="C2528" s="159" t="str">
        <f t="shared" si="199"/>
        <v>May!$K$1:$K$92</v>
      </c>
      <c r="D2528" s="159" t="str">
        <f t="shared" si="200"/>
        <v>May!$L$1:$L$92</v>
      </c>
      <c r="E2528" t="s">
        <v>6</v>
      </c>
      <c r="F2528" t="s">
        <v>124</v>
      </c>
      <c r="G2528" t="s">
        <v>144</v>
      </c>
      <c r="H2528" t="s">
        <v>180</v>
      </c>
      <c r="I2528" t="e">
        <f t="shared" ca="1" si="196"/>
        <v>#REF!</v>
      </c>
      <c r="J2528" t="str">
        <f>VLOOKUP($G2528,DefinitionArrays!$I$6:$J$12,2,FALSE)</f>
        <v>Workweek</v>
      </c>
    </row>
    <row r="2529" spans="1:10">
      <c r="A2529" s="159" t="str">
        <f t="shared" si="197"/>
        <v>$K$1:$K$92</v>
      </c>
      <c r="B2529" s="159" t="str">
        <f t="shared" si="198"/>
        <v>$L$1:$L$92</v>
      </c>
      <c r="C2529" s="159" t="str">
        <f t="shared" si="199"/>
        <v>May!$K$1:$K$92</v>
      </c>
      <c r="D2529" s="159" t="str">
        <f t="shared" si="200"/>
        <v>May!$L$1:$L$92</v>
      </c>
      <c r="E2529" t="s">
        <v>6</v>
      </c>
      <c r="F2529" t="s">
        <v>124</v>
      </c>
      <c r="G2529" t="s">
        <v>144</v>
      </c>
      <c r="H2529" t="s">
        <v>44</v>
      </c>
      <c r="I2529" t="e">
        <f t="shared" ca="1" si="196"/>
        <v>#REF!</v>
      </c>
      <c r="J2529" t="str">
        <f>VLOOKUP($G2529,DefinitionArrays!$I$6:$J$12,2,FALSE)</f>
        <v>Workweek</v>
      </c>
    </row>
    <row r="2530" spans="1:10">
      <c r="A2530" s="159" t="str">
        <f t="shared" si="197"/>
        <v>$N$1:$N$92</v>
      </c>
      <c r="B2530" s="159" t="str">
        <f t="shared" si="198"/>
        <v>$O$1:$O$92</v>
      </c>
      <c r="C2530" s="159" t="str">
        <f t="shared" si="199"/>
        <v>May!$N$1:$N$92</v>
      </c>
      <c r="D2530" s="159" t="str">
        <f t="shared" si="200"/>
        <v>May!$O$1:$O$92</v>
      </c>
      <c r="E2530" t="s">
        <v>6</v>
      </c>
      <c r="F2530" t="s">
        <v>124</v>
      </c>
      <c r="G2530" t="s">
        <v>145</v>
      </c>
      <c r="H2530" t="s">
        <v>159</v>
      </c>
      <c r="I2530" t="e">
        <f t="shared" ca="1" si="196"/>
        <v>#REF!</v>
      </c>
      <c r="J2530" t="str">
        <f>VLOOKUP($G2530,DefinitionArrays!$I$6:$J$12,2,FALSE)</f>
        <v>Weekend</v>
      </c>
    </row>
    <row r="2531" spans="1:10">
      <c r="A2531" s="159" t="str">
        <f t="shared" si="197"/>
        <v>$N$1:$N$92</v>
      </c>
      <c r="B2531" s="159" t="str">
        <f t="shared" si="198"/>
        <v>$O$1:$O$92</v>
      </c>
      <c r="C2531" s="159" t="str">
        <f t="shared" si="199"/>
        <v>May!$N$1:$N$92</v>
      </c>
      <c r="D2531" s="159" t="str">
        <f t="shared" si="200"/>
        <v>May!$O$1:$O$92</v>
      </c>
      <c r="E2531" t="s">
        <v>6</v>
      </c>
      <c r="F2531" t="s">
        <v>124</v>
      </c>
      <c r="G2531" t="s">
        <v>145</v>
      </c>
      <c r="H2531" t="s">
        <v>18</v>
      </c>
      <c r="I2531" t="e">
        <f t="shared" ca="1" si="196"/>
        <v>#REF!</v>
      </c>
      <c r="J2531" t="str">
        <f>VLOOKUP($G2531,DefinitionArrays!$I$6:$J$12,2,FALSE)</f>
        <v>Weekend</v>
      </c>
    </row>
    <row r="2532" spans="1:10">
      <c r="A2532" s="159" t="str">
        <f t="shared" si="197"/>
        <v>$N$1:$N$92</v>
      </c>
      <c r="B2532" s="159" t="str">
        <f t="shared" si="198"/>
        <v>$O$1:$O$92</v>
      </c>
      <c r="C2532" s="159" t="str">
        <f t="shared" si="199"/>
        <v>May!$N$1:$N$92</v>
      </c>
      <c r="D2532" s="159" t="str">
        <f t="shared" si="200"/>
        <v>May!$O$1:$O$92</v>
      </c>
      <c r="E2532" t="s">
        <v>6</v>
      </c>
      <c r="F2532" t="s">
        <v>124</v>
      </c>
      <c r="G2532" t="s">
        <v>145</v>
      </c>
      <c r="H2532" t="s">
        <v>153</v>
      </c>
      <c r="I2532" t="e">
        <f t="shared" ca="1" si="196"/>
        <v>#REF!</v>
      </c>
      <c r="J2532" t="str">
        <f>VLOOKUP($G2532,DefinitionArrays!$I$6:$J$12,2,FALSE)</f>
        <v>Weekend</v>
      </c>
    </row>
    <row r="2533" spans="1:10">
      <c r="A2533" s="159" t="str">
        <f t="shared" si="197"/>
        <v>$N$1:$N$92</v>
      </c>
      <c r="B2533" s="159" t="str">
        <f t="shared" si="198"/>
        <v>$O$1:$O$92</v>
      </c>
      <c r="C2533" s="159" t="str">
        <f t="shared" si="199"/>
        <v>May!$N$1:$N$92</v>
      </c>
      <c r="D2533" s="159" t="str">
        <f t="shared" si="200"/>
        <v>May!$O$1:$O$92</v>
      </c>
      <c r="E2533" t="s">
        <v>6</v>
      </c>
      <c r="F2533" t="s">
        <v>124</v>
      </c>
      <c r="G2533" t="s">
        <v>145</v>
      </c>
      <c r="H2533" t="s">
        <v>19</v>
      </c>
      <c r="I2533" t="e">
        <f t="shared" ca="1" si="196"/>
        <v>#REF!</v>
      </c>
      <c r="J2533" t="str">
        <f>VLOOKUP($G2533,DefinitionArrays!$I$6:$J$12,2,FALSE)</f>
        <v>Weekend</v>
      </c>
    </row>
    <row r="2534" spans="1:10">
      <c r="A2534" s="159" t="str">
        <f t="shared" si="197"/>
        <v>$N$1:$N$92</v>
      </c>
      <c r="B2534" s="159" t="str">
        <f t="shared" si="198"/>
        <v>$O$1:$O$92</v>
      </c>
      <c r="C2534" s="159" t="str">
        <f t="shared" si="199"/>
        <v>May!$N$1:$N$92</v>
      </c>
      <c r="D2534" s="159" t="str">
        <f t="shared" si="200"/>
        <v>May!$O$1:$O$92</v>
      </c>
      <c r="E2534" t="s">
        <v>6</v>
      </c>
      <c r="F2534" t="s">
        <v>124</v>
      </c>
      <c r="G2534" t="s">
        <v>145</v>
      </c>
      <c r="H2534" t="s">
        <v>20</v>
      </c>
      <c r="I2534" t="e">
        <f t="shared" ca="1" si="196"/>
        <v>#REF!</v>
      </c>
      <c r="J2534" t="str">
        <f>VLOOKUP($G2534,DefinitionArrays!$I$6:$J$12,2,FALSE)</f>
        <v>Weekend</v>
      </c>
    </row>
    <row r="2535" spans="1:10">
      <c r="A2535" s="159" t="str">
        <f t="shared" si="197"/>
        <v>$N$1:$N$92</v>
      </c>
      <c r="B2535" s="159" t="str">
        <f t="shared" si="198"/>
        <v>$O$1:$O$92</v>
      </c>
      <c r="C2535" s="159" t="str">
        <f t="shared" si="199"/>
        <v>May!$N$1:$N$92</v>
      </c>
      <c r="D2535" s="159" t="str">
        <f t="shared" si="200"/>
        <v>May!$O$1:$O$92</v>
      </c>
      <c r="E2535" t="s">
        <v>6</v>
      </c>
      <c r="F2535" t="s">
        <v>124</v>
      </c>
      <c r="G2535" t="s">
        <v>145</v>
      </c>
      <c r="H2535" t="s">
        <v>21</v>
      </c>
      <c r="I2535" t="e">
        <f t="shared" ca="1" si="196"/>
        <v>#REF!</v>
      </c>
      <c r="J2535" t="str">
        <f>VLOOKUP($G2535,DefinitionArrays!$I$6:$J$12,2,FALSE)</f>
        <v>Weekend</v>
      </c>
    </row>
    <row r="2536" spans="1:10">
      <c r="A2536" s="159" t="str">
        <f t="shared" si="197"/>
        <v>$N$1:$N$92</v>
      </c>
      <c r="B2536" s="159" t="str">
        <f t="shared" si="198"/>
        <v>$O$1:$O$92</v>
      </c>
      <c r="C2536" s="159" t="str">
        <f t="shared" si="199"/>
        <v>May!$N$1:$N$92</v>
      </c>
      <c r="D2536" s="159" t="str">
        <f t="shared" si="200"/>
        <v>May!$O$1:$O$92</v>
      </c>
      <c r="E2536" t="s">
        <v>6</v>
      </c>
      <c r="F2536" t="s">
        <v>124</v>
      </c>
      <c r="G2536" t="s">
        <v>145</v>
      </c>
      <c r="H2536" t="s">
        <v>22</v>
      </c>
      <c r="I2536" t="e">
        <f t="shared" ca="1" si="196"/>
        <v>#REF!</v>
      </c>
      <c r="J2536" t="str">
        <f>VLOOKUP($G2536,DefinitionArrays!$I$6:$J$12,2,FALSE)</f>
        <v>Weekend</v>
      </c>
    </row>
    <row r="2537" spans="1:10">
      <c r="A2537" s="159" t="str">
        <f t="shared" si="197"/>
        <v>$N$1:$N$92</v>
      </c>
      <c r="B2537" s="159" t="str">
        <f t="shared" si="198"/>
        <v>$O$1:$O$92</v>
      </c>
      <c r="C2537" s="159" t="str">
        <f t="shared" si="199"/>
        <v>May!$N$1:$N$92</v>
      </c>
      <c r="D2537" s="159" t="str">
        <f t="shared" si="200"/>
        <v>May!$O$1:$O$92</v>
      </c>
      <c r="E2537" t="s">
        <v>6</v>
      </c>
      <c r="F2537" t="s">
        <v>124</v>
      </c>
      <c r="G2537" t="s">
        <v>145</v>
      </c>
      <c r="H2537" t="s">
        <v>23</v>
      </c>
      <c r="I2537" t="e">
        <f t="shared" ca="1" si="196"/>
        <v>#REF!</v>
      </c>
      <c r="J2537" t="str">
        <f>VLOOKUP($G2537,DefinitionArrays!$I$6:$J$12,2,FALSE)</f>
        <v>Weekend</v>
      </c>
    </row>
    <row r="2538" spans="1:10">
      <c r="A2538" s="159" t="str">
        <f t="shared" si="197"/>
        <v>$N$1:$N$92</v>
      </c>
      <c r="B2538" s="159" t="str">
        <f t="shared" si="198"/>
        <v>$O$1:$O$92</v>
      </c>
      <c r="C2538" s="159" t="str">
        <f t="shared" si="199"/>
        <v>May!$N$1:$N$92</v>
      </c>
      <c r="D2538" s="159" t="str">
        <f t="shared" si="200"/>
        <v>May!$O$1:$O$92</v>
      </c>
      <c r="E2538" t="s">
        <v>6</v>
      </c>
      <c r="F2538" t="s">
        <v>124</v>
      </c>
      <c r="G2538" t="s">
        <v>145</v>
      </c>
      <c r="H2538" t="s">
        <v>24</v>
      </c>
      <c r="I2538" t="e">
        <f t="shared" ca="1" si="196"/>
        <v>#REF!</v>
      </c>
      <c r="J2538" t="str">
        <f>VLOOKUP($G2538,DefinitionArrays!$I$6:$J$12,2,FALSE)</f>
        <v>Weekend</v>
      </c>
    </row>
    <row r="2539" spans="1:10">
      <c r="A2539" s="159" t="str">
        <f t="shared" si="197"/>
        <v>$N$1:$N$92</v>
      </c>
      <c r="B2539" s="159" t="str">
        <f t="shared" si="198"/>
        <v>$O$1:$O$92</v>
      </c>
      <c r="C2539" s="159" t="str">
        <f t="shared" si="199"/>
        <v>May!$N$1:$N$92</v>
      </c>
      <c r="D2539" s="159" t="str">
        <f t="shared" si="200"/>
        <v>May!$O$1:$O$92</v>
      </c>
      <c r="E2539" t="s">
        <v>6</v>
      </c>
      <c r="F2539" t="s">
        <v>124</v>
      </c>
      <c r="G2539" t="s">
        <v>145</v>
      </c>
      <c r="H2539" t="s">
        <v>179</v>
      </c>
      <c r="I2539" t="e">
        <f t="shared" ca="1" si="196"/>
        <v>#REF!</v>
      </c>
      <c r="J2539" t="str">
        <f>VLOOKUP($G2539,DefinitionArrays!$I$6:$J$12,2,FALSE)</f>
        <v>Weekend</v>
      </c>
    </row>
    <row r="2540" spans="1:10">
      <c r="A2540" s="159" t="str">
        <f t="shared" si="197"/>
        <v>$N$1:$N$92</v>
      </c>
      <c r="B2540" s="159" t="str">
        <f t="shared" si="198"/>
        <v>$O$1:$O$92</v>
      </c>
      <c r="C2540" s="159" t="str">
        <f t="shared" si="199"/>
        <v>May!$N$1:$N$92</v>
      </c>
      <c r="D2540" s="159" t="str">
        <f t="shared" si="200"/>
        <v>May!$O$1:$O$92</v>
      </c>
      <c r="E2540" t="s">
        <v>6</v>
      </c>
      <c r="F2540" t="s">
        <v>124</v>
      </c>
      <c r="G2540" t="s">
        <v>145</v>
      </c>
      <c r="H2540" t="s">
        <v>180</v>
      </c>
      <c r="I2540" t="e">
        <f t="shared" ca="1" si="196"/>
        <v>#REF!</v>
      </c>
      <c r="J2540" t="str">
        <f>VLOOKUP($G2540,DefinitionArrays!$I$6:$J$12,2,FALSE)</f>
        <v>Weekend</v>
      </c>
    </row>
    <row r="2541" spans="1:10">
      <c r="A2541" s="159" t="str">
        <f t="shared" si="197"/>
        <v>$N$1:$N$92</v>
      </c>
      <c r="B2541" s="159" t="str">
        <f t="shared" si="198"/>
        <v>$O$1:$O$92</v>
      </c>
      <c r="C2541" s="159" t="str">
        <f t="shared" si="199"/>
        <v>May!$N$1:$N$92</v>
      </c>
      <c r="D2541" s="159" t="str">
        <f t="shared" si="200"/>
        <v>May!$O$1:$O$92</v>
      </c>
      <c r="E2541" t="s">
        <v>6</v>
      </c>
      <c r="F2541" t="s">
        <v>124</v>
      </c>
      <c r="G2541" t="s">
        <v>145</v>
      </c>
      <c r="H2541" t="s">
        <v>44</v>
      </c>
      <c r="I2541" t="e">
        <f t="shared" ca="1" si="196"/>
        <v>#REF!</v>
      </c>
      <c r="J2541" t="str">
        <f>VLOOKUP($G2541,DefinitionArrays!$I$6:$J$12,2,FALSE)</f>
        <v>Weekend</v>
      </c>
    </row>
    <row r="2542" spans="1:10">
      <c r="A2542" s="159" t="str">
        <f t="shared" si="197"/>
        <v>$Q$1:$Q$92</v>
      </c>
      <c r="B2542" s="159" t="str">
        <f t="shared" si="198"/>
        <v>$R$1:$R$92</v>
      </c>
      <c r="C2542" s="159" t="str">
        <f t="shared" si="199"/>
        <v>May!$Q$1:$Q$92</v>
      </c>
      <c r="D2542" s="159" t="str">
        <f t="shared" si="200"/>
        <v>May!$R$1:$R$92</v>
      </c>
      <c r="E2542" t="s">
        <v>6</v>
      </c>
      <c r="F2542" t="s">
        <v>124</v>
      </c>
      <c r="G2542" t="s">
        <v>146</v>
      </c>
      <c r="H2542" t="s">
        <v>159</v>
      </c>
      <c r="I2542" t="e">
        <f t="shared" ca="1" si="196"/>
        <v>#REF!</v>
      </c>
      <c r="J2542" t="str">
        <f>VLOOKUP($G2542,DefinitionArrays!$I$6:$J$12,2,FALSE)</f>
        <v>Weekend</v>
      </c>
    </row>
    <row r="2543" spans="1:10">
      <c r="A2543" s="159" t="str">
        <f t="shared" si="197"/>
        <v>$T$1:$T$92</v>
      </c>
      <c r="B2543" s="159" t="str">
        <f t="shared" si="198"/>
        <v>$U$1:$U$92</v>
      </c>
      <c r="C2543" s="159" t="str">
        <f t="shared" si="199"/>
        <v>May!$T$1:$T$92</v>
      </c>
      <c r="D2543" s="159" t="str">
        <f t="shared" si="200"/>
        <v>May!$U$1:$U$92</v>
      </c>
      <c r="E2543" t="s">
        <v>6</v>
      </c>
      <c r="F2543" t="s">
        <v>124</v>
      </c>
      <c r="G2543" t="s">
        <v>141</v>
      </c>
      <c r="H2543" t="s">
        <v>159</v>
      </c>
      <c r="I2543" t="e">
        <f t="shared" ca="1" si="196"/>
        <v>#REF!</v>
      </c>
      <c r="J2543" t="str">
        <f>VLOOKUP($G2543,DefinitionArrays!$I$6:$J$12,2,FALSE)</f>
        <v>Weekend</v>
      </c>
    </row>
    <row r="2544" spans="1:10">
      <c r="A2544" s="159" t="str">
        <f t="shared" si="197"/>
        <v>$B$1:$B$92</v>
      </c>
      <c r="B2544" s="159" t="str">
        <f t="shared" si="198"/>
        <v>$C$1:$C$92</v>
      </c>
      <c r="C2544" s="159" t="str">
        <f t="shared" si="199"/>
        <v>June!$B$1:$B$92</v>
      </c>
      <c r="D2544" s="159" t="str">
        <f t="shared" si="200"/>
        <v>June!$C$1:$C$92</v>
      </c>
      <c r="E2544" t="s">
        <v>6</v>
      </c>
      <c r="F2544" t="s">
        <v>125</v>
      </c>
      <c r="G2544" t="s">
        <v>13</v>
      </c>
      <c r="H2544" t="s">
        <v>159</v>
      </c>
      <c r="I2544" t="e">
        <f ca="1">COUNTIFS(INDIRECT($C2544),$E2544,INDIRECT($D2544),$H2544)</f>
        <v>#REF!</v>
      </c>
      <c r="J2544" t="str">
        <f>VLOOKUP($G2544,DefinitionArrays!$I$6:$J$12,2,FALSE)</f>
        <v>Workweek</v>
      </c>
    </row>
    <row r="2545" spans="1:10">
      <c r="A2545" s="159" t="str">
        <f t="shared" si="197"/>
        <v>$B$1:$B$92</v>
      </c>
      <c r="B2545" s="159" t="str">
        <f t="shared" si="198"/>
        <v>$C$1:$C$92</v>
      </c>
      <c r="C2545" s="159" t="str">
        <f t="shared" si="199"/>
        <v>June!$B$1:$B$92</v>
      </c>
      <c r="D2545" s="159" t="str">
        <f t="shared" si="200"/>
        <v>June!$C$1:$C$92</v>
      </c>
      <c r="E2545" t="s">
        <v>6</v>
      </c>
      <c r="F2545" t="s">
        <v>125</v>
      </c>
      <c r="G2545" t="s">
        <v>13</v>
      </c>
      <c r="H2545" t="s">
        <v>18</v>
      </c>
      <c r="I2545" t="e">
        <f t="shared" ref="I2545:I2605" ca="1" si="201">COUNTIFS(INDIRECT($C2545),$E2545,INDIRECT($D2545),$H2545)</f>
        <v>#REF!</v>
      </c>
      <c r="J2545" t="str">
        <f>VLOOKUP($G2545,DefinitionArrays!$I$6:$J$12,2,FALSE)</f>
        <v>Workweek</v>
      </c>
    </row>
    <row r="2546" spans="1:10">
      <c r="A2546" s="159" t="str">
        <f t="shared" si="197"/>
        <v>$B$1:$B$92</v>
      </c>
      <c r="B2546" s="159" t="str">
        <f t="shared" si="198"/>
        <v>$C$1:$C$92</v>
      </c>
      <c r="C2546" s="159" t="str">
        <f t="shared" si="199"/>
        <v>June!$B$1:$B$92</v>
      </c>
      <c r="D2546" s="159" t="str">
        <f t="shared" si="200"/>
        <v>June!$C$1:$C$92</v>
      </c>
      <c r="E2546" t="s">
        <v>6</v>
      </c>
      <c r="F2546" t="s">
        <v>125</v>
      </c>
      <c r="G2546" t="s">
        <v>13</v>
      </c>
      <c r="H2546" t="s">
        <v>153</v>
      </c>
      <c r="I2546" t="e">
        <f t="shared" ca="1" si="201"/>
        <v>#REF!</v>
      </c>
      <c r="J2546" t="str">
        <f>VLOOKUP($G2546,DefinitionArrays!$I$6:$J$12,2,FALSE)</f>
        <v>Workweek</v>
      </c>
    </row>
    <row r="2547" spans="1:10">
      <c r="A2547" s="159" t="str">
        <f t="shared" si="197"/>
        <v>$B$1:$B$92</v>
      </c>
      <c r="B2547" s="159" t="str">
        <f t="shared" si="198"/>
        <v>$C$1:$C$92</v>
      </c>
      <c r="C2547" s="159" t="str">
        <f t="shared" si="199"/>
        <v>June!$B$1:$B$92</v>
      </c>
      <c r="D2547" s="159" t="str">
        <f t="shared" si="200"/>
        <v>June!$C$1:$C$92</v>
      </c>
      <c r="E2547" t="s">
        <v>6</v>
      </c>
      <c r="F2547" t="s">
        <v>125</v>
      </c>
      <c r="G2547" t="s">
        <v>13</v>
      </c>
      <c r="H2547" t="s">
        <v>19</v>
      </c>
      <c r="I2547" t="e">
        <f t="shared" ca="1" si="201"/>
        <v>#REF!</v>
      </c>
      <c r="J2547" t="str">
        <f>VLOOKUP($G2547,DefinitionArrays!$I$6:$J$12,2,FALSE)</f>
        <v>Workweek</v>
      </c>
    </row>
    <row r="2548" spans="1:10">
      <c r="A2548" s="159" t="str">
        <f t="shared" si="197"/>
        <v>$B$1:$B$92</v>
      </c>
      <c r="B2548" s="159" t="str">
        <f t="shared" si="198"/>
        <v>$C$1:$C$92</v>
      </c>
      <c r="C2548" s="159" t="str">
        <f t="shared" si="199"/>
        <v>June!$B$1:$B$92</v>
      </c>
      <c r="D2548" s="159" t="str">
        <f t="shared" si="200"/>
        <v>June!$C$1:$C$92</v>
      </c>
      <c r="E2548" t="s">
        <v>6</v>
      </c>
      <c r="F2548" t="s">
        <v>125</v>
      </c>
      <c r="G2548" t="s">
        <v>13</v>
      </c>
      <c r="H2548" t="s">
        <v>20</v>
      </c>
      <c r="I2548" t="e">
        <f t="shared" ca="1" si="201"/>
        <v>#REF!</v>
      </c>
      <c r="J2548" t="str">
        <f>VLOOKUP($G2548,DefinitionArrays!$I$6:$J$12,2,FALSE)</f>
        <v>Workweek</v>
      </c>
    </row>
    <row r="2549" spans="1:10">
      <c r="A2549" s="159" t="str">
        <f t="shared" si="197"/>
        <v>$B$1:$B$92</v>
      </c>
      <c r="B2549" s="159" t="str">
        <f t="shared" si="198"/>
        <v>$C$1:$C$92</v>
      </c>
      <c r="C2549" s="159" t="str">
        <f t="shared" si="199"/>
        <v>June!$B$1:$B$92</v>
      </c>
      <c r="D2549" s="159" t="str">
        <f t="shared" si="200"/>
        <v>June!$C$1:$C$92</v>
      </c>
      <c r="E2549" t="s">
        <v>6</v>
      </c>
      <c r="F2549" t="s">
        <v>125</v>
      </c>
      <c r="G2549" t="s">
        <v>13</v>
      </c>
      <c r="H2549" t="s">
        <v>21</v>
      </c>
      <c r="I2549" t="e">
        <f t="shared" ca="1" si="201"/>
        <v>#REF!</v>
      </c>
      <c r="J2549" t="str">
        <f>VLOOKUP($G2549,DefinitionArrays!$I$6:$J$12,2,FALSE)</f>
        <v>Workweek</v>
      </c>
    </row>
    <row r="2550" spans="1:10">
      <c r="A2550" s="159" t="str">
        <f t="shared" si="197"/>
        <v>$B$1:$B$92</v>
      </c>
      <c r="B2550" s="159" t="str">
        <f t="shared" si="198"/>
        <v>$C$1:$C$92</v>
      </c>
      <c r="C2550" s="159" t="str">
        <f t="shared" si="199"/>
        <v>June!$B$1:$B$92</v>
      </c>
      <c r="D2550" s="159" t="str">
        <f t="shared" si="200"/>
        <v>June!$C$1:$C$92</v>
      </c>
      <c r="E2550" t="s">
        <v>6</v>
      </c>
      <c r="F2550" t="s">
        <v>125</v>
      </c>
      <c r="G2550" t="s">
        <v>13</v>
      </c>
      <c r="H2550" t="s">
        <v>22</v>
      </c>
      <c r="I2550" t="e">
        <f t="shared" ca="1" si="201"/>
        <v>#REF!</v>
      </c>
      <c r="J2550" t="str">
        <f>VLOOKUP($G2550,DefinitionArrays!$I$6:$J$12,2,FALSE)</f>
        <v>Workweek</v>
      </c>
    </row>
    <row r="2551" spans="1:10">
      <c r="A2551" s="159" t="str">
        <f t="shared" si="197"/>
        <v>$B$1:$B$92</v>
      </c>
      <c r="B2551" s="159" t="str">
        <f t="shared" si="198"/>
        <v>$C$1:$C$92</v>
      </c>
      <c r="C2551" s="159" t="str">
        <f t="shared" si="199"/>
        <v>June!$B$1:$B$92</v>
      </c>
      <c r="D2551" s="159" t="str">
        <f t="shared" si="200"/>
        <v>June!$C$1:$C$92</v>
      </c>
      <c r="E2551" t="s">
        <v>6</v>
      </c>
      <c r="F2551" t="s">
        <v>125</v>
      </c>
      <c r="G2551" t="s">
        <v>13</v>
      </c>
      <c r="H2551" t="s">
        <v>23</v>
      </c>
      <c r="I2551" t="e">
        <f t="shared" ca="1" si="201"/>
        <v>#REF!</v>
      </c>
      <c r="J2551" t="str">
        <f>VLOOKUP($G2551,DefinitionArrays!$I$6:$J$12,2,FALSE)</f>
        <v>Workweek</v>
      </c>
    </row>
    <row r="2552" spans="1:10">
      <c r="A2552" s="159" t="str">
        <f t="shared" si="197"/>
        <v>$B$1:$B$92</v>
      </c>
      <c r="B2552" s="159" t="str">
        <f t="shared" si="198"/>
        <v>$C$1:$C$92</v>
      </c>
      <c r="C2552" s="159" t="str">
        <f t="shared" si="199"/>
        <v>June!$B$1:$B$92</v>
      </c>
      <c r="D2552" s="159" t="str">
        <f t="shared" si="200"/>
        <v>June!$C$1:$C$92</v>
      </c>
      <c r="E2552" t="s">
        <v>6</v>
      </c>
      <c r="F2552" t="s">
        <v>125</v>
      </c>
      <c r="G2552" t="s">
        <v>13</v>
      </c>
      <c r="H2552" t="s">
        <v>24</v>
      </c>
      <c r="I2552" t="e">
        <f t="shared" ca="1" si="201"/>
        <v>#REF!</v>
      </c>
      <c r="J2552" t="str">
        <f>VLOOKUP($G2552,DefinitionArrays!$I$6:$J$12,2,FALSE)</f>
        <v>Workweek</v>
      </c>
    </row>
    <row r="2553" spans="1:10">
      <c r="A2553" s="159" t="str">
        <f t="shared" si="197"/>
        <v>$B$1:$B$92</v>
      </c>
      <c r="B2553" s="159" t="str">
        <f t="shared" si="198"/>
        <v>$C$1:$C$92</v>
      </c>
      <c r="C2553" s="159" t="str">
        <f t="shared" si="199"/>
        <v>June!$B$1:$B$92</v>
      </c>
      <c r="D2553" s="159" t="str">
        <f t="shared" si="200"/>
        <v>June!$C$1:$C$92</v>
      </c>
      <c r="E2553" t="s">
        <v>6</v>
      </c>
      <c r="F2553" t="s">
        <v>125</v>
      </c>
      <c r="G2553" t="s">
        <v>13</v>
      </c>
      <c r="H2553" t="s">
        <v>179</v>
      </c>
      <c r="I2553" t="e">
        <f t="shared" ca="1" si="201"/>
        <v>#REF!</v>
      </c>
      <c r="J2553" t="str">
        <f>VLOOKUP($G2553,DefinitionArrays!$I$6:$J$12,2,FALSE)</f>
        <v>Workweek</v>
      </c>
    </row>
    <row r="2554" spans="1:10">
      <c r="A2554" s="159" t="str">
        <f t="shared" si="197"/>
        <v>$B$1:$B$92</v>
      </c>
      <c r="B2554" s="159" t="str">
        <f t="shared" si="198"/>
        <v>$C$1:$C$92</v>
      </c>
      <c r="C2554" s="159" t="str">
        <f t="shared" si="199"/>
        <v>June!$B$1:$B$92</v>
      </c>
      <c r="D2554" s="159" t="str">
        <f t="shared" si="200"/>
        <v>June!$C$1:$C$92</v>
      </c>
      <c r="E2554" t="s">
        <v>6</v>
      </c>
      <c r="F2554" t="s">
        <v>125</v>
      </c>
      <c r="G2554" t="s">
        <v>13</v>
      </c>
      <c r="H2554" t="s">
        <v>180</v>
      </c>
      <c r="I2554" t="e">
        <f t="shared" ca="1" si="201"/>
        <v>#REF!</v>
      </c>
      <c r="J2554" t="str">
        <f>VLOOKUP($G2554,DefinitionArrays!$I$6:$J$12,2,FALSE)</f>
        <v>Workweek</v>
      </c>
    </row>
    <row r="2555" spans="1:10">
      <c r="A2555" s="159" t="str">
        <f t="shared" si="197"/>
        <v>$B$1:$B$92</v>
      </c>
      <c r="B2555" s="159" t="str">
        <f t="shared" si="198"/>
        <v>$C$1:$C$92</v>
      </c>
      <c r="C2555" s="159" t="str">
        <f t="shared" si="199"/>
        <v>June!$B$1:$B$92</v>
      </c>
      <c r="D2555" s="159" t="str">
        <f t="shared" si="200"/>
        <v>June!$C$1:$C$92</v>
      </c>
      <c r="E2555" t="s">
        <v>6</v>
      </c>
      <c r="F2555" t="s">
        <v>125</v>
      </c>
      <c r="G2555" t="s">
        <v>13</v>
      </c>
      <c r="H2555" t="s">
        <v>44</v>
      </c>
      <c r="I2555" t="e">
        <f t="shared" ca="1" si="201"/>
        <v>#REF!</v>
      </c>
      <c r="J2555" t="str">
        <f>VLOOKUP($G2555,DefinitionArrays!$I$6:$J$12,2,FALSE)</f>
        <v>Workweek</v>
      </c>
    </row>
    <row r="2556" spans="1:10">
      <c r="A2556" s="159" t="str">
        <f t="shared" si="197"/>
        <v>$E$1:$E$92</v>
      </c>
      <c r="B2556" s="159" t="str">
        <f t="shared" si="198"/>
        <v>$F$1:$F$92</v>
      </c>
      <c r="C2556" s="159" t="str">
        <f t="shared" si="199"/>
        <v>June!$E$1:$E$92</v>
      </c>
      <c r="D2556" s="159" t="str">
        <f t="shared" si="200"/>
        <v>June!$F$1:$F$92</v>
      </c>
      <c r="E2556" t="s">
        <v>6</v>
      </c>
      <c r="F2556" t="s">
        <v>125</v>
      </c>
      <c r="G2556" t="s">
        <v>142</v>
      </c>
      <c r="H2556" t="s">
        <v>159</v>
      </c>
      <c r="I2556" t="e">
        <f t="shared" ca="1" si="201"/>
        <v>#REF!</v>
      </c>
      <c r="J2556" t="str">
        <f>VLOOKUP($G2556,DefinitionArrays!$I$6:$J$12,2,FALSE)</f>
        <v>Workweek</v>
      </c>
    </row>
    <row r="2557" spans="1:10">
      <c r="A2557" s="159" t="str">
        <f t="shared" si="197"/>
        <v>$E$1:$E$92</v>
      </c>
      <c r="B2557" s="159" t="str">
        <f t="shared" si="198"/>
        <v>$F$1:$F$92</v>
      </c>
      <c r="C2557" s="159" t="str">
        <f t="shared" si="199"/>
        <v>June!$E$1:$E$92</v>
      </c>
      <c r="D2557" s="159" t="str">
        <f t="shared" si="200"/>
        <v>June!$F$1:$F$92</v>
      </c>
      <c r="E2557" t="s">
        <v>6</v>
      </c>
      <c r="F2557" t="s">
        <v>125</v>
      </c>
      <c r="G2557" t="s">
        <v>142</v>
      </c>
      <c r="H2557" t="s">
        <v>18</v>
      </c>
      <c r="I2557" t="e">
        <f t="shared" ca="1" si="201"/>
        <v>#REF!</v>
      </c>
      <c r="J2557" t="str">
        <f>VLOOKUP($G2557,DefinitionArrays!$I$6:$J$12,2,FALSE)</f>
        <v>Workweek</v>
      </c>
    </row>
    <row r="2558" spans="1:10">
      <c r="A2558" s="159" t="str">
        <f t="shared" si="197"/>
        <v>$E$1:$E$92</v>
      </c>
      <c r="B2558" s="159" t="str">
        <f t="shared" si="198"/>
        <v>$F$1:$F$92</v>
      </c>
      <c r="C2558" s="159" t="str">
        <f t="shared" si="199"/>
        <v>June!$E$1:$E$92</v>
      </c>
      <c r="D2558" s="159" t="str">
        <f t="shared" si="200"/>
        <v>June!$F$1:$F$92</v>
      </c>
      <c r="E2558" t="s">
        <v>6</v>
      </c>
      <c r="F2558" t="s">
        <v>125</v>
      </c>
      <c r="G2558" t="s">
        <v>142</v>
      </c>
      <c r="H2558" t="s">
        <v>153</v>
      </c>
      <c r="I2558" t="e">
        <f t="shared" ca="1" si="201"/>
        <v>#REF!</v>
      </c>
      <c r="J2558" t="str">
        <f>VLOOKUP($G2558,DefinitionArrays!$I$6:$J$12,2,FALSE)</f>
        <v>Workweek</v>
      </c>
    </row>
    <row r="2559" spans="1:10">
      <c r="A2559" s="159" t="str">
        <f t="shared" si="197"/>
        <v>$E$1:$E$92</v>
      </c>
      <c r="B2559" s="159" t="str">
        <f t="shared" si="198"/>
        <v>$F$1:$F$92</v>
      </c>
      <c r="C2559" s="159" t="str">
        <f t="shared" si="199"/>
        <v>June!$E$1:$E$92</v>
      </c>
      <c r="D2559" s="159" t="str">
        <f t="shared" si="200"/>
        <v>June!$F$1:$F$92</v>
      </c>
      <c r="E2559" t="s">
        <v>6</v>
      </c>
      <c r="F2559" t="s">
        <v>125</v>
      </c>
      <c r="G2559" t="s">
        <v>142</v>
      </c>
      <c r="H2559" t="s">
        <v>19</v>
      </c>
      <c r="I2559" t="e">
        <f t="shared" ca="1" si="201"/>
        <v>#REF!</v>
      </c>
      <c r="J2559" t="str">
        <f>VLOOKUP($G2559,DefinitionArrays!$I$6:$J$12,2,FALSE)</f>
        <v>Workweek</v>
      </c>
    </row>
    <row r="2560" spans="1:10">
      <c r="A2560" s="159" t="str">
        <f t="shared" si="197"/>
        <v>$E$1:$E$92</v>
      </c>
      <c r="B2560" s="159" t="str">
        <f t="shared" si="198"/>
        <v>$F$1:$F$92</v>
      </c>
      <c r="C2560" s="159" t="str">
        <f t="shared" si="199"/>
        <v>June!$E$1:$E$92</v>
      </c>
      <c r="D2560" s="159" t="str">
        <f t="shared" si="200"/>
        <v>June!$F$1:$F$92</v>
      </c>
      <c r="E2560" t="s">
        <v>6</v>
      </c>
      <c r="F2560" t="s">
        <v>125</v>
      </c>
      <c r="G2560" t="s">
        <v>142</v>
      </c>
      <c r="H2560" t="s">
        <v>20</v>
      </c>
      <c r="I2560" t="e">
        <f t="shared" ca="1" si="201"/>
        <v>#REF!</v>
      </c>
      <c r="J2560" t="str">
        <f>VLOOKUP($G2560,DefinitionArrays!$I$6:$J$12,2,FALSE)</f>
        <v>Workweek</v>
      </c>
    </row>
    <row r="2561" spans="1:10">
      <c r="A2561" s="159" t="str">
        <f t="shared" si="197"/>
        <v>$E$1:$E$92</v>
      </c>
      <c r="B2561" s="159" t="str">
        <f t="shared" si="198"/>
        <v>$F$1:$F$92</v>
      </c>
      <c r="C2561" s="159" t="str">
        <f t="shared" si="199"/>
        <v>June!$E$1:$E$92</v>
      </c>
      <c r="D2561" s="159" t="str">
        <f t="shared" si="200"/>
        <v>June!$F$1:$F$92</v>
      </c>
      <c r="E2561" t="s">
        <v>6</v>
      </c>
      <c r="F2561" t="s">
        <v>125</v>
      </c>
      <c r="G2561" t="s">
        <v>142</v>
      </c>
      <c r="H2561" t="s">
        <v>21</v>
      </c>
      <c r="I2561" t="e">
        <f t="shared" ca="1" si="201"/>
        <v>#REF!</v>
      </c>
      <c r="J2561" t="str">
        <f>VLOOKUP($G2561,DefinitionArrays!$I$6:$J$12,2,FALSE)</f>
        <v>Workweek</v>
      </c>
    </row>
    <row r="2562" spans="1:10">
      <c r="A2562" s="159" t="str">
        <f t="shared" ref="A2562:A2625" si="202">VLOOKUP($G2562,Fx_Code,2,FALSE)</f>
        <v>$E$1:$E$92</v>
      </c>
      <c r="B2562" s="159" t="str">
        <f t="shared" ref="B2562:B2625" si="203">VLOOKUP($G2562,Fx_Code,3,FALSE)</f>
        <v>$F$1:$F$92</v>
      </c>
      <c r="C2562" s="159" t="str">
        <f t="shared" ref="C2562:C2625" si="204">CONCATENATE($F2562,$K$1,A2562)</f>
        <v>June!$E$1:$E$92</v>
      </c>
      <c r="D2562" s="159" t="str">
        <f t="shared" ref="D2562:D2625" si="205">CONCATENATE($F2562,$K$1,B2562)</f>
        <v>June!$F$1:$F$92</v>
      </c>
      <c r="E2562" t="s">
        <v>6</v>
      </c>
      <c r="F2562" t="s">
        <v>125</v>
      </c>
      <c r="G2562" t="s">
        <v>142</v>
      </c>
      <c r="H2562" t="s">
        <v>22</v>
      </c>
      <c r="I2562" t="e">
        <f t="shared" ca="1" si="201"/>
        <v>#REF!</v>
      </c>
      <c r="J2562" t="str">
        <f>VLOOKUP($G2562,DefinitionArrays!$I$6:$J$12,2,FALSE)</f>
        <v>Workweek</v>
      </c>
    </row>
    <row r="2563" spans="1:10">
      <c r="A2563" s="159" t="str">
        <f t="shared" si="202"/>
        <v>$E$1:$E$92</v>
      </c>
      <c r="B2563" s="159" t="str">
        <f t="shared" si="203"/>
        <v>$F$1:$F$92</v>
      </c>
      <c r="C2563" s="159" t="str">
        <f t="shared" si="204"/>
        <v>June!$E$1:$E$92</v>
      </c>
      <c r="D2563" s="159" t="str">
        <f t="shared" si="205"/>
        <v>June!$F$1:$F$92</v>
      </c>
      <c r="E2563" t="s">
        <v>6</v>
      </c>
      <c r="F2563" t="s">
        <v>125</v>
      </c>
      <c r="G2563" t="s">
        <v>142</v>
      </c>
      <c r="H2563" t="s">
        <v>23</v>
      </c>
      <c r="I2563" t="e">
        <f t="shared" ca="1" si="201"/>
        <v>#REF!</v>
      </c>
      <c r="J2563" t="str">
        <f>VLOOKUP($G2563,DefinitionArrays!$I$6:$J$12,2,FALSE)</f>
        <v>Workweek</v>
      </c>
    </row>
    <row r="2564" spans="1:10">
      <c r="A2564" s="159" t="str">
        <f t="shared" si="202"/>
        <v>$E$1:$E$92</v>
      </c>
      <c r="B2564" s="159" t="str">
        <f t="shared" si="203"/>
        <v>$F$1:$F$92</v>
      </c>
      <c r="C2564" s="159" t="str">
        <f t="shared" si="204"/>
        <v>June!$E$1:$E$92</v>
      </c>
      <c r="D2564" s="159" t="str">
        <f t="shared" si="205"/>
        <v>June!$F$1:$F$92</v>
      </c>
      <c r="E2564" t="s">
        <v>6</v>
      </c>
      <c r="F2564" t="s">
        <v>125</v>
      </c>
      <c r="G2564" t="s">
        <v>142</v>
      </c>
      <c r="H2564" t="s">
        <v>24</v>
      </c>
      <c r="I2564" t="e">
        <f t="shared" ca="1" si="201"/>
        <v>#REF!</v>
      </c>
      <c r="J2564" t="str">
        <f>VLOOKUP($G2564,DefinitionArrays!$I$6:$J$12,2,FALSE)</f>
        <v>Workweek</v>
      </c>
    </row>
    <row r="2565" spans="1:10">
      <c r="A2565" s="159" t="str">
        <f t="shared" si="202"/>
        <v>$E$1:$E$92</v>
      </c>
      <c r="B2565" s="159" t="str">
        <f t="shared" si="203"/>
        <v>$F$1:$F$92</v>
      </c>
      <c r="C2565" s="159" t="str">
        <f t="shared" si="204"/>
        <v>June!$E$1:$E$92</v>
      </c>
      <c r="D2565" s="159" t="str">
        <f t="shared" si="205"/>
        <v>June!$F$1:$F$92</v>
      </c>
      <c r="E2565" t="s">
        <v>6</v>
      </c>
      <c r="F2565" t="s">
        <v>125</v>
      </c>
      <c r="G2565" t="s">
        <v>142</v>
      </c>
      <c r="H2565" t="s">
        <v>179</v>
      </c>
      <c r="I2565" t="e">
        <f t="shared" ca="1" si="201"/>
        <v>#REF!</v>
      </c>
      <c r="J2565" t="str">
        <f>VLOOKUP($G2565,DefinitionArrays!$I$6:$J$12,2,FALSE)</f>
        <v>Workweek</v>
      </c>
    </row>
    <row r="2566" spans="1:10">
      <c r="A2566" s="159" t="str">
        <f t="shared" si="202"/>
        <v>$E$1:$E$92</v>
      </c>
      <c r="B2566" s="159" t="str">
        <f t="shared" si="203"/>
        <v>$F$1:$F$92</v>
      </c>
      <c r="C2566" s="159" t="str">
        <f t="shared" si="204"/>
        <v>June!$E$1:$E$92</v>
      </c>
      <c r="D2566" s="159" t="str">
        <f t="shared" si="205"/>
        <v>June!$F$1:$F$92</v>
      </c>
      <c r="E2566" t="s">
        <v>6</v>
      </c>
      <c r="F2566" t="s">
        <v>125</v>
      </c>
      <c r="G2566" t="s">
        <v>142</v>
      </c>
      <c r="H2566" t="s">
        <v>180</v>
      </c>
      <c r="I2566" t="e">
        <f t="shared" ca="1" si="201"/>
        <v>#REF!</v>
      </c>
      <c r="J2566" t="str">
        <f>VLOOKUP($G2566,DefinitionArrays!$I$6:$J$12,2,FALSE)</f>
        <v>Workweek</v>
      </c>
    </row>
    <row r="2567" spans="1:10">
      <c r="A2567" s="159" t="str">
        <f t="shared" si="202"/>
        <v>$E$1:$E$92</v>
      </c>
      <c r="B2567" s="159" t="str">
        <f t="shared" si="203"/>
        <v>$F$1:$F$92</v>
      </c>
      <c r="C2567" s="159" t="str">
        <f t="shared" si="204"/>
        <v>June!$E$1:$E$92</v>
      </c>
      <c r="D2567" s="159" t="str">
        <f t="shared" si="205"/>
        <v>June!$F$1:$F$92</v>
      </c>
      <c r="E2567" t="s">
        <v>6</v>
      </c>
      <c r="F2567" t="s">
        <v>125</v>
      </c>
      <c r="G2567" t="s">
        <v>142</v>
      </c>
      <c r="H2567" t="s">
        <v>44</v>
      </c>
      <c r="I2567" t="e">
        <f t="shared" ca="1" si="201"/>
        <v>#REF!</v>
      </c>
      <c r="J2567" t="str">
        <f>VLOOKUP($G2567,DefinitionArrays!$I$6:$J$12,2,FALSE)</f>
        <v>Workweek</v>
      </c>
    </row>
    <row r="2568" spans="1:10">
      <c r="A2568" s="159" t="str">
        <f t="shared" si="202"/>
        <v>$H$1:$H$92</v>
      </c>
      <c r="B2568" s="159" t="str">
        <f t="shared" si="203"/>
        <v>$I$1:$I$92</v>
      </c>
      <c r="C2568" s="159" t="str">
        <f t="shared" si="204"/>
        <v>June!$H$1:$H$92</v>
      </c>
      <c r="D2568" s="159" t="str">
        <f t="shared" si="205"/>
        <v>June!$I$1:$I$92</v>
      </c>
      <c r="E2568" t="s">
        <v>6</v>
      </c>
      <c r="F2568" t="s">
        <v>125</v>
      </c>
      <c r="G2568" t="s">
        <v>143</v>
      </c>
      <c r="H2568" t="s">
        <v>159</v>
      </c>
      <c r="I2568" t="e">
        <f t="shared" ca="1" si="201"/>
        <v>#REF!</v>
      </c>
      <c r="J2568" t="str">
        <f>VLOOKUP($G2568,DefinitionArrays!$I$6:$J$12,2,FALSE)</f>
        <v>Workweek</v>
      </c>
    </row>
    <row r="2569" spans="1:10">
      <c r="A2569" s="159" t="str">
        <f t="shared" si="202"/>
        <v>$H$1:$H$92</v>
      </c>
      <c r="B2569" s="159" t="str">
        <f t="shared" si="203"/>
        <v>$I$1:$I$92</v>
      </c>
      <c r="C2569" s="159" t="str">
        <f t="shared" si="204"/>
        <v>June!$H$1:$H$92</v>
      </c>
      <c r="D2569" s="159" t="str">
        <f t="shared" si="205"/>
        <v>June!$I$1:$I$92</v>
      </c>
      <c r="E2569" t="s">
        <v>6</v>
      </c>
      <c r="F2569" t="s">
        <v>125</v>
      </c>
      <c r="G2569" t="s">
        <v>143</v>
      </c>
      <c r="H2569" t="s">
        <v>18</v>
      </c>
      <c r="I2569" t="e">
        <f t="shared" ca="1" si="201"/>
        <v>#REF!</v>
      </c>
      <c r="J2569" t="str">
        <f>VLOOKUP($G2569,DefinitionArrays!$I$6:$J$12,2,FALSE)</f>
        <v>Workweek</v>
      </c>
    </row>
    <row r="2570" spans="1:10">
      <c r="A2570" s="159" t="str">
        <f t="shared" si="202"/>
        <v>$H$1:$H$92</v>
      </c>
      <c r="B2570" s="159" t="str">
        <f t="shared" si="203"/>
        <v>$I$1:$I$92</v>
      </c>
      <c r="C2570" s="159" t="str">
        <f t="shared" si="204"/>
        <v>June!$H$1:$H$92</v>
      </c>
      <c r="D2570" s="159" t="str">
        <f t="shared" si="205"/>
        <v>June!$I$1:$I$92</v>
      </c>
      <c r="E2570" t="s">
        <v>6</v>
      </c>
      <c r="F2570" t="s">
        <v>125</v>
      </c>
      <c r="G2570" t="s">
        <v>143</v>
      </c>
      <c r="H2570" t="s">
        <v>153</v>
      </c>
      <c r="I2570" t="e">
        <f t="shared" ca="1" si="201"/>
        <v>#REF!</v>
      </c>
      <c r="J2570" t="str">
        <f>VLOOKUP($G2570,DefinitionArrays!$I$6:$J$12,2,FALSE)</f>
        <v>Workweek</v>
      </c>
    </row>
    <row r="2571" spans="1:10">
      <c r="A2571" s="159" t="str">
        <f t="shared" si="202"/>
        <v>$H$1:$H$92</v>
      </c>
      <c r="B2571" s="159" t="str">
        <f t="shared" si="203"/>
        <v>$I$1:$I$92</v>
      </c>
      <c r="C2571" s="159" t="str">
        <f t="shared" si="204"/>
        <v>June!$H$1:$H$92</v>
      </c>
      <c r="D2571" s="159" t="str">
        <f t="shared" si="205"/>
        <v>June!$I$1:$I$92</v>
      </c>
      <c r="E2571" t="s">
        <v>6</v>
      </c>
      <c r="F2571" t="s">
        <v>125</v>
      </c>
      <c r="G2571" t="s">
        <v>143</v>
      </c>
      <c r="H2571" t="s">
        <v>19</v>
      </c>
      <c r="I2571" t="e">
        <f t="shared" ca="1" si="201"/>
        <v>#REF!</v>
      </c>
      <c r="J2571" t="str">
        <f>VLOOKUP($G2571,DefinitionArrays!$I$6:$J$12,2,FALSE)</f>
        <v>Workweek</v>
      </c>
    </row>
    <row r="2572" spans="1:10">
      <c r="A2572" s="159" t="str">
        <f t="shared" si="202"/>
        <v>$H$1:$H$92</v>
      </c>
      <c r="B2572" s="159" t="str">
        <f t="shared" si="203"/>
        <v>$I$1:$I$92</v>
      </c>
      <c r="C2572" s="159" t="str">
        <f t="shared" si="204"/>
        <v>June!$H$1:$H$92</v>
      </c>
      <c r="D2572" s="159" t="str">
        <f t="shared" si="205"/>
        <v>June!$I$1:$I$92</v>
      </c>
      <c r="E2572" t="s">
        <v>6</v>
      </c>
      <c r="F2572" t="s">
        <v>125</v>
      </c>
      <c r="G2572" t="s">
        <v>143</v>
      </c>
      <c r="H2572" t="s">
        <v>20</v>
      </c>
      <c r="I2572" t="e">
        <f t="shared" ca="1" si="201"/>
        <v>#REF!</v>
      </c>
      <c r="J2572" t="str">
        <f>VLOOKUP($G2572,DefinitionArrays!$I$6:$J$12,2,FALSE)</f>
        <v>Workweek</v>
      </c>
    </row>
    <row r="2573" spans="1:10">
      <c r="A2573" s="159" t="str">
        <f t="shared" si="202"/>
        <v>$H$1:$H$92</v>
      </c>
      <c r="B2573" s="159" t="str">
        <f t="shared" si="203"/>
        <v>$I$1:$I$92</v>
      </c>
      <c r="C2573" s="159" t="str">
        <f t="shared" si="204"/>
        <v>June!$H$1:$H$92</v>
      </c>
      <c r="D2573" s="159" t="str">
        <f t="shared" si="205"/>
        <v>June!$I$1:$I$92</v>
      </c>
      <c r="E2573" t="s">
        <v>6</v>
      </c>
      <c r="F2573" t="s">
        <v>125</v>
      </c>
      <c r="G2573" t="s">
        <v>143</v>
      </c>
      <c r="H2573" t="s">
        <v>21</v>
      </c>
      <c r="I2573" t="e">
        <f t="shared" ca="1" si="201"/>
        <v>#REF!</v>
      </c>
      <c r="J2573" t="str">
        <f>VLOOKUP($G2573,DefinitionArrays!$I$6:$J$12,2,FALSE)</f>
        <v>Workweek</v>
      </c>
    </row>
    <row r="2574" spans="1:10">
      <c r="A2574" s="159" t="str">
        <f t="shared" si="202"/>
        <v>$H$1:$H$92</v>
      </c>
      <c r="B2574" s="159" t="str">
        <f t="shared" si="203"/>
        <v>$I$1:$I$92</v>
      </c>
      <c r="C2574" s="159" t="str">
        <f t="shared" si="204"/>
        <v>June!$H$1:$H$92</v>
      </c>
      <c r="D2574" s="159" t="str">
        <f t="shared" si="205"/>
        <v>June!$I$1:$I$92</v>
      </c>
      <c r="E2574" t="s">
        <v>6</v>
      </c>
      <c r="F2574" t="s">
        <v>125</v>
      </c>
      <c r="G2574" t="s">
        <v>143</v>
      </c>
      <c r="H2574" t="s">
        <v>22</v>
      </c>
      <c r="I2574" t="e">
        <f t="shared" ca="1" si="201"/>
        <v>#REF!</v>
      </c>
      <c r="J2574" t="str">
        <f>VLOOKUP($G2574,DefinitionArrays!$I$6:$J$12,2,FALSE)</f>
        <v>Workweek</v>
      </c>
    </row>
    <row r="2575" spans="1:10">
      <c r="A2575" s="159" t="str">
        <f t="shared" si="202"/>
        <v>$H$1:$H$92</v>
      </c>
      <c r="B2575" s="159" t="str">
        <f t="shared" si="203"/>
        <v>$I$1:$I$92</v>
      </c>
      <c r="C2575" s="159" t="str">
        <f t="shared" si="204"/>
        <v>June!$H$1:$H$92</v>
      </c>
      <c r="D2575" s="159" t="str">
        <f t="shared" si="205"/>
        <v>June!$I$1:$I$92</v>
      </c>
      <c r="E2575" t="s">
        <v>6</v>
      </c>
      <c r="F2575" t="s">
        <v>125</v>
      </c>
      <c r="G2575" t="s">
        <v>143</v>
      </c>
      <c r="H2575" t="s">
        <v>23</v>
      </c>
      <c r="I2575" t="e">
        <f t="shared" ca="1" si="201"/>
        <v>#REF!</v>
      </c>
      <c r="J2575" t="str">
        <f>VLOOKUP($G2575,DefinitionArrays!$I$6:$J$12,2,FALSE)</f>
        <v>Workweek</v>
      </c>
    </row>
    <row r="2576" spans="1:10">
      <c r="A2576" s="159" t="str">
        <f t="shared" si="202"/>
        <v>$H$1:$H$92</v>
      </c>
      <c r="B2576" s="159" t="str">
        <f t="shared" si="203"/>
        <v>$I$1:$I$92</v>
      </c>
      <c r="C2576" s="159" t="str">
        <f t="shared" si="204"/>
        <v>June!$H$1:$H$92</v>
      </c>
      <c r="D2576" s="159" t="str">
        <f t="shared" si="205"/>
        <v>June!$I$1:$I$92</v>
      </c>
      <c r="E2576" t="s">
        <v>6</v>
      </c>
      <c r="F2576" t="s">
        <v>125</v>
      </c>
      <c r="G2576" t="s">
        <v>143</v>
      </c>
      <c r="H2576" t="s">
        <v>24</v>
      </c>
      <c r="I2576" t="e">
        <f t="shared" ca="1" si="201"/>
        <v>#REF!</v>
      </c>
      <c r="J2576" t="str">
        <f>VLOOKUP($G2576,DefinitionArrays!$I$6:$J$12,2,FALSE)</f>
        <v>Workweek</v>
      </c>
    </row>
    <row r="2577" spans="1:10">
      <c r="A2577" s="159" t="str">
        <f t="shared" si="202"/>
        <v>$H$1:$H$92</v>
      </c>
      <c r="B2577" s="159" t="str">
        <f t="shared" si="203"/>
        <v>$I$1:$I$92</v>
      </c>
      <c r="C2577" s="159" t="str">
        <f t="shared" si="204"/>
        <v>June!$H$1:$H$92</v>
      </c>
      <c r="D2577" s="159" t="str">
        <f t="shared" si="205"/>
        <v>June!$I$1:$I$92</v>
      </c>
      <c r="E2577" t="s">
        <v>6</v>
      </c>
      <c r="F2577" t="s">
        <v>125</v>
      </c>
      <c r="G2577" t="s">
        <v>143</v>
      </c>
      <c r="H2577" t="s">
        <v>179</v>
      </c>
      <c r="I2577" t="e">
        <f t="shared" ca="1" si="201"/>
        <v>#REF!</v>
      </c>
      <c r="J2577" t="str">
        <f>VLOOKUP($G2577,DefinitionArrays!$I$6:$J$12,2,FALSE)</f>
        <v>Workweek</v>
      </c>
    </row>
    <row r="2578" spans="1:10">
      <c r="A2578" s="159" t="str">
        <f t="shared" si="202"/>
        <v>$H$1:$H$92</v>
      </c>
      <c r="B2578" s="159" t="str">
        <f t="shared" si="203"/>
        <v>$I$1:$I$92</v>
      </c>
      <c r="C2578" s="159" t="str">
        <f t="shared" si="204"/>
        <v>June!$H$1:$H$92</v>
      </c>
      <c r="D2578" s="159" t="str">
        <f t="shared" si="205"/>
        <v>June!$I$1:$I$92</v>
      </c>
      <c r="E2578" t="s">
        <v>6</v>
      </c>
      <c r="F2578" t="s">
        <v>125</v>
      </c>
      <c r="G2578" t="s">
        <v>143</v>
      </c>
      <c r="H2578" t="s">
        <v>180</v>
      </c>
      <c r="I2578" t="e">
        <f t="shared" ca="1" si="201"/>
        <v>#REF!</v>
      </c>
      <c r="J2578" t="str">
        <f>VLOOKUP($G2578,DefinitionArrays!$I$6:$J$12,2,FALSE)</f>
        <v>Workweek</v>
      </c>
    </row>
    <row r="2579" spans="1:10">
      <c r="A2579" s="159" t="str">
        <f t="shared" si="202"/>
        <v>$H$1:$H$92</v>
      </c>
      <c r="B2579" s="159" t="str">
        <f t="shared" si="203"/>
        <v>$I$1:$I$92</v>
      </c>
      <c r="C2579" s="159" t="str">
        <f t="shared" si="204"/>
        <v>June!$H$1:$H$92</v>
      </c>
      <c r="D2579" s="159" t="str">
        <f t="shared" si="205"/>
        <v>June!$I$1:$I$92</v>
      </c>
      <c r="E2579" t="s">
        <v>6</v>
      </c>
      <c r="F2579" t="s">
        <v>125</v>
      </c>
      <c r="G2579" t="s">
        <v>143</v>
      </c>
      <c r="H2579" t="s">
        <v>44</v>
      </c>
      <c r="I2579" t="e">
        <f t="shared" ca="1" si="201"/>
        <v>#REF!</v>
      </c>
      <c r="J2579" t="str">
        <f>VLOOKUP($G2579,DefinitionArrays!$I$6:$J$12,2,FALSE)</f>
        <v>Workweek</v>
      </c>
    </row>
    <row r="2580" spans="1:10">
      <c r="A2580" s="159" t="str">
        <f t="shared" si="202"/>
        <v>$K$1:$K$92</v>
      </c>
      <c r="B2580" s="159" t="str">
        <f t="shared" si="203"/>
        <v>$L$1:$L$92</v>
      </c>
      <c r="C2580" s="159" t="str">
        <f t="shared" si="204"/>
        <v>June!$K$1:$K$92</v>
      </c>
      <c r="D2580" s="159" t="str">
        <f t="shared" si="205"/>
        <v>June!$L$1:$L$92</v>
      </c>
      <c r="E2580" t="s">
        <v>6</v>
      </c>
      <c r="F2580" t="s">
        <v>125</v>
      </c>
      <c r="G2580" t="s">
        <v>144</v>
      </c>
      <c r="H2580" t="s">
        <v>159</v>
      </c>
      <c r="I2580" t="e">
        <f t="shared" ca="1" si="201"/>
        <v>#REF!</v>
      </c>
      <c r="J2580" t="str">
        <f>VLOOKUP($G2580,DefinitionArrays!$I$6:$J$12,2,FALSE)</f>
        <v>Workweek</v>
      </c>
    </row>
    <row r="2581" spans="1:10">
      <c r="A2581" s="159" t="str">
        <f t="shared" si="202"/>
        <v>$K$1:$K$92</v>
      </c>
      <c r="B2581" s="159" t="str">
        <f t="shared" si="203"/>
        <v>$L$1:$L$92</v>
      </c>
      <c r="C2581" s="159" t="str">
        <f t="shared" si="204"/>
        <v>June!$K$1:$K$92</v>
      </c>
      <c r="D2581" s="159" t="str">
        <f t="shared" si="205"/>
        <v>June!$L$1:$L$92</v>
      </c>
      <c r="E2581" t="s">
        <v>6</v>
      </c>
      <c r="F2581" t="s">
        <v>125</v>
      </c>
      <c r="G2581" t="s">
        <v>144</v>
      </c>
      <c r="H2581" t="s">
        <v>18</v>
      </c>
      <c r="I2581" t="e">
        <f t="shared" ca="1" si="201"/>
        <v>#REF!</v>
      </c>
      <c r="J2581" t="str">
        <f>VLOOKUP($G2581,DefinitionArrays!$I$6:$J$12,2,FALSE)</f>
        <v>Workweek</v>
      </c>
    </row>
    <row r="2582" spans="1:10">
      <c r="A2582" s="159" t="str">
        <f t="shared" si="202"/>
        <v>$K$1:$K$92</v>
      </c>
      <c r="B2582" s="159" t="str">
        <f t="shared" si="203"/>
        <v>$L$1:$L$92</v>
      </c>
      <c r="C2582" s="159" t="str">
        <f t="shared" si="204"/>
        <v>June!$K$1:$K$92</v>
      </c>
      <c r="D2582" s="159" t="str">
        <f t="shared" si="205"/>
        <v>June!$L$1:$L$92</v>
      </c>
      <c r="E2582" t="s">
        <v>6</v>
      </c>
      <c r="F2582" t="s">
        <v>125</v>
      </c>
      <c r="G2582" t="s">
        <v>144</v>
      </c>
      <c r="H2582" t="s">
        <v>153</v>
      </c>
      <c r="I2582" t="e">
        <f t="shared" ca="1" si="201"/>
        <v>#REF!</v>
      </c>
      <c r="J2582" t="str">
        <f>VLOOKUP($G2582,DefinitionArrays!$I$6:$J$12,2,FALSE)</f>
        <v>Workweek</v>
      </c>
    </row>
    <row r="2583" spans="1:10">
      <c r="A2583" s="159" t="str">
        <f t="shared" si="202"/>
        <v>$K$1:$K$92</v>
      </c>
      <c r="B2583" s="159" t="str">
        <f t="shared" si="203"/>
        <v>$L$1:$L$92</v>
      </c>
      <c r="C2583" s="159" t="str">
        <f t="shared" si="204"/>
        <v>June!$K$1:$K$92</v>
      </c>
      <c r="D2583" s="159" t="str">
        <f t="shared" si="205"/>
        <v>June!$L$1:$L$92</v>
      </c>
      <c r="E2583" t="s">
        <v>6</v>
      </c>
      <c r="F2583" t="s">
        <v>125</v>
      </c>
      <c r="G2583" t="s">
        <v>144</v>
      </c>
      <c r="H2583" t="s">
        <v>19</v>
      </c>
      <c r="I2583" t="e">
        <f t="shared" ca="1" si="201"/>
        <v>#REF!</v>
      </c>
      <c r="J2583" t="str">
        <f>VLOOKUP($G2583,DefinitionArrays!$I$6:$J$12,2,FALSE)</f>
        <v>Workweek</v>
      </c>
    </row>
    <row r="2584" spans="1:10">
      <c r="A2584" s="159" t="str">
        <f t="shared" si="202"/>
        <v>$K$1:$K$92</v>
      </c>
      <c r="B2584" s="159" t="str">
        <f t="shared" si="203"/>
        <v>$L$1:$L$92</v>
      </c>
      <c r="C2584" s="159" t="str">
        <f t="shared" si="204"/>
        <v>June!$K$1:$K$92</v>
      </c>
      <c r="D2584" s="159" t="str">
        <f t="shared" si="205"/>
        <v>June!$L$1:$L$92</v>
      </c>
      <c r="E2584" t="s">
        <v>6</v>
      </c>
      <c r="F2584" t="s">
        <v>125</v>
      </c>
      <c r="G2584" t="s">
        <v>144</v>
      </c>
      <c r="H2584" t="s">
        <v>20</v>
      </c>
      <c r="I2584" t="e">
        <f t="shared" ca="1" si="201"/>
        <v>#REF!</v>
      </c>
      <c r="J2584" t="str">
        <f>VLOOKUP($G2584,DefinitionArrays!$I$6:$J$12,2,FALSE)</f>
        <v>Workweek</v>
      </c>
    </row>
    <row r="2585" spans="1:10">
      <c r="A2585" s="159" t="str">
        <f t="shared" si="202"/>
        <v>$K$1:$K$92</v>
      </c>
      <c r="B2585" s="159" t="str">
        <f t="shared" si="203"/>
        <v>$L$1:$L$92</v>
      </c>
      <c r="C2585" s="159" t="str">
        <f t="shared" si="204"/>
        <v>June!$K$1:$K$92</v>
      </c>
      <c r="D2585" s="159" t="str">
        <f t="shared" si="205"/>
        <v>June!$L$1:$L$92</v>
      </c>
      <c r="E2585" t="s">
        <v>6</v>
      </c>
      <c r="F2585" t="s">
        <v>125</v>
      </c>
      <c r="G2585" t="s">
        <v>144</v>
      </c>
      <c r="H2585" t="s">
        <v>21</v>
      </c>
      <c r="I2585" t="e">
        <f t="shared" ca="1" si="201"/>
        <v>#REF!</v>
      </c>
      <c r="J2585" t="str">
        <f>VLOOKUP($G2585,DefinitionArrays!$I$6:$J$12,2,FALSE)</f>
        <v>Workweek</v>
      </c>
    </row>
    <row r="2586" spans="1:10">
      <c r="A2586" s="159" t="str">
        <f t="shared" si="202"/>
        <v>$K$1:$K$92</v>
      </c>
      <c r="B2586" s="159" t="str">
        <f t="shared" si="203"/>
        <v>$L$1:$L$92</v>
      </c>
      <c r="C2586" s="159" t="str">
        <f t="shared" si="204"/>
        <v>June!$K$1:$K$92</v>
      </c>
      <c r="D2586" s="159" t="str">
        <f t="shared" si="205"/>
        <v>June!$L$1:$L$92</v>
      </c>
      <c r="E2586" t="s">
        <v>6</v>
      </c>
      <c r="F2586" t="s">
        <v>125</v>
      </c>
      <c r="G2586" t="s">
        <v>144</v>
      </c>
      <c r="H2586" t="s">
        <v>22</v>
      </c>
      <c r="I2586" t="e">
        <f t="shared" ca="1" si="201"/>
        <v>#REF!</v>
      </c>
      <c r="J2586" t="str">
        <f>VLOOKUP($G2586,DefinitionArrays!$I$6:$J$12,2,FALSE)</f>
        <v>Workweek</v>
      </c>
    </row>
    <row r="2587" spans="1:10">
      <c r="A2587" s="159" t="str">
        <f t="shared" si="202"/>
        <v>$K$1:$K$92</v>
      </c>
      <c r="B2587" s="159" t="str">
        <f t="shared" si="203"/>
        <v>$L$1:$L$92</v>
      </c>
      <c r="C2587" s="159" t="str">
        <f t="shared" si="204"/>
        <v>June!$K$1:$K$92</v>
      </c>
      <c r="D2587" s="159" t="str">
        <f t="shared" si="205"/>
        <v>June!$L$1:$L$92</v>
      </c>
      <c r="E2587" t="s">
        <v>6</v>
      </c>
      <c r="F2587" t="s">
        <v>125</v>
      </c>
      <c r="G2587" t="s">
        <v>144</v>
      </c>
      <c r="H2587" t="s">
        <v>23</v>
      </c>
      <c r="I2587" t="e">
        <f t="shared" ca="1" si="201"/>
        <v>#REF!</v>
      </c>
      <c r="J2587" t="str">
        <f>VLOOKUP($G2587,DefinitionArrays!$I$6:$J$12,2,FALSE)</f>
        <v>Workweek</v>
      </c>
    </row>
    <row r="2588" spans="1:10">
      <c r="A2588" s="159" t="str">
        <f t="shared" si="202"/>
        <v>$K$1:$K$92</v>
      </c>
      <c r="B2588" s="159" t="str">
        <f t="shared" si="203"/>
        <v>$L$1:$L$92</v>
      </c>
      <c r="C2588" s="159" t="str">
        <f t="shared" si="204"/>
        <v>June!$K$1:$K$92</v>
      </c>
      <c r="D2588" s="159" t="str">
        <f t="shared" si="205"/>
        <v>June!$L$1:$L$92</v>
      </c>
      <c r="E2588" t="s">
        <v>6</v>
      </c>
      <c r="F2588" t="s">
        <v>125</v>
      </c>
      <c r="G2588" t="s">
        <v>144</v>
      </c>
      <c r="H2588" t="s">
        <v>24</v>
      </c>
      <c r="I2588" t="e">
        <f t="shared" ca="1" si="201"/>
        <v>#REF!</v>
      </c>
      <c r="J2588" t="str">
        <f>VLOOKUP($G2588,DefinitionArrays!$I$6:$J$12,2,FALSE)</f>
        <v>Workweek</v>
      </c>
    </row>
    <row r="2589" spans="1:10">
      <c r="A2589" s="159" t="str">
        <f t="shared" si="202"/>
        <v>$K$1:$K$92</v>
      </c>
      <c r="B2589" s="159" t="str">
        <f t="shared" si="203"/>
        <v>$L$1:$L$92</v>
      </c>
      <c r="C2589" s="159" t="str">
        <f t="shared" si="204"/>
        <v>June!$K$1:$K$92</v>
      </c>
      <c r="D2589" s="159" t="str">
        <f t="shared" si="205"/>
        <v>June!$L$1:$L$92</v>
      </c>
      <c r="E2589" t="s">
        <v>6</v>
      </c>
      <c r="F2589" t="s">
        <v>125</v>
      </c>
      <c r="G2589" t="s">
        <v>144</v>
      </c>
      <c r="H2589" t="s">
        <v>179</v>
      </c>
      <c r="I2589" t="e">
        <f t="shared" ca="1" si="201"/>
        <v>#REF!</v>
      </c>
      <c r="J2589" t="str">
        <f>VLOOKUP($G2589,DefinitionArrays!$I$6:$J$12,2,FALSE)</f>
        <v>Workweek</v>
      </c>
    </row>
    <row r="2590" spans="1:10">
      <c r="A2590" s="159" t="str">
        <f t="shared" si="202"/>
        <v>$K$1:$K$92</v>
      </c>
      <c r="B2590" s="159" t="str">
        <f t="shared" si="203"/>
        <v>$L$1:$L$92</v>
      </c>
      <c r="C2590" s="159" t="str">
        <f t="shared" si="204"/>
        <v>June!$K$1:$K$92</v>
      </c>
      <c r="D2590" s="159" t="str">
        <f t="shared" si="205"/>
        <v>June!$L$1:$L$92</v>
      </c>
      <c r="E2590" t="s">
        <v>6</v>
      </c>
      <c r="F2590" t="s">
        <v>125</v>
      </c>
      <c r="G2590" t="s">
        <v>144</v>
      </c>
      <c r="H2590" t="s">
        <v>180</v>
      </c>
      <c r="I2590" t="e">
        <f t="shared" ca="1" si="201"/>
        <v>#REF!</v>
      </c>
      <c r="J2590" t="str">
        <f>VLOOKUP($G2590,DefinitionArrays!$I$6:$J$12,2,FALSE)</f>
        <v>Workweek</v>
      </c>
    </row>
    <row r="2591" spans="1:10">
      <c r="A2591" s="159" t="str">
        <f t="shared" si="202"/>
        <v>$K$1:$K$92</v>
      </c>
      <c r="B2591" s="159" t="str">
        <f t="shared" si="203"/>
        <v>$L$1:$L$92</v>
      </c>
      <c r="C2591" s="159" t="str">
        <f t="shared" si="204"/>
        <v>June!$K$1:$K$92</v>
      </c>
      <c r="D2591" s="159" t="str">
        <f t="shared" si="205"/>
        <v>June!$L$1:$L$92</v>
      </c>
      <c r="E2591" t="s">
        <v>6</v>
      </c>
      <c r="F2591" t="s">
        <v>125</v>
      </c>
      <c r="G2591" t="s">
        <v>144</v>
      </c>
      <c r="H2591" t="s">
        <v>44</v>
      </c>
      <c r="I2591" t="e">
        <f t="shared" ca="1" si="201"/>
        <v>#REF!</v>
      </c>
      <c r="J2591" t="str">
        <f>VLOOKUP($G2591,DefinitionArrays!$I$6:$J$12,2,FALSE)</f>
        <v>Workweek</v>
      </c>
    </row>
    <row r="2592" spans="1:10">
      <c r="A2592" s="159" t="str">
        <f t="shared" si="202"/>
        <v>$N$1:$N$92</v>
      </c>
      <c r="B2592" s="159" t="str">
        <f t="shared" si="203"/>
        <v>$O$1:$O$92</v>
      </c>
      <c r="C2592" s="159" t="str">
        <f t="shared" si="204"/>
        <v>June!$N$1:$N$92</v>
      </c>
      <c r="D2592" s="159" t="str">
        <f t="shared" si="205"/>
        <v>June!$O$1:$O$92</v>
      </c>
      <c r="E2592" t="s">
        <v>6</v>
      </c>
      <c r="F2592" t="s">
        <v>125</v>
      </c>
      <c r="G2592" t="s">
        <v>145</v>
      </c>
      <c r="H2592" t="s">
        <v>159</v>
      </c>
      <c r="I2592" t="e">
        <f t="shared" ca="1" si="201"/>
        <v>#REF!</v>
      </c>
      <c r="J2592" t="str">
        <f>VLOOKUP($G2592,DefinitionArrays!$I$6:$J$12,2,FALSE)</f>
        <v>Weekend</v>
      </c>
    </row>
    <row r="2593" spans="1:10">
      <c r="A2593" s="159" t="str">
        <f t="shared" si="202"/>
        <v>$N$1:$N$92</v>
      </c>
      <c r="B2593" s="159" t="str">
        <f t="shared" si="203"/>
        <v>$O$1:$O$92</v>
      </c>
      <c r="C2593" s="159" t="str">
        <f t="shared" si="204"/>
        <v>June!$N$1:$N$92</v>
      </c>
      <c r="D2593" s="159" t="str">
        <f t="shared" si="205"/>
        <v>June!$O$1:$O$92</v>
      </c>
      <c r="E2593" t="s">
        <v>6</v>
      </c>
      <c r="F2593" t="s">
        <v>125</v>
      </c>
      <c r="G2593" t="s">
        <v>145</v>
      </c>
      <c r="H2593" t="s">
        <v>18</v>
      </c>
      <c r="I2593" t="e">
        <f t="shared" ca="1" si="201"/>
        <v>#REF!</v>
      </c>
      <c r="J2593" t="str">
        <f>VLOOKUP($G2593,DefinitionArrays!$I$6:$J$12,2,FALSE)</f>
        <v>Weekend</v>
      </c>
    </row>
    <row r="2594" spans="1:10">
      <c r="A2594" s="159" t="str">
        <f t="shared" si="202"/>
        <v>$N$1:$N$92</v>
      </c>
      <c r="B2594" s="159" t="str">
        <f t="shared" si="203"/>
        <v>$O$1:$O$92</v>
      </c>
      <c r="C2594" s="159" t="str">
        <f t="shared" si="204"/>
        <v>June!$N$1:$N$92</v>
      </c>
      <c r="D2594" s="159" t="str">
        <f t="shared" si="205"/>
        <v>June!$O$1:$O$92</v>
      </c>
      <c r="E2594" t="s">
        <v>6</v>
      </c>
      <c r="F2594" t="s">
        <v>125</v>
      </c>
      <c r="G2594" t="s">
        <v>145</v>
      </c>
      <c r="H2594" t="s">
        <v>153</v>
      </c>
      <c r="I2594" t="e">
        <f t="shared" ca="1" si="201"/>
        <v>#REF!</v>
      </c>
      <c r="J2594" t="str">
        <f>VLOOKUP($G2594,DefinitionArrays!$I$6:$J$12,2,FALSE)</f>
        <v>Weekend</v>
      </c>
    </row>
    <row r="2595" spans="1:10">
      <c r="A2595" s="159" t="str">
        <f t="shared" si="202"/>
        <v>$N$1:$N$92</v>
      </c>
      <c r="B2595" s="159" t="str">
        <f t="shared" si="203"/>
        <v>$O$1:$O$92</v>
      </c>
      <c r="C2595" s="159" t="str">
        <f t="shared" si="204"/>
        <v>June!$N$1:$N$92</v>
      </c>
      <c r="D2595" s="159" t="str">
        <f t="shared" si="205"/>
        <v>June!$O$1:$O$92</v>
      </c>
      <c r="E2595" t="s">
        <v>6</v>
      </c>
      <c r="F2595" t="s">
        <v>125</v>
      </c>
      <c r="G2595" t="s">
        <v>145</v>
      </c>
      <c r="H2595" t="s">
        <v>19</v>
      </c>
      <c r="I2595" t="e">
        <f t="shared" ca="1" si="201"/>
        <v>#REF!</v>
      </c>
      <c r="J2595" t="str">
        <f>VLOOKUP($G2595,DefinitionArrays!$I$6:$J$12,2,FALSE)</f>
        <v>Weekend</v>
      </c>
    </row>
    <row r="2596" spans="1:10">
      <c r="A2596" s="159" t="str">
        <f t="shared" si="202"/>
        <v>$N$1:$N$92</v>
      </c>
      <c r="B2596" s="159" t="str">
        <f t="shared" si="203"/>
        <v>$O$1:$O$92</v>
      </c>
      <c r="C2596" s="159" t="str">
        <f t="shared" si="204"/>
        <v>June!$N$1:$N$92</v>
      </c>
      <c r="D2596" s="159" t="str">
        <f t="shared" si="205"/>
        <v>June!$O$1:$O$92</v>
      </c>
      <c r="E2596" t="s">
        <v>6</v>
      </c>
      <c r="F2596" t="s">
        <v>125</v>
      </c>
      <c r="G2596" t="s">
        <v>145</v>
      </c>
      <c r="H2596" t="s">
        <v>20</v>
      </c>
      <c r="I2596" t="e">
        <f t="shared" ca="1" si="201"/>
        <v>#REF!</v>
      </c>
      <c r="J2596" t="str">
        <f>VLOOKUP($G2596,DefinitionArrays!$I$6:$J$12,2,FALSE)</f>
        <v>Weekend</v>
      </c>
    </row>
    <row r="2597" spans="1:10">
      <c r="A2597" s="159" t="str">
        <f t="shared" si="202"/>
        <v>$N$1:$N$92</v>
      </c>
      <c r="B2597" s="159" t="str">
        <f t="shared" si="203"/>
        <v>$O$1:$O$92</v>
      </c>
      <c r="C2597" s="159" t="str">
        <f t="shared" si="204"/>
        <v>June!$N$1:$N$92</v>
      </c>
      <c r="D2597" s="159" t="str">
        <f t="shared" si="205"/>
        <v>June!$O$1:$O$92</v>
      </c>
      <c r="E2597" t="s">
        <v>6</v>
      </c>
      <c r="F2597" t="s">
        <v>125</v>
      </c>
      <c r="G2597" t="s">
        <v>145</v>
      </c>
      <c r="H2597" t="s">
        <v>21</v>
      </c>
      <c r="I2597" t="e">
        <f t="shared" ca="1" si="201"/>
        <v>#REF!</v>
      </c>
      <c r="J2597" t="str">
        <f>VLOOKUP($G2597,DefinitionArrays!$I$6:$J$12,2,FALSE)</f>
        <v>Weekend</v>
      </c>
    </row>
    <row r="2598" spans="1:10">
      <c r="A2598" s="159" t="str">
        <f t="shared" si="202"/>
        <v>$N$1:$N$92</v>
      </c>
      <c r="B2598" s="159" t="str">
        <f t="shared" si="203"/>
        <v>$O$1:$O$92</v>
      </c>
      <c r="C2598" s="159" t="str">
        <f t="shared" si="204"/>
        <v>June!$N$1:$N$92</v>
      </c>
      <c r="D2598" s="159" t="str">
        <f t="shared" si="205"/>
        <v>June!$O$1:$O$92</v>
      </c>
      <c r="E2598" t="s">
        <v>6</v>
      </c>
      <c r="F2598" t="s">
        <v>125</v>
      </c>
      <c r="G2598" t="s">
        <v>145</v>
      </c>
      <c r="H2598" t="s">
        <v>22</v>
      </c>
      <c r="I2598" t="e">
        <f t="shared" ca="1" si="201"/>
        <v>#REF!</v>
      </c>
      <c r="J2598" t="str">
        <f>VLOOKUP($G2598,DefinitionArrays!$I$6:$J$12,2,FALSE)</f>
        <v>Weekend</v>
      </c>
    </row>
    <row r="2599" spans="1:10">
      <c r="A2599" s="159" t="str">
        <f t="shared" si="202"/>
        <v>$N$1:$N$92</v>
      </c>
      <c r="B2599" s="159" t="str">
        <f t="shared" si="203"/>
        <v>$O$1:$O$92</v>
      </c>
      <c r="C2599" s="159" t="str">
        <f t="shared" si="204"/>
        <v>June!$N$1:$N$92</v>
      </c>
      <c r="D2599" s="159" t="str">
        <f t="shared" si="205"/>
        <v>June!$O$1:$O$92</v>
      </c>
      <c r="E2599" t="s">
        <v>6</v>
      </c>
      <c r="F2599" t="s">
        <v>125</v>
      </c>
      <c r="G2599" t="s">
        <v>145</v>
      </c>
      <c r="H2599" t="s">
        <v>23</v>
      </c>
      <c r="I2599" t="e">
        <f t="shared" ca="1" si="201"/>
        <v>#REF!</v>
      </c>
      <c r="J2599" t="str">
        <f>VLOOKUP($G2599,DefinitionArrays!$I$6:$J$12,2,FALSE)</f>
        <v>Weekend</v>
      </c>
    </row>
    <row r="2600" spans="1:10">
      <c r="A2600" s="159" t="str">
        <f t="shared" si="202"/>
        <v>$N$1:$N$92</v>
      </c>
      <c r="B2600" s="159" t="str">
        <f t="shared" si="203"/>
        <v>$O$1:$O$92</v>
      </c>
      <c r="C2600" s="159" t="str">
        <f t="shared" si="204"/>
        <v>June!$N$1:$N$92</v>
      </c>
      <c r="D2600" s="159" t="str">
        <f t="shared" si="205"/>
        <v>June!$O$1:$O$92</v>
      </c>
      <c r="E2600" t="s">
        <v>6</v>
      </c>
      <c r="F2600" t="s">
        <v>125</v>
      </c>
      <c r="G2600" t="s">
        <v>145</v>
      </c>
      <c r="H2600" t="s">
        <v>24</v>
      </c>
      <c r="I2600" t="e">
        <f t="shared" ca="1" si="201"/>
        <v>#REF!</v>
      </c>
      <c r="J2600" t="str">
        <f>VLOOKUP($G2600,DefinitionArrays!$I$6:$J$12,2,FALSE)</f>
        <v>Weekend</v>
      </c>
    </row>
    <row r="2601" spans="1:10">
      <c r="A2601" s="159" t="str">
        <f t="shared" si="202"/>
        <v>$N$1:$N$92</v>
      </c>
      <c r="B2601" s="159" t="str">
        <f t="shared" si="203"/>
        <v>$O$1:$O$92</v>
      </c>
      <c r="C2601" s="159" t="str">
        <f t="shared" si="204"/>
        <v>June!$N$1:$N$92</v>
      </c>
      <c r="D2601" s="159" t="str">
        <f t="shared" si="205"/>
        <v>June!$O$1:$O$92</v>
      </c>
      <c r="E2601" t="s">
        <v>6</v>
      </c>
      <c r="F2601" t="s">
        <v>125</v>
      </c>
      <c r="G2601" t="s">
        <v>145</v>
      </c>
      <c r="H2601" t="s">
        <v>179</v>
      </c>
      <c r="I2601" t="e">
        <f t="shared" ca="1" si="201"/>
        <v>#REF!</v>
      </c>
      <c r="J2601" t="str">
        <f>VLOOKUP($G2601,DefinitionArrays!$I$6:$J$12,2,FALSE)</f>
        <v>Weekend</v>
      </c>
    </row>
    <row r="2602" spans="1:10">
      <c r="A2602" s="159" t="str">
        <f t="shared" si="202"/>
        <v>$N$1:$N$92</v>
      </c>
      <c r="B2602" s="159" t="str">
        <f t="shared" si="203"/>
        <v>$O$1:$O$92</v>
      </c>
      <c r="C2602" s="159" t="str">
        <f t="shared" si="204"/>
        <v>June!$N$1:$N$92</v>
      </c>
      <c r="D2602" s="159" t="str">
        <f t="shared" si="205"/>
        <v>June!$O$1:$O$92</v>
      </c>
      <c r="E2602" t="s">
        <v>6</v>
      </c>
      <c r="F2602" t="s">
        <v>125</v>
      </c>
      <c r="G2602" t="s">
        <v>145</v>
      </c>
      <c r="H2602" t="s">
        <v>180</v>
      </c>
      <c r="I2602" t="e">
        <f t="shared" ca="1" si="201"/>
        <v>#REF!</v>
      </c>
      <c r="J2602" t="str">
        <f>VLOOKUP($G2602,DefinitionArrays!$I$6:$J$12,2,FALSE)</f>
        <v>Weekend</v>
      </c>
    </row>
    <row r="2603" spans="1:10">
      <c r="A2603" s="159" t="str">
        <f t="shared" si="202"/>
        <v>$N$1:$N$92</v>
      </c>
      <c r="B2603" s="159" t="str">
        <f t="shared" si="203"/>
        <v>$O$1:$O$92</v>
      </c>
      <c r="C2603" s="159" t="str">
        <f t="shared" si="204"/>
        <v>June!$N$1:$N$92</v>
      </c>
      <c r="D2603" s="159" t="str">
        <f t="shared" si="205"/>
        <v>June!$O$1:$O$92</v>
      </c>
      <c r="E2603" t="s">
        <v>6</v>
      </c>
      <c r="F2603" t="s">
        <v>125</v>
      </c>
      <c r="G2603" t="s">
        <v>145</v>
      </c>
      <c r="H2603" t="s">
        <v>44</v>
      </c>
      <c r="I2603" t="e">
        <f t="shared" ca="1" si="201"/>
        <v>#REF!</v>
      </c>
      <c r="J2603" t="str">
        <f>VLOOKUP($G2603,DefinitionArrays!$I$6:$J$12,2,FALSE)</f>
        <v>Weekend</v>
      </c>
    </row>
    <row r="2604" spans="1:10">
      <c r="A2604" s="159" t="str">
        <f t="shared" si="202"/>
        <v>$Q$1:$Q$92</v>
      </c>
      <c r="B2604" s="159" t="str">
        <f t="shared" si="203"/>
        <v>$R$1:$R$92</v>
      </c>
      <c r="C2604" s="159" t="str">
        <f t="shared" si="204"/>
        <v>June!$Q$1:$Q$92</v>
      </c>
      <c r="D2604" s="159" t="str">
        <f t="shared" si="205"/>
        <v>June!$R$1:$R$92</v>
      </c>
      <c r="E2604" t="s">
        <v>6</v>
      </c>
      <c r="F2604" t="s">
        <v>125</v>
      </c>
      <c r="G2604" t="s">
        <v>146</v>
      </c>
      <c r="H2604" t="s">
        <v>159</v>
      </c>
      <c r="I2604" t="e">
        <f t="shared" ca="1" si="201"/>
        <v>#REF!</v>
      </c>
      <c r="J2604" t="str">
        <f>VLOOKUP($G2604,DefinitionArrays!$I$6:$J$12,2,FALSE)</f>
        <v>Weekend</v>
      </c>
    </row>
    <row r="2605" spans="1:10">
      <c r="A2605" s="159" t="str">
        <f t="shared" si="202"/>
        <v>$T$1:$T$92</v>
      </c>
      <c r="B2605" s="159" t="str">
        <f t="shared" si="203"/>
        <v>$U$1:$U$92</v>
      </c>
      <c r="C2605" s="159" t="str">
        <f t="shared" si="204"/>
        <v>June!$T$1:$T$92</v>
      </c>
      <c r="D2605" s="159" t="str">
        <f t="shared" si="205"/>
        <v>June!$U$1:$U$92</v>
      </c>
      <c r="E2605" t="s">
        <v>6</v>
      </c>
      <c r="F2605" t="s">
        <v>125</v>
      </c>
      <c r="G2605" t="s">
        <v>141</v>
      </c>
      <c r="H2605" t="s">
        <v>159</v>
      </c>
      <c r="I2605" t="e">
        <f t="shared" ca="1" si="201"/>
        <v>#REF!</v>
      </c>
      <c r="J2605" t="str">
        <f>VLOOKUP($G2605,DefinitionArrays!$I$6:$J$12,2,FALSE)</f>
        <v>Weekend</v>
      </c>
    </row>
    <row r="2606" spans="1:10">
      <c r="A2606" s="159" t="str">
        <f t="shared" si="202"/>
        <v>$B$1:$B$92</v>
      </c>
      <c r="B2606" s="159" t="str">
        <f t="shared" si="203"/>
        <v>$C$1:$C$92</v>
      </c>
      <c r="C2606" s="159" t="str">
        <f t="shared" si="204"/>
        <v>July!$B$1:$B$92</v>
      </c>
      <c r="D2606" s="159" t="str">
        <f t="shared" si="205"/>
        <v>July!$C$1:$C$92</v>
      </c>
      <c r="E2606" t="s">
        <v>6</v>
      </c>
      <c r="F2606" t="s">
        <v>126</v>
      </c>
      <c r="G2606" t="s">
        <v>13</v>
      </c>
      <c r="H2606" t="s">
        <v>159</v>
      </c>
      <c r="I2606" t="e">
        <f ca="1">COUNTIFS(INDIRECT($C2606),$E2606,INDIRECT($D2606),$H2606)</f>
        <v>#REF!</v>
      </c>
      <c r="J2606" t="str">
        <f>VLOOKUP($G2606,DefinitionArrays!$I$6:$J$12,2,FALSE)</f>
        <v>Workweek</v>
      </c>
    </row>
    <row r="2607" spans="1:10">
      <c r="A2607" s="159" t="str">
        <f t="shared" si="202"/>
        <v>$B$1:$B$92</v>
      </c>
      <c r="B2607" s="159" t="str">
        <f t="shared" si="203"/>
        <v>$C$1:$C$92</v>
      </c>
      <c r="C2607" s="159" t="str">
        <f t="shared" si="204"/>
        <v>July!$B$1:$B$92</v>
      </c>
      <c r="D2607" s="159" t="str">
        <f t="shared" si="205"/>
        <v>July!$C$1:$C$92</v>
      </c>
      <c r="E2607" t="s">
        <v>6</v>
      </c>
      <c r="F2607" t="s">
        <v>126</v>
      </c>
      <c r="G2607" t="s">
        <v>13</v>
      </c>
      <c r="H2607" t="s">
        <v>18</v>
      </c>
      <c r="I2607" t="e">
        <f t="shared" ref="I2607:I2667" ca="1" si="206">COUNTIFS(INDIRECT($C2607),$E2607,INDIRECT($D2607),$H2607)</f>
        <v>#REF!</v>
      </c>
      <c r="J2607" t="str">
        <f>VLOOKUP($G2607,DefinitionArrays!$I$6:$J$12,2,FALSE)</f>
        <v>Workweek</v>
      </c>
    </row>
    <row r="2608" spans="1:10">
      <c r="A2608" s="159" t="str">
        <f t="shared" si="202"/>
        <v>$B$1:$B$92</v>
      </c>
      <c r="B2608" s="159" t="str">
        <f t="shared" si="203"/>
        <v>$C$1:$C$92</v>
      </c>
      <c r="C2608" s="159" t="str">
        <f t="shared" si="204"/>
        <v>July!$B$1:$B$92</v>
      </c>
      <c r="D2608" s="159" t="str">
        <f t="shared" si="205"/>
        <v>July!$C$1:$C$92</v>
      </c>
      <c r="E2608" t="s">
        <v>6</v>
      </c>
      <c r="F2608" t="s">
        <v>126</v>
      </c>
      <c r="G2608" t="s">
        <v>13</v>
      </c>
      <c r="H2608" t="s">
        <v>153</v>
      </c>
      <c r="I2608" t="e">
        <f t="shared" ca="1" si="206"/>
        <v>#REF!</v>
      </c>
      <c r="J2608" t="str">
        <f>VLOOKUP($G2608,DefinitionArrays!$I$6:$J$12,2,FALSE)</f>
        <v>Workweek</v>
      </c>
    </row>
    <row r="2609" spans="1:10">
      <c r="A2609" s="159" t="str">
        <f t="shared" si="202"/>
        <v>$B$1:$B$92</v>
      </c>
      <c r="B2609" s="159" t="str">
        <f t="shared" si="203"/>
        <v>$C$1:$C$92</v>
      </c>
      <c r="C2609" s="159" t="str">
        <f t="shared" si="204"/>
        <v>July!$B$1:$B$92</v>
      </c>
      <c r="D2609" s="159" t="str">
        <f t="shared" si="205"/>
        <v>July!$C$1:$C$92</v>
      </c>
      <c r="E2609" t="s">
        <v>6</v>
      </c>
      <c r="F2609" t="s">
        <v>126</v>
      </c>
      <c r="G2609" t="s">
        <v>13</v>
      </c>
      <c r="H2609" t="s">
        <v>19</v>
      </c>
      <c r="I2609" t="e">
        <f t="shared" ca="1" si="206"/>
        <v>#REF!</v>
      </c>
      <c r="J2609" t="str">
        <f>VLOOKUP($G2609,DefinitionArrays!$I$6:$J$12,2,FALSE)</f>
        <v>Workweek</v>
      </c>
    </row>
    <row r="2610" spans="1:10">
      <c r="A2610" s="159" t="str">
        <f t="shared" si="202"/>
        <v>$B$1:$B$92</v>
      </c>
      <c r="B2610" s="159" t="str">
        <f t="shared" si="203"/>
        <v>$C$1:$C$92</v>
      </c>
      <c r="C2610" s="159" t="str">
        <f t="shared" si="204"/>
        <v>July!$B$1:$B$92</v>
      </c>
      <c r="D2610" s="159" t="str">
        <f t="shared" si="205"/>
        <v>July!$C$1:$C$92</v>
      </c>
      <c r="E2610" t="s">
        <v>6</v>
      </c>
      <c r="F2610" t="s">
        <v>126</v>
      </c>
      <c r="G2610" t="s">
        <v>13</v>
      </c>
      <c r="H2610" t="s">
        <v>20</v>
      </c>
      <c r="I2610" t="e">
        <f t="shared" ca="1" si="206"/>
        <v>#REF!</v>
      </c>
      <c r="J2610" t="str">
        <f>VLOOKUP($G2610,DefinitionArrays!$I$6:$J$12,2,FALSE)</f>
        <v>Workweek</v>
      </c>
    </row>
    <row r="2611" spans="1:10">
      <c r="A2611" s="159" t="str">
        <f t="shared" si="202"/>
        <v>$B$1:$B$92</v>
      </c>
      <c r="B2611" s="159" t="str">
        <f t="shared" si="203"/>
        <v>$C$1:$C$92</v>
      </c>
      <c r="C2611" s="159" t="str">
        <f t="shared" si="204"/>
        <v>July!$B$1:$B$92</v>
      </c>
      <c r="D2611" s="159" t="str">
        <f t="shared" si="205"/>
        <v>July!$C$1:$C$92</v>
      </c>
      <c r="E2611" t="s">
        <v>6</v>
      </c>
      <c r="F2611" t="s">
        <v>126</v>
      </c>
      <c r="G2611" t="s">
        <v>13</v>
      </c>
      <c r="H2611" t="s">
        <v>21</v>
      </c>
      <c r="I2611" t="e">
        <f t="shared" ca="1" si="206"/>
        <v>#REF!</v>
      </c>
      <c r="J2611" t="str">
        <f>VLOOKUP($G2611,DefinitionArrays!$I$6:$J$12,2,FALSE)</f>
        <v>Workweek</v>
      </c>
    </row>
    <row r="2612" spans="1:10">
      <c r="A2612" s="159" t="str">
        <f t="shared" si="202"/>
        <v>$B$1:$B$92</v>
      </c>
      <c r="B2612" s="159" t="str">
        <f t="shared" si="203"/>
        <v>$C$1:$C$92</v>
      </c>
      <c r="C2612" s="159" t="str">
        <f t="shared" si="204"/>
        <v>July!$B$1:$B$92</v>
      </c>
      <c r="D2612" s="159" t="str">
        <f t="shared" si="205"/>
        <v>July!$C$1:$C$92</v>
      </c>
      <c r="E2612" t="s">
        <v>6</v>
      </c>
      <c r="F2612" t="s">
        <v>126</v>
      </c>
      <c r="G2612" t="s">
        <v>13</v>
      </c>
      <c r="H2612" t="s">
        <v>22</v>
      </c>
      <c r="I2612" t="e">
        <f t="shared" ca="1" si="206"/>
        <v>#REF!</v>
      </c>
      <c r="J2612" t="str">
        <f>VLOOKUP($G2612,DefinitionArrays!$I$6:$J$12,2,FALSE)</f>
        <v>Workweek</v>
      </c>
    </row>
    <row r="2613" spans="1:10">
      <c r="A2613" s="159" t="str">
        <f t="shared" si="202"/>
        <v>$B$1:$B$92</v>
      </c>
      <c r="B2613" s="159" t="str">
        <f t="shared" si="203"/>
        <v>$C$1:$C$92</v>
      </c>
      <c r="C2613" s="159" t="str">
        <f t="shared" si="204"/>
        <v>July!$B$1:$B$92</v>
      </c>
      <c r="D2613" s="159" t="str">
        <f t="shared" si="205"/>
        <v>July!$C$1:$C$92</v>
      </c>
      <c r="E2613" t="s">
        <v>6</v>
      </c>
      <c r="F2613" t="s">
        <v>126</v>
      </c>
      <c r="G2613" t="s">
        <v>13</v>
      </c>
      <c r="H2613" t="s">
        <v>23</v>
      </c>
      <c r="I2613" t="e">
        <f t="shared" ca="1" si="206"/>
        <v>#REF!</v>
      </c>
      <c r="J2613" t="str">
        <f>VLOOKUP($G2613,DefinitionArrays!$I$6:$J$12,2,FALSE)</f>
        <v>Workweek</v>
      </c>
    </row>
    <row r="2614" spans="1:10">
      <c r="A2614" s="159" t="str">
        <f t="shared" si="202"/>
        <v>$B$1:$B$92</v>
      </c>
      <c r="B2614" s="159" t="str">
        <f t="shared" si="203"/>
        <v>$C$1:$C$92</v>
      </c>
      <c r="C2614" s="159" t="str">
        <f t="shared" si="204"/>
        <v>July!$B$1:$B$92</v>
      </c>
      <c r="D2614" s="159" t="str">
        <f t="shared" si="205"/>
        <v>July!$C$1:$C$92</v>
      </c>
      <c r="E2614" t="s">
        <v>6</v>
      </c>
      <c r="F2614" t="s">
        <v>126</v>
      </c>
      <c r="G2614" t="s">
        <v>13</v>
      </c>
      <c r="H2614" t="s">
        <v>24</v>
      </c>
      <c r="I2614" t="e">
        <f t="shared" ca="1" si="206"/>
        <v>#REF!</v>
      </c>
      <c r="J2614" t="str">
        <f>VLOOKUP($G2614,DefinitionArrays!$I$6:$J$12,2,FALSE)</f>
        <v>Workweek</v>
      </c>
    </row>
    <row r="2615" spans="1:10">
      <c r="A2615" s="159" t="str">
        <f t="shared" si="202"/>
        <v>$B$1:$B$92</v>
      </c>
      <c r="B2615" s="159" t="str">
        <f t="shared" si="203"/>
        <v>$C$1:$C$92</v>
      </c>
      <c r="C2615" s="159" t="str">
        <f t="shared" si="204"/>
        <v>July!$B$1:$B$92</v>
      </c>
      <c r="D2615" s="159" t="str">
        <f t="shared" si="205"/>
        <v>July!$C$1:$C$92</v>
      </c>
      <c r="E2615" t="s">
        <v>6</v>
      </c>
      <c r="F2615" t="s">
        <v>126</v>
      </c>
      <c r="G2615" t="s">
        <v>13</v>
      </c>
      <c r="H2615" t="s">
        <v>179</v>
      </c>
      <c r="I2615" t="e">
        <f t="shared" ca="1" si="206"/>
        <v>#REF!</v>
      </c>
      <c r="J2615" t="str">
        <f>VLOOKUP($G2615,DefinitionArrays!$I$6:$J$12,2,FALSE)</f>
        <v>Workweek</v>
      </c>
    </row>
    <row r="2616" spans="1:10">
      <c r="A2616" s="159" t="str">
        <f t="shared" si="202"/>
        <v>$B$1:$B$92</v>
      </c>
      <c r="B2616" s="159" t="str">
        <f t="shared" si="203"/>
        <v>$C$1:$C$92</v>
      </c>
      <c r="C2616" s="159" t="str">
        <f t="shared" si="204"/>
        <v>July!$B$1:$B$92</v>
      </c>
      <c r="D2616" s="159" t="str">
        <f t="shared" si="205"/>
        <v>July!$C$1:$C$92</v>
      </c>
      <c r="E2616" t="s">
        <v>6</v>
      </c>
      <c r="F2616" t="s">
        <v>126</v>
      </c>
      <c r="G2616" t="s">
        <v>13</v>
      </c>
      <c r="H2616" t="s">
        <v>180</v>
      </c>
      <c r="I2616" t="e">
        <f t="shared" ca="1" si="206"/>
        <v>#REF!</v>
      </c>
      <c r="J2616" t="str">
        <f>VLOOKUP($G2616,DefinitionArrays!$I$6:$J$12,2,FALSE)</f>
        <v>Workweek</v>
      </c>
    </row>
    <row r="2617" spans="1:10">
      <c r="A2617" s="159" t="str">
        <f t="shared" si="202"/>
        <v>$B$1:$B$92</v>
      </c>
      <c r="B2617" s="159" t="str">
        <f t="shared" si="203"/>
        <v>$C$1:$C$92</v>
      </c>
      <c r="C2617" s="159" t="str">
        <f t="shared" si="204"/>
        <v>July!$B$1:$B$92</v>
      </c>
      <c r="D2617" s="159" t="str">
        <f t="shared" si="205"/>
        <v>July!$C$1:$C$92</v>
      </c>
      <c r="E2617" t="s">
        <v>6</v>
      </c>
      <c r="F2617" t="s">
        <v>126</v>
      </c>
      <c r="G2617" t="s">
        <v>13</v>
      </c>
      <c r="H2617" t="s">
        <v>44</v>
      </c>
      <c r="I2617" t="e">
        <f t="shared" ca="1" si="206"/>
        <v>#REF!</v>
      </c>
      <c r="J2617" t="str">
        <f>VLOOKUP($G2617,DefinitionArrays!$I$6:$J$12,2,FALSE)</f>
        <v>Workweek</v>
      </c>
    </row>
    <row r="2618" spans="1:10">
      <c r="A2618" s="159" t="str">
        <f t="shared" si="202"/>
        <v>$E$1:$E$92</v>
      </c>
      <c r="B2618" s="159" t="str">
        <f t="shared" si="203"/>
        <v>$F$1:$F$92</v>
      </c>
      <c r="C2618" s="159" t="str">
        <f t="shared" si="204"/>
        <v>July!$E$1:$E$92</v>
      </c>
      <c r="D2618" s="159" t="str">
        <f t="shared" si="205"/>
        <v>July!$F$1:$F$92</v>
      </c>
      <c r="E2618" t="s">
        <v>6</v>
      </c>
      <c r="F2618" t="s">
        <v>126</v>
      </c>
      <c r="G2618" t="s">
        <v>142</v>
      </c>
      <c r="H2618" t="s">
        <v>159</v>
      </c>
      <c r="I2618" t="e">
        <f t="shared" ca="1" si="206"/>
        <v>#REF!</v>
      </c>
      <c r="J2618" t="str">
        <f>VLOOKUP($G2618,DefinitionArrays!$I$6:$J$12,2,FALSE)</f>
        <v>Workweek</v>
      </c>
    </row>
    <row r="2619" spans="1:10">
      <c r="A2619" s="159" t="str">
        <f t="shared" si="202"/>
        <v>$E$1:$E$92</v>
      </c>
      <c r="B2619" s="159" t="str">
        <f t="shared" si="203"/>
        <v>$F$1:$F$92</v>
      </c>
      <c r="C2619" s="159" t="str">
        <f t="shared" si="204"/>
        <v>July!$E$1:$E$92</v>
      </c>
      <c r="D2619" s="159" t="str">
        <f t="shared" si="205"/>
        <v>July!$F$1:$F$92</v>
      </c>
      <c r="E2619" t="s">
        <v>6</v>
      </c>
      <c r="F2619" t="s">
        <v>126</v>
      </c>
      <c r="G2619" t="s">
        <v>142</v>
      </c>
      <c r="H2619" t="s">
        <v>18</v>
      </c>
      <c r="I2619" t="e">
        <f t="shared" ca="1" si="206"/>
        <v>#REF!</v>
      </c>
      <c r="J2619" t="str">
        <f>VLOOKUP($G2619,DefinitionArrays!$I$6:$J$12,2,FALSE)</f>
        <v>Workweek</v>
      </c>
    </row>
    <row r="2620" spans="1:10">
      <c r="A2620" s="159" t="str">
        <f t="shared" si="202"/>
        <v>$E$1:$E$92</v>
      </c>
      <c r="B2620" s="159" t="str">
        <f t="shared" si="203"/>
        <v>$F$1:$F$92</v>
      </c>
      <c r="C2620" s="159" t="str">
        <f t="shared" si="204"/>
        <v>July!$E$1:$E$92</v>
      </c>
      <c r="D2620" s="159" t="str">
        <f t="shared" si="205"/>
        <v>July!$F$1:$F$92</v>
      </c>
      <c r="E2620" t="s">
        <v>6</v>
      </c>
      <c r="F2620" t="s">
        <v>126</v>
      </c>
      <c r="G2620" t="s">
        <v>142</v>
      </c>
      <c r="H2620" t="s">
        <v>153</v>
      </c>
      <c r="I2620" t="e">
        <f t="shared" ca="1" si="206"/>
        <v>#REF!</v>
      </c>
      <c r="J2620" t="str">
        <f>VLOOKUP($G2620,DefinitionArrays!$I$6:$J$12,2,FALSE)</f>
        <v>Workweek</v>
      </c>
    </row>
    <row r="2621" spans="1:10">
      <c r="A2621" s="159" t="str">
        <f t="shared" si="202"/>
        <v>$E$1:$E$92</v>
      </c>
      <c r="B2621" s="159" t="str">
        <f t="shared" si="203"/>
        <v>$F$1:$F$92</v>
      </c>
      <c r="C2621" s="159" t="str">
        <f t="shared" si="204"/>
        <v>July!$E$1:$E$92</v>
      </c>
      <c r="D2621" s="159" t="str">
        <f t="shared" si="205"/>
        <v>July!$F$1:$F$92</v>
      </c>
      <c r="E2621" t="s">
        <v>6</v>
      </c>
      <c r="F2621" t="s">
        <v>126</v>
      </c>
      <c r="G2621" t="s">
        <v>142</v>
      </c>
      <c r="H2621" t="s">
        <v>19</v>
      </c>
      <c r="I2621" t="e">
        <f t="shared" ca="1" si="206"/>
        <v>#REF!</v>
      </c>
      <c r="J2621" t="str">
        <f>VLOOKUP($G2621,DefinitionArrays!$I$6:$J$12,2,FALSE)</f>
        <v>Workweek</v>
      </c>
    </row>
    <row r="2622" spans="1:10">
      <c r="A2622" s="159" t="str">
        <f t="shared" si="202"/>
        <v>$E$1:$E$92</v>
      </c>
      <c r="B2622" s="159" t="str">
        <f t="shared" si="203"/>
        <v>$F$1:$F$92</v>
      </c>
      <c r="C2622" s="159" t="str">
        <f t="shared" si="204"/>
        <v>July!$E$1:$E$92</v>
      </c>
      <c r="D2622" s="159" t="str">
        <f t="shared" si="205"/>
        <v>July!$F$1:$F$92</v>
      </c>
      <c r="E2622" t="s">
        <v>6</v>
      </c>
      <c r="F2622" t="s">
        <v>126</v>
      </c>
      <c r="G2622" t="s">
        <v>142</v>
      </c>
      <c r="H2622" t="s">
        <v>20</v>
      </c>
      <c r="I2622" t="e">
        <f t="shared" ca="1" si="206"/>
        <v>#REF!</v>
      </c>
      <c r="J2622" t="str">
        <f>VLOOKUP($G2622,DefinitionArrays!$I$6:$J$12,2,FALSE)</f>
        <v>Workweek</v>
      </c>
    </row>
    <row r="2623" spans="1:10">
      <c r="A2623" s="159" t="str">
        <f t="shared" si="202"/>
        <v>$E$1:$E$92</v>
      </c>
      <c r="B2623" s="159" t="str">
        <f t="shared" si="203"/>
        <v>$F$1:$F$92</v>
      </c>
      <c r="C2623" s="159" t="str">
        <f t="shared" si="204"/>
        <v>July!$E$1:$E$92</v>
      </c>
      <c r="D2623" s="159" t="str">
        <f t="shared" si="205"/>
        <v>July!$F$1:$F$92</v>
      </c>
      <c r="E2623" t="s">
        <v>6</v>
      </c>
      <c r="F2623" t="s">
        <v>126</v>
      </c>
      <c r="G2623" t="s">
        <v>142</v>
      </c>
      <c r="H2623" t="s">
        <v>21</v>
      </c>
      <c r="I2623" t="e">
        <f t="shared" ca="1" si="206"/>
        <v>#REF!</v>
      </c>
      <c r="J2623" t="str">
        <f>VLOOKUP($G2623,DefinitionArrays!$I$6:$J$12,2,FALSE)</f>
        <v>Workweek</v>
      </c>
    </row>
    <row r="2624" spans="1:10">
      <c r="A2624" s="159" t="str">
        <f t="shared" si="202"/>
        <v>$E$1:$E$92</v>
      </c>
      <c r="B2624" s="159" t="str">
        <f t="shared" si="203"/>
        <v>$F$1:$F$92</v>
      </c>
      <c r="C2624" s="159" t="str">
        <f t="shared" si="204"/>
        <v>July!$E$1:$E$92</v>
      </c>
      <c r="D2624" s="159" t="str">
        <f t="shared" si="205"/>
        <v>July!$F$1:$F$92</v>
      </c>
      <c r="E2624" t="s">
        <v>6</v>
      </c>
      <c r="F2624" t="s">
        <v>126</v>
      </c>
      <c r="G2624" t="s">
        <v>142</v>
      </c>
      <c r="H2624" t="s">
        <v>22</v>
      </c>
      <c r="I2624" t="e">
        <f t="shared" ca="1" si="206"/>
        <v>#REF!</v>
      </c>
      <c r="J2624" t="str">
        <f>VLOOKUP($G2624,DefinitionArrays!$I$6:$J$12,2,FALSE)</f>
        <v>Workweek</v>
      </c>
    </row>
    <row r="2625" spans="1:10">
      <c r="A2625" s="159" t="str">
        <f t="shared" si="202"/>
        <v>$E$1:$E$92</v>
      </c>
      <c r="B2625" s="159" t="str">
        <f t="shared" si="203"/>
        <v>$F$1:$F$92</v>
      </c>
      <c r="C2625" s="159" t="str">
        <f t="shared" si="204"/>
        <v>July!$E$1:$E$92</v>
      </c>
      <c r="D2625" s="159" t="str">
        <f t="shared" si="205"/>
        <v>July!$F$1:$F$92</v>
      </c>
      <c r="E2625" t="s">
        <v>6</v>
      </c>
      <c r="F2625" t="s">
        <v>126</v>
      </c>
      <c r="G2625" t="s">
        <v>142</v>
      </c>
      <c r="H2625" t="s">
        <v>23</v>
      </c>
      <c r="I2625" t="e">
        <f t="shared" ca="1" si="206"/>
        <v>#REF!</v>
      </c>
      <c r="J2625" t="str">
        <f>VLOOKUP($G2625,DefinitionArrays!$I$6:$J$12,2,FALSE)</f>
        <v>Workweek</v>
      </c>
    </row>
    <row r="2626" spans="1:10">
      <c r="A2626" s="159" t="str">
        <f t="shared" ref="A2626:A2689" si="207">VLOOKUP($G2626,Fx_Code,2,FALSE)</f>
        <v>$E$1:$E$92</v>
      </c>
      <c r="B2626" s="159" t="str">
        <f t="shared" ref="B2626:B2689" si="208">VLOOKUP($G2626,Fx_Code,3,FALSE)</f>
        <v>$F$1:$F$92</v>
      </c>
      <c r="C2626" s="159" t="str">
        <f t="shared" ref="C2626:C2689" si="209">CONCATENATE($F2626,$K$1,A2626)</f>
        <v>July!$E$1:$E$92</v>
      </c>
      <c r="D2626" s="159" t="str">
        <f t="shared" ref="D2626:D2689" si="210">CONCATENATE($F2626,$K$1,B2626)</f>
        <v>July!$F$1:$F$92</v>
      </c>
      <c r="E2626" t="s">
        <v>6</v>
      </c>
      <c r="F2626" t="s">
        <v>126</v>
      </c>
      <c r="G2626" t="s">
        <v>142</v>
      </c>
      <c r="H2626" t="s">
        <v>24</v>
      </c>
      <c r="I2626" t="e">
        <f t="shared" ca="1" si="206"/>
        <v>#REF!</v>
      </c>
      <c r="J2626" t="str">
        <f>VLOOKUP($G2626,DefinitionArrays!$I$6:$J$12,2,FALSE)</f>
        <v>Workweek</v>
      </c>
    </row>
    <row r="2627" spans="1:10">
      <c r="A2627" s="159" t="str">
        <f t="shared" si="207"/>
        <v>$E$1:$E$92</v>
      </c>
      <c r="B2627" s="159" t="str">
        <f t="shared" si="208"/>
        <v>$F$1:$F$92</v>
      </c>
      <c r="C2627" s="159" t="str">
        <f t="shared" si="209"/>
        <v>July!$E$1:$E$92</v>
      </c>
      <c r="D2627" s="159" t="str">
        <f t="shared" si="210"/>
        <v>July!$F$1:$F$92</v>
      </c>
      <c r="E2627" t="s">
        <v>6</v>
      </c>
      <c r="F2627" t="s">
        <v>126</v>
      </c>
      <c r="G2627" t="s">
        <v>142</v>
      </c>
      <c r="H2627" t="s">
        <v>179</v>
      </c>
      <c r="I2627" t="e">
        <f t="shared" ca="1" si="206"/>
        <v>#REF!</v>
      </c>
      <c r="J2627" t="str">
        <f>VLOOKUP($G2627,DefinitionArrays!$I$6:$J$12,2,FALSE)</f>
        <v>Workweek</v>
      </c>
    </row>
    <row r="2628" spans="1:10">
      <c r="A2628" s="159" t="str">
        <f t="shared" si="207"/>
        <v>$E$1:$E$92</v>
      </c>
      <c r="B2628" s="159" t="str">
        <f t="shared" si="208"/>
        <v>$F$1:$F$92</v>
      </c>
      <c r="C2628" s="159" t="str">
        <f t="shared" si="209"/>
        <v>July!$E$1:$E$92</v>
      </c>
      <c r="D2628" s="159" t="str">
        <f t="shared" si="210"/>
        <v>July!$F$1:$F$92</v>
      </c>
      <c r="E2628" t="s">
        <v>6</v>
      </c>
      <c r="F2628" t="s">
        <v>126</v>
      </c>
      <c r="G2628" t="s">
        <v>142</v>
      </c>
      <c r="H2628" t="s">
        <v>180</v>
      </c>
      <c r="I2628" t="e">
        <f t="shared" ca="1" si="206"/>
        <v>#REF!</v>
      </c>
      <c r="J2628" t="str">
        <f>VLOOKUP($G2628,DefinitionArrays!$I$6:$J$12,2,FALSE)</f>
        <v>Workweek</v>
      </c>
    </row>
    <row r="2629" spans="1:10">
      <c r="A2629" s="159" t="str">
        <f t="shared" si="207"/>
        <v>$E$1:$E$92</v>
      </c>
      <c r="B2629" s="159" t="str">
        <f t="shared" si="208"/>
        <v>$F$1:$F$92</v>
      </c>
      <c r="C2629" s="159" t="str">
        <f t="shared" si="209"/>
        <v>July!$E$1:$E$92</v>
      </c>
      <c r="D2629" s="159" t="str">
        <f t="shared" si="210"/>
        <v>July!$F$1:$F$92</v>
      </c>
      <c r="E2629" t="s">
        <v>6</v>
      </c>
      <c r="F2629" t="s">
        <v>126</v>
      </c>
      <c r="G2629" t="s">
        <v>142</v>
      </c>
      <c r="H2629" t="s">
        <v>44</v>
      </c>
      <c r="I2629" t="e">
        <f t="shared" ca="1" si="206"/>
        <v>#REF!</v>
      </c>
      <c r="J2629" t="str">
        <f>VLOOKUP($G2629,DefinitionArrays!$I$6:$J$12,2,FALSE)</f>
        <v>Workweek</v>
      </c>
    </row>
    <row r="2630" spans="1:10">
      <c r="A2630" s="159" t="str">
        <f t="shared" si="207"/>
        <v>$H$1:$H$92</v>
      </c>
      <c r="B2630" s="159" t="str">
        <f t="shared" si="208"/>
        <v>$I$1:$I$92</v>
      </c>
      <c r="C2630" s="159" t="str">
        <f t="shared" si="209"/>
        <v>July!$H$1:$H$92</v>
      </c>
      <c r="D2630" s="159" t="str">
        <f t="shared" si="210"/>
        <v>July!$I$1:$I$92</v>
      </c>
      <c r="E2630" t="s">
        <v>6</v>
      </c>
      <c r="F2630" t="s">
        <v>126</v>
      </c>
      <c r="G2630" t="s">
        <v>143</v>
      </c>
      <c r="H2630" t="s">
        <v>159</v>
      </c>
      <c r="I2630" t="e">
        <f t="shared" ca="1" si="206"/>
        <v>#REF!</v>
      </c>
      <c r="J2630" t="str">
        <f>VLOOKUP($G2630,DefinitionArrays!$I$6:$J$12,2,FALSE)</f>
        <v>Workweek</v>
      </c>
    </row>
    <row r="2631" spans="1:10">
      <c r="A2631" s="159" t="str">
        <f t="shared" si="207"/>
        <v>$H$1:$H$92</v>
      </c>
      <c r="B2631" s="159" t="str">
        <f t="shared" si="208"/>
        <v>$I$1:$I$92</v>
      </c>
      <c r="C2631" s="159" t="str">
        <f t="shared" si="209"/>
        <v>July!$H$1:$H$92</v>
      </c>
      <c r="D2631" s="159" t="str">
        <f t="shared" si="210"/>
        <v>July!$I$1:$I$92</v>
      </c>
      <c r="E2631" t="s">
        <v>6</v>
      </c>
      <c r="F2631" t="s">
        <v>126</v>
      </c>
      <c r="G2631" t="s">
        <v>143</v>
      </c>
      <c r="H2631" t="s">
        <v>18</v>
      </c>
      <c r="I2631" t="e">
        <f t="shared" ca="1" si="206"/>
        <v>#REF!</v>
      </c>
      <c r="J2631" t="str">
        <f>VLOOKUP($G2631,DefinitionArrays!$I$6:$J$12,2,FALSE)</f>
        <v>Workweek</v>
      </c>
    </row>
    <row r="2632" spans="1:10">
      <c r="A2632" s="159" t="str">
        <f t="shared" si="207"/>
        <v>$H$1:$H$92</v>
      </c>
      <c r="B2632" s="159" t="str">
        <f t="shared" si="208"/>
        <v>$I$1:$I$92</v>
      </c>
      <c r="C2632" s="159" t="str">
        <f t="shared" si="209"/>
        <v>July!$H$1:$H$92</v>
      </c>
      <c r="D2632" s="159" t="str">
        <f t="shared" si="210"/>
        <v>July!$I$1:$I$92</v>
      </c>
      <c r="E2632" t="s">
        <v>6</v>
      </c>
      <c r="F2632" t="s">
        <v>126</v>
      </c>
      <c r="G2632" t="s">
        <v>143</v>
      </c>
      <c r="H2632" t="s">
        <v>153</v>
      </c>
      <c r="I2632" t="e">
        <f t="shared" ca="1" si="206"/>
        <v>#REF!</v>
      </c>
      <c r="J2632" t="str">
        <f>VLOOKUP($G2632,DefinitionArrays!$I$6:$J$12,2,FALSE)</f>
        <v>Workweek</v>
      </c>
    </row>
    <row r="2633" spans="1:10">
      <c r="A2633" s="159" t="str">
        <f t="shared" si="207"/>
        <v>$H$1:$H$92</v>
      </c>
      <c r="B2633" s="159" t="str">
        <f t="shared" si="208"/>
        <v>$I$1:$I$92</v>
      </c>
      <c r="C2633" s="159" t="str">
        <f t="shared" si="209"/>
        <v>July!$H$1:$H$92</v>
      </c>
      <c r="D2633" s="159" t="str">
        <f t="shared" si="210"/>
        <v>July!$I$1:$I$92</v>
      </c>
      <c r="E2633" t="s">
        <v>6</v>
      </c>
      <c r="F2633" t="s">
        <v>126</v>
      </c>
      <c r="G2633" t="s">
        <v>143</v>
      </c>
      <c r="H2633" t="s">
        <v>19</v>
      </c>
      <c r="I2633" t="e">
        <f t="shared" ca="1" si="206"/>
        <v>#REF!</v>
      </c>
      <c r="J2633" t="str">
        <f>VLOOKUP($G2633,DefinitionArrays!$I$6:$J$12,2,FALSE)</f>
        <v>Workweek</v>
      </c>
    </row>
    <row r="2634" spans="1:10">
      <c r="A2634" s="159" t="str">
        <f t="shared" si="207"/>
        <v>$H$1:$H$92</v>
      </c>
      <c r="B2634" s="159" t="str">
        <f t="shared" si="208"/>
        <v>$I$1:$I$92</v>
      </c>
      <c r="C2634" s="159" t="str">
        <f t="shared" si="209"/>
        <v>July!$H$1:$H$92</v>
      </c>
      <c r="D2634" s="159" t="str">
        <f t="shared" si="210"/>
        <v>July!$I$1:$I$92</v>
      </c>
      <c r="E2634" t="s">
        <v>6</v>
      </c>
      <c r="F2634" t="s">
        <v>126</v>
      </c>
      <c r="G2634" t="s">
        <v>143</v>
      </c>
      <c r="H2634" t="s">
        <v>20</v>
      </c>
      <c r="I2634" t="e">
        <f t="shared" ca="1" si="206"/>
        <v>#REF!</v>
      </c>
      <c r="J2634" t="str">
        <f>VLOOKUP($G2634,DefinitionArrays!$I$6:$J$12,2,FALSE)</f>
        <v>Workweek</v>
      </c>
    </row>
    <row r="2635" spans="1:10">
      <c r="A2635" s="159" t="str">
        <f t="shared" si="207"/>
        <v>$H$1:$H$92</v>
      </c>
      <c r="B2635" s="159" t="str">
        <f t="shared" si="208"/>
        <v>$I$1:$I$92</v>
      </c>
      <c r="C2635" s="159" t="str">
        <f t="shared" si="209"/>
        <v>July!$H$1:$H$92</v>
      </c>
      <c r="D2635" s="159" t="str">
        <f t="shared" si="210"/>
        <v>July!$I$1:$I$92</v>
      </c>
      <c r="E2635" t="s">
        <v>6</v>
      </c>
      <c r="F2635" t="s">
        <v>126</v>
      </c>
      <c r="G2635" t="s">
        <v>143</v>
      </c>
      <c r="H2635" t="s">
        <v>21</v>
      </c>
      <c r="I2635" t="e">
        <f t="shared" ca="1" si="206"/>
        <v>#REF!</v>
      </c>
      <c r="J2635" t="str">
        <f>VLOOKUP($G2635,DefinitionArrays!$I$6:$J$12,2,FALSE)</f>
        <v>Workweek</v>
      </c>
    </row>
    <row r="2636" spans="1:10">
      <c r="A2636" s="159" t="str">
        <f t="shared" si="207"/>
        <v>$H$1:$H$92</v>
      </c>
      <c r="B2636" s="159" t="str">
        <f t="shared" si="208"/>
        <v>$I$1:$I$92</v>
      </c>
      <c r="C2636" s="159" t="str">
        <f t="shared" si="209"/>
        <v>July!$H$1:$H$92</v>
      </c>
      <c r="D2636" s="159" t="str">
        <f t="shared" si="210"/>
        <v>July!$I$1:$I$92</v>
      </c>
      <c r="E2636" t="s">
        <v>6</v>
      </c>
      <c r="F2636" t="s">
        <v>126</v>
      </c>
      <c r="G2636" t="s">
        <v>143</v>
      </c>
      <c r="H2636" t="s">
        <v>22</v>
      </c>
      <c r="I2636" t="e">
        <f t="shared" ca="1" si="206"/>
        <v>#REF!</v>
      </c>
      <c r="J2636" t="str">
        <f>VLOOKUP($G2636,DefinitionArrays!$I$6:$J$12,2,FALSE)</f>
        <v>Workweek</v>
      </c>
    </row>
    <row r="2637" spans="1:10">
      <c r="A2637" s="159" t="str">
        <f t="shared" si="207"/>
        <v>$H$1:$H$92</v>
      </c>
      <c r="B2637" s="159" t="str">
        <f t="shared" si="208"/>
        <v>$I$1:$I$92</v>
      </c>
      <c r="C2637" s="159" t="str">
        <f t="shared" si="209"/>
        <v>July!$H$1:$H$92</v>
      </c>
      <c r="D2637" s="159" t="str">
        <f t="shared" si="210"/>
        <v>July!$I$1:$I$92</v>
      </c>
      <c r="E2637" t="s">
        <v>6</v>
      </c>
      <c r="F2637" t="s">
        <v>126</v>
      </c>
      <c r="G2637" t="s">
        <v>143</v>
      </c>
      <c r="H2637" t="s">
        <v>23</v>
      </c>
      <c r="I2637" t="e">
        <f t="shared" ca="1" si="206"/>
        <v>#REF!</v>
      </c>
      <c r="J2637" t="str">
        <f>VLOOKUP($G2637,DefinitionArrays!$I$6:$J$12,2,FALSE)</f>
        <v>Workweek</v>
      </c>
    </row>
    <row r="2638" spans="1:10">
      <c r="A2638" s="159" t="str">
        <f t="shared" si="207"/>
        <v>$H$1:$H$92</v>
      </c>
      <c r="B2638" s="159" t="str">
        <f t="shared" si="208"/>
        <v>$I$1:$I$92</v>
      </c>
      <c r="C2638" s="159" t="str">
        <f t="shared" si="209"/>
        <v>July!$H$1:$H$92</v>
      </c>
      <c r="D2638" s="159" t="str">
        <f t="shared" si="210"/>
        <v>July!$I$1:$I$92</v>
      </c>
      <c r="E2638" t="s">
        <v>6</v>
      </c>
      <c r="F2638" t="s">
        <v>126</v>
      </c>
      <c r="G2638" t="s">
        <v>143</v>
      </c>
      <c r="H2638" t="s">
        <v>24</v>
      </c>
      <c r="I2638" t="e">
        <f t="shared" ca="1" si="206"/>
        <v>#REF!</v>
      </c>
      <c r="J2638" t="str">
        <f>VLOOKUP($G2638,DefinitionArrays!$I$6:$J$12,2,FALSE)</f>
        <v>Workweek</v>
      </c>
    </row>
    <row r="2639" spans="1:10">
      <c r="A2639" s="159" t="str">
        <f t="shared" si="207"/>
        <v>$H$1:$H$92</v>
      </c>
      <c r="B2639" s="159" t="str">
        <f t="shared" si="208"/>
        <v>$I$1:$I$92</v>
      </c>
      <c r="C2639" s="159" t="str">
        <f t="shared" si="209"/>
        <v>July!$H$1:$H$92</v>
      </c>
      <c r="D2639" s="159" t="str">
        <f t="shared" si="210"/>
        <v>July!$I$1:$I$92</v>
      </c>
      <c r="E2639" t="s">
        <v>6</v>
      </c>
      <c r="F2639" t="s">
        <v>126</v>
      </c>
      <c r="G2639" t="s">
        <v>143</v>
      </c>
      <c r="H2639" t="s">
        <v>179</v>
      </c>
      <c r="I2639" t="e">
        <f t="shared" ca="1" si="206"/>
        <v>#REF!</v>
      </c>
      <c r="J2639" t="str">
        <f>VLOOKUP($G2639,DefinitionArrays!$I$6:$J$12,2,FALSE)</f>
        <v>Workweek</v>
      </c>
    </row>
    <row r="2640" spans="1:10">
      <c r="A2640" s="159" t="str">
        <f t="shared" si="207"/>
        <v>$H$1:$H$92</v>
      </c>
      <c r="B2640" s="159" t="str">
        <f t="shared" si="208"/>
        <v>$I$1:$I$92</v>
      </c>
      <c r="C2640" s="159" t="str">
        <f t="shared" si="209"/>
        <v>July!$H$1:$H$92</v>
      </c>
      <c r="D2640" s="159" t="str">
        <f t="shared" si="210"/>
        <v>July!$I$1:$I$92</v>
      </c>
      <c r="E2640" t="s">
        <v>6</v>
      </c>
      <c r="F2640" t="s">
        <v>126</v>
      </c>
      <c r="G2640" t="s">
        <v>143</v>
      </c>
      <c r="H2640" t="s">
        <v>180</v>
      </c>
      <c r="I2640" t="e">
        <f t="shared" ca="1" si="206"/>
        <v>#REF!</v>
      </c>
      <c r="J2640" t="str">
        <f>VLOOKUP($G2640,DefinitionArrays!$I$6:$J$12,2,FALSE)</f>
        <v>Workweek</v>
      </c>
    </row>
    <row r="2641" spans="1:10">
      <c r="A2641" s="159" t="str">
        <f t="shared" si="207"/>
        <v>$H$1:$H$92</v>
      </c>
      <c r="B2641" s="159" t="str">
        <f t="shared" si="208"/>
        <v>$I$1:$I$92</v>
      </c>
      <c r="C2641" s="159" t="str">
        <f t="shared" si="209"/>
        <v>July!$H$1:$H$92</v>
      </c>
      <c r="D2641" s="159" t="str">
        <f t="shared" si="210"/>
        <v>July!$I$1:$I$92</v>
      </c>
      <c r="E2641" t="s">
        <v>6</v>
      </c>
      <c r="F2641" t="s">
        <v>126</v>
      </c>
      <c r="G2641" t="s">
        <v>143</v>
      </c>
      <c r="H2641" t="s">
        <v>44</v>
      </c>
      <c r="I2641" t="e">
        <f t="shared" ca="1" si="206"/>
        <v>#REF!</v>
      </c>
      <c r="J2641" t="str">
        <f>VLOOKUP($G2641,DefinitionArrays!$I$6:$J$12,2,FALSE)</f>
        <v>Workweek</v>
      </c>
    </row>
    <row r="2642" spans="1:10">
      <c r="A2642" s="159" t="str">
        <f t="shared" si="207"/>
        <v>$K$1:$K$92</v>
      </c>
      <c r="B2642" s="159" t="str">
        <f t="shared" si="208"/>
        <v>$L$1:$L$92</v>
      </c>
      <c r="C2642" s="159" t="str">
        <f t="shared" si="209"/>
        <v>July!$K$1:$K$92</v>
      </c>
      <c r="D2642" s="159" t="str">
        <f t="shared" si="210"/>
        <v>July!$L$1:$L$92</v>
      </c>
      <c r="E2642" t="s">
        <v>6</v>
      </c>
      <c r="F2642" t="s">
        <v>126</v>
      </c>
      <c r="G2642" t="s">
        <v>144</v>
      </c>
      <c r="H2642" t="s">
        <v>159</v>
      </c>
      <c r="I2642" t="e">
        <f t="shared" ca="1" si="206"/>
        <v>#REF!</v>
      </c>
      <c r="J2642" t="str">
        <f>VLOOKUP($G2642,DefinitionArrays!$I$6:$J$12,2,FALSE)</f>
        <v>Workweek</v>
      </c>
    </row>
    <row r="2643" spans="1:10">
      <c r="A2643" s="159" t="str">
        <f t="shared" si="207"/>
        <v>$K$1:$K$92</v>
      </c>
      <c r="B2643" s="159" t="str">
        <f t="shared" si="208"/>
        <v>$L$1:$L$92</v>
      </c>
      <c r="C2643" s="159" t="str">
        <f t="shared" si="209"/>
        <v>July!$K$1:$K$92</v>
      </c>
      <c r="D2643" s="159" t="str">
        <f t="shared" si="210"/>
        <v>July!$L$1:$L$92</v>
      </c>
      <c r="E2643" t="s">
        <v>6</v>
      </c>
      <c r="F2643" t="s">
        <v>126</v>
      </c>
      <c r="G2643" t="s">
        <v>144</v>
      </c>
      <c r="H2643" t="s">
        <v>18</v>
      </c>
      <c r="I2643" t="e">
        <f t="shared" ca="1" si="206"/>
        <v>#REF!</v>
      </c>
      <c r="J2643" t="str">
        <f>VLOOKUP($G2643,DefinitionArrays!$I$6:$J$12,2,FALSE)</f>
        <v>Workweek</v>
      </c>
    </row>
    <row r="2644" spans="1:10">
      <c r="A2644" s="159" t="str">
        <f t="shared" si="207"/>
        <v>$K$1:$K$92</v>
      </c>
      <c r="B2644" s="159" t="str">
        <f t="shared" si="208"/>
        <v>$L$1:$L$92</v>
      </c>
      <c r="C2644" s="159" t="str">
        <f t="shared" si="209"/>
        <v>July!$K$1:$K$92</v>
      </c>
      <c r="D2644" s="159" t="str">
        <f t="shared" si="210"/>
        <v>July!$L$1:$L$92</v>
      </c>
      <c r="E2644" t="s">
        <v>6</v>
      </c>
      <c r="F2644" t="s">
        <v>126</v>
      </c>
      <c r="G2644" t="s">
        <v>144</v>
      </c>
      <c r="H2644" t="s">
        <v>153</v>
      </c>
      <c r="I2644" t="e">
        <f t="shared" ca="1" si="206"/>
        <v>#REF!</v>
      </c>
      <c r="J2644" t="str">
        <f>VLOOKUP($G2644,DefinitionArrays!$I$6:$J$12,2,FALSE)</f>
        <v>Workweek</v>
      </c>
    </row>
    <row r="2645" spans="1:10">
      <c r="A2645" s="159" t="str">
        <f t="shared" si="207"/>
        <v>$K$1:$K$92</v>
      </c>
      <c r="B2645" s="159" t="str">
        <f t="shared" si="208"/>
        <v>$L$1:$L$92</v>
      </c>
      <c r="C2645" s="159" t="str">
        <f t="shared" si="209"/>
        <v>July!$K$1:$K$92</v>
      </c>
      <c r="D2645" s="159" t="str">
        <f t="shared" si="210"/>
        <v>July!$L$1:$L$92</v>
      </c>
      <c r="E2645" t="s">
        <v>6</v>
      </c>
      <c r="F2645" t="s">
        <v>126</v>
      </c>
      <c r="G2645" t="s">
        <v>144</v>
      </c>
      <c r="H2645" t="s">
        <v>19</v>
      </c>
      <c r="I2645" t="e">
        <f t="shared" ca="1" si="206"/>
        <v>#REF!</v>
      </c>
      <c r="J2645" t="str">
        <f>VLOOKUP($G2645,DefinitionArrays!$I$6:$J$12,2,FALSE)</f>
        <v>Workweek</v>
      </c>
    </row>
    <row r="2646" spans="1:10">
      <c r="A2646" s="159" t="str">
        <f t="shared" si="207"/>
        <v>$K$1:$K$92</v>
      </c>
      <c r="B2646" s="159" t="str">
        <f t="shared" si="208"/>
        <v>$L$1:$L$92</v>
      </c>
      <c r="C2646" s="159" t="str">
        <f t="shared" si="209"/>
        <v>July!$K$1:$K$92</v>
      </c>
      <c r="D2646" s="159" t="str">
        <f t="shared" si="210"/>
        <v>July!$L$1:$L$92</v>
      </c>
      <c r="E2646" t="s">
        <v>6</v>
      </c>
      <c r="F2646" t="s">
        <v>126</v>
      </c>
      <c r="G2646" t="s">
        <v>144</v>
      </c>
      <c r="H2646" t="s">
        <v>20</v>
      </c>
      <c r="I2646" t="e">
        <f t="shared" ca="1" si="206"/>
        <v>#REF!</v>
      </c>
      <c r="J2646" t="str">
        <f>VLOOKUP($G2646,DefinitionArrays!$I$6:$J$12,2,FALSE)</f>
        <v>Workweek</v>
      </c>
    </row>
    <row r="2647" spans="1:10">
      <c r="A2647" s="159" t="str">
        <f t="shared" si="207"/>
        <v>$K$1:$K$92</v>
      </c>
      <c r="B2647" s="159" t="str">
        <f t="shared" si="208"/>
        <v>$L$1:$L$92</v>
      </c>
      <c r="C2647" s="159" t="str">
        <f t="shared" si="209"/>
        <v>July!$K$1:$K$92</v>
      </c>
      <c r="D2647" s="159" t="str">
        <f t="shared" si="210"/>
        <v>July!$L$1:$L$92</v>
      </c>
      <c r="E2647" t="s">
        <v>6</v>
      </c>
      <c r="F2647" t="s">
        <v>126</v>
      </c>
      <c r="G2647" t="s">
        <v>144</v>
      </c>
      <c r="H2647" t="s">
        <v>21</v>
      </c>
      <c r="I2647" t="e">
        <f t="shared" ca="1" si="206"/>
        <v>#REF!</v>
      </c>
      <c r="J2647" t="str">
        <f>VLOOKUP($G2647,DefinitionArrays!$I$6:$J$12,2,FALSE)</f>
        <v>Workweek</v>
      </c>
    </row>
    <row r="2648" spans="1:10">
      <c r="A2648" s="159" t="str">
        <f t="shared" si="207"/>
        <v>$K$1:$K$92</v>
      </c>
      <c r="B2648" s="159" t="str">
        <f t="shared" si="208"/>
        <v>$L$1:$L$92</v>
      </c>
      <c r="C2648" s="159" t="str">
        <f t="shared" si="209"/>
        <v>July!$K$1:$K$92</v>
      </c>
      <c r="D2648" s="159" t="str">
        <f t="shared" si="210"/>
        <v>July!$L$1:$L$92</v>
      </c>
      <c r="E2648" t="s">
        <v>6</v>
      </c>
      <c r="F2648" t="s">
        <v>126</v>
      </c>
      <c r="G2648" t="s">
        <v>144</v>
      </c>
      <c r="H2648" t="s">
        <v>22</v>
      </c>
      <c r="I2648" t="e">
        <f t="shared" ca="1" si="206"/>
        <v>#REF!</v>
      </c>
      <c r="J2648" t="str">
        <f>VLOOKUP($G2648,DefinitionArrays!$I$6:$J$12,2,FALSE)</f>
        <v>Workweek</v>
      </c>
    </row>
    <row r="2649" spans="1:10">
      <c r="A2649" s="159" t="str">
        <f t="shared" si="207"/>
        <v>$K$1:$K$92</v>
      </c>
      <c r="B2649" s="159" t="str">
        <f t="shared" si="208"/>
        <v>$L$1:$L$92</v>
      </c>
      <c r="C2649" s="159" t="str">
        <f t="shared" si="209"/>
        <v>July!$K$1:$K$92</v>
      </c>
      <c r="D2649" s="159" t="str">
        <f t="shared" si="210"/>
        <v>July!$L$1:$L$92</v>
      </c>
      <c r="E2649" t="s">
        <v>6</v>
      </c>
      <c r="F2649" t="s">
        <v>126</v>
      </c>
      <c r="G2649" t="s">
        <v>144</v>
      </c>
      <c r="H2649" t="s">
        <v>23</v>
      </c>
      <c r="I2649" t="e">
        <f t="shared" ca="1" si="206"/>
        <v>#REF!</v>
      </c>
      <c r="J2649" t="str">
        <f>VLOOKUP($G2649,DefinitionArrays!$I$6:$J$12,2,FALSE)</f>
        <v>Workweek</v>
      </c>
    </row>
    <row r="2650" spans="1:10">
      <c r="A2650" s="159" t="str">
        <f t="shared" si="207"/>
        <v>$K$1:$K$92</v>
      </c>
      <c r="B2650" s="159" t="str">
        <f t="shared" si="208"/>
        <v>$L$1:$L$92</v>
      </c>
      <c r="C2650" s="159" t="str">
        <f t="shared" si="209"/>
        <v>July!$K$1:$K$92</v>
      </c>
      <c r="D2650" s="159" t="str">
        <f t="shared" si="210"/>
        <v>July!$L$1:$L$92</v>
      </c>
      <c r="E2650" t="s">
        <v>6</v>
      </c>
      <c r="F2650" t="s">
        <v>126</v>
      </c>
      <c r="G2650" t="s">
        <v>144</v>
      </c>
      <c r="H2650" t="s">
        <v>24</v>
      </c>
      <c r="I2650" t="e">
        <f t="shared" ca="1" si="206"/>
        <v>#REF!</v>
      </c>
      <c r="J2650" t="str">
        <f>VLOOKUP($G2650,DefinitionArrays!$I$6:$J$12,2,FALSE)</f>
        <v>Workweek</v>
      </c>
    </row>
    <row r="2651" spans="1:10">
      <c r="A2651" s="159" t="str">
        <f t="shared" si="207"/>
        <v>$K$1:$K$92</v>
      </c>
      <c r="B2651" s="159" t="str">
        <f t="shared" si="208"/>
        <v>$L$1:$L$92</v>
      </c>
      <c r="C2651" s="159" t="str">
        <f t="shared" si="209"/>
        <v>July!$K$1:$K$92</v>
      </c>
      <c r="D2651" s="159" t="str">
        <f t="shared" si="210"/>
        <v>July!$L$1:$L$92</v>
      </c>
      <c r="E2651" t="s">
        <v>6</v>
      </c>
      <c r="F2651" t="s">
        <v>126</v>
      </c>
      <c r="G2651" t="s">
        <v>144</v>
      </c>
      <c r="H2651" t="s">
        <v>179</v>
      </c>
      <c r="I2651" t="e">
        <f t="shared" ca="1" si="206"/>
        <v>#REF!</v>
      </c>
      <c r="J2651" t="str">
        <f>VLOOKUP($G2651,DefinitionArrays!$I$6:$J$12,2,FALSE)</f>
        <v>Workweek</v>
      </c>
    </row>
    <row r="2652" spans="1:10">
      <c r="A2652" s="159" t="str">
        <f t="shared" si="207"/>
        <v>$K$1:$K$92</v>
      </c>
      <c r="B2652" s="159" t="str">
        <f t="shared" si="208"/>
        <v>$L$1:$L$92</v>
      </c>
      <c r="C2652" s="159" t="str">
        <f t="shared" si="209"/>
        <v>July!$K$1:$K$92</v>
      </c>
      <c r="D2652" s="159" t="str">
        <f t="shared" si="210"/>
        <v>July!$L$1:$L$92</v>
      </c>
      <c r="E2652" t="s">
        <v>6</v>
      </c>
      <c r="F2652" t="s">
        <v>126</v>
      </c>
      <c r="G2652" t="s">
        <v>144</v>
      </c>
      <c r="H2652" t="s">
        <v>180</v>
      </c>
      <c r="I2652" t="e">
        <f t="shared" ca="1" si="206"/>
        <v>#REF!</v>
      </c>
      <c r="J2652" t="str">
        <f>VLOOKUP($G2652,DefinitionArrays!$I$6:$J$12,2,FALSE)</f>
        <v>Workweek</v>
      </c>
    </row>
    <row r="2653" spans="1:10">
      <c r="A2653" s="159" t="str">
        <f t="shared" si="207"/>
        <v>$K$1:$K$92</v>
      </c>
      <c r="B2653" s="159" t="str">
        <f t="shared" si="208"/>
        <v>$L$1:$L$92</v>
      </c>
      <c r="C2653" s="159" t="str">
        <f t="shared" si="209"/>
        <v>July!$K$1:$K$92</v>
      </c>
      <c r="D2653" s="159" t="str">
        <f t="shared" si="210"/>
        <v>July!$L$1:$L$92</v>
      </c>
      <c r="E2653" t="s">
        <v>6</v>
      </c>
      <c r="F2653" t="s">
        <v>126</v>
      </c>
      <c r="G2653" t="s">
        <v>144</v>
      </c>
      <c r="H2653" t="s">
        <v>44</v>
      </c>
      <c r="I2653" t="e">
        <f t="shared" ca="1" si="206"/>
        <v>#REF!</v>
      </c>
      <c r="J2653" t="str">
        <f>VLOOKUP($G2653,DefinitionArrays!$I$6:$J$12,2,FALSE)</f>
        <v>Workweek</v>
      </c>
    </row>
    <row r="2654" spans="1:10">
      <c r="A2654" s="159" t="str">
        <f t="shared" si="207"/>
        <v>$N$1:$N$92</v>
      </c>
      <c r="B2654" s="159" t="str">
        <f t="shared" si="208"/>
        <v>$O$1:$O$92</v>
      </c>
      <c r="C2654" s="159" t="str">
        <f t="shared" si="209"/>
        <v>July!$N$1:$N$92</v>
      </c>
      <c r="D2654" s="159" t="str">
        <f t="shared" si="210"/>
        <v>July!$O$1:$O$92</v>
      </c>
      <c r="E2654" t="s">
        <v>6</v>
      </c>
      <c r="F2654" t="s">
        <v>126</v>
      </c>
      <c r="G2654" t="s">
        <v>145</v>
      </c>
      <c r="H2654" t="s">
        <v>159</v>
      </c>
      <c r="I2654" t="e">
        <f t="shared" ca="1" si="206"/>
        <v>#REF!</v>
      </c>
      <c r="J2654" t="str">
        <f>VLOOKUP($G2654,DefinitionArrays!$I$6:$J$12,2,FALSE)</f>
        <v>Weekend</v>
      </c>
    </row>
    <row r="2655" spans="1:10">
      <c r="A2655" s="159" t="str">
        <f t="shared" si="207"/>
        <v>$N$1:$N$92</v>
      </c>
      <c r="B2655" s="159" t="str">
        <f t="shared" si="208"/>
        <v>$O$1:$O$92</v>
      </c>
      <c r="C2655" s="159" t="str">
        <f t="shared" si="209"/>
        <v>July!$N$1:$N$92</v>
      </c>
      <c r="D2655" s="159" t="str">
        <f t="shared" si="210"/>
        <v>July!$O$1:$O$92</v>
      </c>
      <c r="E2655" t="s">
        <v>6</v>
      </c>
      <c r="F2655" t="s">
        <v>126</v>
      </c>
      <c r="G2655" t="s">
        <v>145</v>
      </c>
      <c r="H2655" t="s">
        <v>18</v>
      </c>
      <c r="I2655" t="e">
        <f t="shared" ca="1" si="206"/>
        <v>#REF!</v>
      </c>
      <c r="J2655" t="str">
        <f>VLOOKUP($G2655,DefinitionArrays!$I$6:$J$12,2,FALSE)</f>
        <v>Weekend</v>
      </c>
    </row>
    <row r="2656" spans="1:10">
      <c r="A2656" s="159" t="str">
        <f t="shared" si="207"/>
        <v>$N$1:$N$92</v>
      </c>
      <c r="B2656" s="159" t="str">
        <f t="shared" si="208"/>
        <v>$O$1:$O$92</v>
      </c>
      <c r="C2656" s="159" t="str">
        <f t="shared" si="209"/>
        <v>July!$N$1:$N$92</v>
      </c>
      <c r="D2656" s="159" t="str">
        <f t="shared" si="210"/>
        <v>July!$O$1:$O$92</v>
      </c>
      <c r="E2656" t="s">
        <v>6</v>
      </c>
      <c r="F2656" t="s">
        <v>126</v>
      </c>
      <c r="G2656" t="s">
        <v>145</v>
      </c>
      <c r="H2656" t="s">
        <v>153</v>
      </c>
      <c r="I2656" t="e">
        <f t="shared" ca="1" si="206"/>
        <v>#REF!</v>
      </c>
      <c r="J2656" t="str">
        <f>VLOOKUP($G2656,DefinitionArrays!$I$6:$J$12,2,FALSE)</f>
        <v>Weekend</v>
      </c>
    </row>
    <row r="2657" spans="1:10">
      <c r="A2657" s="159" t="str">
        <f t="shared" si="207"/>
        <v>$N$1:$N$92</v>
      </c>
      <c r="B2657" s="159" t="str">
        <f t="shared" si="208"/>
        <v>$O$1:$O$92</v>
      </c>
      <c r="C2657" s="159" t="str">
        <f t="shared" si="209"/>
        <v>July!$N$1:$N$92</v>
      </c>
      <c r="D2657" s="159" t="str">
        <f t="shared" si="210"/>
        <v>July!$O$1:$O$92</v>
      </c>
      <c r="E2657" t="s">
        <v>6</v>
      </c>
      <c r="F2657" t="s">
        <v>126</v>
      </c>
      <c r="G2657" t="s">
        <v>145</v>
      </c>
      <c r="H2657" t="s">
        <v>19</v>
      </c>
      <c r="I2657" t="e">
        <f t="shared" ca="1" si="206"/>
        <v>#REF!</v>
      </c>
      <c r="J2657" t="str">
        <f>VLOOKUP($G2657,DefinitionArrays!$I$6:$J$12,2,FALSE)</f>
        <v>Weekend</v>
      </c>
    </row>
    <row r="2658" spans="1:10">
      <c r="A2658" s="159" t="str">
        <f t="shared" si="207"/>
        <v>$N$1:$N$92</v>
      </c>
      <c r="B2658" s="159" t="str">
        <f t="shared" si="208"/>
        <v>$O$1:$O$92</v>
      </c>
      <c r="C2658" s="159" t="str">
        <f t="shared" si="209"/>
        <v>July!$N$1:$N$92</v>
      </c>
      <c r="D2658" s="159" t="str">
        <f t="shared" si="210"/>
        <v>July!$O$1:$O$92</v>
      </c>
      <c r="E2658" t="s">
        <v>6</v>
      </c>
      <c r="F2658" t="s">
        <v>126</v>
      </c>
      <c r="G2658" t="s">
        <v>145</v>
      </c>
      <c r="H2658" t="s">
        <v>20</v>
      </c>
      <c r="I2658" t="e">
        <f t="shared" ca="1" si="206"/>
        <v>#REF!</v>
      </c>
      <c r="J2658" t="str">
        <f>VLOOKUP($G2658,DefinitionArrays!$I$6:$J$12,2,FALSE)</f>
        <v>Weekend</v>
      </c>
    </row>
    <row r="2659" spans="1:10">
      <c r="A2659" s="159" t="str">
        <f t="shared" si="207"/>
        <v>$N$1:$N$92</v>
      </c>
      <c r="B2659" s="159" t="str">
        <f t="shared" si="208"/>
        <v>$O$1:$O$92</v>
      </c>
      <c r="C2659" s="159" t="str">
        <f t="shared" si="209"/>
        <v>July!$N$1:$N$92</v>
      </c>
      <c r="D2659" s="159" t="str">
        <f t="shared" si="210"/>
        <v>July!$O$1:$O$92</v>
      </c>
      <c r="E2659" t="s">
        <v>6</v>
      </c>
      <c r="F2659" t="s">
        <v>126</v>
      </c>
      <c r="G2659" t="s">
        <v>145</v>
      </c>
      <c r="H2659" t="s">
        <v>21</v>
      </c>
      <c r="I2659" t="e">
        <f t="shared" ca="1" si="206"/>
        <v>#REF!</v>
      </c>
      <c r="J2659" t="str">
        <f>VLOOKUP($G2659,DefinitionArrays!$I$6:$J$12,2,FALSE)</f>
        <v>Weekend</v>
      </c>
    </row>
    <row r="2660" spans="1:10">
      <c r="A2660" s="159" t="str">
        <f t="shared" si="207"/>
        <v>$N$1:$N$92</v>
      </c>
      <c r="B2660" s="159" t="str">
        <f t="shared" si="208"/>
        <v>$O$1:$O$92</v>
      </c>
      <c r="C2660" s="159" t="str">
        <f t="shared" si="209"/>
        <v>July!$N$1:$N$92</v>
      </c>
      <c r="D2660" s="159" t="str">
        <f t="shared" si="210"/>
        <v>July!$O$1:$O$92</v>
      </c>
      <c r="E2660" t="s">
        <v>6</v>
      </c>
      <c r="F2660" t="s">
        <v>126</v>
      </c>
      <c r="G2660" t="s">
        <v>145</v>
      </c>
      <c r="H2660" t="s">
        <v>22</v>
      </c>
      <c r="I2660" t="e">
        <f t="shared" ca="1" si="206"/>
        <v>#REF!</v>
      </c>
      <c r="J2660" t="str">
        <f>VLOOKUP($G2660,DefinitionArrays!$I$6:$J$12,2,FALSE)</f>
        <v>Weekend</v>
      </c>
    </row>
    <row r="2661" spans="1:10">
      <c r="A2661" s="159" t="str">
        <f t="shared" si="207"/>
        <v>$N$1:$N$92</v>
      </c>
      <c r="B2661" s="159" t="str">
        <f t="shared" si="208"/>
        <v>$O$1:$O$92</v>
      </c>
      <c r="C2661" s="159" t="str">
        <f t="shared" si="209"/>
        <v>July!$N$1:$N$92</v>
      </c>
      <c r="D2661" s="159" t="str">
        <f t="shared" si="210"/>
        <v>July!$O$1:$O$92</v>
      </c>
      <c r="E2661" t="s">
        <v>6</v>
      </c>
      <c r="F2661" t="s">
        <v>126</v>
      </c>
      <c r="G2661" t="s">
        <v>145</v>
      </c>
      <c r="H2661" t="s">
        <v>23</v>
      </c>
      <c r="I2661" t="e">
        <f t="shared" ca="1" si="206"/>
        <v>#REF!</v>
      </c>
      <c r="J2661" t="str">
        <f>VLOOKUP($G2661,DefinitionArrays!$I$6:$J$12,2,FALSE)</f>
        <v>Weekend</v>
      </c>
    </row>
    <row r="2662" spans="1:10">
      <c r="A2662" s="159" t="str">
        <f t="shared" si="207"/>
        <v>$N$1:$N$92</v>
      </c>
      <c r="B2662" s="159" t="str">
        <f t="shared" si="208"/>
        <v>$O$1:$O$92</v>
      </c>
      <c r="C2662" s="159" t="str">
        <f t="shared" si="209"/>
        <v>July!$N$1:$N$92</v>
      </c>
      <c r="D2662" s="159" t="str">
        <f t="shared" si="210"/>
        <v>July!$O$1:$O$92</v>
      </c>
      <c r="E2662" t="s">
        <v>6</v>
      </c>
      <c r="F2662" t="s">
        <v>126</v>
      </c>
      <c r="G2662" t="s">
        <v>145</v>
      </c>
      <c r="H2662" t="s">
        <v>24</v>
      </c>
      <c r="I2662" t="e">
        <f t="shared" ca="1" si="206"/>
        <v>#REF!</v>
      </c>
      <c r="J2662" t="str">
        <f>VLOOKUP($G2662,DefinitionArrays!$I$6:$J$12,2,FALSE)</f>
        <v>Weekend</v>
      </c>
    </row>
    <row r="2663" spans="1:10">
      <c r="A2663" s="159" t="str">
        <f t="shared" si="207"/>
        <v>$N$1:$N$92</v>
      </c>
      <c r="B2663" s="159" t="str">
        <f t="shared" si="208"/>
        <v>$O$1:$O$92</v>
      </c>
      <c r="C2663" s="159" t="str">
        <f t="shared" si="209"/>
        <v>July!$N$1:$N$92</v>
      </c>
      <c r="D2663" s="159" t="str">
        <f t="shared" si="210"/>
        <v>July!$O$1:$O$92</v>
      </c>
      <c r="E2663" t="s">
        <v>6</v>
      </c>
      <c r="F2663" t="s">
        <v>126</v>
      </c>
      <c r="G2663" t="s">
        <v>145</v>
      </c>
      <c r="H2663" t="s">
        <v>179</v>
      </c>
      <c r="I2663" t="e">
        <f t="shared" ca="1" si="206"/>
        <v>#REF!</v>
      </c>
      <c r="J2663" t="str">
        <f>VLOOKUP($G2663,DefinitionArrays!$I$6:$J$12,2,FALSE)</f>
        <v>Weekend</v>
      </c>
    </row>
    <row r="2664" spans="1:10">
      <c r="A2664" s="159" t="str">
        <f t="shared" si="207"/>
        <v>$N$1:$N$92</v>
      </c>
      <c r="B2664" s="159" t="str">
        <f t="shared" si="208"/>
        <v>$O$1:$O$92</v>
      </c>
      <c r="C2664" s="159" t="str">
        <f t="shared" si="209"/>
        <v>July!$N$1:$N$92</v>
      </c>
      <c r="D2664" s="159" t="str">
        <f t="shared" si="210"/>
        <v>July!$O$1:$O$92</v>
      </c>
      <c r="E2664" t="s">
        <v>6</v>
      </c>
      <c r="F2664" t="s">
        <v>126</v>
      </c>
      <c r="G2664" t="s">
        <v>145</v>
      </c>
      <c r="H2664" t="s">
        <v>180</v>
      </c>
      <c r="I2664" t="e">
        <f t="shared" ca="1" si="206"/>
        <v>#REF!</v>
      </c>
      <c r="J2664" t="str">
        <f>VLOOKUP($G2664,DefinitionArrays!$I$6:$J$12,2,FALSE)</f>
        <v>Weekend</v>
      </c>
    </row>
    <row r="2665" spans="1:10">
      <c r="A2665" s="159" t="str">
        <f t="shared" si="207"/>
        <v>$N$1:$N$92</v>
      </c>
      <c r="B2665" s="159" t="str">
        <f t="shared" si="208"/>
        <v>$O$1:$O$92</v>
      </c>
      <c r="C2665" s="159" t="str">
        <f t="shared" si="209"/>
        <v>July!$N$1:$N$92</v>
      </c>
      <c r="D2665" s="159" t="str">
        <f t="shared" si="210"/>
        <v>July!$O$1:$O$92</v>
      </c>
      <c r="E2665" t="s">
        <v>6</v>
      </c>
      <c r="F2665" t="s">
        <v>126</v>
      </c>
      <c r="G2665" t="s">
        <v>145</v>
      </c>
      <c r="H2665" t="s">
        <v>44</v>
      </c>
      <c r="I2665" t="e">
        <f t="shared" ca="1" si="206"/>
        <v>#REF!</v>
      </c>
      <c r="J2665" t="str">
        <f>VLOOKUP($G2665,DefinitionArrays!$I$6:$J$12,2,FALSE)</f>
        <v>Weekend</v>
      </c>
    </row>
    <row r="2666" spans="1:10">
      <c r="A2666" s="159" t="str">
        <f t="shared" si="207"/>
        <v>$Q$1:$Q$92</v>
      </c>
      <c r="B2666" s="159" t="str">
        <f t="shared" si="208"/>
        <v>$R$1:$R$92</v>
      </c>
      <c r="C2666" s="159" t="str">
        <f t="shared" si="209"/>
        <v>July!$Q$1:$Q$92</v>
      </c>
      <c r="D2666" s="159" t="str">
        <f t="shared" si="210"/>
        <v>July!$R$1:$R$92</v>
      </c>
      <c r="E2666" t="s">
        <v>6</v>
      </c>
      <c r="F2666" t="s">
        <v>126</v>
      </c>
      <c r="G2666" t="s">
        <v>146</v>
      </c>
      <c r="H2666" t="s">
        <v>159</v>
      </c>
      <c r="I2666" t="e">
        <f t="shared" ca="1" si="206"/>
        <v>#REF!</v>
      </c>
      <c r="J2666" t="str">
        <f>VLOOKUP($G2666,DefinitionArrays!$I$6:$J$12,2,FALSE)</f>
        <v>Weekend</v>
      </c>
    </row>
    <row r="2667" spans="1:10">
      <c r="A2667" s="159" t="str">
        <f t="shared" si="207"/>
        <v>$T$1:$T$92</v>
      </c>
      <c r="B2667" s="159" t="str">
        <f t="shared" si="208"/>
        <v>$U$1:$U$92</v>
      </c>
      <c r="C2667" s="159" t="str">
        <f t="shared" si="209"/>
        <v>July!$T$1:$T$92</v>
      </c>
      <c r="D2667" s="159" t="str">
        <f t="shared" si="210"/>
        <v>July!$U$1:$U$92</v>
      </c>
      <c r="E2667" t="s">
        <v>6</v>
      </c>
      <c r="F2667" t="s">
        <v>126</v>
      </c>
      <c r="G2667" t="s">
        <v>141</v>
      </c>
      <c r="H2667" t="s">
        <v>159</v>
      </c>
      <c r="I2667" t="e">
        <f t="shared" ca="1" si="206"/>
        <v>#REF!</v>
      </c>
      <c r="J2667" t="str">
        <f>VLOOKUP($G2667,DefinitionArrays!$I$6:$J$12,2,FALSE)</f>
        <v>Weekend</v>
      </c>
    </row>
    <row r="2668" spans="1:10">
      <c r="A2668" s="159" t="str">
        <f t="shared" si="207"/>
        <v>$B$1:$B$92</v>
      </c>
      <c r="B2668" s="159" t="str">
        <f t="shared" si="208"/>
        <v>$C$1:$C$92</v>
      </c>
      <c r="C2668" s="159" t="str">
        <f t="shared" si="209"/>
        <v>August!$B$1:$B$92</v>
      </c>
      <c r="D2668" s="159" t="str">
        <f t="shared" si="210"/>
        <v>August!$C$1:$C$92</v>
      </c>
      <c r="E2668" t="s">
        <v>6</v>
      </c>
      <c r="F2668" t="s">
        <v>127</v>
      </c>
      <c r="G2668" t="s">
        <v>13</v>
      </c>
      <c r="H2668" t="s">
        <v>159</v>
      </c>
      <c r="I2668" t="e">
        <f ca="1">COUNTIFS(INDIRECT($C2668),$E2668,INDIRECT($D2668),$H2668)</f>
        <v>#REF!</v>
      </c>
      <c r="J2668" t="str">
        <f>VLOOKUP($G2668,DefinitionArrays!$I$6:$J$12,2,FALSE)</f>
        <v>Workweek</v>
      </c>
    </row>
    <row r="2669" spans="1:10">
      <c r="A2669" s="159" t="str">
        <f t="shared" si="207"/>
        <v>$B$1:$B$92</v>
      </c>
      <c r="B2669" s="159" t="str">
        <f t="shared" si="208"/>
        <v>$C$1:$C$92</v>
      </c>
      <c r="C2669" s="159" t="str">
        <f t="shared" si="209"/>
        <v>August!$B$1:$B$92</v>
      </c>
      <c r="D2669" s="159" t="str">
        <f t="shared" si="210"/>
        <v>August!$C$1:$C$92</v>
      </c>
      <c r="E2669" t="s">
        <v>6</v>
      </c>
      <c r="F2669" t="s">
        <v>127</v>
      </c>
      <c r="G2669" t="s">
        <v>13</v>
      </c>
      <c r="H2669" t="s">
        <v>18</v>
      </c>
      <c r="I2669" t="e">
        <f t="shared" ref="I2669:I2729" ca="1" si="211">COUNTIFS(INDIRECT($C2669),$E2669,INDIRECT($D2669),$H2669)</f>
        <v>#REF!</v>
      </c>
      <c r="J2669" t="str">
        <f>VLOOKUP($G2669,DefinitionArrays!$I$6:$J$12,2,FALSE)</f>
        <v>Workweek</v>
      </c>
    </row>
    <row r="2670" spans="1:10">
      <c r="A2670" s="159" t="str">
        <f t="shared" si="207"/>
        <v>$B$1:$B$92</v>
      </c>
      <c r="B2670" s="159" t="str">
        <f t="shared" si="208"/>
        <v>$C$1:$C$92</v>
      </c>
      <c r="C2670" s="159" t="str">
        <f t="shared" si="209"/>
        <v>August!$B$1:$B$92</v>
      </c>
      <c r="D2670" s="159" t="str">
        <f t="shared" si="210"/>
        <v>August!$C$1:$C$92</v>
      </c>
      <c r="E2670" t="s">
        <v>6</v>
      </c>
      <c r="F2670" t="s">
        <v>127</v>
      </c>
      <c r="G2670" t="s">
        <v>13</v>
      </c>
      <c r="H2670" t="s">
        <v>153</v>
      </c>
      <c r="I2670" t="e">
        <f t="shared" ca="1" si="211"/>
        <v>#REF!</v>
      </c>
      <c r="J2670" t="str">
        <f>VLOOKUP($G2670,DefinitionArrays!$I$6:$J$12,2,FALSE)</f>
        <v>Workweek</v>
      </c>
    </row>
    <row r="2671" spans="1:10">
      <c r="A2671" s="159" t="str">
        <f t="shared" si="207"/>
        <v>$B$1:$B$92</v>
      </c>
      <c r="B2671" s="159" t="str">
        <f t="shared" si="208"/>
        <v>$C$1:$C$92</v>
      </c>
      <c r="C2671" s="159" t="str">
        <f t="shared" si="209"/>
        <v>August!$B$1:$B$92</v>
      </c>
      <c r="D2671" s="159" t="str">
        <f t="shared" si="210"/>
        <v>August!$C$1:$C$92</v>
      </c>
      <c r="E2671" t="s">
        <v>6</v>
      </c>
      <c r="F2671" t="s">
        <v>127</v>
      </c>
      <c r="G2671" t="s">
        <v>13</v>
      </c>
      <c r="H2671" t="s">
        <v>19</v>
      </c>
      <c r="I2671" t="e">
        <f t="shared" ca="1" si="211"/>
        <v>#REF!</v>
      </c>
      <c r="J2671" t="str">
        <f>VLOOKUP($G2671,DefinitionArrays!$I$6:$J$12,2,FALSE)</f>
        <v>Workweek</v>
      </c>
    </row>
    <row r="2672" spans="1:10">
      <c r="A2672" s="159" t="str">
        <f t="shared" si="207"/>
        <v>$B$1:$B$92</v>
      </c>
      <c r="B2672" s="159" t="str">
        <f t="shared" si="208"/>
        <v>$C$1:$C$92</v>
      </c>
      <c r="C2672" s="159" t="str">
        <f t="shared" si="209"/>
        <v>August!$B$1:$B$92</v>
      </c>
      <c r="D2672" s="159" t="str">
        <f t="shared" si="210"/>
        <v>August!$C$1:$C$92</v>
      </c>
      <c r="E2672" t="s">
        <v>6</v>
      </c>
      <c r="F2672" t="s">
        <v>127</v>
      </c>
      <c r="G2672" t="s">
        <v>13</v>
      </c>
      <c r="H2672" t="s">
        <v>20</v>
      </c>
      <c r="I2672" t="e">
        <f t="shared" ca="1" si="211"/>
        <v>#REF!</v>
      </c>
      <c r="J2672" t="str">
        <f>VLOOKUP($G2672,DefinitionArrays!$I$6:$J$12,2,FALSE)</f>
        <v>Workweek</v>
      </c>
    </row>
    <row r="2673" spans="1:10">
      <c r="A2673" s="159" t="str">
        <f t="shared" si="207"/>
        <v>$B$1:$B$92</v>
      </c>
      <c r="B2673" s="159" t="str">
        <f t="shared" si="208"/>
        <v>$C$1:$C$92</v>
      </c>
      <c r="C2673" s="159" t="str">
        <f t="shared" si="209"/>
        <v>August!$B$1:$B$92</v>
      </c>
      <c r="D2673" s="159" t="str">
        <f t="shared" si="210"/>
        <v>August!$C$1:$C$92</v>
      </c>
      <c r="E2673" t="s">
        <v>6</v>
      </c>
      <c r="F2673" t="s">
        <v>127</v>
      </c>
      <c r="G2673" t="s">
        <v>13</v>
      </c>
      <c r="H2673" t="s">
        <v>21</v>
      </c>
      <c r="I2673" t="e">
        <f t="shared" ca="1" si="211"/>
        <v>#REF!</v>
      </c>
      <c r="J2673" t="str">
        <f>VLOOKUP($G2673,DefinitionArrays!$I$6:$J$12,2,FALSE)</f>
        <v>Workweek</v>
      </c>
    </row>
    <row r="2674" spans="1:10">
      <c r="A2674" s="159" t="str">
        <f t="shared" si="207"/>
        <v>$B$1:$B$92</v>
      </c>
      <c r="B2674" s="159" t="str">
        <f t="shared" si="208"/>
        <v>$C$1:$C$92</v>
      </c>
      <c r="C2674" s="159" t="str">
        <f t="shared" si="209"/>
        <v>August!$B$1:$B$92</v>
      </c>
      <c r="D2674" s="159" t="str">
        <f t="shared" si="210"/>
        <v>August!$C$1:$C$92</v>
      </c>
      <c r="E2674" t="s">
        <v>6</v>
      </c>
      <c r="F2674" t="s">
        <v>127</v>
      </c>
      <c r="G2674" t="s">
        <v>13</v>
      </c>
      <c r="H2674" t="s">
        <v>22</v>
      </c>
      <c r="I2674" t="e">
        <f t="shared" ca="1" si="211"/>
        <v>#REF!</v>
      </c>
      <c r="J2674" t="str">
        <f>VLOOKUP($G2674,DefinitionArrays!$I$6:$J$12,2,FALSE)</f>
        <v>Workweek</v>
      </c>
    </row>
    <row r="2675" spans="1:10">
      <c r="A2675" s="159" t="str">
        <f t="shared" si="207"/>
        <v>$B$1:$B$92</v>
      </c>
      <c r="B2675" s="159" t="str">
        <f t="shared" si="208"/>
        <v>$C$1:$C$92</v>
      </c>
      <c r="C2675" s="159" t="str">
        <f t="shared" si="209"/>
        <v>August!$B$1:$B$92</v>
      </c>
      <c r="D2675" s="159" t="str">
        <f t="shared" si="210"/>
        <v>August!$C$1:$C$92</v>
      </c>
      <c r="E2675" t="s">
        <v>6</v>
      </c>
      <c r="F2675" t="s">
        <v>127</v>
      </c>
      <c r="G2675" t="s">
        <v>13</v>
      </c>
      <c r="H2675" t="s">
        <v>23</v>
      </c>
      <c r="I2675" t="e">
        <f t="shared" ca="1" si="211"/>
        <v>#REF!</v>
      </c>
      <c r="J2675" t="str">
        <f>VLOOKUP($G2675,DefinitionArrays!$I$6:$J$12,2,FALSE)</f>
        <v>Workweek</v>
      </c>
    </row>
    <row r="2676" spans="1:10">
      <c r="A2676" s="159" t="str">
        <f t="shared" si="207"/>
        <v>$B$1:$B$92</v>
      </c>
      <c r="B2676" s="159" t="str">
        <f t="shared" si="208"/>
        <v>$C$1:$C$92</v>
      </c>
      <c r="C2676" s="159" t="str">
        <f t="shared" si="209"/>
        <v>August!$B$1:$B$92</v>
      </c>
      <c r="D2676" s="159" t="str">
        <f t="shared" si="210"/>
        <v>August!$C$1:$C$92</v>
      </c>
      <c r="E2676" t="s">
        <v>6</v>
      </c>
      <c r="F2676" t="s">
        <v>127</v>
      </c>
      <c r="G2676" t="s">
        <v>13</v>
      </c>
      <c r="H2676" t="s">
        <v>24</v>
      </c>
      <c r="I2676" t="e">
        <f t="shared" ca="1" si="211"/>
        <v>#REF!</v>
      </c>
      <c r="J2676" t="str">
        <f>VLOOKUP($G2676,DefinitionArrays!$I$6:$J$12,2,FALSE)</f>
        <v>Workweek</v>
      </c>
    </row>
    <row r="2677" spans="1:10">
      <c r="A2677" s="159" t="str">
        <f t="shared" si="207"/>
        <v>$B$1:$B$92</v>
      </c>
      <c r="B2677" s="159" t="str">
        <f t="shared" si="208"/>
        <v>$C$1:$C$92</v>
      </c>
      <c r="C2677" s="159" t="str">
        <f t="shared" si="209"/>
        <v>August!$B$1:$B$92</v>
      </c>
      <c r="D2677" s="159" t="str">
        <f t="shared" si="210"/>
        <v>August!$C$1:$C$92</v>
      </c>
      <c r="E2677" t="s">
        <v>6</v>
      </c>
      <c r="F2677" t="s">
        <v>127</v>
      </c>
      <c r="G2677" t="s">
        <v>13</v>
      </c>
      <c r="H2677" t="s">
        <v>179</v>
      </c>
      <c r="I2677" t="e">
        <f t="shared" ca="1" si="211"/>
        <v>#REF!</v>
      </c>
      <c r="J2677" t="str">
        <f>VLOOKUP($G2677,DefinitionArrays!$I$6:$J$12,2,FALSE)</f>
        <v>Workweek</v>
      </c>
    </row>
    <row r="2678" spans="1:10">
      <c r="A2678" s="159" t="str">
        <f t="shared" si="207"/>
        <v>$B$1:$B$92</v>
      </c>
      <c r="B2678" s="159" t="str">
        <f t="shared" si="208"/>
        <v>$C$1:$C$92</v>
      </c>
      <c r="C2678" s="159" t="str">
        <f t="shared" si="209"/>
        <v>August!$B$1:$B$92</v>
      </c>
      <c r="D2678" s="159" t="str">
        <f t="shared" si="210"/>
        <v>August!$C$1:$C$92</v>
      </c>
      <c r="E2678" t="s">
        <v>6</v>
      </c>
      <c r="F2678" t="s">
        <v>127</v>
      </c>
      <c r="G2678" t="s">
        <v>13</v>
      </c>
      <c r="H2678" t="s">
        <v>180</v>
      </c>
      <c r="I2678" t="e">
        <f t="shared" ca="1" si="211"/>
        <v>#REF!</v>
      </c>
      <c r="J2678" t="str">
        <f>VLOOKUP($G2678,DefinitionArrays!$I$6:$J$12,2,FALSE)</f>
        <v>Workweek</v>
      </c>
    </row>
    <row r="2679" spans="1:10">
      <c r="A2679" s="159" t="str">
        <f t="shared" si="207"/>
        <v>$B$1:$B$92</v>
      </c>
      <c r="B2679" s="159" t="str">
        <f t="shared" si="208"/>
        <v>$C$1:$C$92</v>
      </c>
      <c r="C2679" s="159" t="str">
        <f t="shared" si="209"/>
        <v>August!$B$1:$B$92</v>
      </c>
      <c r="D2679" s="159" t="str">
        <f t="shared" si="210"/>
        <v>August!$C$1:$C$92</v>
      </c>
      <c r="E2679" t="s">
        <v>6</v>
      </c>
      <c r="F2679" t="s">
        <v>127</v>
      </c>
      <c r="G2679" t="s">
        <v>13</v>
      </c>
      <c r="H2679" t="s">
        <v>44</v>
      </c>
      <c r="I2679" t="e">
        <f t="shared" ca="1" si="211"/>
        <v>#REF!</v>
      </c>
      <c r="J2679" t="str">
        <f>VLOOKUP($G2679,DefinitionArrays!$I$6:$J$12,2,FALSE)</f>
        <v>Workweek</v>
      </c>
    </row>
    <row r="2680" spans="1:10">
      <c r="A2680" s="159" t="str">
        <f t="shared" si="207"/>
        <v>$E$1:$E$92</v>
      </c>
      <c r="B2680" s="159" t="str">
        <f t="shared" si="208"/>
        <v>$F$1:$F$92</v>
      </c>
      <c r="C2680" s="159" t="str">
        <f t="shared" si="209"/>
        <v>August!$E$1:$E$92</v>
      </c>
      <c r="D2680" s="159" t="str">
        <f t="shared" si="210"/>
        <v>August!$F$1:$F$92</v>
      </c>
      <c r="E2680" t="s">
        <v>6</v>
      </c>
      <c r="F2680" t="s">
        <v>127</v>
      </c>
      <c r="G2680" t="s">
        <v>142</v>
      </c>
      <c r="H2680" t="s">
        <v>159</v>
      </c>
      <c r="I2680" t="e">
        <f t="shared" ca="1" si="211"/>
        <v>#REF!</v>
      </c>
      <c r="J2680" t="str">
        <f>VLOOKUP($G2680,DefinitionArrays!$I$6:$J$12,2,FALSE)</f>
        <v>Workweek</v>
      </c>
    </row>
    <row r="2681" spans="1:10">
      <c r="A2681" s="159" t="str">
        <f t="shared" si="207"/>
        <v>$E$1:$E$92</v>
      </c>
      <c r="B2681" s="159" t="str">
        <f t="shared" si="208"/>
        <v>$F$1:$F$92</v>
      </c>
      <c r="C2681" s="159" t="str">
        <f t="shared" si="209"/>
        <v>August!$E$1:$E$92</v>
      </c>
      <c r="D2681" s="159" t="str">
        <f t="shared" si="210"/>
        <v>August!$F$1:$F$92</v>
      </c>
      <c r="E2681" t="s">
        <v>6</v>
      </c>
      <c r="F2681" t="s">
        <v>127</v>
      </c>
      <c r="G2681" t="s">
        <v>142</v>
      </c>
      <c r="H2681" t="s">
        <v>18</v>
      </c>
      <c r="I2681" t="e">
        <f t="shared" ca="1" si="211"/>
        <v>#REF!</v>
      </c>
      <c r="J2681" t="str">
        <f>VLOOKUP($G2681,DefinitionArrays!$I$6:$J$12,2,FALSE)</f>
        <v>Workweek</v>
      </c>
    </row>
    <row r="2682" spans="1:10">
      <c r="A2682" s="159" t="str">
        <f t="shared" si="207"/>
        <v>$E$1:$E$92</v>
      </c>
      <c r="B2682" s="159" t="str">
        <f t="shared" si="208"/>
        <v>$F$1:$F$92</v>
      </c>
      <c r="C2682" s="159" t="str">
        <f t="shared" si="209"/>
        <v>August!$E$1:$E$92</v>
      </c>
      <c r="D2682" s="159" t="str">
        <f t="shared" si="210"/>
        <v>August!$F$1:$F$92</v>
      </c>
      <c r="E2682" t="s">
        <v>6</v>
      </c>
      <c r="F2682" t="s">
        <v>127</v>
      </c>
      <c r="G2682" t="s">
        <v>142</v>
      </c>
      <c r="H2682" t="s">
        <v>153</v>
      </c>
      <c r="I2682" t="e">
        <f t="shared" ca="1" si="211"/>
        <v>#REF!</v>
      </c>
      <c r="J2682" t="str">
        <f>VLOOKUP($G2682,DefinitionArrays!$I$6:$J$12,2,FALSE)</f>
        <v>Workweek</v>
      </c>
    </row>
    <row r="2683" spans="1:10">
      <c r="A2683" s="159" t="str">
        <f t="shared" si="207"/>
        <v>$E$1:$E$92</v>
      </c>
      <c r="B2683" s="159" t="str">
        <f t="shared" si="208"/>
        <v>$F$1:$F$92</v>
      </c>
      <c r="C2683" s="159" t="str">
        <f t="shared" si="209"/>
        <v>August!$E$1:$E$92</v>
      </c>
      <c r="D2683" s="159" t="str">
        <f t="shared" si="210"/>
        <v>August!$F$1:$F$92</v>
      </c>
      <c r="E2683" t="s">
        <v>6</v>
      </c>
      <c r="F2683" t="s">
        <v>127</v>
      </c>
      <c r="G2683" t="s">
        <v>142</v>
      </c>
      <c r="H2683" t="s">
        <v>19</v>
      </c>
      <c r="I2683" t="e">
        <f t="shared" ca="1" si="211"/>
        <v>#REF!</v>
      </c>
      <c r="J2683" t="str">
        <f>VLOOKUP($G2683,DefinitionArrays!$I$6:$J$12,2,FALSE)</f>
        <v>Workweek</v>
      </c>
    </row>
    <row r="2684" spans="1:10">
      <c r="A2684" s="159" t="str">
        <f t="shared" si="207"/>
        <v>$E$1:$E$92</v>
      </c>
      <c r="B2684" s="159" t="str">
        <f t="shared" si="208"/>
        <v>$F$1:$F$92</v>
      </c>
      <c r="C2684" s="159" t="str">
        <f t="shared" si="209"/>
        <v>August!$E$1:$E$92</v>
      </c>
      <c r="D2684" s="159" t="str">
        <f t="shared" si="210"/>
        <v>August!$F$1:$F$92</v>
      </c>
      <c r="E2684" t="s">
        <v>6</v>
      </c>
      <c r="F2684" t="s">
        <v>127</v>
      </c>
      <c r="G2684" t="s">
        <v>142</v>
      </c>
      <c r="H2684" t="s">
        <v>20</v>
      </c>
      <c r="I2684" t="e">
        <f t="shared" ca="1" si="211"/>
        <v>#REF!</v>
      </c>
      <c r="J2684" t="str">
        <f>VLOOKUP($G2684,DefinitionArrays!$I$6:$J$12,2,FALSE)</f>
        <v>Workweek</v>
      </c>
    </row>
    <row r="2685" spans="1:10">
      <c r="A2685" s="159" t="str">
        <f t="shared" si="207"/>
        <v>$E$1:$E$92</v>
      </c>
      <c r="B2685" s="159" t="str">
        <f t="shared" si="208"/>
        <v>$F$1:$F$92</v>
      </c>
      <c r="C2685" s="159" t="str">
        <f t="shared" si="209"/>
        <v>August!$E$1:$E$92</v>
      </c>
      <c r="D2685" s="159" t="str">
        <f t="shared" si="210"/>
        <v>August!$F$1:$F$92</v>
      </c>
      <c r="E2685" t="s">
        <v>6</v>
      </c>
      <c r="F2685" t="s">
        <v>127</v>
      </c>
      <c r="G2685" t="s">
        <v>142</v>
      </c>
      <c r="H2685" t="s">
        <v>21</v>
      </c>
      <c r="I2685" t="e">
        <f t="shared" ca="1" si="211"/>
        <v>#REF!</v>
      </c>
      <c r="J2685" t="str">
        <f>VLOOKUP($G2685,DefinitionArrays!$I$6:$J$12,2,FALSE)</f>
        <v>Workweek</v>
      </c>
    </row>
    <row r="2686" spans="1:10">
      <c r="A2686" s="159" t="str">
        <f t="shared" si="207"/>
        <v>$E$1:$E$92</v>
      </c>
      <c r="B2686" s="159" t="str">
        <f t="shared" si="208"/>
        <v>$F$1:$F$92</v>
      </c>
      <c r="C2686" s="159" t="str">
        <f t="shared" si="209"/>
        <v>August!$E$1:$E$92</v>
      </c>
      <c r="D2686" s="159" t="str">
        <f t="shared" si="210"/>
        <v>August!$F$1:$F$92</v>
      </c>
      <c r="E2686" t="s">
        <v>6</v>
      </c>
      <c r="F2686" t="s">
        <v>127</v>
      </c>
      <c r="G2686" t="s">
        <v>142</v>
      </c>
      <c r="H2686" t="s">
        <v>22</v>
      </c>
      <c r="I2686" t="e">
        <f t="shared" ca="1" si="211"/>
        <v>#REF!</v>
      </c>
      <c r="J2686" t="str">
        <f>VLOOKUP($G2686,DefinitionArrays!$I$6:$J$12,2,FALSE)</f>
        <v>Workweek</v>
      </c>
    </row>
    <row r="2687" spans="1:10">
      <c r="A2687" s="159" t="str">
        <f t="shared" si="207"/>
        <v>$E$1:$E$92</v>
      </c>
      <c r="B2687" s="159" t="str">
        <f t="shared" si="208"/>
        <v>$F$1:$F$92</v>
      </c>
      <c r="C2687" s="159" t="str">
        <f t="shared" si="209"/>
        <v>August!$E$1:$E$92</v>
      </c>
      <c r="D2687" s="159" t="str">
        <f t="shared" si="210"/>
        <v>August!$F$1:$F$92</v>
      </c>
      <c r="E2687" t="s">
        <v>6</v>
      </c>
      <c r="F2687" t="s">
        <v>127</v>
      </c>
      <c r="G2687" t="s">
        <v>142</v>
      </c>
      <c r="H2687" t="s">
        <v>23</v>
      </c>
      <c r="I2687" t="e">
        <f t="shared" ca="1" si="211"/>
        <v>#REF!</v>
      </c>
      <c r="J2687" t="str">
        <f>VLOOKUP($G2687,DefinitionArrays!$I$6:$J$12,2,FALSE)</f>
        <v>Workweek</v>
      </c>
    </row>
    <row r="2688" spans="1:10">
      <c r="A2688" s="159" t="str">
        <f t="shared" si="207"/>
        <v>$E$1:$E$92</v>
      </c>
      <c r="B2688" s="159" t="str">
        <f t="shared" si="208"/>
        <v>$F$1:$F$92</v>
      </c>
      <c r="C2688" s="159" t="str">
        <f t="shared" si="209"/>
        <v>August!$E$1:$E$92</v>
      </c>
      <c r="D2688" s="159" t="str">
        <f t="shared" si="210"/>
        <v>August!$F$1:$F$92</v>
      </c>
      <c r="E2688" t="s">
        <v>6</v>
      </c>
      <c r="F2688" t="s">
        <v>127</v>
      </c>
      <c r="G2688" t="s">
        <v>142</v>
      </c>
      <c r="H2688" t="s">
        <v>24</v>
      </c>
      <c r="I2688" t="e">
        <f t="shared" ca="1" si="211"/>
        <v>#REF!</v>
      </c>
      <c r="J2688" t="str">
        <f>VLOOKUP($G2688,DefinitionArrays!$I$6:$J$12,2,FALSE)</f>
        <v>Workweek</v>
      </c>
    </row>
    <row r="2689" spans="1:10">
      <c r="A2689" s="159" t="str">
        <f t="shared" si="207"/>
        <v>$E$1:$E$92</v>
      </c>
      <c r="B2689" s="159" t="str">
        <f t="shared" si="208"/>
        <v>$F$1:$F$92</v>
      </c>
      <c r="C2689" s="159" t="str">
        <f t="shared" si="209"/>
        <v>August!$E$1:$E$92</v>
      </c>
      <c r="D2689" s="159" t="str">
        <f t="shared" si="210"/>
        <v>August!$F$1:$F$92</v>
      </c>
      <c r="E2689" t="s">
        <v>6</v>
      </c>
      <c r="F2689" t="s">
        <v>127</v>
      </c>
      <c r="G2689" t="s">
        <v>142</v>
      </c>
      <c r="H2689" t="s">
        <v>179</v>
      </c>
      <c r="I2689" t="e">
        <f t="shared" ca="1" si="211"/>
        <v>#REF!</v>
      </c>
      <c r="J2689" t="str">
        <f>VLOOKUP($G2689,DefinitionArrays!$I$6:$J$12,2,FALSE)</f>
        <v>Workweek</v>
      </c>
    </row>
    <row r="2690" spans="1:10">
      <c r="A2690" s="159" t="str">
        <f t="shared" ref="A2690:A2753" si="212">VLOOKUP($G2690,Fx_Code,2,FALSE)</f>
        <v>$E$1:$E$92</v>
      </c>
      <c r="B2690" s="159" t="str">
        <f t="shared" ref="B2690:B2753" si="213">VLOOKUP($G2690,Fx_Code,3,FALSE)</f>
        <v>$F$1:$F$92</v>
      </c>
      <c r="C2690" s="159" t="str">
        <f t="shared" ref="C2690:C2753" si="214">CONCATENATE($F2690,$K$1,A2690)</f>
        <v>August!$E$1:$E$92</v>
      </c>
      <c r="D2690" s="159" t="str">
        <f t="shared" ref="D2690:D2753" si="215">CONCATENATE($F2690,$K$1,B2690)</f>
        <v>August!$F$1:$F$92</v>
      </c>
      <c r="E2690" t="s">
        <v>6</v>
      </c>
      <c r="F2690" t="s">
        <v>127</v>
      </c>
      <c r="G2690" t="s">
        <v>142</v>
      </c>
      <c r="H2690" t="s">
        <v>180</v>
      </c>
      <c r="I2690" t="e">
        <f t="shared" ca="1" si="211"/>
        <v>#REF!</v>
      </c>
      <c r="J2690" t="str">
        <f>VLOOKUP($G2690,DefinitionArrays!$I$6:$J$12,2,FALSE)</f>
        <v>Workweek</v>
      </c>
    </row>
    <row r="2691" spans="1:10">
      <c r="A2691" s="159" t="str">
        <f t="shared" si="212"/>
        <v>$E$1:$E$92</v>
      </c>
      <c r="B2691" s="159" t="str">
        <f t="shared" si="213"/>
        <v>$F$1:$F$92</v>
      </c>
      <c r="C2691" s="159" t="str">
        <f t="shared" si="214"/>
        <v>August!$E$1:$E$92</v>
      </c>
      <c r="D2691" s="159" t="str">
        <f t="shared" si="215"/>
        <v>August!$F$1:$F$92</v>
      </c>
      <c r="E2691" t="s">
        <v>6</v>
      </c>
      <c r="F2691" t="s">
        <v>127</v>
      </c>
      <c r="G2691" t="s">
        <v>142</v>
      </c>
      <c r="H2691" t="s">
        <v>44</v>
      </c>
      <c r="I2691" t="e">
        <f t="shared" ca="1" si="211"/>
        <v>#REF!</v>
      </c>
      <c r="J2691" t="str">
        <f>VLOOKUP($G2691,DefinitionArrays!$I$6:$J$12,2,FALSE)</f>
        <v>Workweek</v>
      </c>
    </row>
    <row r="2692" spans="1:10">
      <c r="A2692" s="159" t="str">
        <f t="shared" si="212"/>
        <v>$H$1:$H$92</v>
      </c>
      <c r="B2692" s="159" t="str">
        <f t="shared" si="213"/>
        <v>$I$1:$I$92</v>
      </c>
      <c r="C2692" s="159" t="str">
        <f t="shared" si="214"/>
        <v>August!$H$1:$H$92</v>
      </c>
      <c r="D2692" s="159" t="str">
        <f t="shared" si="215"/>
        <v>August!$I$1:$I$92</v>
      </c>
      <c r="E2692" t="s">
        <v>6</v>
      </c>
      <c r="F2692" t="s">
        <v>127</v>
      </c>
      <c r="G2692" t="s">
        <v>143</v>
      </c>
      <c r="H2692" t="s">
        <v>159</v>
      </c>
      <c r="I2692" t="e">
        <f t="shared" ca="1" si="211"/>
        <v>#REF!</v>
      </c>
      <c r="J2692" t="str">
        <f>VLOOKUP($G2692,DefinitionArrays!$I$6:$J$12,2,FALSE)</f>
        <v>Workweek</v>
      </c>
    </row>
    <row r="2693" spans="1:10">
      <c r="A2693" s="159" t="str">
        <f t="shared" si="212"/>
        <v>$H$1:$H$92</v>
      </c>
      <c r="B2693" s="159" t="str">
        <f t="shared" si="213"/>
        <v>$I$1:$I$92</v>
      </c>
      <c r="C2693" s="159" t="str">
        <f t="shared" si="214"/>
        <v>August!$H$1:$H$92</v>
      </c>
      <c r="D2693" s="159" t="str">
        <f t="shared" si="215"/>
        <v>August!$I$1:$I$92</v>
      </c>
      <c r="E2693" t="s">
        <v>6</v>
      </c>
      <c r="F2693" t="s">
        <v>127</v>
      </c>
      <c r="G2693" t="s">
        <v>143</v>
      </c>
      <c r="H2693" t="s">
        <v>18</v>
      </c>
      <c r="I2693" t="e">
        <f t="shared" ca="1" si="211"/>
        <v>#REF!</v>
      </c>
      <c r="J2693" t="str">
        <f>VLOOKUP($G2693,DefinitionArrays!$I$6:$J$12,2,FALSE)</f>
        <v>Workweek</v>
      </c>
    </row>
    <row r="2694" spans="1:10">
      <c r="A2694" s="159" t="str">
        <f t="shared" si="212"/>
        <v>$H$1:$H$92</v>
      </c>
      <c r="B2694" s="159" t="str">
        <f t="shared" si="213"/>
        <v>$I$1:$I$92</v>
      </c>
      <c r="C2694" s="159" t="str">
        <f t="shared" si="214"/>
        <v>August!$H$1:$H$92</v>
      </c>
      <c r="D2694" s="159" t="str">
        <f t="shared" si="215"/>
        <v>August!$I$1:$I$92</v>
      </c>
      <c r="E2694" t="s">
        <v>6</v>
      </c>
      <c r="F2694" t="s">
        <v>127</v>
      </c>
      <c r="G2694" t="s">
        <v>143</v>
      </c>
      <c r="H2694" t="s">
        <v>153</v>
      </c>
      <c r="I2694" t="e">
        <f t="shared" ca="1" si="211"/>
        <v>#REF!</v>
      </c>
      <c r="J2694" t="str">
        <f>VLOOKUP($G2694,DefinitionArrays!$I$6:$J$12,2,FALSE)</f>
        <v>Workweek</v>
      </c>
    </row>
    <row r="2695" spans="1:10">
      <c r="A2695" s="159" t="str">
        <f t="shared" si="212"/>
        <v>$H$1:$H$92</v>
      </c>
      <c r="B2695" s="159" t="str">
        <f t="shared" si="213"/>
        <v>$I$1:$I$92</v>
      </c>
      <c r="C2695" s="159" t="str">
        <f t="shared" si="214"/>
        <v>August!$H$1:$H$92</v>
      </c>
      <c r="D2695" s="159" t="str">
        <f t="shared" si="215"/>
        <v>August!$I$1:$I$92</v>
      </c>
      <c r="E2695" t="s">
        <v>6</v>
      </c>
      <c r="F2695" t="s">
        <v>127</v>
      </c>
      <c r="G2695" t="s">
        <v>143</v>
      </c>
      <c r="H2695" t="s">
        <v>19</v>
      </c>
      <c r="I2695" t="e">
        <f t="shared" ca="1" si="211"/>
        <v>#REF!</v>
      </c>
      <c r="J2695" t="str">
        <f>VLOOKUP($G2695,DefinitionArrays!$I$6:$J$12,2,FALSE)</f>
        <v>Workweek</v>
      </c>
    </row>
    <row r="2696" spans="1:10">
      <c r="A2696" s="159" t="str">
        <f t="shared" si="212"/>
        <v>$H$1:$H$92</v>
      </c>
      <c r="B2696" s="159" t="str">
        <f t="shared" si="213"/>
        <v>$I$1:$I$92</v>
      </c>
      <c r="C2696" s="159" t="str">
        <f t="shared" si="214"/>
        <v>August!$H$1:$H$92</v>
      </c>
      <c r="D2696" s="159" t="str">
        <f t="shared" si="215"/>
        <v>August!$I$1:$I$92</v>
      </c>
      <c r="E2696" t="s">
        <v>6</v>
      </c>
      <c r="F2696" t="s">
        <v>127</v>
      </c>
      <c r="G2696" t="s">
        <v>143</v>
      </c>
      <c r="H2696" t="s">
        <v>20</v>
      </c>
      <c r="I2696" t="e">
        <f t="shared" ca="1" si="211"/>
        <v>#REF!</v>
      </c>
      <c r="J2696" t="str">
        <f>VLOOKUP($G2696,DefinitionArrays!$I$6:$J$12,2,FALSE)</f>
        <v>Workweek</v>
      </c>
    </row>
    <row r="2697" spans="1:10">
      <c r="A2697" s="159" t="str">
        <f t="shared" si="212"/>
        <v>$H$1:$H$92</v>
      </c>
      <c r="B2697" s="159" t="str">
        <f t="shared" si="213"/>
        <v>$I$1:$I$92</v>
      </c>
      <c r="C2697" s="159" t="str">
        <f t="shared" si="214"/>
        <v>August!$H$1:$H$92</v>
      </c>
      <c r="D2697" s="159" t="str">
        <f t="shared" si="215"/>
        <v>August!$I$1:$I$92</v>
      </c>
      <c r="E2697" t="s">
        <v>6</v>
      </c>
      <c r="F2697" t="s">
        <v>127</v>
      </c>
      <c r="G2697" t="s">
        <v>143</v>
      </c>
      <c r="H2697" t="s">
        <v>21</v>
      </c>
      <c r="I2697" t="e">
        <f t="shared" ca="1" si="211"/>
        <v>#REF!</v>
      </c>
      <c r="J2697" t="str">
        <f>VLOOKUP($G2697,DefinitionArrays!$I$6:$J$12,2,FALSE)</f>
        <v>Workweek</v>
      </c>
    </row>
    <row r="2698" spans="1:10">
      <c r="A2698" s="159" t="str">
        <f t="shared" si="212"/>
        <v>$H$1:$H$92</v>
      </c>
      <c r="B2698" s="159" t="str">
        <f t="shared" si="213"/>
        <v>$I$1:$I$92</v>
      </c>
      <c r="C2698" s="159" t="str">
        <f t="shared" si="214"/>
        <v>August!$H$1:$H$92</v>
      </c>
      <c r="D2698" s="159" t="str">
        <f t="shared" si="215"/>
        <v>August!$I$1:$I$92</v>
      </c>
      <c r="E2698" t="s">
        <v>6</v>
      </c>
      <c r="F2698" t="s">
        <v>127</v>
      </c>
      <c r="G2698" t="s">
        <v>143</v>
      </c>
      <c r="H2698" t="s">
        <v>22</v>
      </c>
      <c r="I2698" t="e">
        <f t="shared" ca="1" si="211"/>
        <v>#REF!</v>
      </c>
      <c r="J2698" t="str">
        <f>VLOOKUP($G2698,DefinitionArrays!$I$6:$J$12,2,FALSE)</f>
        <v>Workweek</v>
      </c>
    </row>
    <row r="2699" spans="1:10">
      <c r="A2699" s="159" t="str">
        <f t="shared" si="212"/>
        <v>$H$1:$H$92</v>
      </c>
      <c r="B2699" s="159" t="str">
        <f t="shared" si="213"/>
        <v>$I$1:$I$92</v>
      </c>
      <c r="C2699" s="159" t="str">
        <f t="shared" si="214"/>
        <v>August!$H$1:$H$92</v>
      </c>
      <c r="D2699" s="159" t="str">
        <f t="shared" si="215"/>
        <v>August!$I$1:$I$92</v>
      </c>
      <c r="E2699" t="s">
        <v>6</v>
      </c>
      <c r="F2699" t="s">
        <v>127</v>
      </c>
      <c r="G2699" t="s">
        <v>143</v>
      </c>
      <c r="H2699" t="s">
        <v>23</v>
      </c>
      <c r="I2699" t="e">
        <f t="shared" ca="1" si="211"/>
        <v>#REF!</v>
      </c>
      <c r="J2699" t="str">
        <f>VLOOKUP($G2699,DefinitionArrays!$I$6:$J$12,2,FALSE)</f>
        <v>Workweek</v>
      </c>
    </row>
    <row r="2700" spans="1:10">
      <c r="A2700" s="159" t="str">
        <f t="shared" si="212"/>
        <v>$H$1:$H$92</v>
      </c>
      <c r="B2700" s="159" t="str">
        <f t="shared" si="213"/>
        <v>$I$1:$I$92</v>
      </c>
      <c r="C2700" s="159" t="str">
        <f t="shared" si="214"/>
        <v>August!$H$1:$H$92</v>
      </c>
      <c r="D2700" s="159" t="str">
        <f t="shared" si="215"/>
        <v>August!$I$1:$I$92</v>
      </c>
      <c r="E2700" t="s">
        <v>6</v>
      </c>
      <c r="F2700" t="s">
        <v>127</v>
      </c>
      <c r="G2700" t="s">
        <v>143</v>
      </c>
      <c r="H2700" t="s">
        <v>24</v>
      </c>
      <c r="I2700" t="e">
        <f t="shared" ca="1" si="211"/>
        <v>#REF!</v>
      </c>
      <c r="J2700" t="str">
        <f>VLOOKUP($G2700,DefinitionArrays!$I$6:$J$12,2,FALSE)</f>
        <v>Workweek</v>
      </c>
    </row>
    <row r="2701" spans="1:10">
      <c r="A2701" s="159" t="str">
        <f t="shared" si="212"/>
        <v>$H$1:$H$92</v>
      </c>
      <c r="B2701" s="159" t="str">
        <f t="shared" si="213"/>
        <v>$I$1:$I$92</v>
      </c>
      <c r="C2701" s="159" t="str">
        <f t="shared" si="214"/>
        <v>August!$H$1:$H$92</v>
      </c>
      <c r="D2701" s="159" t="str">
        <f t="shared" si="215"/>
        <v>August!$I$1:$I$92</v>
      </c>
      <c r="E2701" t="s">
        <v>6</v>
      </c>
      <c r="F2701" t="s">
        <v>127</v>
      </c>
      <c r="G2701" t="s">
        <v>143</v>
      </c>
      <c r="H2701" t="s">
        <v>179</v>
      </c>
      <c r="I2701" t="e">
        <f t="shared" ca="1" si="211"/>
        <v>#REF!</v>
      </c>
      <c r="J2701" t="str">
        <f>VLOOKUP($G2701,DefinitionArrays!$I$6:$J$12,2,FALSE)</f>
        <v>Workweek</v>
      </c>
    </row>
    <row r="2702" spans="1:10">
      <c r="A2702" s="159" t="str">
        <f t="shared" si="212"/>
        <v>$H$1:$H$92</v>
      </c>
      <c r="B2702" s="159" t="str">
        <f t="shared" si="213"/>
        <v>$I$1:$I$92</v>
      </c>
      <c r="C2702" s="159" t="str">
        <f t="shared" si="214"/>
        <v>August!$H$1:$H$92</v>
      </c>
      <c r="D2702" s="159" t="str">
        <f t="shared" si="215"/>
        <v>August!$I$1:$I$92</v>
      </c>
      <c r="E2702" t="s">
        <v>6</v>
      </c>
      <c r="F2702" t="s">
        <v>127</v>
      </c>
      <c r="G2702" t="s">
        <v>143</v>
      </c>
      <c r="H2702" t="s">
        <v>180</v>
      </c>
      <c r="I2702" t="e">
        <f t="shared" ca="1" si="211"/>
        <v>#REF!</v>
      </c>
      <c r="J2702" t="str">
        <f>VLOOKUP($G2702,DefinitionArrays!$I$6:$J$12,2,FALSE)</f>
        <v>Workweek</v>
      </c>
    </row>
    <row r="2703" spans="1:10">
      <c r="A2703" s="159" t="str">
        <f t="shared" si="212"/>
        <v>$H$1:$H$92</v>
      </c>
      <c r="B2703" s="159" t="str">
        <f t="shared" si="213"/>
        <v>$I$1:$I$92</v>
      </c>
      <c r="C2703" s="159" t="str">
        <f t="shared" si="214"/>
        <v>August!$H$1:$H$92</v>
      </c>
      <c r="D2703" s="159" t="str">
        <f t="shared" si="215"/>
        <v>August!$I$1:$I$92</v>
      </c>
      <c r="E2703" t="s">
        <v>6</v>
      </c>
      <c r="F2703" t="s">
        <v>127</v>
      </c>
      <c r="G2703" t="s">
        <v>143</v>
      </c>
      <c r="H2703" t="s">
        <v>44</v>
      </c>
      <c r="I2703" t="e">
        <f t="shared" ca="1" si="211"/>
        <v>#REF!</v>
      </c>
      <c r="J2703" t="str">
        <f>VLOOKUP($G2703,DefinitionArrays!$I$6:$J$12,2,FALSE)</f>
        <v>Workweek</v>
      </c>
    </row>
    <row r="2704" spans="1:10">
      <c r="A2704" s="159" t="str">
        <f t="shared" si="212"/>
        <v>$K$1:$K$92</v>
      </c>
      <c r="B2704" s="159" t="str">
        <f t="shared" si="213"/>
        <v>$L$1:$L$92</v>
      </c>
      <c r="C2704" s="159" t="str">
        <f t="shared" si="214"/>
        <v>August!$K$1:$K$92</v>
      </c>
      <c r="D2704" s="159" t="str">
        <f t="shared" si="215"/>
        <v>August!$L$1:$L$92</v>
      </c>
      <c r="E2704" t="s">
        <v>6</v>
      </c>
      <c r="F2704" t="s">
        <v>127</v>
      </c>
      <c r="G2704" t="s">
        <v>144</v>
      </c>
      <c r="H2704" t="s">
        <v>159</v>
      </c>
      <c r="I2704" t="e">
        <f t="shared" ca="1" si="211"/>
        <v>#REF!</v>
      </c>
      <c r="J2704" t="str">
        <f>VLOOKUP($G2704,DefinitionArrays!$I$6:$J$12,2,FALSE)</f>
        <v>Workweek</v>
      </c>
    </row>
    <row r="2705" spans="1:10">
      <c r="A2705" s="159" t="str">
        <f t="shared" si="212"/>
        <v>$K$1:$K$92</v>
      </c>
      <c r="B2705" s="159" t="str">
        <f t="shared" si="213"/>
        <v>$L$1:$L$92</v>
      </c>
      <c r="C2705" s="159" t="str">
        <f t="shared" si="214"/>
        <v>August!$K$1:$K$92</v>
      </c>
      <c r="D2705" s="159" t="str">
        <f t="shared" si="215"/>
        <v>August!$L$1:$L$92</v>
      </c>
      <c r="E2705" t="s">
        <v>6</v>
      </c>
      <c r="F2705" t="s">
        <v>127</v>
      </c>
      <c r="G2705" t="s">
        <v>144</v>
      </c>
      <c r="H2705" t="s">
        <v>18</v>
      </c>
      <c r="I2705" t="e">
        <f t="shared" ca="1" si="211"/>
        <v>#REF!</v>
      </c>
      <c r="J2705" t="str">
        <f>VLOOKUP($G2705,DefinitionArrays!$I$6:$J$12,2,FALSE)</f>
        <v>Workweek</v>
      </c>
    </row>
    <row r="2706" spans="1:10">
      <c r="A2706" s="159" t="str">
        <f t="shared" si="212"/>
        <v>$K$1:$K$92</v>
      </c>
      <c r="B2706" s="159" t="str">
        <f t="shared" si="213"/>
        <v>$L$1:$L$92</v>
      </c>
      <c r="C2706" s="159" t="str">
        <f t="shared" si="214"/>
        <v>August!$K$1:$K$92</v>
      </c>
      <c r="D2706" s="159" t="str">
        <f t="shared" si="215"/>
        <v>August!$L$1:$L$92</v>
      </c>
      <c r="E2706" t="s">
        <v>6</v>
      </c>
      <c r="F2706" t="s">
        <v>127</v>
      </c>
      <c r="G2706" t="s">
        <v>144</v>
      </c>
      <c r="H2706" t="s">
        <v>153</v>
      </c>
      <c r="I2706" t="e">
        <f t="shared" ca="1" si="211"/>
        <v>#REF!</v>
      </c>
      <c r="J2706" t="str">
        <f>VLOOKUP($G2706,DefinitionArrays!$I$6:$J$12,2,FALSE)</f>
        <v>Workweek</v>
      </c>
    </row>
    <row r="2707" spans="1:10">
      <c r="A2707" s="159" t="str">
        <f t="shared" si="212"/>
        <v>$K$1:$K$92</v>
      </c>
      <c r="B2707" s="159" t="str">
        <f t="shared" si="213"/>
        <v>$L$1:$L$92</v>
      </c>
      <c r="C2707" s="159" t="str">
        <f t="shared" si="214"/>
        <v>August!$K$1:$K$92</v>
      </c>
      <c r="D2707" s="159" t="str">
        <f t="shared" si="215"/>
        <v>August!$L$1:$L$92</v>
      </c>
      <c r="E2707" t="s">
        <v>6</v>
      </c>
      <c r="F2707" t="s">
        <v>127</v>
      </c>
      <c r="G2707" t="s">
        <v>144</v>
      </c>
      <c r="H2707" t="s">
        <v>19</v>
      </c>
      <c r="I2707" t="e">
        <f t="shared" ca="1" si="211"/>
        <v>#REF!</v>
      </c>
      <c r="J2707" t="str">
        <f>VLOOKUP($G2707,DefinitionArrays!$I$6:$J$12,2,FALSE)</f>
        <v>Workweek</v>
      </c>
    </row>
    <row r="2708" spans="1:10">
      <c r="A2708" s="159" t="str">
        <f t="shared" si="212"/>
        <v>$K$1:$K$92</v>
      </c>
      <c r="B2708" s="159" t="str">
        <f t="shared" si="213"/>
        <v>$L$1:$L$92</v>
      </c>
      <c r="C2708" s="159" t="str">
        <f t="shared" si="214"/>
        <v>August!$K$1:$K$92</v>
      </c>
      <c r="D2708" s="159" t="str">
        <f t="shared" si="215"/>
        <v>August!$L$1:$L$92</v>
      </c>
      <c r="E2708" t="s">
        <v>6</v>
      </c>
      <c r="F2708" t="s">
        <v>127</v>
      </c>
      <c r="G2708" t="s">
        <v>144</v>
      </c>
      <c r="H2708" t="s">
        <v>20</v>
      </c>
      <c r="I2708" t="e">
        <f t="shared" ca="1" si="211"/>
        <v>#REF!</v>
      </c>
      <c r="J2708" t="str">
        <f>VLOOKUP($G2708,DefinitionArrays!$I$6:$J$12,2,FALSE)</f>
        <v>Workweek</v>
      </c>
    </row>
    <row r="2709" spans="1:10">
      <c r="A2709" s="159" t="str">
        <f t="shared" si="212"/>
        <v>$K$1:$K$92</v>
      </c>
      <c r="B2709" s="159" t="str">
        <f t="shared" si="213"/>
        <v>$L$1:$L$92</v>
      </c>
      <c r="C2709" s="159" t="str">
        <f t="shared" si="214"/>
        <v>August!$K$1:$K$92</v>
      </c>
      <c r="D2709" s="159" t="str">
        <f t="shared" si="215"/>
        <v>August!$L$1:$L$92</v>
      </c>
      <c r="E2709" t="s">
        <v>6</v>
      </c>
      <c r="F2709" t="s">
        <v>127</v>
      </c>
      <c r="G2709" t="s">
        <v>144</v>
      </c>
      <c r="H2709" t="s">
        <v>21</v>
      </c>
      <c r="I2709" t="e">
        <f t="shared" ca="1" si="211"/>
        <v>#REF!</v>
      </c>
      <c r="J2709" t="str">
        <f>VLOOKUP($G2709,DefinitionArrays!$I$6:$J$12,2,FALSE)</f>
        <v>Workweek</v>
      </c>
    </row>
    <row r="2710" spans="1:10">
      <c r="A2710" s="159" t="str">
        <f t="shared" si="212"/>
        <v>$K$1:$K$92</v>
      </c>
      <c r="B2710" s="159" t="str">
        <f t="shared" si="213"/>
        <v>$L$1:$L$92</v>
      </c>
      <c r="C2710" s="159" t="str">
        <f t="shared" si="214"/>
        <v>August!$K$1:$K$92</v>
      </c>
      <c r="D2710" s="159" t="str">
        <f t="shared" si="215"/>
        <v>August!$L$1:$L$92</v>
      </c>
      <c r="E2710" t="s">
        <v>6</v>
      </c>
      <c r="F2710" t="s">
        <v>127</v>
      </c>
      <c r="G2710" t="s">
        <v>144</v>
      </c>
      <c r="H2710" t="s">
        <v>22</v>
      </c>
      <c r="I2710" t="e">
        <f t="shared" ca="1" si="211"/>
        <v>#REF!</v>
      </c>
      <c r="J2710" t="str">
        <f>VLOOKUP($G2710,DefinitionArrays!$I$6:$J$12,2,FALSE)</f>
        <v>Workweek</v>
      </c>
    </row>
    <row r="2711" spans="1:10">
      <c r="A2711" s="159" t="str">
        <f t="shared" si="212"/>
        <v>$K$1:$K$92</v>
      </c>
      <c r="B2711" s="159" t="str">
        <f t="shared" si="213"/>
        <v>$L$1:$L$92</v>
      </c>
      <c r="C2711" s="159" t="str">
        <f t="shared" si="214"/>
        <v>August!$K$1:$K$92</v>
      </c>
      <c r="D2711" s="159" t="str">
        <f t="shared" si="215"/>
        <v>August!$L$1:$L$92</v>
      </c>
      <c r="E2711" t="s">
        <v>6</v>
      </c>
      <c r="F2711" t="s">
        <v>127</v>
      </c>
      <c r="G2711" t="s">
        <v>144</v>
      </c>
      <c r="H2711" t="s">
        <v>23</v>
      </c>
      <c r="I2711" t="e">
        <f t="shared" ca="1" si="211"/>
        <v>#REF!</v>
      </c>
      <c r="J2711" t="str">
        <f>VLOOKUP($G2711,DefinitionArrays!$I$6:$J$12,2,FALSE)</f>
        <v>Workweek</v>
      </c>
    </row>
    <row r="2712" spans="1:10">
      <c r="A2712" s="159" t="str">
        <f t="shared" si="212"/>
        <v>$K$1:$K$92</v>
      </c>
      <c r="B2712" s="159" t="str">
        <f t="shared" si="213"/>
        <v>$L$1:$L$92</v>
      </c>
      <c r="C2712" s="159" t="str">
        <f t="shared" si="214"/>
        <v>August!$K$1:$K$92</v>
      </c>
      <c r="D2712" s="159" t="str">
        <f t="shared" si="215"/>
        <v>August!$L$1:$L$92</v>
      </c>
      <c r="E2712" t="s">
        <v>6</v>
      </c>
      <c r="F2712" t="s">
        <v>127</v>
      </c>
      <c r="G2712" t="s">
        <v>144</v>
      </c>
      <c r="H2712" t="s">
        <v>24</v>
      </c>
      <c r="I2712" t="e">
        <f t="shared" ca="1" si="211"/>
        <v>#REF!</v>
      </c>
      <c r="J2712" t="str">
        <f>VLOOKUP($G2712,DefinitionArrays!$I$6:$J$12,2,FALSE)</f>
        <v>Workweek</v>
      </c>
    </row>
    <row r="2713" spans="1:10">
      <c r="A2713" s="159" t="str">
        <f t="shared" si="212"/>
        <v>$K$1:$K$92</v>
      </c>
      <c r="B2713" s="159" t="str">
        <f t="shared" si="213"/>
        <v>$L$1:$L$92</v>
      </c>
      <c r="C2713" s="159" t="str">
        <f t="shared" si="214"/>
        <v>August!$K$1:$K$92</v>
      </c>
      <c r="D2713" s="159" t="str">
        <f t="shared" si="215"/>
        <v>August!$L$1:$L$92</v>
      </c>
      <c r="E2713" t="s">
        <v>6</v>
      </c>
      <c r="F2713" t="s">
        <v>127</v>
      </c>
      <c r="G2713" t="s">
        <v>144</v>
      </c>
      <c r="H2713" t="s">
        <v>179</v>
      </c>
      <c r="I2713" t="e">
        <f t="shared" ca="1" si="211"/>
        <v>#REF!</v>
      </c>
      <c r="J2713" t="str">
        <f>VLOOKUP($G2713,DefinitionArrays!$I$6:$J$12,2,FALSE)</f>
        <v>Workweek</v>
      </c>
    </row>
    <row r="2714" spans="1:10">
      <c r="A2714" s="159" t="str">
        <f t="shared" si="212"/>
        <v>$K$1:$K$92</v>
      </c>
      <c r="B2714" s="159" t="str">
        <f t="shared" si="213"/>
        <v>$L$1:$L$92</v>
      </c>
      <c r="C2714" s="159" t="str">
        <f t="shared" si="214"/>
        <v>August!$K$1:$K$92</v>
      </c>
      <c r="D2714" s="159" t="str">
        <f t="shared" si="215"/>
        <v>August!$L$1:$L$92</v>
      </c>
      <c r="E2714" t="s">
        <v>6</v>
      </c>
      <c r="F2714" t="s">
        <v>127</v>
      </c>
      <c r="G2714" t="s">
        <v>144</v>
      </c>
      <c r="H2714" t="s">
        <v>180</v>
      </c>
      <c r="I2714" t="e">
        <f t="shared" ca="1" si="211"/>
        <v>#REF!</v>
      </c>
      <c r="J2714" t="str">
        <f>VLOOKUP($G2714,DefinitionArrays!$I$6:$J$12,2,FALSE)</f>
        <v>Workweek</v>
      </c>
    </row>
    <row r="2715" spans="1:10">
      <c r="A2715" s="159" t="str">
        <f t="shared" si="212"/>
        <v>$K$1:$K$92</v>
      </c>
      <c r="B2715" s="159" t="str">
        <f t="shared" si="213"/>
        <v>$L$1:$L$92</v>
      </c>
      <c r="C2715" s="159" t="str">
        <f t="shared" si="214"/>
        <v>August!$K$1:$K$92</v>
      </c>
      <c r="D2715" s="159" t="str">
        <f t="shared" si="215"/>
        <v>August!$L$1:$L$92</v>
      </c>
      <c r="E2715" t="s">
        <v>6</v>
      </c>
      <c r="F2715" t="s">
        <v>127</v>
      </c>
      <c r="G2715" t="s">
        <v>144</v>
      </c>
      <c r="H2715" t="s">
        <v>44</v>
      </c>
      <c r="I2715" t="e">
        <f t="shared" ca="1" si="211"/>
        <v>#REF!</v>
      </c>
      <c r="J2715" t="str">
        <f>VLOOKUP($G2715,DefinitionArrays!$I$6:$J$12,2,FALSE)</f>
        <v>Workweek</v>
      </c>
    </row>
    <row r="2716" spans="1:10">
      <c r="A2716" s="159" t="str">
        <f t="shared" si="212"/>
        <v>$N$1:$N$92</v>
      </c>
      <c r="B2716" s="159" t="str">
        <f t="shared" si="213"/>
        <v>$O$1:$O$92</v>
      </c>
      <c r="C2716" s="159" t="str">
        <f t="shared" si="214"/>
        <v>August!$N$1:$N$92</v>
      </c>
      <c r="D2716" s="159" t="str">
        <f t="shared" si="215"/>
        <v>August!$O$1:$O$92</v>
      </c>
      <c r="E2716" t="s">
        <v>6</v>
      </c>
      <c r="F2716" t="s">
        <v>127</v>
      </c>
      <c r="G2716" t="s">
        <v>145</v>
      </c>
      <c r="H2716" t="s">
        <v>159</v>
      </c>
      <c r="I2716" t="e">
        <f t="shared" ca="1" si="211"/>
        <v>#REF!</v>
      </c>
      <c r="J2716" t="str">
        <f>VLOOKUP($G2716,DefinitionArrays!$I$6:$J$12,2,FALSE)</f>
        <v>Weekend</v>
      </c>
    </row>
    <row r="2717" spans="1:10">
      <c r="A2717" s="159" t="str">
        <f t="shared" si="212"/>
        <v>$N$1:$N$92</v>
      </c>
      <c r="B2717" s="159" t="str">
        <f t="shared" si="213"/>
        <v>$O$1:$O$92</v>
      </c>
      <c r="C2717" s="159" t="str">
        <f t="shared" si="214"/>
        <v>August!$N$1:$N$92</v>
      </c>
      <c r="D2717" s="159" t="str">
        <f t="shared" si="215"/>
        <v>August!$O$1:$O$92</v>
      </c>
      <c r="E2717" t="s">
        <v>6</v>
      </c>
      <c r="F2717" t="s">
        <v>127</v>
      </c>
      <c r="G2717" t="s">
        <v>145</v>
      </c>
      <c r="H2717" t="s">
        <v>18</v>
      </c>
      <c r="I2717" t="e">
        <f t="shared" ca="1" si="211"/>
        <v>#REF!</v>
      </c>
      <c r="J2717" t="str">
        <f>VLOOKUP($G2717,DefinitionArrays!$I$6:$J$12,2,FALSE)</f>
        <v>Weekend</v>
      </c>
    </row>
    <row r="2718" spans="1:10">
      <c r="A2718" s="159" t="str">
        <f t="shared" si="212"/>
        <v>$N$1:$N$92</v>
      </c>
      <c r="B2718" s="159" t="str">
        <f t="shared" si="213"/>
        <v>$O$1:$O$92</v>
      </c>
      <c r="C2718" s="159" t="str">
        <f t="shared" si="214"/>
        <v>August!$N$1:$N$92</v>
      </c>
      <c r="D2718" s="159" t="str">
        <f t="shared" si="215"/>
        <v>August!$O$1:$O$92</v>
      </c>
      <c r="E2718" t="s">
        <v>6</v>
      </c>
      <c r="F2718" t="s">
        <v>127</v>
      </c>
      <c r="G2718" t="s">
        <v>145</v>
      </c>
      <c r="H2718" t="s">
        <v>153</v>
      </c>
      <c r="I2718" t="e">
        <f t="shared" ca="1" si="211"/>
        <v>#REF!</v>
      </c>
      <c r="J2718" t="str">
        <f>VLOOKUP($G2718,DefinitionArrays!$I$6:$J$12,2,FALSE)</f>
        <v>Weekend</v>
      </c>
    </row>
    <row r="2719" spans="1:10">
      <c r="A2719" s="159" t="str">
        <f t="shared" si="212"/>
        <v>$N$1:$N$92</v>
      </c>
      <c r="B2719" s="159" t="str">
        <f t="shared" si="213"/>
        <v>$O$1:$O$92</v>
      </c>
      <c r="C2719" s="159" t="str">
        <f t="shared" si="214"/>
        <v>August!$N$1:$N$92</v>
      </c>
      <c r="D2719" s="159" t="str">
        <f t="shared" si="215"/>
        <v>August!$O$1:$O$92</v>
      </c>
      <c r="E2719" t="s">
        <v>6</v>
      </c>
      <c r="F2719" t="s">
        <v>127</v>
      </c>
      <c r="G2719" t="s">
        <v>145</v>
      </c>
      <c r="H2719" t="s">
        <v>19</v>
      </c>
      <c r="I2719" t="e">
        <f t="shared" ca="1" si="211"/>
        <v>#REF!</v>
      </c>
      <c r="J2719" t="str">
        <f>VLOOKUP($G2719,DefinitionArrays!$I$6:$J$12,2,FALSE)</f>
        <v>Weekend</v>
      </c>
    </row>
    <row r="2720" spans="1:10">
      <c r="A2720" s="159" t="str">
        <f t="shared" si="212"/>
        <v>$N$1:$N$92</v>
      </c>
      <c r="B2720" s="159" t="str">
        <f t="shared" si="213"/>
        <v>$O$1:$O$92</v>
      </c>
      <c r="C2720" s="159" t="str">
        <f t="shared" si="214"/>
        <v>August!$N$1:$N$92</v>
      </c>
      <c r="D2720" s="159" t="str">
        <f t="shared" si="215"/>
        <v>August!$O$1:$O$92</v>
      </c>
      <c r="E2720" t="s">
        <v>6</v>
      </c>
      <c r="F2720" t="s">
        <v>127</v>
      </c>
      <c r="G2720" t="s">
        <v>145</v>
      </c>
      <c r="H2720" t="s">
        <v>20</v>
      </c>
      <c r="I2720" t="e">
        <f t="shared" ca="1" si="211"/>
        <v>#REF!</v>
      </c>
      <c r="J2720" t="str">
        <f>VLOOKUP($G2720,DefinitionArrays!$I$6:$J$12,2,FALSE)</f>
        <v>Weekend</v>
      </c>
    </row>
    <row r="2721" spans="1:10">
      <c r="A2721" s="159" t="str">
        <f t="shared" si="212"/>
        <v>$N$1:$N$92</v>
      </c>
      <c r="B2721" s="159" t="str">
        <f t="shared" si="213"/>
        <v>$O$1:$O$92</v>
      </c>
      <c r="C2721" s="159" t="str">
        <f t="shared" si="214"/>
        <v>August!$N$1:$N$92</v>
      </c>
      <c r="D2721" s="159" t="str">
        <f t="shared" si="215"/>
        <v>August!$O$1:$O$92</v>
      </c>
      <c r="E2721" t="s">
        <v>6</v>
      </c>
      <c r="F2721" t="s">
        <v>127</v>
      </c>
      <c r="G2721" t="s">
        <v>145</v>
      </c>
      <c r="H2721" t="s">
        <v>21</v>
      </c>
      <c r="I2721" t="e">
        <f t="shared" ca="1" si="211"/>
        <v>#REF!</v>
      </c>
      <c r="J2721" t="str">
        <f>VLOOKUP($G2721,DefinitionArrays!$I$6:$J$12,2,FALSE)</f>
        <v>Weekend</v>
      </c>
    </row>
    <row r="2722" spans="1:10">
      <c r="A2722" s="159" t="str">
        <f t="shared" si="212"/>
        <v>$N$1:$N$92</v>
      </c>
      <c r="B2722" s="159" t="str">
        <f t="shared" si="213"/>
        <v>$O$1:$O$92</v>
      </c>
      <c r="C2722" s="159" t="str">
        <f t="shared" si="214"/>
        <v>August!$N$1:$N$92</v>
      </c>
      <c r="D2722" s="159" t="str">
        <f t="shared" si="215"/>
        <v>August!$O$1:$O$92</v>
      </c>
      <c r="E2722" t="s">
        <v>6</v>
      </c>
      <c r="F2722" t="s">
        <v>127</v>
      </c>
      <c r="G2722" t="s">
        <v>145</v>
      </c>
      <c r="H2722" t="s">
        <v>22</v>
      </c>
      <c r="I2722" t="e">
        <f t="shared" ca="1" si="211"/>
        <v>#REF!</v>
      </c>
      <c r="J2722" t="str">
        <f>VLOOKUP($G2722,DefinitionArrays!$I$6:$J$12,2,FALSE)</f>
        <v>Weekend</v>
      </c>
    </row>
    <row r="2723" spans="1:10">
      <c r="A2723" s="159" t="str">
        <f t="shared" si="212"/>
        <v>$N$1:$N$92</v>
      </c>
      <c r="B2723" s="159" t="str">
        <f t="shared" si="213"/>
        <v>$O$1:$O$92</v>
      </c>
      <c r="C2723" s="159" t="str">
        <f t="shared" si="214"/>
        <v>August!$N$1:$N$92</v>
      </c>
      <c r="D2723" s="159" t="str">
        <f t="shared" si="215"/>
        <v>August!$O$1:$O$92</v>
      </c>
      <c r="E2723" t="s">
        <v>6</v>
      </c>
      <c r="F2723" t="s">
        <v>127</v>
      </c>
      <c r="G2723" t="s">
        <v>145</v>
      </c>
      <c r="H2723" t="s">
        <v>23</v>
      </c>
      <c r="I2723" t="e">
        <f t="shared" ca="1" si="211"/>
        <v>#REF!</v>
      </c>
      <c r="J2723" t="str">
        <f>VLOOKUP($G2723,DefinitionArrays!$I$6:$J$12,2,FALSE)</f>
        <v>Weekend</v>
      </c>
    </row>
    <row r="2724" spans="1:10">
      <c r="A2724" s="159" t="str">
        <f t="shared" si="212"/>
        <v>$N$1:$N$92</v>
      </c>
      <c r="B2724" s="159" t="str">
        <f t="shared" si="213"/>
        <v>$O$1:$O$92</v>
      </c>
      <c r="C2724" s="159" t="str">
        <f t="shared" si="214"/>
        <v>August!$N$1:$N$92</v>
      </c>
      <c r="D2724" s="159" t="str">
        <f t="shared" si="215"/>
        <v>August!$O$1:$O$92</v>
      </c>
      <c r="E2724" t="s">
        <v>6</v>
      </c>
      <c r="F2724" t="s">
        <v>127</v>
      </c>
      <c r="G2724" t="s">
        <v>145</v>
      </c>
      <c r="H2724" t="s">
        <v>24</v>
      </c>
      <c r="I2724" t="e">
        <f t="shared" ca="1" si="211"/>
        <v>#REF!</v>
      </c>
      <c r="J2724" t="str">
        <f>VLOOKUP($G2724,DefinitionArrays!$I$6:$J$12,2,FALSE)</f>
        <v>Weekend</v>
      </c>
    </row>
    <row r="2725" spans="1:10">
      <c r="A2725" s="159" t="str">
        <f t="shared" si="212"/>
        <v>$N$1:$N$92</v>
      </c>
      <c r="B2725" s="159" t="str">
        <f t="shared" si="213"/>
        <v>$O$1:$O$92</v>
      </c>
      <c r="C2725" s="159" t="str">
        <f t="shared" si="214"/>
        <v>August!$N$1:$N$92</v>
      </c>
      <c r="D2725" s="159" t="str">
        <f t="shared" si="215"/>
        <v>August!$O$1:$O$92</v>
      </c>
      <c r="E2725" t="s">
        <v>6</v>
      </c>
      <c r="F2725" t="s">
        <v>127</v>
      </c>
      <c r="G2725" t="s">
        <v>145</v>
      </c>
      <c r="H2725" t="s">
        <v>179</v>
      </c>
      <c r="I2725" t="e">
        <f t="shared" ca="1" si="211"/>
        <v>#REF!</v>
      </c>
      <c r="J2725" t="str">
        <f>VLOOKUP($G2725,DefinitionArrays!$I$6:$J$12,2,FALSE)</f>
        <v>Weekend</v>
      </c>
    </row>
    <row r="2726" spans="1:10">
      <c r="A2726" s="159" t="str">
        <f t="shared" si="212"/>
        <v>$N$1:$N$92</v>
      </c>
      <c r="B2726" s="159" t="str">
        <f t="shared" si="213"/>
        <v>$O$1:$O$92</v>
      </c>
      <c r="C2726" s="159" t="str">
        <f t="shared" si="214"/>
        <v>August!$N$1:$N$92</v>
      </c>
      <c r="D2726" s="159" t="str">
        <f t="shared" si="215"/>
        <v>August!$O$1:$O$92</v>
      </c>
      <c r="E2726" t="s">
        <v>6</v>
      </c>
      <c r="F2726" t="s">
        <v>127</v>
      </c>
      <c r="G2726" t="s">
        <v>145</v>
      </c>
      <c r="H2726" t="s">
        <v>180</v>
      </c>
      <c r="I2726" t="e">
        <f t="shared" ca="1" si="211"/>
        <v>#REF!</v>
      </c>
      <c r="J2726" t="str">
        <f>VLOOKUP($G2726,DefinitionArrays!$I$6:$J$12,2,FALSE)</f>
        <v>Weekend</v>
      </c>
    </row>
    <row r="2727" spans="1:10">
      <c r="A2727" s="159" t="str">
        <f t="shared" si="212"/>
        <v>$N$1:$N$92</v>
      </c>
      <c r="B2727" s="159" t="str">
        <f t="shared" si="213"/>
        <v>$O$1:$O$92</v>
      </c>
      <c r="C2727" s="159" t="str">
        <f t="shared" si="214"/>
        <v>August!$N$1:$N$92</v>
      </c>
      <c r="D2727" s="159" t="str">
        <f t="shared" si="215"/>
        <v>August!$O$1:$O$92</v>
      </c>
      <c r="E2727" t="s">
        <v>6</v>
      </c>
      <c r="F2727" t="s">
        <v>127</v>
      </c>
      <c r="G2727" t="s">
        <v>145</v>
      </c>
      <c r="H2727" t="s">
        <v>44</v>
      </c>
      <c r="I2727" t="e">
        <f t="shared" ca="1" si="211"/>
        <v>#REF!</v>
      </c>
      <c r="J2727" t="str">
        <f>VLOOKUP($G2727,DefinitionArrays!$I$6:$J$12,2,FALSE)</f>
        <v>Weekend</v>
      </c>
    </row>
    <row r="2728" spans="1:10">
      <c r="A2728" s="159" t="str">
        <f t="shared" si="212"/>
        <v>$Q$1:$Q$92</v>
      </c>
      <c r="B2728" s="159" t="str">
        <f t="shared" si="213"/>
        <v>$R$1:$R$92</v>
      </c>
      <c r="C2728" s="159" t="str">
        <f t="shared" si="214"/>
        <v>August!$Q$1:$Q$92</v>
      </c>
      <c r="D2728" s="159" t="str">
        <f t="shared" si="215"/>
        <v>August!$R$1:$R$92</v>
      </c>
      <c r="E2728" t="s">
        <v>6</v>
      </c>
      <c r="F2728" t="s">
        <v>127</v>
      </c>
      <c r="G2728" t="s">
        <v>146</v>
      </c>
      <c r="H2728" t="s">
        <v>159</v>
      </c>
      <c r="I2728" t="e">
        <f t="shared" ca="1" si="211"/>
        <v>#REF!</v>
      </c>
      <c r="J2728" t="str">
        <f>VLOOKUP($G2728,DefinitionArrays!$I$6:$J$12,2,FALSE)</f>
        <v>Weekend</v>
      </c>
    </row>
    <row r="2729" spans="1:10">
      <c r="A2729" s="159" t="str">
        <f t="shared" si="212"/>
        <v>$T$1:$T$92</v>
      </c>
      <c r="B2729" s="159" t="str">
        <f t="shared" si="213"/>
        <v>$U$1:$U$92</v>
      </c>
      <c r="C2729" s="159" t="str">
        <f t="shared" si="214"/>
        <v>August!$T$1:$T$92</v>
      </c>
      <c r="D2729" s="159" t="str">
        <f t="shared" si="215"/>
        <v>August!$U$1:$U$92</v>
      </c>
      <c r="E2729" t="s">
        <v>6</v>
      </c>
      <c r="F2729" t="s">
        <v>127</v>
      </c>
      <c r="G2729" t="s">
        <v>141</v>
      </c>
      <c r="H2729" t="s">
        <v>159</v>
      </c>
      <c r="I2729" t="e">
        <f t="shared" ca="1" si="211"/>
        <v>#REF!</v>
      </c>
      <c r="J2729" t="str">
        <f>VLOOKUP($G2729,DefinitionArrays!$I$6:$J$12,2,FALSE)</f>
        <v>Weekend</v>
      </c>
    </row>
    <row r="2730" spans="1:10">
      <c r="A2730" s="159" t="str">
        <f t="shared" si="212"/>
        <v>$B$1:$B$92</v>
      </c>
      <c r="B2730" s="159" t="str">
        <f t="shared" si="213"/>
        <v>$C$1:$C$92</v>
      </c>
      <c r="C2730" s="159" t="str">
        <f t="shared" si="214"/>
        <v>September!$B$1:$B$92</v>
      </c>
      <c r="D2730" s="159" t="str">
        <f t="shared" si="215"/>
        <v>September!$C$1:$C$92</v>
      </c>
      <c r="E2730" t="s">
        <v>6</v>
      </c>
      <c r="F2730" t="s">
        <v>128</v>
      </c>
      <c r="G2730" t="s">
        <v>13</v>
      </c>
      <c r="H2730" t="s">
        <v>159</v>
      </c>
      <c r="I2730" t="e">
        <f ca="1">COUNTIFS(INDIRECT($C2730),$E2730,INDIRECT($D2730),$H2730)</f>
        <v>#REF!</v>
      </c>
      <c r="J2730" t="str">
        <f>VLOOKUP($G2730,DefinitionArrays!$I$6:$J$12,2,FALSE)</f>
        <v>Workweek</v>
      </c>
    </row>
    <row r="2731" spans="1:10">
      <c r="A2731" s="159" t="str">
        <f t="shared" si="212"/>
        <v>$B$1:$B$92</v>
      </c>
      <c r="B2731" s="159" t="str">
        <f t="shared" si="213"/>
        <v>$C$1:$C$92</v>
      </c>
      <c r="C2731" s="159" t="str">
        <f t="shared" si="214"/>
        <v>September!$B$1:$B$92</v>
      </c>
      <c r="D2731" s="159" t="str">
        <f t="shared" si="215"/>
        <v>September!$C$1:$C$92</v>
      </c>
      <c r="E2731" t="s">
        <v>6</v>
      </c>
      <c r="F2731" t="s">
        <v>128</v>
      </c>
      <c r="G2731" t="s">
        <v>13</v>
      </c>
      <c r="H2731" t="s">
        <v>18</v>
      </c>
      <c r="I2731" t="e">
        <f t="shared" ref="I2731:I2791" ca="1" si="216">COUNTIFS(INDIRECT($C2731),$E2731,INDIRECT($D2731),$H2731)</f>
        <v>#REF!</v>
      </c>
      <c r="J2731" t="str">
        <f>VLOOKUP($G2731,DefinitionArrays!$I$6:$J$12,2,FALSE)</f>
        <v>Workweek</v>
      </c>
    </row>
    <row r="2732" spans="1:10">
      <c r="A2732" s="159" t="str">
        <f t="shared" si="212"/>
        <v>$B$1:$B$92</v>
      </c>
      <c r="B2732" s="159" t="str">
        <f t="shared" si="213"/>
        <v>$C$1:$C$92</v>
      </c>
      <c r="C2732" s="159" t="str">
        <f t="shared" si="214"/>
        <v>September!$B$1:$B$92</v>
      </c>
      <c r="D2732" s="159" t="str">
        <f t="shared" si="215"/>
        <v>September!$C$1:$C$92</v>
      </c>
      <c r="E2732" t="s">
        <v>6</v>
      </c>
      <c r="F2732" t="s">
        <v>128</v>
      </c>
      <c r="G2732" t="s">
        <v>13</v>
      </c>
      <c r="H2732" t="s">
        <v>153</v>
      </c>
      <c r="I2732" t="e">
        <f t="shared" ca="1" si="216"/>
        <v>#REF!</v>
      </c>
      <c r="J2732" t="str">
        <f>VLOOKUP($G2732,DefinitionArrays!$I$6:$J$12,2,FALSE)</f>
        <v>Workweek</v>
      </c>
    </row>
    <row r="2733" spans="1:10">
      <c r="A2733" s="159" t="str">
        <f t="shared" si="212"/>
        <v>$B$1:$B$92</v>
      </c>
      <c r="B2733" s="159" t="str">
        <f t="shared" si="213"/>
        <v>$C$1:$C$92</v>
      </c>
      <c r="C2733" s="159" t="str">
        <f t="shared" si="214"/>
        <v>September!$B$1:$B$92</v>
      </c>
      <c r="D2733" s="159" t="str">
        <f t="shared" si="215"/>
        <v>September!$C$1:$C$92</v>
      </c>
      <c r="E2733" t="s">
        <v>6</v>
      </c>
      <c r="F2733" t="s">
        <v>128</v>
      </c>
      <c r="G2733" t="s">
        <v>13</v>
      </c>
      <c r="H2733" t="s">
        <v>19</v>
      </c>
      <c r="I2733" t="e">
        <f t="shared" ca="1" si="216"/>
        <v>#REF!</v>
      </c>
      <c r="J2733" t="str">
        <f>VLOOKUP($G2733,DefinitionArrays!$I$6:$J$12,2,FALSE)</f>
        <v>Workweek</v>
      </c>
    </row>
    <row r="2734" spans="1:10">
      <c r="A2734" s="159" t="str">
        <f t="shared" si="212"/>
        <v>$B$1:$B$92</v>
      </c>
      <c r="B2734" s="159" t="str">
        <f t="shared" si="213"/>
        <v>$C$1:$C$92</v>
      </c>
      <c r="C2734" s="159" t="str">
        <f t="shared" si="214"/>
        <v>September!$B$1:$B$92</v>
      </c>
      <c r="D2734" s="159" t="str">
        <f t="shared" si="215"/>
        <v>September!$C$1:$C$92</v>
      </c>
      <c r="E2734" t="s">
        <v>6</v>
      </c>
      <c r="F2734" t="s">
        <v>128</v>
      </c>
      <c r="G2734" t="s">
        <v>13</v>
      </c>
      <c r="H2734" t="s">
        <v>20</v>
      </c>
      <c r="I2734" t="e">
        <f t="shared" ca="1" si="216"/>
        <v>#REF!</v>
      </c>
      <c r="J2734" t="str">
        <f>VLOOKUP($G2734,DefinitionArrays!$I$6:$J$12,2,FALSE)</f>
        <v>Workweek</v>
      </c>
    </row>
    <row r="2735" spans="1:10">
      <c r="A2735" s="159" t="str">
        <f t="shared" si="212"/>
        <v>$B$1:$B$92</v>
      </c>
      <c r="B2735" s="159" t="str">
        <f t="shared" si="213"/>
        <v>$C$1:$C$92</v>
      </c>
      <c r="C2735" s="159" t="str">
        <f t="shared" si="214"/>
        <v>September!$B$1:$B$92</v>
      </c>
      <c r="D2735" s="159" t="str">
        <f t="shared" si="215"/>
        <v>September!$C$1:$C$92</v>
      </c>
      <c r="E2735" t="s">
        <v>6</v>
      </c>
      <c r="F2735" t="s">
        <v>128</v>
      </c>
      <c r="G2735" t="s">
        <v>13</v>
      </c>
      <c r="H2735" t="s">
        <v>21</v>
      </c>
      <c r="I2735" t="e">
        <f t="shared" ca="1" si="216"/>
        <v>#REF!</v>
      </c>
      <c r="J2735" t="str">
        <f>VLOOKUP($G2735,DefinitionArrays!$I$6:$J$12,2,FALSE)</f>
        <v>Workweek</v>
      </c>
    </row>
    <row r="2736" spans="1:10">
      <c r="A2736" s="159" t="str">
        <f t="shared" si="212"/>
        <v>$B$1:$B$92</v>
      </c>
      <c r="B2736" s="159" t="str">
        <f t="shared" si="213"/>
        <v>$C$1:$C$92</v>
      </c>
      <c r="C2736" s="159" t="str">
        <f t="shared" si="214"/>
        <v>September!$B$1:$B$92</v>
      </c>
      <c r="D2736" s="159" t="str">
        <f t="shared" si="215"/>
        <v>September!$C$1:$C$92</v>
      </c>
      <c r="E2736" t="s">
        <v>6</v>
      </c>
      <c r="F2736" t="s">
        <v>128</v>
      </c>
      <c r="G2736" t="s">
        <v>13</v>
      </c>
      <c r="H2736" t="s">
        <v>22</v>
      </c>
      <c r="I2736" t="e">
        <f t="shared" ca="1" si="216"/>
        <v>#REF!</v>
      </c>
      <c r="J2736" t="str">
        <f>VLOOKUP($G2736,DefinitionArrays!$I$6:$J$12,2,FALSE)</f>
        <v>Workweek</v>
      </c>
    </row>
    <row r="2737" spans="1:10">
      <c r="A2737" s="159" t="str">
        <f t="shared" si="212"/>
        <v>$B$1:$B$92</v>
      </c>
      <c r="B2737" s="159" t="str">
        <f t="shared" si="213"/>
        <v>$C$1:$C$92</v>
      </c>
      <c r="C2737" s="159" t="str">
        <f t="shared" si="214"/>
        <v>September!$B$1:$B$92</v>
      </c>
      <c r="D2737" s="159" t="str">
        <f t="shared" si="215"/>
        <v>September!$C$1:$C$92</v>
      </c>
      <c r="E2737" t="s">
        <v>6</v>
      </c>
      <c r="F2737" t="s">
        <v>128</v>
      </c>
      <c r="G2737" t="s">
        <v>13</v>
      </c>
      <c r="H2737" t="s">
        <v>23</v>
      </c>
      <c r="I2737" t="e">
        <f t="shared" ca="1" si="216"/>
        <v>#REF!</v>
      </c>
      <c r="J2737" t="str">
        <f>VLOOKUP($G2737,DefinitionArrays!$I$6:$J$12,2,FALSE)</f>
        <v>Workweek</v>
      </c>
    </row>
    <row r="2738" spans="1:10">
      <c r="A2738" s="159" t="str">
        <f t="shared" si="212"/>
        <v>$B$1:$B$92</v>
      </c>
      <c r="B2738" s="159" t="str">
        <f t="shared" si="213"/>
        <v>$C$1:$C$92</v>
      </c>
      <c r="C2738" s="159" t="str">
        <f t="shared" si="214"/>
        <v>September!$B$1:$B$92</v>
      </c>
      <c r="D2738" s="159" t="str">
        <f t="shared" si="215"/>
        <v>September!$C$1:$C$92</v>
      </c>
      <c r="E2738" t="s">
        <v>6</v>
      </c>
      <c r="F2738" t="s">
        <v>128</v>
      </c>
      <c r="G2738" t="s">
        <v>13</v>
      </c>
      <c r="H2738" t="s">
        <v>24</v>
      </c>
      <c r="I2738" t="e">
        <f t="shared" ca="1" si="216"/>
        <v>#REF!</v>
      </c>
      <c r="J2738" t="str">
        <f>VLOOKUP($G2738,DefinitionArrays!$I$6:$J$12,2,FALSE)</f>
        <v>Workweek</v>
      </c>
    </row>
    <row r="2739" spans="1:10">
      <c r="A2739" s="159" t="str">
        <f t="shared" si="212"/>
        <v>$B$1:$B$92</v>
      </c>
      <c r="B2739" s="159" t="str">
        <f t="shared" si="213"/>
        <v>$C$1:$C$92</v>
      </c>
      <c r="C2739" s="159" t="str">
        <f t="shared" si="214"/>
        <v>September!$B$1:$B$92</v>
      </c>
      <c r="D2739" s="159" t="str">
        <f t="shared" si="215"/>
        <v>September!$C$1:$C$92</v>
      </c>
      <c r="E2739" t="s">
        <v>6</v>
      </c>
      <c r="F2739" t="s">
        <v>128</v>
      </c>
      <c r="G2739" t="s">
        <v>13</v>
      </c>
      <c r="H2739" t="s">
        <v>179</v>
      </c>
      <c r="I2739" t="e">
        <f t="shared" ca="1" si="216"/>
        <v>#REF!</v>
      </c>
      <c r="J2739" t="str">
        <f>VLOOKUP($G2739,DefinitionArrays!$I$6:$J$12,2,FALSE)</f>
        <v>Workweek</v>
      </c>
    </row>
    <row r="2740" spans="1:10">
      <c r="A2740" s="159" t="str">
        <f t="shared" si="212"/>
        <v>$B$1:$B$92</v>
      </c>
      <c r="B2740" s="159" t="str">
        <f t="shared" si="213"/>
        <v>$C$1:$C$92</v>
      </c>
      <c r="C2740" s="159" t="str">
        <f t="shared" si="214"/>
        <v>September!$B$1:$B$92</v>
      </c>
      <c r="D2740" s="159" t="str">
        <f t="shared" si="215"/>
        <v>September!$C$1:$C$92</v>
      </c>
      <c r="E2740" t="s">
        <v>6</v>
      </c>
      <c r="F2740" t="s">
        <v>128</v>
      </c>
      <c r="G2740" t="s">
        <v>13</v>
      </c>
      <c r="H2740" t="s">
        <v>180</v>
      </c>
      <c r="I2740" t="e">
        <f t="shared" ca="1" si="216"/>
        <v>#REF!</v>
      </c>
      <c r="J2740" t="str">
        <f>VLOOKUP($G2740,DefinitionArrays!$I$6:$J$12,2,FALSE)</f>
        <v>Workweek</v>
      </c>
    </row>
    <row r="2741" spans="1:10">
      <c r="A2741" s="159" t="str">
        <f t="shared" si="212"/>
        <v>$B$1:$B$92</v>
      </c>
      <c r="B2741" s="159" t="str">
        <f t="shared" si="213"/>
        <v>$C$1:$C$92</v>
      </c>
      <c r="C2741" s="159" t="str">
        <f t="shared" si="214"/>
        <v>September!$B$1:$B$92</v>
      </c>
      <c r="D2741" s="159" t="str">
        <f t="shared" si="215"/>
        <v>September!$C$1:$C$92</v>
      </c>
      <c r="E2741" t="s">
        <v>6</v>
      </c>
      <c r="F2741" t="s">
        <v>128</v>
      </c>
      <c r="G2741" t="s">
        <v>13</v>
      </c>
      <c r="H2741" t="s">
        <v>44</v>
      </c>
      <c r="I2741" t="e">
        <f t="shared" ca="1" si="216"/>
        <v>#REF!</v>
      </c>
      <c r="J2741" t="str">
        <f>VLOOKUP($G2741,DefinitionArrays!$I$6:$J$12,2,FALSE)</f>
        <v>Workweek</v>
      </c>
    </row>
    <row r="2742" spans="1:10">
      <c r="A2742" s="159" t="str">
        <f t="shared" si="212"/>
        <v>$E$1:$E$92</v>
      </c>
      <c r="B2742" s="159" t="str">
        <f t="shared" si="213"/>
        <v>$F$1:$F$92</v>
      </c>
      <c r="C2742" s="159" t="str">
        <f t="shared" si="214"/>
        <v>September!$E$1:$E$92</v>
      </c>
      <c r="D2742" s="159" t="str">
        <f t="shared" si="215"/>
        <v>September!$F$1:$F$92</v>
      </c>
      <c r="E2742" t="s">
        <v>6</v>
      </c>
      <c r="F2742" t="s">
        <v>128</v>
      </c>
      <c r="G2742" t="s">
        <v>142</v>
      </c>
      <c r="H2742" t="s">
        <v>159</v>
      </c>
      <c r="I2742" t="e">
        <f t="shared" ca="1" si="216"/>
        <v>#REF!</v>
      </c>
      <c r="J2742" t="str">
        <f>VLOOKUP($G2742,DefinitionArrays!$I$6:$J$12,2,FALSE)</f>
        <v>Workweek</v>
      </c>
    </row>
    <row r="2743" spans="1:10">
      <c r="A2743" s="159" t="str">
        <f t="shared" si="212"/>
        <v>$E$1:$E$92</v>
      </c>
      <c r="B2743" s="159" t="str">
        <f t="shared" si="213"/>
        <v>$F$1:$F$92</v>
      </c>
      <c r="C2743" s="159" t="str">
        <f t="shared" si="214"/>
        <v>September!$E$1:$E$92</v>
      </c>
      <c r="D2743" s="159" t="str">
        <f t="shared" si="215"/>
        <v>September!$F$1:$F$92</v>
      </c>
      <c r="E2743" t="s">
        <v>6</v>
      </c>
      <c r="F2743" t="s">
        <v>128</v>
      </c>
      <c r="G2743" t="s">
        <v>142</v>
      </c>
      <c r="H2743" t="s">
        <v>18</v>
      </c>
      <c r="I2743" t="e">
        <f t="shared" ca="1" si="216"/>
        <v>#REF!</v>
      </c>
      <c r="J2743" t="str">
        <f>VLOOKUP($G2743,DefinitionArrays!$I$6:$J$12,2,FALSE)</f>
        <v>Workweek</v>
      </c>
    </row>
    <row r="2744" spans="1:10">
      <c r="A2744" s="159" t="str">
        <f t="shared" si="212"/>
        <v>$E$1:$E$92</v>
      </c>
      <c r="B2744" s="159" t="str">
        <f t="shared" si="213"/>
        <v>$F$1:$F$92</v>
      </c>
      <c r="C2744" s="159" t="str">
        <f t="shared" si="214"/>
        <v>September!$E$1:$E$92</v>
      </c>
      <c r="D2744" s="159" t="str">
        <f t="shared" si="215"/>
        <v>September!$F$1:$F$92</v>
      </c>
      <c r="E2744" t="s">
        <v>6</v>
      </c>
      <c r="F2744" t="s">
        <v>128</v>
      </c>
      <c r="G2744" t="s">
        <v>142</v>
      </c>
      <c r="H2744" t="s">
        <v>153</v>
      </c>
      <c r="I2744" t="e">
        <f t="shared" ca="1" si="216"/>
        <v>#REF!</v>
      </c>
      <c r="J2744" t="str">
        <f>VLOOKUP($G2744,DefinitionArrays!$I$6:$J$12,2,FALSE)</f>
        <v>Workweek</v>
      </c>
    </row>
    <row r="2745" spans="1:10">
      <c r="A2745" s="159" t="str">
        <f t="shared" si="212"/>
        <v>$E$1:$E$92</v>
      </c>
      <c r="B2745" s="159" t="str">
        <f t="shared" si="213"/>
        <v>$F$1:$F$92</v>
      </c>
      <c r="C2745" s="159" t="str">
        <f t="shared" si="214"/>
        <v>September!$E$1:$E$92</v>
      </c>
      <c r="D2745" s="159" t="str">
        <f t="shared" si="215"/>
        <v>September!$F$1:$F$92</v>
      </c>
      <c r="E2745" t="s">
        <v>6</v>
      </c>
      <c r="F2745" t="s">
        <v>128</v>
      </c>
      <c r="G2745" t="s">
        <v>142</v>
      </c>
      <c r="H2745" t="s">
        <v>19</v>
      </c>
      <c r="I2745" t="e">
        <f t="shared" ca="1" si="216"/>
        <v>#REF!</v>
      </c>
      <c r="J2745" t="str">
        <f>VLOOKUP($G2745,DefinitionArrays!$I$6:$J$12,2,FALSE)</f>
        <v>Workweek</v>
      </c>
    </row>
    <row r="2746" spans="1:10">
      <c r="A2746" s="159" t="str">
        <f t="shared" si="212"/>
        <v>$E$1:$E$92</v>
      </c>
      <c r="B2746" s="159" t="str">
        <f t="shared" si="213"/>
        <v>$F$1:$F$92</v>
      </c>
      <c r="C2746" s="159" t="str">
        <f t="shared" si="214"/>
        <v>September!$E$1:$E$92</v>
      </c>
      <c r="D2746" s="159" t="str">
        <f t="shared" si="215"/>
        <v>September!$F$1:$F$92</v>
      </c>
      <c r="E2746" t="s">
        <v>6</v>
      </c>
      <c r="F2746" t="s">
        <v>128</v>
      </c>
      <c r="G2746" t="s">
        <v>142</v>
      </c>
      <c r="H2746" t="s">
        <v>20</v>
      </c>
      <c r="I2746" t="e">
        <f t="shared" ca="1" si="216"/>
        <v>#REF!</v>
      </c>
      <c r="J2746" t="str">
        <f>VLOOKUP($G2746,DefinitionArrays!$I$6:$J$12,2,FALSE)</f>
        <v>Workweek</v>
      </c>
    </row>
    <row r="2747" spans="1:10">
      <c r="A2747" s="159" t="str">
        <f t="shared" si="212"/>
        <v>$E$1:$E$92</v>
      </c>
      <c r="B2747" s="159" t="str">
        <f t="shared" si="213"/>
        <v>$F$1:$F$92</v>
      </c>
      <c r="C2747" s="159" t="str">
        <f t="shared" si="214"/>
        <v>September!$E$1:$E$92</v>
      </c>
      <c r="D2747" s="159" t="str">
        <f t="shared" si="215"/>
        <v>September!$F$1:$F$92</v>
      </c>
      <c r="E2747" t="s">
        <v>6</v>
      </c>
      <c r="F2747" t="s">
        <v>128</v>
      </c>
      <c r="G2747" t="s">
        <v>142</v>
      </c>
      <c r="H2747" t="s">
        <v>21</v>
      </c>
      <c r="I2747" t="e">
        <f t="shared" ca="1" si="216"/>
        <v>#REF!</v>
      </c>
      <c r="J2747" t="str">
        <f>VLOOKUP($G2747,DefinitionArrays!$I$6:$J$12,2,FALSE)</f>
        <v>Workweek</v>
      </c>
    </row>
    <row r="2748" spans="1:10">
      <c r="A2748" s="159" t="str">
        <f t="shared" si="212"/>
        <v>$E$1:$E$92</v>
      </c>
      <c r="B2748" s="159" t="str">
        <f t="shared" si="213"/>
        <v>$F$1:$F$92</v>
      </c>
      <c r="C2748" s="159" t="str">
        <f t="shared" si="214"/>
        <v>September!$E$1:$E$92</v>
      </c>
      <c r="D2748" s="159" t="str">
        <f t="shared" si="215"/>
        <v>September!$F$1:$F$92</v>
      </c>
      <c r="E2748" t="s">
        <v>6</v>
      </c>
      <c r="F2748" t="s">
        <v>128</v>
      </c>
      <c r="G2748" t="s">
        <v>142</v>
      </c>
      <c r="H2748" t="s">
        <v>22</v>
      </c>
      <c r="I2748" t="e">
        <f t="shared" ca="1" si="216"/>
        <v>#REF!</v>
      </c>
      <c r="J2748" t="str">
        <f>VLOOKUP($G2748,DefinitionArrays!$I$6:$J$12,2,FALSE)</f>
        <v>Workweek</v>
      </c>
    </row>
    <row r="2749" spans="1:10">
      <c r="A2749" s="159" t="str">
        <f t="shared" si="212"/>
        <v>$E$1:$E$92</v>
      </c>
      <c r="B2749" s="159" t="str">
        <f t="shared" si="213"/>
        <v>$F$1:$F$92</v>
      </c>
      <c r="C2749" s="159" t="str">
        <f t="shared" si="214"/>
        <v>September!$E$1:$E$92</v>
      </c>
      <c r="D2749" s="159" t="str">
        <f t="shared" si="215"/>
        <v>September!$F$1:$F$92</v>
      </c>
      <c r="E2749" t="s">
        <v>6</v>
      </c>
      <c r="F2749" t="s">
        <v>128</v>
      </c>
      <c r="G2749" t="s">
        <v>142</v>
      </c>
      <c r="H2749" t="s">
        <v>23</v>
      </c>
      <c r="I2749" t="e">
        <f t="shared" ca="1" si="216"/>
        <v>#REF!</v>
      </c>
      <c r="J2749" t="str">
        <f>VLOOKUP($G2749,DefinitionArrays!$I$6:$J$12,2,FALSE)</f>
        <v>Workweek</v>
      </c>
    </row>
    <row r="2750" spans="1:10">
      <c r="A2750" s="159" t="str">
        <f t="shared" si="212"/>
        <v>$E$1:$E$92</v>
      </c>
      <c r="B2750" s="159" t="str">
        <f t="shared" si="213"/>
        <v>$F$1:$F$92</v>
      </c>
      <c r="C2750" s="159" t="str">
        <f t="shared" si="214"/>
        <v>September!$E$1:$E$92</v>
      </c>
      <c r="D2750" s="159" t="str">
        <f t="shared" si="215"/>
        <v>September!$F$1:$F$92</v>
      </c>
      <c r="E2750" t="s">
        <v>6</v>
      </c>
      <c r="F2750" t="s">
        <v>128</v>
      </c>
      <c r="G2750" t="s">
        <v>142</v>
      </c>
      <c r="H2750" t="s">
        <v>24</v>
      </c>
      <c r="I2750" t="e">
        <f t="shared" ca="1" si="216"/>
        <v>#REF!</v>
      </c>
      <c r="J2750" t="str">
        <f>VLOOKUP($G2750,DefinitionArrays!$I$6:$J$12,2,FALSE)</f>
        <v>Workweek</v>
      </c>
    </row>
    <row r="2751" spans="1:10">
      <c r="A2751" s="159" t="str">
        <f t="shared" si="212"/>
        <v>$E$1:$E$92</v>
      </c>
      <c r="B2751" s="159" t="str">
        <f t="shared" si="213"/>
        <v>$F$1:$F$92</v>
      </c>
      <c r="C2751" s="159" t="str">
        <f t="shared" si="214"/>
        <v>September!$E$1:$E$92</v>
      </c>
      <c r="D2751" s="159" t="str">
        <f t="shared" si="215"/>
        <v>September!$F$1:$F$92</v>
      </c>
      <c r="E2751" t="s">
        <v>6</v>
      </c>
      <c r="F2751" t="s">
        <v>128</v>
      </c>
      <c r="G2751" t="s">
        <v>142</v>
      </c>
      <c r="H2751" t="s">
        <v>179</v>
      </c>
      <c r="I2751" t="e">
        <f t="shared" ca="1" si="216"/>
        <v>#REF!</v>
      </c>
      <c r="J2751" t="str">
        <f>VLOOKUP($G2751,DefinitionArrays!$I$6:$J$12,2,FALSE)</f>
        <v>Workweek</v>
      </c>
    </row>
    <row r="2752" spans="1:10">
      <c r="A2752" s="159" t="str">
        <f t="shared" si="212"/>
        <v>$E$1:$E$92</v>
      </c>
      <c r="B2752" s="159" t="str">
        <f t="shared" si="213"/>
        <v>$F$1:$F$92</v>
      </c>
      <c r="C2752" s="159" t="str">
        <f t="shared" si="214"/>
        <v>September!$E$1:$E$92</v>
      </c>
      <c r="D2752" s="159" t="str">
        <f t="shared" si="215"/>
        <v>September!$F$1:$F$92</v>
      </c>
      <c r="E2752" t="s">
        <v>6</v>
      </c>
      <c r="F2752" t="s">
        <v>128</v>
      </c>
      <c r="G2752" t="s">
        <v>142</v>
      </c>
      <c r="H2752" t="s">
        <v>180</v>
      </c>
      <c r="I2752" t="e">
        <f t="shared" ca="1" si="216"/>
        <v>#REF!</v>
      </c>
      <c r="J2752" t="str">
        <f>VLOOKUP($G2752,DefinitionArrays!$I$6:$J$12,2,FALSE)</f>
        <v>Workweek</v>
      </c>
    </row>
    <row r="2753" spans="1:10">
      <c r="A2753" s="159" t="str">
        <f t="shared" si="212"/>
        <v>$E$1:$E$92</v>
      </c>
      <c r="B2753" s="159" t="str">
        <f t="shared" si="213"/>
        <v>$F$1:$F$92</v>
      </c>
      <c r="C2753" s="159" t="str">
        <f t="shared" si="214"/>
        <v>September!$E$1:$E$92</v>
      </c>
      <c r="D2753" s="159" t="str">
        <f t="shared" si="215"/>
        <v>September!$F$1:$F$92</v>
      </c>
      <c r="E2753" t="s">
        <v>6</v>
      </c>
      <c r="F2753" t="s">
        <v>128</v>
      </c>
      <c r="G2753" t="s">
        <v>142</v>
      </c>
      <c r="H2753" t="s">
        <v>44</v>
      </c>
      <c r="I2753" t="e">
        <f t="shared" ca="1" si="216"/>
        <v>#REF!</v>
      </c>
      <c r="J2753" t="str">
        <f>VLOOKUP($G2753,DefinitionArrays!$I$6:$J$12,2,FALSE)</f>
        <v>Workweek</v>
      </c>
    </row>
    <row r="2754" spans="1:10">
      <c r="A2754" s="159" t="str">
        <f t="shared" ref="A2754:A2817" si="217">VLOOKUP($G2754,Fx_Code,2,FALSE)</f>
        <v>$H$1:$H$92</v>
      </c>
      <c r="B2754" s="159" t="str">
        <f t="shared" ref="B2754:B2817" si="218">VLOOKUP($G2754,Fx_Code,3,FALSE)</f>
        <v>$I$1:$I$92</v>
      </c>
      <c r="C2754" s="159" t="str">
        <f t="shared" ref="C2754:C2817" si="219">CONCATENATE($F2754,$K$1,A2754)</f>
        <v>September!$H$1:$H$92</v>
      </c>
      <c r="D2754" s="159" t="str">
        <f t="shared" ref="D2754:D2817" si="220">CONCATENATE($F2754,$K$1,B2754)</f>
        <v>September!$I$1:$I$92</v>
      </c>
      <c r="E2754" t="s">
        <v>6</v>
      </c>
      <c r="F2754" t="s">
        <v>128</v>
      </c>
      <c r="G2754" t="s">
        <v>143</v>
      </c>
      <c r="H2754" t="s">
        <v>159</v>
      </c>
      <c r="I2754" t="e">
        <f t="shared" ca="1" si="216"/>
        <v>#REF!</v>
      </c>
      <c r="J2754" t="str">
        <f>VLOOKUP($G2754,DefinitionArrays!$I$6:$J$12,2,FALSE)</f>
        <v>Workweek</v>
      </c>
    </row>
    <row r="2755" spans="1:10">
      <c r="A2755" s="159" t="str">
        <f t="shared" si="217"/>
        <v>$H$1:$H$92</v>
      </c>
      <c r="B2755" s="159" t="str">
        <f t="shared" si="218"/>
        <v>$I$1:$I$92</v>
      </c>
      <c r="C2755" s="159" t="str">
        <f t="shared" si="219"/>
        <v>September!$H$1:$H$92</v>
      </c>
      <c r="D2755" s="159" t="str">
        <f t="shared" si="220"/>
        <v>September!$I$1:$I$92</v>
      </c>
      <c r="E2755" t="s">
        <v>6</v>
      </c>
      <c r="F2755" t="s">
        <v>128</v>
      </c>
      <c r="G2755" t="s">
        <v>143</v>
      </c>
      <c r="H2755" t="s">
        <v>18</v>
      </c>
      <c r="I2755" t="e">
        <f t="shared" ca="1" si="216"/>
        <v>#REF!</v>
      </c>
      <c r="J2755" t="str">
        <f>VLOOKUP($G2755,DefinitionArrays!$I$6:$J$12,2,FALSE)</f>
        <v>Workweek</v>
      </c>
    </row>
    <row r="2756" spans="1:10">
      <c r="A2756" s="159" t="str">
        <f t="shared" si="217"/>
        <v>$H$1:$H$92</v>
      </c>
      <c r="B2756" s="159" t="str">
        <f t="shared" si="218"/>
        <v>$I$1:$I$92</v>
      </c>
      <c r="C2756" s="159" t="str">
        <f t="shared" si="219"/>
        <v>September!$H$1:$H$92</v>
      </c>
      <c r="D2756" s="159" t="str">
        <f t="shared" si="220"/>
        <v>September!$I$1:$I$92</v>
      </c>
      <c r="E2756" t="s">
        <v>6</v>
      </c>
      <c r="F2756" t="s">
        <v>128</v>
      </c>
      <c r="G2756" t="s">
        <v>143</v>
      </c>
      <c r="H2756" t="s">
        <v>153</v>
      </c>
      <c r="I2756" t="e">
        <f t="shared" ca="1" si="216"/>
        <v>#REF!</v>
      </c>
      <c r="J2756" t="str">
        <f>VLOOKUP($G2756,DefinitionArrays!$I$6:$J$12,2,FALSE)</f>
        <v>Workweek</v>
      </c>
    </row>
    <row r="2757" spans="1:10">
      <c r="A2757" s="159" t="str">
        <f t="shared" si="217"/>
        <v>$H$1:$H$92</v>
      </c>
      <c r="B2757" s="159" t="str">
        <f t="shared" si="218"/>
        <v>$I$1:$I$92</v>
      </c>
      <c r="C2757" s="159" t="str">
        <f t="shared" si="219"/>
        <v>September!$H$1:$H$92</v>
      </c>
      <c r="D2757" s="159" t="str">
        <f t="shared" si="220"/>
        <v>September!$I$1:$I$92</v>
      </c>
      <c r="E2757" t="s">
        <v>6</v>
      </c>
      <c r="F2757" t="s">
        <v>128</v>
      </c>
      <c r="G2757" t="s">
        <v>143</v>
      </c>
      <c r="H2757" t="s">
        <v>19</v>
      </c>
      <c r="I2757" t="e">
        <f t="shared" ca="1" si="216"/>
        <v>#REF!</v>
      </c>
      <c r="J2757" t="str">
        <f>VLOOKUP($G2757,DefinitionArrays!$I$6:$J$12,2,FALSE)</f>
        <v>Workweek</v>
      </c>
    </row>
    <row r="2758" spans="1:10">
      <c r="A2758" s="159" t="str">
        <f t="shared" si="217"/>
        <v>$H$1:$H$92</v>
      </c>
      <c r="B2758" s="159" t="str">
        <f t="shared" si="218"/>
        <v>$I$1:$I$92</v>
      </c>
      <c r="C2758" s="159" t="str">
        <f t="shared" si="219"/>
        <v>September!$H$1:$H$92</v>
      </c>
      <c r="D2758" s="159" t="str">
        <f t="shared" si="220"/>
        <v>September!$I$1:$I$92</v>
      </c>
      <c r="E2758" t="s">
        <v>6</v>
      </c>
      <c r="F2758" t="s">
        <v>128</v>
      </c>
      <c r="G2758" t="s">
        <v>143</v>
      </c>
      <c r="H2758" t="s">
        <v>20</v>
      </c>
      <c r="I2758" t="e">
        <f t="shared" ca="1" si="216"/>
        <v>#REF!</v>
      </c>
      <c r="J2758" t="str">
        <f>VLOOKUP($G2758,DefinitionArrays!$I$6:$J$12,2,FALSE)</f>
        <v>Workweek</v>
      </c>
    </row>
    <row r="2759" spans="1:10">
      <c r="A2759" s="159" t="str">
        <f t="shared" si="217"/>
        <v>$H$1:$H$92</v>
      </c>
      <c r="B2759" s="159" t="str">
        <f t="shared" si="218"/>
        <v>$I$1:$I$92</v>
      </c>
      <c r="C2759" s="159" t="str">
        <f t="shared" si="219"/>
        <v>September!$H$1:$H$92</v>
      </c>
      <c r="D2759" s="159" t="str">
        <f t="shared" si="220"/>
        <v>September!$I$1:$I$92</v>
      </c>
      <c r="E2759" t="s">
        <v>6</v>
      </c>
      <c r="F2759" t="s">
        <v>128</v>
      </c>
      <c r="G2759" t="s">
        <v>143</v>
      </c>
      <c r="H2759" t="s">
        <v>21</v>
      </c>
      <c r="I2759" t="e">
        <f t="shared" ca="1" si="216"/>
        <v>#REF!</v>
      </c>
      <c r="J2759" t="str">
        <f>VLOOKUP($G2759,DefinitionArrays!$I$6:$J$12,2,FALSE)</f>
        <v>Workweek</v>
      </c>
    </row>
    <row r="2760" spans="1:10">
      <c r="A2760" s="159" t="str">
        <f t="shared" si="217"/>
        <v>$H$1:$H$92</v>
      </c>
      <c r="B2760" s="159" t="str">
        <f t="shared" si="218"/>
        <v>$I$1:$I$92</v>
      </c>
      <c r="C2760" s="159" t="str">
        <f t="shared" si="219"/>
        <v>September!$H$1:$H$92</v>
      </c>
      <c r="D2760" s="159" t="str">
        <f t="shared" si="220"/>
        <v>September!$I$1:$I$92</v>
      </c>
      <c r="E2760" t="s">
        <v>6</v>
      </c>
      <c r="F2760" t="s">
        <v>128</v>
      </c>
      <c r="G2760" t="s">
        <v>143</v>
      </c>
      <c r="H2760" t="s">
        <v>22</v>
      </c>
      <c r="I2760" t="e">
        <f t="shared" ca="1" si="216"/>
        <v>#REF!</v>
      </c>
      <c r="J2760" t="str">
        <f>VLOOKUP($G2760,DefinitionArrays!$I$6:$J$12,2,FALSE)</f>
        <v>Workweek</v>
      </c>
    </row>
    <row r="2761" spans="1:10">
      <c r="A2761" s="159" t="str">
        <f t="shared" si="217"/>
        <v>$H$1:$H$92</v>
      </c>
      <c r="B2761" s="159" t="str">
        <f t="shared" si="218"/>
        <v>$I$1:$I$92</v>
      </c>
      <c r="C2761" s="159" t="str">
        <f t="shared" si="219"/>
        <v>September!$H$1:$H$92</v>
      </c>
      <c r="D2761" s="159" t="str">
        <f t="shared" si="220"/>
        <v>September!$I$1:$I$92</v>
      </c>
      <c r="E2761" t="s">
        <v>6</v>
      </c>
      <c r="F2761" t="s">
        <v>128</v>
      </c>
      <c r="G2761" t="s">
        <v>143</v>
      </c>
      <c r="H2761" t="s">
        <v>23</v>
      </c>
      <c r="I2761" t="e">
        <f t="shared" ca="1" si="216"/>
        <v>#REF!</v>
      </c>
      <c r="J2761" t="str">
        <f>VLOOKUP($G2761,DefinitionArrays!$I$6:$J$12,2,FALSE)</f>
        <v>Workweek</v>
      </c>
    </row>
    <row r="2762" spans="1:10">
      <c r="A2762" s="159" t="str">
        <f t="shared" si="217"/>
        <v>$H$1:$H$92</v>
      </c>
      <c r="B2762" s="159" t="str">
        <f t="shared" si="218"/>
        <v>$I$1:$I$92</v>
      </c>
      <c r="C2762" s="159" t="str">
        <f t="shared" si="219"/>
        <v>September!$H$1:$H$92</v>
      </c>
      <c r="D2762" s="159" t="str">
        <f t="shared" si="220"/>
        <v>September!$I$1:$I$92</v>
      </c>
      <c r="E2762" t="s">
        <v>6</v>
      </c>
      <c r="F2762" t="s">
        <v>128</v>
      </c>
      <c r="G2762" t="s">
        <v>143</v>
      </c>
      <c r="H2762" t="s">
        <v>24</v>
      </c>
      <c r="I2762" t="e">
        <f t="shared" ca="1" si="216"/>
        <v>#REF!</v>
      </c>
      <c r="J2762" t="str">
        <f>VLOOKUP($G2762,DefinitionArrays!$I$6:$J$12,2,FALSE)</f>
        <v>Workweek</v>
      </c>
    </row>
    <row r="2763" spans="1:10">
      <c r="A2763" s="159" t="str">
        <f t="shared" si="217"/>
        <v>$H$1:$H$92</v>
      </c>
      <c r="B2763" s="159" t="str">
        <f t="shared" si="218"/>
        <v>$I$1:$I$92</v>
      </c>
      <c r="C2763" s="159" t="str">
        <f t="shared" si="219"/>
        <v>September!$H$1:$H$92</v>
      </c>
      <c r="D2763" s="159" t="str">
        <f t="shared" si="220"/>
        <v>September!$I$1:$I$92</v>
      </c>
      <c r="E2763" t="s">
        <v>6</v>
      </c>
      <c r="F2763" t="s">
        <v>128</v>
      </c>
      <c r="G2763" t="s">
        <v>143</v>
      </c>
      <c r="H2763" t="s">
        <v>179</v>
      </c>
      <c r="I2763" t="e">
        <f t="shared" ca="1" si="216"/>
        <v>#REF!</v>
      </c>
      <c r="J2763" t="str">
        <f>VLOOKUP($G2763,DefinitionArrays!$I$6:$J$12,2,FALSE)</f>
        <v>Workweek</v>
      </c>
    </row>
    <row r="2764" spans="1:10">
      <c r="A2764" s="159" t="str">
        <f t="shared" si="217"/>
        <v>$H$1:$H$92</v>
      </c>
      <c r="B2764" s="159" t="str">
        <f t="shared" si="218"/>
        <v>$I$1:$I$92</v>
      </c>
      <c r="C2764" s="159" t="str">
        <f t="shared" si="219"/>
        <v>September!$H$1:$H$92</v>
      </c>
      <c r="D2764" s="159" t="str">
        <f t="shared" si="220"/>
        <v>September!$I$1:$I$92</v>
      </c>
      <c r="E2764" t="s">
        <v>6</v>
      </c>
      <c r="F2764" t="s">
        <v>128</v>
      </c>
      <c r="G2764" t="s">
        <v>143</v>
      </c>
      <c r="H2764" t="s">
        <v>180</v>
      </c>
      <c r="I2764" t="e">
        <f t="shared" ca="1" si="216"/>
        <v>#REF!</v>
      </c>
      <c r="J2764" t="str">
        <f>VLOOKUP($G2764,DefinitionArrays!$I$6:$J$12,2,FALSE)</f>
        <v>Workweek</v>
      </c>
    </row>
    <row r="2765" spans="1:10">
      <c r="A2765" s="159" t="str">
        <f t="shared" si="217"/>
        <v>$H$1:$H$92</v>
      </c>
      <c r="B2765" s="159" t="str">
        <f t="shared" si="218"/>
        <v>$I$1:$I$92</v>
      </c>
      <c r="C2765" s="159" t="str">
        <f t="shared" si="219"/>
        <v>September!$H$1:$H$92</v>
      </c>
      <c r="D2765" s="159" t="str">
        <f t="shared" si="220"/>
        <v>September!$I$1:$I$92</v>
      </c>
      <c r="E2765" t="s">
        <v>6</v>
      </c>
      <c r="F2765" t="s">
        <v>128</v>
      </c>
      <c r="G2765" t="s">
        <v>143</v>
      </c>
      <c r="H2765" t="s">
        <v>44</v>
      </c>
      <c r="I2765" t="e">
        <f t="shared" ca="1" si="216"/>
        <v>#REF!</v>
      </c>
      <c r="J2765" t="str">
        <f>VLOOKUP($G2765,DefinitionArrays!$I$6:$J$12,2,FALSE)</f>
        <v>Workweek</v>
      </c>
    </row>
    <row r="2766" spans="1:10">
      <c r="A2766" s="159" t="str">
        <f t="shared" si="217"/>
        <v>$K$1:$K$92</v>
      </c>
      <c r="B2766" s="159" t="str">
        <f t="shared" si="218"/>
        <v>$L$1:$L$92</v>
      </c>
      <c r="C2766" s="159" t="str">
        <f t="shared" si="219"/>
        <v>September!$K$1:$K$92</v>
      </c>
      <c r="D2766" s="159" t="str">
        <f t="shared" si="220"/>
        <v>September!$L$1:$L$92</v>
      </c>
      <c r="E2766" t="s">
        <v>6</v>
      </c>
      <c r="F2766" t="s">
        <v>128</v>
      </c>
      <c r="G2766" t="s">
        <v>144</v>
      </c>
      <c r="H2766" t="s">
        <v>159</v>
      </c>
      <c r="I2766" t="e">
        <f t="shared" ca="1" si="216"/>
        <v>#REF!</v>
      </c>
      <c r="J2766" t="str">
        <f>VLOOKUP($G2766,DefinitionArrays!$I$6:$J$12,2,FALSE)</f>
        <v>Workweek</v>
      </c>
    </row>
    <row r="2767" spans="1:10">
      <c r="A2767" s="159" t="str">
        <f t="shared" si="217"/>
        <v>$K$1:$K$92</v>
      </c>
      <c r="B2767" s="159" t="str">
        <f t="shared" si="218"/>
        <v>$L$1:$L$92</v>
      </c>
      <c r="C2767" s="159" t="str">
        <f t="shared" si="219"/>
        <v>September!$K$1:$K$92</v>
      </c>
      <c r="D2767" s="159" t="str">
        <f t="shared" si="220"/>
        <v>September!$L$1:$L$92</v>
      </c>
      <c r="E2767" t="s">
        <v>6</v>
      </c>
      <c r="F2767" t="s">
        <v>128</v>
      </c>
      <c r="G2767" t="s">
        <v>144</v>
      </c>
      <c r="H2767" t="s">
        <v>18</v>
      </c>
      <c r="I2767" t="e">
        <f t="shared" ca="1" si="216"/>
        <v>#REF!</v>
      </c>
      <c r="J2767" t="str">
        <f>VLOOKUP($G2767,DefinitionArrays!$I$6:$J$12,2,FALSE)</f>
        <v>Workweek</v>
      </c>
    </row>
    <row r="2768" spans="1:10">
      <c r="A2768" s="159" t="str">
        <f t="shared" si="217"/>
        <v>$K$1:$K$92</v>
      </c>
      <c r="B2768" s="159" t="str">
        <f t="shared" si="218"/>
        <v>$L$1:$L$92</v>
      </c>
      <c r="C2768" s="159" t="str">
        <f t="shared" si="219"/>
        <v>September!$K$1:$K$92</v>
      </c>
      <c r="D2768" s="159" t="str">
        <f t="shared" si="220"/>
        <v>September!$L$1:$L$92</v>
      </c>
      <c r="E2768" t="s">
        <v>6</v>
      </c>
      <c r="F2768" t="s">
        <v>128</v>
      </c>
      <c r="G2768" t="s">
        <v>144</v>
      </c>
      <c r="H2768" t="s">
        <v>153</v>
      </c>
      <c r="I2768" t="e">
        <f t="shared" ca="1" si="216"/>
        <v>#REF!</v>
      </c>
      <c r="J2768" t="str">
        <f>VLOOKUP($G2768,DefinitionArrays!$I$6:$J$12,2,FALSE)</f>
        <v>Workweek</v>
      </c>
    </row>
    <row r="2769" spans="1:10">
      <c r="A2769" s="159" t="str">
        <f t="shared" si="217"/>
        <v>$K$1:$K$92</v>
      </c>
      <c r="B2769" s="159" t="str">
        <f t="shared" si="218"/>
        <v>$L$1:$L$92</v>
      </c>
      <c r="C2769" s="159" t="str">
        <f t="shared" si="219"/>
        <v>September!$K$1:$K$92</v>
      </c>
      <c r="D2769" s="159" t="str">
        <f t="shared" si="220"/>
        <v>September!$L$1:$L$92</v>
      </c>
      <c r="E2769" t="s">
        <v>6</v>
      </c>
      <c r="F2769" t="s">
        <v>128</v>
      </c>
      <c r="G2769" t="s">
        <v>144</v>
      </c>
      <c r="H2769" t="s">
        <v>19</v>
      </c>
      <c r="I2769" t="e">
        <f t="shared" ca="1" si="216"/>
        <v>#REF!</v>
      </c>
      <c r="J2769" t="str">
        <f>VLOOKUP($G2769,DefinitionArrays!$I$6:$J$12,2,FALSE)</f>
        <v>Workweek</v>
      </c>
    </row>
    <row r="2770" spans="1:10">
      <c r="A2770" s="159" t="str">
        <f t="shared" si="217"/>
        <v>$K$1:$K$92</v>
      </c>
      <c r="B2770" s="159" t="str">
        <f t="shared" si="218"/>
        <v>$L$1:$L$92</v>
      </c>
      <c r="C2770" s="159" t="str">
        <f t="shared" si="219"/>
        <v>September!$K$1:$K$92</v>
      </c>
      <c r="D2770" s="159" t="str">
        <f t="shared" si="220"/>
        <v>September!$L$1:$L$92</v>
      </c>
      <c r="E2770" t="s">
        <v>6</v>
      </c>
      <c r="F2770" t="s">
        <v>128</v>
      </c>
      <c r="G2770" t="s">
        <v>144</v>
      </c>
      <c r="H2770" t="s">
        <v>20</v>
      </c>
      <c r="I2770" t="e">
        <f t="shared" ca="1" si="216"/>
        <v>#REF!</v>
      </c>
      <c r="J2770" t="str">
        <f>VLOOKUP($G2770,DefinitionArrays!$I$6:$J$12,2,FALSE)</f>
        <v>Workweek</v>
      </c>
    </row>
    <row r="2771" spans="1:10">
      <c r="A2771" s="159" t="str">
        <f t="shared" si="217"/>
        <v>$K$1:$K$92</v>
      </c>
      <c r="B2771" s="159" t="str">
        <f t="shared" si="218"/>
        <v>$L$1:$L$92</v>
      </c>
      <c r="C2771" s="159" t="str">
        <f t="shared" si="219"/>
        <v>September!$K$1:$K$92</v>
      </c>
      <c r="D2771" s="159" t="str">
        <f t="shared" si="220"/>
        <v>September!$L$1:$L$92</v>
      </c>
      <c r="E2771" t="s">
        <v>6</v>
      </c>
      <c r="F2771" t="s">
        <v>128</v>
      </c>
      <c r="G2771" t="s">
        <v>144</v>
      </c>
      <c r="H2771" t="s">
        <v>21</v>
      </c>
      <c r="I2771" t="e">
        <f t="shared" ca="1" si="216"/>
        <v>#REF!</v>
      </c>
      <c r="J2771" t="str">
        <f>VLOOKUP($G2771,DefinitionArrays!$I$6:$J$12,2,FALSE)</f>
        <v>Workweek</v>
      </c>
    </row>
    <row r="2772" spans="1:10">
      <c r="A2772" s="159" t="str">
        <f t="shared" si="217"/>
        <v>$K$1:$K$92</v>
      </c>
      <c r="B2772" s="159" t="str">
        <f t="shared" si="218"/>
        <v>$L$1:$L$92</v>
      </c>
      <c r="C2772" s="159" t="str">
        <f t="shared" si="219"/>
        <v>September!$K$1:$K$92</v>
      </c>
      <c r="D2772" s="159" t="str">
        <f t="shared" si="220"/>
        <v>September!$L$1:$L$92</v>
      </c>
      <c r="E2772" t="s">
        <v>6</v>
      </c>
      <c r="F2772" t="s">
        <v>128</v>
      </c>
      <c r="G2772" t="s">
        <v>144</v>
      </c>
      <c r="H2772" t="s">
        <v>22</v>
      </c>
      <c r="I2772" t="e">
        <f t="shared" ca="1" si="216"/>
        <v>#REF!</v>
      </c>
      <c r="J2772" t="str">
        <f>VLOOKUP($G2772,DefinitionArrays!$I$6:$J$12,2,FALSE)</f>
        <v>Workweek</v>
      </c>
    </row>
    <row r="2773" spans="1:10">
      <c r="A2773" s="159" t="str">
        <f t="shared" si="217"/>
        <v>$K$1:$K$92</v>
      </c>
      <c r="B2773" s="159" t="str">
        <f t="shared" si="218"/>
        <v>$L$1:$L$92</v>
      </c>
      <c r="C2773" s="159" t="str">
        <f t="shared" si="219"/>
        <v>September!$K$1:$K$92</v>
      </c>
      <c r="D2773" s="159" t="str">
        <f t="shared" si="220"/>
        <v>September!$L$1:$L$92</v>
      </c>
      <c r="E2773" t="s">
        <v>6</v>
      </c>
      <c r="F2773" t="s">
        <v>128</v>
      </c>
      <c r="G2773" t="s">
        <v>144</v>
      </c>
      <c r="H2773" t="s">
        <v>23</v>
      </c>
      <c r="I2773" t="e">
        <f t="shared" ca="1" si="216"/>
        <v>#REF!</v>
      </c>
      <c r="J2773" t="str">
        <f>VLOOKUP($G2773,DefinitionArrays!$I$6:$J$12,2,FALSE)</f>
        <v>Workweek</v>
      </c>
    </row>
    <row r="2774" spans="1:10">
      <c r="A2774" s="159" t="str">
        <f t="shared" si="217"/>
        <v>$K$1:$K$92</v>
      </c>
      <c r="B2774" s="159" t="str">
        <f t="shared" si="218"/>
        <v>$L$1:$L$92</v>
      </c>
      <c r="C2774" s="159" t="str">
        <f t="shared" si="219"/>
        <v>September!$K$1:$K$92</v>
      </c>
      <c r="D2774" s="159" t="str">
        <f t="shared" si="220"/>
        <v>September!$L$1:$L$92</v>
      </c>
      <c r="E2774" t="s">
        <v>6</v>
      </c>
      <c r="F2774" t="s">
        <v>128</v>
      </c>
      <c r="G2774" t="s">
        <v>144</v>
      </c>
      <c r="H2774" t="s">
        <v>24</v>
      </c>
      <c r="I2774" t="e">
        <f t="shared" ca="1" si="216"/>
        <v>#REF!</v>
      </c>
      <c r="J2774" t="str">
        <f>VLOOKUP($G2774,DefinitionArrays!$I$6:$J$12,2,FALSE)</f>
        <v>Workweek</v>
      </c>
    </row>
    <row r="2775" spans="1:10">
      <c r="A2775" s="159" t="str">
        <f t="shared" si="217"/>
        <v>$K$1:$K$92</v>
      </c>
      <c r="B2775" s="159" t="str">
        <f t="shared" si="218"/>
        <v>$L$1:$L$92</v>
      </c>
      <c r="C2775" s="159" t="str">
        <f t="shared" si="219"/>
        <v>September!$K$1:$K$92</v>
      </c>
      <c r="D2775" s="159" t="str">
        <f t="shared" si="220"/>
        <v>September!$L$1:$L$92</v>
      </c>
      <c r="E2775" t="s">
        <v>6</v>
      </c>
      <c r="F2775" t="s">
        <v>128</v>
      </c>
      <c r="G2775" t="s">
        <v>144</v>
      </c>
      <c r="H2775" t="s">
        <v>179</v>
      </c>
      <c r="I2775" t="e">
        <f t="shared" ca="1" si="216"/>
        <v>#REF!</v>
      </c>
      <c r="J2775" t="str">
        <f>VLOOKUP($G2775,DefinitionArrays!$I$6:$J$12,2,FALSE)</f>
        <v>Workweek</v>
      </c>
    </row>
    <row r="2776" spans="1:10">
      <c r="A2776" s="159" t="str">
        <f t="shared" si="217"/>
        <v>$K$1:$K$92</v>
      </c>
      <c r="B2776" s="159" t="str">
        <f t="shared" si="218"/>
        <v>$L$1:$L$92</v>
      </c>
      <c r="C2776" s="159" t="str">
        <f t="shared" si="219"/>
        <v>September!$K$1:$K$92</v>
      </c>
      <c r="D2776" s="159" t="str">
        <f t="shared" si="220"/>
        <v>September!$L$1:$L$92</v>
      </c>
      <c r="E2776" t="s">
        <v>6</v>
      </c>
      <c r="F2776" t="s">
        <v>128</v>
      </c>
      <c r="G2776" t="s">
        <v>144</v>
      </c>
      <c r="H2776" t="s">
        <v>180</v>
      </c>
      <c r="I2776" t="e">
        <f t="shared" ca="1" si="216"/>
        <v>#REF!</v>
      </c>
      <c r="J2776" t="str">
        <f>VLOOKUP($G2776,DefinitionArrays!$I$6:$J$12,2,FALSE)</f>
        <v>Workweek</v>
      </c>
    </row>
    <row r="2777" spans="1:10">
      <c r="A2777" s="159" t="str">
        <f t="shared" si="217"/>
        <v>$K$1:$K$92</v>
      </c>
      <c r="B2777" s="159" t="str">
        <f t="shared" si="218"/>
        <v>$L$1:$L$92</v>
      </c>
      <c r="C2777" s="159" t="str">
        <f t="shared" si="219"/>
        <v>September!$K$1:$K$92</v>
      </c>
      <c r="D2777" s="159" t="str">
        <f t="shared" si="220"/>
        <v>September!$L$1:$L$92</v>
      </c>
      <c r="E2777" t="s">
        <v>6</v>
      </c>
      <c r="F2777" t="s">
        <v>128</v>
      </c>
      <c r="G2777" t="s">
        <v>144</v>
      </c>
      <c r="H2777" t="s">
        <v>44</v>
      </c>
      <c r="I2777" t="e">
        <f t="shared" ca="1" si="216"/>
        <v>#REF!</v>
      </c>
      <c r="J2777" t="str">
        <f>VLOOKUP($G2777,DefinitionArrays!$I$6:$J$12,2,FALSE)</f>
        <v>Workweek</v>
      </c>
    </row>
    <row r="2778" spans="1:10">
      <c r="A2778" s="159" t="str">
        <f t="shared" si="217"/>
        <v>$N$1:$N$92</v>
      </c>
      <c r="B2778" s="159" t="str">
        <f t="shared" si="218"/>
        <v>$O$1:$O$92</v>
      </c>
      <c r="C2778" s="159" t="str">
        <f t="shared" si="219"/>
        <v>September!$N$1:$N$92</v>
      </c>
      <c r="D2778" s="159" t="str">
        <f t="shared" si="220"/>
        <v>September!$O$1:$O$92</v>
      </c>
      <c r="E2778" t="s">
        <v>6</v>
      </c>
      <c r="F2778" t="s">
        <v>128</v>
      </c>
      <c r="G2778" t="s">
        <v>145</v>
      </c>
      <c r="H2778" t="s">
        <v>159</v>
      </c>
      <c r="I2778" t="e">
        <f t="shared" ca="1" si="216"/>
        <v>#REF!</v>
      </c>
      <c r="J2778" t="str">
        <f>VLOOKUP($G2778,DefinitionArrays!$I$6:$J$12,2,FALSE)</f>
        <v>Weekend</v>
      </c>
    </row>
    <row r="2779" spans="1:10">
      <c r="A2779" s="159" t="str">
        <f t="shared" si="217"/>
        <v>$N$1:$N$92</v>
      </c>
      <c r="B2779" s="159" t="str">
        <f t="shared" si="218"/>
        <v>$O$1:$O$92</v>
      </c>
      <c r="C2779" s="159" t="str">
        <f t="shared" si="219"/>
        <v>September!$N$1:$N$92</v>
      </c>
      <c r="D2779" s="159" t="str">
        <f t="shared" si="220"/>
        <v>September!$O$1:$O$92</v>
      </c>
      <c r="E2779" t="s">
        <v>6</v>
      </c>
      <c r="F2779" t="s">
        <v>128</v>
      </c>
      <c r="G2779" t="s">
        <v>145</v>
      </c>
      <c r="H2779" t="s">
        <v>18</v>
      </c>
      <c r="I2779" t="e">
        <f t="shared" ca="1" si="216"/>
        <v>#REF!</v>
      </c>
      <c r="J2779" t="str">
        <f>VLOOKUP($G2779,DefinitionArrays!$I$6:$J$12,2,FALSE)</f>
        <v>Weekend</v>
      </c>
    </row>
    <row r="2780" spans="1:10">
      <c r="A2780" s="159" t="str">
        <f t="shared" si="217"/>
        <v>$N$1:$N$92</v>
      </c>
      <c r="B2780" s="159" t="str">
        <f t="shared" si="218"/>
        <v>$O$1:$O$92</v>
      </c>
      <c r="C2780" s="159" t="str">
        <f t="shared" si="219"/>
        <v>September!$N$1:$N$92</v>
      </c>
      <c r="D2780" s="159" t="str">
        <f t="shared" si="220"/>
        <v>September!$O$1:$O$92</v>
      </c>
      <c r="E2780" t="s">
        <v>6</v>
      </c>
      <c r="F2780" t="s">
        <v>128</v>
      </c>
      <c r="G2780" t="s">
        <v>145</v>
      </c>
      <c r="H2780" t="s">
        <v>153</v>
      </c>
      <c r="I2780" t="e">
        <f t="shared" ca="1" si="216"/>
        <v>#REF!</v>
      </c>
      <c r="J2780" t="str">
        <f>VLOOKUP($G2780,DefinitionArrays!$I$6:$J$12,2,FALSE)</f>
        <v>Weekend</v>
      </c>
    </row>
    <row r="2781" spans="1:10">
      <c r="A2781" s="159" t="str">
        <f t="shared" si="217"/>
        <v>$N$1:$N$92</v>
      </c>
      <c r="B2781" s="159" t="str">
        <f t="shared" si="218"/>
        <v>$O$1:$O$92</v>
      </c>
      <c r="C2781" s="159" t="str">
        <f t="shared" si="219"/>
        <v>September!$N$1:$N$92</v>
      </c>
      <c r="D2781" s="159" t="str">
        <f t="shared" si="220"/>
        <v>September!$O$1:$O$92</v>
      </c>
      <c r="E2781" t="s">
        <v>6</v>
      </c>
      <c r="F2781" t="s">
        <v>128</v>
      </c>
      <c r="G2781" t="s">
        <v>145</v>
      </c>
      <c r="H2781" t="s">
        <v>19</v>
      </c>
      <c r="I2781" t="e">
        <f t="shared" ca="1" si="216"/>
        <v>#REF!</v>
      </c>
      <c r="J2781" t="str">
        <f>VLOOKUP($G2781,DefinitionArrays!$I$6:$J$12,2,FALSE)</f>
        <v>Weekend</v>
      </c>
    </row>
    <row r="2782" spans="1:10">
      <c r="A2782" s="159" t="str">
        <f t="shared" si="217"/>
        <v>$N$1:$N$92</v>
      </c>
      <c r="B2782" s="159" t="str">
        <f t="shared" si="218"/>
        <v>$O$1:$O$92</v>
      </c>
      <c r="C2782" s="159" t="str">
        <f t="shared" si="219"/>
        <v>September!$N$1:$N$92</v>
      </c>
      <c r="D2782" s="159" t="str">
        <f t="shared" si="220"/>
        <v>September!$O$1:$O$92</v>
      </c>
      <c r="E2782" t="s">
        <v>6</v>
      </c>
      <c r="F2782" t="s">
        <v>128</v>
      </c>
      <c r="G2782" t="s">
        <v>145</v>
      </c>
      <c r="H2782" t="s">
        <v>20</v>
      </c>
      <c r="I2782" t="e">
        <f t="shared" ca="1" si="216"/>
        <v>#REF!</v>
      </c>
      <c r="J2782" t="str">
        <f>VLOOKUP($G2782,DefinitionArrays!$I$6:$J$12,2,FALSE)</f>
        <v>Weekend</v>
      </c>
    </row>
    <row r="2783" spans="1:10">
      <c r="A2783" s="159" t="str">
        <f t="shared" si="217"/>
        <v>$N$1:$N$92</v>
      </c>
      <c r="B2783" s="159" t="str">
        <f t="shared" si="218"/>
        <v>$O$1:$O$92</v>
      </c>
      <c r="C2783" s="159" t="str">
        <f t="shared" si="219"/>
        <v>September!$N$1:$N$92</v>
      </c>
      <c r="D2783" s="159" t="str">
        <f t="shared" si="220"/>
        <v>September!$O$1:$O$92</v>
      </c>
      <c r="E2783" t="s">
        <v>6</v>
      </c>
      <c r="F2783" t="s">
        <v>128</v>
      </c>
      <c r="G2783" t="s">
        <v>145</v>
      </c>
      <c r="H2783" t="s">
        <v>21</v>
      </c>
      <c r="I2783" t="e">
        <f t="shared" ca="1" si="216"/>
        <v>#REF!</v>
      </c>
      <c r="J2783" t="str">
        <f>VLOOKUP($G2783,DefinitionArrays!$I$6:$J$12,2,FALSE)</f>
        <v>Weekend</v>
      </c>
    </row>
    <row r="2784" spans="1:10">
      <c r="A2784" s="159" t="str">
        <f t="shared" si="217"/>
        <v>$N$1:$N$92</v>
      </c>
      <c r="B2784" s="159" t="str">
        <f t="shared" si="218"/>
        <v>$O$1:$O$92</v>
      </c>
      <c r="C2784" s="159" t="str">
        <f t="shared" si="219"/>
        <v>September!$N$1:$N$92</v>
      </c>
      <c r="D2784" s="159" t="str">
        <f t="shared" si="220"/>
        <v>September!$O$1:$O$92</v>
      </c>
      <c r="E2784" t="s">
        <v>6</v>
      </c>
      <c r="F2784" t="s">
        <v>128</v>
      </c>
      <c r="G2784" t="s">
        <v>145</v>
      </c>
      <c r="H2784" t="s">
        <v>22</v>
      </c>
      <c r="I2784" t="e">
        <f t="shared" ca="1" si="216"/>
        <v>#REF!</v>
      </c>
      <c r="J2784" t="str">
        <f>VLOOKUP($G2784,DefinitionArrays!$I$6:$J$12,2,FALSE)</f>
        <v>Weekend</v>
      </c>
    </row>
    <row r="2785" spans="1:10">
      <c r="A2785" s="159" t="str">
        <f t="shared" si="217"/>
        <v>$N$1:$N$92</v>
      </c>
      <c r="B2785" s="159" t="str">
        <f t="shared" si="218"/>
        <v>$O$1:$O$92</v>
      </c>
      <c r="C2785" s="159" t="str">
        <f t="shared" si="219"/>
        <v>September!$N$1:$N$92</v>
      </c>
      <c r="D2785" s="159" t="str">
        <f t="shared" si="220"/>
        <v>September!$O$1:$O$92</v>
      </c>
      <c r="E2785" t="s">
        <v>6</v>
      </c>
      <c r="F2785" t="s">
        <v>128</v>
      </c>
      <c r="G2785" t="s">
        <v>145</v>
      </c>
      <c r="H2785" t="s">
        <v>23</v>
      </c>
      <c r="I2785" t="e">
        <f t="shared" ca="1" si="216"/>
        <v>#REF!</v>
      </c>
      <c r="J2785" t="str">
        <f>VLOOKUP($G2785,DefinitionArrays!$I$6:$J$12,2,FALSE)</f>
        <v>Weekend</v>
      </c>
    </row>
    <row r="2786" spans="1:10">
      <c r="A2786" s="159" t="str">
        <f t="shared" si="217"/>
        <v>$N$1:$N$92</v>
      </c>
      <c r="B2786" s="159" t="str">
        <f t="shared" si="218"/>
        <v>$O$1:$O$92</v>
      </c>
      <c r="C2786" s="159" t="str">
        <f t="shared" si="219"/>
        <v>September!$N$1:$N$92</v>
      </c>
      <c r="D2786" s="159" t="str">
        <f t="shared" si="220"/>
        <v>September!$O$1:$O$92</v>
      </c>
      <c r="E2786" t="s">
        <v>6</v>
      </c>
      <c r="F2786" t="s">
        <v>128</v>
      </c>
      <c r="G2786" t="s">
        <v>145</v>
      </c>
      <c r="H2786" t="s">
        <v>24</v>
      </c>
      <c r="I2786" t="e">
        <f t="shared" ca="1" si="216"/>
        <v>#REF!</v>
      </c>
      <c r="J2786" t="str">
        <f>VLOOKUP($G2786,DefinitionArrays!$I$6:$J$12,2,FALSE)</f>
        <v>Weekend</v>
      </c>
    </row>
    <row r="2787" spans="1:10">
      <c r="A2787" s="159" t="str">
        <f t="shared" si="217"/>
        <v>$N$1:$N$92</v>
      </c>
      <c r="B2787" s="159" t="str">
        <f t="shared" si="218"/>
        <v>$O$1:$O$92</v>
      </c>
      <c r="C2787" s="159" t="str">
        <f t="shared" si="219"/>
        <v>September!$N$1:$N$92</v>
      </c>
      <c r="D2787" s="159" t="str">
        <f t="shared" si="220"/>
        <v>September!$O$1:$O$92</v>
      </c>
      <c r="E2787" t="s">
        <v>6</v>
      </c>
      <c r="F2787" t="s">
        <v>128</v>
      </c>
      <c r="G2787" t="s">
        <v>145</v>
      </c>
      <c r="H2787" t="s">
        <v>179</v>
      </c>
      <c r="I2787" t="e">
        <f t="shared" ca="1" si="216"/>
        <v>#REF!</v>
      </c>
      <c r="J2787" t="str">
        <f>VLOOKUP($G2787,DefinitionArrays!$I$6:$J$12,2,FALSE)</f>
        <v>Weekend</v>
      </c>
    </row>
    <row r="2788" spans="1:10">
      <c r="A2788" s="159" t="str">
        <f t="shared" si="217"/>
        <v>$N$1:$N$92</v>
      </c>
      <c r="B2788" s="159" t="str">
        <f t="shared" si="218"/>
        <v>$O$1:$O$92</v>
      </c>
      <c r="C2788" s="159" t="str">
        <f t="shared" si="219"/>
        <v>September!$N$1:$N$92</v>
      </c>
      <c r="D2788" s="159" t="str">
        <f t="shared" si="220"/>
        <v>September!$O$1:$O$92</v>
      </c>
      <c r="E2788" t="s">
        <v>6</v>
      </c>
      <c r="F2788" t="s">
        <v>128</v>
      </c>
      <c r="G2788" t="s">
        <v>145</v>
      </c>
      <c r="H2788" t="s">
        <v>180</v>
      </c>
      <c r="I2788" t="e">
        <f t="shared" ca="1" si="216"/>
        <v>#REF!</v>
      </c>
      <c r="J2788" t="str">
        <f>VLOOKUP($G2788,DefinitionArrays!$I$6:$J$12,2,FALSE)</f>
        <v>Weekend</v>
      </c>
    </row>
    <row r="2789" spans="1:10">
      <c r="A2789" s="159" t="str">
        <f t="shared" si="217"/>
        <v>$N$1:$N$92</v>
      </c>
      <c r="B2789" s="159" t="str">
        <f t="shared" si="218"/>
        <v>$O$1:$O$92</v>
      </c>
      <c r="C2789" s="159" t="str">
        <f t="shared" si="219"/>
        <v>September!$N$1:$N$92</v>
      </c>
      <c r="D2789" s="159" t="str">
        <f t="shared" si="220"/>
        <v>September!$O$1:$O$92</v>
      </c>
      <c r="E2789" t="s">
        <v>6</v>
      </c>
      <c r="F2789" t="s">
        <v>128</v>
      </c>
      <c r="G2789" t="s">
        <v>145</v>
      </c>
      <c r="H2789" t="s">
        <v>44</v>
      </c>
      <c r="I2789" t="e">
        <f t="shared" ca="1" si="216"/>
        <v>#REF!</v>
      </c>
      <c r="J2789" t="str">
        <f>VLOOKUP($G2789,DefinitionArrays!$I$6:$J$12,2,FALSE)</f>
        <v>Weekend</v>
      </c>
    </row>
    <row r="2790" spans="1:10">
      <c r="A2790" s="159" t="str">
        <f t="shared" si="217"/>
        <v>$Q$1:$Q$92</v>
      </c>
      <c r="B2790" s="159" t="str">
        <f t="shared" si="218"/>
        <v>$R$1:$R$92</v>
      </c>
      <c r="C2790" s="159" t="str">
        <f t="shared" si="219"/>
        <v>September!$Q$1:$Q$92</v>
      </c>
      <c r="D2790" s="159" t="str">
        <f t="shared" si="220"/>
        <v>September!$R$1:$R$92</v>
      </c>
      <c r="E2790" t="s">
        <v>6</v>
      </c>
      <c r="F2790" t="s">
        <v>128</v>
      </c>
      <c r="G2790" t="s">
        <v>146</v>
      </c>
      <c r="H2790" t="s">
        <v>159</v>
      </c>
      <c r="I2790" t="e">
        <f t="shared" ca="1" si="216"/>
        <v>#REF!</v>
      </c>
      <c r="J2790" t="str">
        <f>VLOOKUP($G2790,DefinitionArrays!$I$6:$J$12,2,FALSE)</f>
        <v>Weekend</v>
      </c>
    </row>
    <row r="2791" spans="1:10">
      <c r="A2791" s="159" t="str">
        <f t="shared" si="217"/>
        <v>$T$1:$T$92</v>
      </c>
      <c r="B2791" s="159" t="str">
        <f t="shared" si="218"/>
        <v>$U$1:$U$92</v>
      </c>
      <c r="C2791" s="159" t="str">
        <f t="shared" si="219"/>
        <v>September!$T$1:$T$92</v>
      </c>
      <c r="D2791" s="159" t="str">
        <f t="shared" si="220"/>
        <v>September!$U$1:$U$92</v>
      </c>
      <c r="E2791" t="s">
        <v>6</v>
      </c>
      <c r="F2791" t="s">
        <v>128</v>
      </c>
      <c r="G2791" t="s">
        <v>141</v>
      </c>
      <c r="H2791" t="s">
        <v>159</v>
      </c>
      <c r="I2791" t="e">
        <f t="shared" ca="1" si="216"/>
        <v>#REF!</v>
      </c>
      <c r="J2791" t="str">
        <f>VLOOKUP($G2791,DefinitionArrays!$I$6:$J$12,2,FALSE)</f>
        <v>Weekend</v>
      </c>
    </row>
    <row r="2792" spans="1:10">
      <c r="A2792" s="159" t="str">
        <f t="shared" si="217"/>
        <v>$B$1:$B$92</v>
      </c>
      <c r="B2792" s="159" t="str">
        <f t="shared" si="218"/>
        <v>$C$1:$C$92</v>
      </c>
      <c r="C2792" s="159" t="str">
        <f t="shared" si="219"/>
        <v>October!$B$1:$B$92</v>
      </c>
      <c r="D2792" s="159" t="str">
        <f t="shared" si="220"/>
        <v>October!$C$1:$C$92</v>
      </c>
      <c r="E2792" t="s">
        <v>6</v>
      </c>
      <c r="F2792" t="s">
        <v>129</v>
      </c>
      <c r="G2792" t="s">
        <v>13</v>
      </c>
      <c r="H2792" t="s">
        <v>159</v>
      </c>
      <c r="I2792" t="e">
        <f ca="1">COUNTIFS(INDIRECT($C2792),$E2792,INDIRECT($D2792),$H2792)</f>
        <v>#REF!</v>
      </c>
      <c r="J2792" t="str">
        <f>VLOOKUP($G2792,DefinitionArrays!$I$6:$J$12,2,FALSE)</f>
        <v>Workweek</v>
      </c>
    </row>
    <row r="2793" spans="1:10">
      <c r="A2793" s="159" t="str">
        <f t="shared" si="217"/>
        <v>$B$1:$B$92</v>
      </c>
      <c r="B2793" s="159" t="str">
        <f t="shared" si="218"/>
        <v>$C$1:$C$92</v>
      </c>
      <c r="C2793" s="159" t="str">
        <f t="shared" si="219"/>
        <v>October!$B$1:$B$92</v>
      </c>
      <c r="D2793" s="159" t="str">
        <f t="shared" si="220"/>
        <v>October!$C$1:$C$92</v>
      </c>
      <c r="E2793" t="s">
        <v>6</v>
      </c>
      <c r="F2793" t="s">
        <v>129</v>
      </c>
      <c r="G2793" t="s">
        <v>13</v>
      </c>
      <c r="H2793" t="s">
        <v>18</v>
      </c>
      <c r="I2793" t="e">
        <f t="shared" ref="I2793:I2853" ca="1" si="221">COUNTIFS(INDIRECT($C2793),$E2793,INDIRECT($D2793),$H2793)</f>
        <v>#REF!</v>
      </c>
      <c r="J2793" t="str">
        <f>VLOOKUP($G2793,DefinitionArrays!$I$6:$J$12,2,FALSE)</f>
        <v>Workweek</v>
      </c>
    </row>
    <row r="2794" spans="1:10">
      <c r="A2794" s="159" t="str">
        <f t="shared" si="217"/>
        <v>$B$1:$B$92</v>
      </c>
      <c r="B2794" s="159" t="str">
        <f t="shared" si="218"/>
        <v>$C$1:$C$92</v>
      </c>
      <c r="C2794" s="159" t="str">
        <f t="shared" si="219"/>
        <v>October!$B$1:$B$92</v>
      </c>
      <c r="D2794" s="159" t="str">
        <f t="shared" si="220"/>
        <v>October!$C$1:$C$92</v>
      </c>
      <c r="E2794" t="s">
        <v>6</v>
      </c>
      <c r="F2794" t="s">
        <v>129</v>
      </c>
      <c r="G2794" t="s">
        <v>13</v>
      </c>
      <c r="H2794" t="s">
        <v>153</v>
      </c>
      <c r="I2794" t="e">
        <f t="shared" ca="1" si="221"/>
        <v>#REF!</v>
      </c>
      <c r="J2794" t="str">
        <f>VLOOKUP($G2794,DefinitionArrays!$I$6:$J$12,2,FALSE)</f>
        <v>Workweek</v>
      </c>
    </row>
    <row r="2795" spans="1:10">
      <c r="A2795" s="159" t="str">
        <f t="shared" si="217"/>
        <v>$B$1:$B$92</v>
      </c>
      <c r="B2795" s="159" t="str">
        <f t="shared" si="218"/>
        <v>$C$1:$C$92</v>
      </c>
      <c r="C2795" s="159" t="str">
        <f t="shared" si="219"/>
        <v>October!$B$1:$B$92</v>
      </c>
      <c r="D2795" s="159" t="str">
        <f t="shared" si="220"/>
        <v>October!$C$1:$C$92</v>
      </c>
      <c r="E2795" t="s">
        <v>6</v>
      </c>
      <c r="F2795" t="s">
        <v>129</v>
      </c>
      <c r="G2795" t="s">
        <v>13</v>
      </c>
      <c r="H2795" t="s">
        <v>19</v>
      </c>
      <c r="I2795" t="e">
        <f t="shared" ca="1" si="221"/>
        <v>#REF!</v>
      </c>
      <c r="J2795" t="str">
        <f>VLOOKUP($G2795,DefinitionArrays!$I$6:$J$12,2,FALSE)</f>
        <v>Workweek</v>
      </c>
    </row>
    <row r="2796" spans="1:10">
      <c r="A2796" s="159" t="str">
        <f t="shared" si="217"/>
        <v>$B$1:$B$92</v>
      </c>
      <c r="B2796" s="159" t="str">
        <f t="shared" si="218"/>
        <v>$C$1:$C$92</v>
      </c>
      <c r="C2796" s="159" t="str">
        <f t="shared" si="219"/>
        <v>October!$B$1:$B$92</v>
      </c>
      <c r="D2796" s="159" t="str">
        <f t="shared" si="220"/>
        <v>October!$C$1:$C$92</v>
      </c>
      <c r="E2796" t="s">
        <v>6</v>
      </c>
      <c r="F2796" t="s">
        <v>129</v>
      </c>
      <c r="G2796" t="s">
        <v>13</v>
      </c>
      <c r="H2796" t="s">
        <v>20</v>
      </c>
      <c r="I2796" t="e">
        <f t="shared" ca="1" si="221"/>
        <v>#REF!</v>
      </c>
      <c r="J2796" t="str">
        <f>VLOOKUP($G2796,DefinitionArrays!$I$6:$J$12,2,FALSE)</f>
        <v>Workweek</v>
      </c>
    </row>
    <row r="2797" spans="1:10">
      <c r="A2797" s="159" t="str">
        <f t="shared" si="217"/>
        <v>$B$1:$B$92</v>
      </c>
      <c r="B2797" s="159" t="str">
        <f t="shared" si="218"/>
        <v>$C$1:$C$92</v>
      </c>
      <c r="C2797" s="159" t="str">
        <f t="shared" si="219"/>
        <v>October!$B$1:$B$92</v>
      </c>
      <c r="D2797" s="159" t="str">
        <f t="shared" si="220"/>
        <v>October!$C$1:$C$92</v>
      </c>
      <c r="E2797" t="s">
        <v>6</v>
      </c>
      <c r="F2797" t="s">
        <v>129</v>
      </c>
      <c r="G2797" t="s">
        <v>13</v>
      </c>
      <c r="H2797" t="s">
        <v>21</v>
      </c>
      <c r="I2797" t="e">
        <f t="shared" ca="1" si="221"/>
        <v>#REF!</v>
      </c>
      <c r="J2797" t="str">
        <f>VLOOKUP($G2797,DefinitionArrays!$I$6:$J$12,2,FALSE)</f>
        <v>Workweek</v>
      </c>
    </row>
    <row r="2798" spans="1:10">
      <c r="A2798" s="159" t="str">
        <f t="shared" si="217"/>
        <v>$B$1:$B$92</v>
      </c>
      <c r="B2798" s="159" t="str">
        <f t="shared" si="218"/>
        <v>$C$1:$C$92</v>
      </c>
      <c r="C2798" s="159" t="str">
        <f t="shared" si="219"/>
        <v>October!$B$1:$B$92</v>
      </c>
      <c r="D2798" s="159" t="str">
        <f t="shared" si="220"/>
        <v>October!$C$1:$C$92</v>
      </c>
      <c r="E2798" t="s">
        <v>6</v>
      </c>
      <c r="F2798" t="s">
        <v>129</v>
      </c>
      <c r="G2798" t="s">
        <v>13</v>
      </c>
      <c r="H2798" t="s">
        <v>22</v>
      </c>
      <c r="I2798" t="e">
        <f t="shared" ca="1" si="221"/>
        <v>#REF!</v>
      </c>
      <c r="J2798" t="str">
        <f>VLOOKUP($G2798,DefinitionArrays!$I$6:$J$12,2,FALSE)</f>
        <v>Workweek</v>
      </c>
    </row>
    <row r="2799" spans="1:10">
      <c r="A2799" s="159" t="str">
        <f t="shared" si="217"/>
        <v>$B$1:$B$92</v>
      </c>
      <c r="B2799" s="159" t="str">
        <f t="shared" si="218"/>
        <v>$C$1:$C$92</v>
      </c>
      <c r="C2799" s="159" t="str">
        <f t="shared" si="219"/>
        <v>October!$B$1:$B$92</v>
      </c>
      <c r="D2799" s="159" t="str">
        <f t="shared" si="220"/>
        <v>October!$C$1:$C$92</v>
      </c>
      <c r="E2799" t="s">
        <v>6</v>
      </c>
      <c r="F2799" t="s">
        <v>129</v>
      </c>
      <c r="G2799" t="s">
        <v>13</v>
      </c>
      <c r="H2799" t="s">
        <v>23</v>
      </c>
      <c r="I2799" t="e">
        <f t="shared" ca="1" si="221"/>
        <v>#REF!</v>
      </c>
      <c r="J2799" t="str">
        <f>VLOOKUP($G2799,DefinitionArrays!$I$6:$J$12,2,FALSE)</f>
        <v>Workweek</v>
      </c>
    </row>
    <row r="2800" spans="1:10">
      <c r="A2800" s="159" t="str">
        <f t="shared" si="217"/>
        <v>$B$1:$B$92</v>
      </c>
      <c r="B2800" s="159" t="str">
        <f t="shared" si="218"/>
        <v>$C$1:$C$92</v>
      </c>
      <c r="C2800" s="159" t="str">
        <f t="shared" si="219"/>
        <v>October!$B$1:$B$92</v>
      </c>
      <c r="D2800" s="159" t="str">
        <f t="shared" si="220"/>
        <v>October!$C$1:$C$92</v>
      </c>
      <c r="E2800" t="s">
        <v>6</v>
      </c>
      <c r="F2800" t="s">
        <v>129</v>
      </c>
      <c r="G2800" t="s">
        <v>13</v>
      </c>
      <c r="H2800" t="s">
        <v>24</v>
      </c>
      <c r="I2800" t="e">
        <f t="shared" ca="1" si="221"/>
        <v>#REF!</v>
      </c>
      <c r="J2800" t="str">
        <f>VLOOKUP($G2800,DefinitionArrays!$I$6:$J$12,2,FALSE)</f>
        <v>Workweek</v>
      </c>
    </row>
    <row r="2801" spans="1:10">
      <c r="A2801" s="159" t="str">
        <f t="shared" si="217"/>
        <v>$B$1:$B$92</v>
      </c>
      <c r="B2801" s="159" t="str">
        <f t="shared" si="218"/>
        <v>$C$1:$C$92</v>
      </c>
      <c r="C2801" s="159" t="str">
        <f t="shared" si="219"/>
        <v>October!$B$1:$B$92</v>
      </c>
      <c r="D2801" s="159" t="str">
        <f t="shared" si="220"/>
        <v>October!$C$1:$C$92</v>
      </c>
      <c r="E2801" t="s">
        <v>6</v>
      </c>
      <c r="F2801" t="s">
        <v>129</v>
      </c>
      <c r="G2801" t="s">
        <v>13</v>
      </c>
      <c r="H2801" t="s">
        <v>179</v>
      </c>
      <c r="I2801" t="e">
        <f t="shared" ca="1" si="221"/>
        <v>#REF!</v>
      </c>
      <c r="J2801" t="str">
        <f>VLOOKUP($G2801,DefinitionArrays!$I$6:$J$12,2,FALSE)</f>
        <v>Workweek</v>
      </c>
    </row>
    <row r="2802" spans="1:10">
      <c r="A2802" s="159" t="str">
        <f t="shared" si="217"/>
        <v>$B$1:$B$92</v>
      </c>
      <c r="B2802" s="159" t="str">
        <f t="shared" si="218"/>
        <v>$C$1:$C$92</v>
      </c>
      <c r="C2802" s="159" t="str">
        <f t="shared" si="219"/>
        <v>October!$B$1:$B$92</v>
      </c>
      <c r="D2802" s="159" t="str">
        <f t="shared" si="220"/>
        <v>October!$C$1:$C$92</v>
      </c>
      <c r="E2802" t="s">
        <v>6</v>
      </c>
      <c r="F2802" t="s">
        <v>129</v>
      </c>
      <c r="G2802" t="s">
        <v>13</v>
      </c>
      <c r="H2802" t="s">
        <v>180</v>
      </c>
      <c r="I2802" t="e">
        <f t="shared" ca="1" si="221"/>
        <v>#REF!</v>
      </c>
      <c r="J2802" t="str">
        <f>VLOOKUP($G2802,DefinitionArrays!$I$6:$J$12,2,FALSE)</f>
        <v>Workweek</v>
      </c>
    </row>
    <row r="2803" spans="1:10">
      <c r="A2803" s="159" t="str">
        <f t="shared" si="217"/>
        <v>$B$1:$B$92</v>
      </c>
      <c r="B2803" s="159" t="str">
        <f t="shared" si="218"/>
        <v>$C$1:$C$92</v>
      </c>
      <c r="C2803" s="159" t="str">
        <f t="shared" si="219"/>
        <v>October!$B$1:$B$92</v>
      </c>
      <c r="D2803" s="159" t="str">
        <f t="shared" si="220"/>
        <v>October!$C$1:$C$92</v>
      </c>
      <c r="E2803" t="s">
        <v>6</v>
      </c>
      <c r="F2803" t="s">
        <v>129</v>
      </c>
      <c r="G2803" t="s">
        <v>13</v>
      </c>
      <c r="H2803" t="s">
        <v>44</v>
      </c>
      <c r="I2803" t="e">
        <f t="shared" ca="1" si="221"/>
        <v>#REF!</v>
      </c>
      <c r="J2803" t="str">
        <f>VLOOKUP($G2803,DefinitionArrays!$I$6:$J$12,2,FALSE)</f>
        <v>Workweek</v>
      </c>
    </row>
    <row r="2804" spans="1:10">
      <c r="A2804" s="159" t="str">
        <f t="shared" si="217"/>
        <v>$E$1:$E$92</v>
      </c>
      <c r="B2804" s="159" t="str">
        <f t="shared" si="218"/>
        <v>$F$1:$F$92</v>
      </c>
      <c r="C2804" s="159" t="str">
        <f t="shared" si="219"/>
        <v>October!$E$1:$E$92</v>
      </c>
      <c r="D2804" s="159" t="str">
        <f t="shared" si="220"/>
        <v>October!$F$1:$F$92</v>
      </c>
      <c r="E2804" t="s">
        <v>6</v>
      </c>
      <c r="F2804" t="s">
        <v>129</v>
      </c>
      <c r="G2804" t="s">
        <v>142</v>
      </c>
      <c r="H2804" t="s">
        <v>159</v>
      </c>
      <c r="I2804" t="e">
        <f t="shared" ca="1" si="221"/>
        <v>#REF!</v>
      </c>
      <c r="J2804" t="str">
        <f>VLOOKUP($G2804,DefinitionArrays!$I$6:$J$12,2,FALSE)</f>
        <v>Workweek</v>
      </c>
    </row>
    <row r="2805" spans="1:10">
      <c r="A2805" s="159" t="str">
        <f t="shared" si="217"/>
        <v>$E$1:$E$92</v>
      </c>
      <c r="B2805" s="159" t="str">
        <f t="shared" si="218"/>
        <v>$F$1:$F$92</v>
      </c>
      <c r="C2805" s="159" t="str">
        <f t="shared" si="219"/>
        <v>October!$E$1:$E$92</v>
      </c>
      <c r="D2805" s="159" t="str">
        <f t="shared" si="220"/>
        <v>October!$F$1:$F$92</v>
      </c>
      <c r="E2805" t="s">
        <v>6</v>
      </c>
      <c r="F2805" t="s">
        <v>129</v>
      </c>
      <c r="G2805" t="s">
        <v>142</v>
      </c>
      <c r="H2805" t="s">
        <v>18</v>
      </c>
      <c r="I2805" t="e">
        <f t="shared" ca="1" si="221"/>
        <v>#REF!</v>
      </c>
      <c r="J2805" t="str">
        <f>VLOOKUP($G2805,DefinitionArrays!$I$6:$J$12,2,FALSE)</f>
        <v>Workweek</v>
      </c>
    </row>
    <row r="2806" spans="1:10">
      <c r="A2806" s="159" t="str">
        <f t="shared" si="217"/>
        <v>$E$1:$E$92</v>
      </c>
      <c r="B2806" s="159" t="str">
        <f t="shared" si="218"/>
        <v>$F$1:$F$92</v>
      </c>
      <c r="C2806" s="159" t="str">
        <f t="shared" si="219"/>
        <v>October!$E$1:$E$92</v>
      </c>
      <c r="D2806" s="159" t="str">
        <f t="shared" si="220"/>
        <v>October!$F$1:$F$92</v>
      </c>
      <c r="E2806" t="s">
        <v>6</v>
      </c>
      <c r="F2806" t="s">
        <v>129</v>
      </c>
      <c r="G2806" t="s">
        <v>142</v>
      </c>
      <c r="H2806" t="s">
        <v>153</v>
      </c>
      <c r="I2806" t="e">
        <f t="shared" ca="1" si="221"/>
        <v>#REF!</v>
      </c>
      <c r="J2806" t="str">
        <f>VLOOKUP($G2806,DefinitionArrays!$I$6:$J$12,2,FALSE)</f>
        <v>Workweek</v>
      </c>
    </row>
    <row r="2807" spans="1:10">
      <c r="A2807" s="159" t="str">
        <f t="shared" si="217"/>
        <v>$E$1:$E$92</v>
      </c>
      <c r="B2807" s="159" t="str">
        <f t="shared" si="218"/>
        <v>$F$1:$F$92</v>
      </c>
      <c r="C2807" s="159" t="str">
        <f t="shared" si="219"/>
        <v>October!$E$1:$E$92</v>
      </c>
      <c r="D2807" s="159" t="str">
        <f t="shared" si="220"/>
        <v>October!$F$1:$F$92</v>
      </c>
      <c r="E2807" t="s">
        <v>6</v>
      </c>
      <c r="F2807" t="s">
        <v>129</v>
      </c>
      <c r="G2807" t="s">
        <v>142</v>
      </c>
      <c r="H2807" t="s">
        <v>19</v>
      </c>
      <c r="I2807" t="e">
        <f t="shared" ca="1" si="221"/>
        <v>#REF!</v>
      </c>
      <c r="J2807" t="str">
        <f>VLOOKUP($G2807,DefinitionArrays!$I$6:$J$12,2,FALSE)</f>
        <v>Workweek</v>
      </c>
    </row>
    <row r="2808" spans="1:10">
      <c r="A2808" s="159" t="str">
        <f t="shared" si="217"/>
        <v>$E$1:$E$92</v>
      </c>
      <c r="B2808" s="159" t="str">
        <f t="shared" si="218"/>
        <v>$F$1:$F$92</v>
      </c>
      <c r="C2808" s="159" t="str">
        <f t="shared" si="219"/>
        <v>October!$E$1:$E$92</v>
      </c>
      <c r="D2808" s="159" t="str">
        <f t="shared" si="220"/>
        <v>October!$F$1:$F$92</v>
      </c>
      <c r="E2808" t="s">
        <v>6</v>
      </c>
      <c r="F2808" t="s">
        <v>129</v>
      </c>
      <c r="G2808" t="s">
        <v>142</v>
      </c>
      <c r="H2808" t="s">
        <v>20</v>
      </c>
      <c r="I2808" t="e">
        <f t="shared" ca="1" si="221"/>
        <v>#REF!</v>
      </c>
      <c r="J2808" t="str">
        <f>VLOOKUP($G2808,DefinitionArrays!$I$6:$J$12,2,FALSE)</f>
        <v>Workweek</v>
      </c>
    </row>
    <row r="2809" spans="1:10">
      <c r="A2809" s="159" t="str">
        <f t="shared" si="217"/>
        <v>$E$1:$E$92</v>
      </c>
      <c r="B2809" s="159" t="str">
        <f t="shared" si="218"/>
        <v>$F$1:$F$92</v>
      </c>
      <c r="C2809" s="159" t="str">
        <f t="shared" si="219"/>
        <v>October!$E$1:$E$92</v>
      </c>
      <c r="D2809" s="159" t="str">
        <f t="shared" si="220"/>
        <v>October!$F$1:$F$92</v>
      </c>
      <c r="E2809" t="s">
        <v>6</v>
      </c>
      <c r="F2809" t="s">
        <v>129</v>
      </c>
      <c r="G2809" t="s">
        <v>142</v>
      </c>
      <c r="H2809" t="s">
        <v>21</v>
      </c>
      <c r="I2809" t="e">
        <f t="shared" ca="1" si="221"/>
        <v>#REF!</v>
      </c>
      <c r="J2809" t="str">
        <f>VLOOKUP($G2809,DefinitionArrays!$I$6:$J$12,2,FALSE)</f>
        <v>Workweek</v>
      </c>
    </row>
    <row r="2810" spans="1:10">
      <c r="A2810" s="159" t="str">
        <f t="shared" si="217"/>
        <v>$E$1:$E$92</v>
      </c>
      <c r="B2810" s="159" t="str">
        <f t="shared" si="218"/>
        <v>$F$1:$F$92</v>
      </c>
      <c r="C2810" s="159" t="str">
        <f t="shared" si="219"/>
        <v>October!$E$1:$E$92</v>
      </c>
      <c r="D2810" s="159" t="str">
        <f t="shared" si="220"/>
        <v>October!$F$1:$F$92</v>
      </c>
      <c r="E2810" t="s">
        <v>6</v>
      </c>
      <c r="F2810" t="s">
        <v>129</v>
      </c>
      <c r="G2810" t="s">
        <v>142</v>
      </c>
      <c r="H2810" t="s">
        <v>22</v>
      </c>
      <c r="I2810" t="e">
        <f t="shared" ca="1" si="221"/>
        <v>#REF!</v>
      </c>
      <c r="J2810" t="str">
        <f>VLOOKUP($G2810,DefinitionArrays!$I$6:$J$12,2,FALSE)</f>
        <v>Workweek</v>
      </c>
    </row>
    <row r="2811" spans="1:10">
      <c r="A2811" s="159" t="str">
        <f t="shared" si="217"/>
        <v>$E$1:$E$92</v>
      </c>
      <c r="B2811" s="159" t="str">
        <f t="shared" si="218"/>
        <v>$F$1:$F$92</v>
      </c>
      <c r="C2811" s="159" t="str">
        <f t="shared" si="219"/>
        <v>October!$E$1:$E$92</v>
      </c>
      <c r="D2811" s="159" t="str">
        <f t="shared" si="220"/>
        <v>October!$F$1:$F$92</v>
      </c>
      <c r="E2811" t="s">
        <v>6</v>
      </c>
      <c r="F2811" t="s">
        <v>129</v>
      </c>
      <c r="G2811" t="s">
        <v>142</v>
      </c>
      <c r="H2811" t="s">
        <v>23</v>
      </c>
      <c r="I2811" t="e">
        <f t="shared" ca="1" si="221"/>
        <v>#REF!</v>
      </c>
      <c r="J2811" t="str">
        <f>VLOOKUP($G2811,DefinitionArrays!$I$6:$J$12,2,FALSE)</f>
        <v>Workweek</v>
      </c>
    </row>
    <row r="2812" spans="1:10">
      <c r="A2812" s="159" t="str">
        <f t="shared" si="217"/>
        <v>$E$1:$E$92</v>
      </c>
      <c r="B2812" s="159" t="str">
        <f t="shared" si="218"/>
        <v>$F$1:$F$92</v>
      </c>
      <c r="C2812" s="159" t="str">
        <f t="shared" si="219"/>
        <v>October!$E$1:$E$92</v>
      </c>
      <c r="D2812" s="159" t="str">
        <f t="shared" si="220"/>
        <v>October!$F$1:$F$92</v>
      </c>
      <c r="E2812" t="s">
        <v>6</v>
      </c>
      <c r="F2812" t="s">
        <v>129</v>
      </c>
      <c r="G2812" t="s">
        <v>142</v>
      </c>
      <c r="H2812" t="s">
        <v>24</v>
      </c>
      <c r="I2812" t="e">
        <f t="shared" ca="1" si="221"/>
        <v>#REF!</v>
      </c>
      <c r="J2812" t="str">
        <f>VLOOKUP($G2812,DefinitionArrays!$I$6:$J$12,2,FALSE)</f>
        <v>Workweek</v>
      </c>
    </row>
    <row r="2813" spans="1:10">
      <c r="A2813" s="159" t="str">
        <f t="shared" si="217"/>
        <v>$E$1:$E$92</v>
      </c>
      <c r="B2813" s="159" t="str">
        <f t="shared" si="218"/>
        <v>$F$1:$F$92</v>
      </c>
      <c r="C2813" s="159" t="str">
        <f t="shared" si="219"/>
        <v>October!$E$1:$E$92</v>
      </c>
      <c r="D2813" s="159" t="str">
        <f t="shared" si="220"/>
        <v>October!$F$1:$F$92</v>
      </c>
      <c r="E2813" t="s">
        <v>6</v>
      </c>
      <c r="F2813" t="s">
        <v>129</v>
      </c>
      <c r="G2813" t="s">
        <v>142</v>
      </c>
      <c r="H2813" t="s">
        <v>179</v>
      </c>
      <c r="I2813" t="e">
        <f t="shared" ca="1" si="221"/>
        <v>#REF!</v>
      </c>
      <c r="J2813" t="str">
        <f>VLOOKUP($G2813,DefinitionArrays!$I$6:$J$12,2,FALSE)</f>
        <v>Workweek</v>
      </c>
    </row>
    <row r="2814" spans="1:10">
      <c r="A2814" s="159" t="str">
        <f t="shared" si="217"/>
        <v>$E$1:$E$92</v>
      </c>
      <c r="B2814" s="159" t="str">
        <f t="shared" si="218"/>
        <v>$F$1:$F$92</v>
      </c>
      <c r="C2814" s="159" t="str">
        <f t="shared" si="219"/>
        <v>October!$E$1:$E$92</v>
      </c>
      <c r="D2814" s="159" t="str">
        <f t="shared" si="220"/>
        <v>October!$F$1:$F$92</v>
      </c>
      <c r="E2814" t="s">
        <v>6</v>
      </c>
      <c r="F2814" t="s">
        <v>129</v>
      </c>
      <c r="G2814" t="s">
        <v>142</v>
      </c>
      <c r="H2814" t="s">
        <v>180</v>
      </c>
      <c r="I2814" t="e">
        <f t="shared" ca="1" si="221"/>
        <v>#REF!</v>
      </c>
      <c r="J2814" t="str">
        <f>VLOOKUP($G2814,DefinitionArrays!$I$6:$J$12,2,FALSE)</f>
        <v>Workweek</v>
      </c>
    </row>
    <row r="2815" spans="1:10">
      <c r="A2815" s="159" t="str">
        <f t="shared" si="217"/>
        <v>$E$1:$E$92</v>
      </c>
      <c r="B2815" s="159" t="str">
        <f t="shared" si="218"/>
        <v>$F$1:$F$92</v>
      </c>
      <c r="C2815" s="159" t="str">
        <f t="shared" si="219"/>
        <v>October!$E$1:$E$92</v>
      </c>
      <c r="D2815" s="159" t="str">
        <f t="shared" si="220"/>
        <v>October!$F$1:$F$92</v>
      </c>
      <c r="E2815" t="s">
        <v>6</v>
      </c>
      <c r="F2815" t="s">
        <v>129</v>
      </c>
      <c r="G2815" t="s">
        <v>142</v>
      </c>
      <c r="H2815" t="s">
        <v>44</v>
      </c>
      <c r="I2815" t="e">
        <f t="shared" ca="1" si="221"/>
        <v>#REF!</v>
      </c>
      <c r="J2815" t="str">
        <f>VLOOKUP($G2815,DefinitionArrays!$I$6:$J$12,2,FALSE)</f>
        <v>Workweek</v>
      </c>
    </row>
    <row r="2816" spans="1:10">
      <c r="A2816" s="159" t="str">
        <f t="shared" si="217"/>
        <v>$H$1:$H$92</v>
      </c>
      <c r="B2816" s="159" t="str">
        <f t="shared" si="218"/>
        <v>$I$1:$I$92</v>
      </c>
      <c r="C2816" s="159" t="str">
        <f t="shared" si="219"/>
        <v>October!$H$1:$H$92</v>
      </c>
      <c r="D2816" s="159" t="str">
        <f t="shared" si="220"/>
        <v>October!$I$1:$I$92</v>
      </c>
      <c r="E2816" t="s">
        <v>6</v>
      </c>
      <c r="F2816" t="s">
        <v>129</v>
      </c>
      <c r="G2816" t="s">
        <v>143</v>
      </c>
      <c r="H2816" t="s">
        <v>159</v>
      </c>
      <c r="I2816" t="e">
        <f t="shared" ca="1" si="221"/>
        <v>#REF!</v>
      </c>
      <c r="J2816" t="str">
        <f>VLOOKUP($G2816,DefinitionArrays!$I$6:$J$12,2,FALSE)</f>
        <v>Workweek</v>
      </c>
    </row>
    <row r="2817" spans="1:10">
      <c r="A2817" s="159" t="str">
        <f t="shared" si="217"/>
        <v>$H$1:$H$92</v>
      </c>
      <c r="B2817" s="159" t="str">
        <f t="shared" si="218"/>
        <v>$I$1:$I$92</v>
      </c>
      <c r="C2817" s="159" t="str">
        <f t="shared" si="219"/>
        <v>October!$H$1:$H$92</v>
      </c>
      <c r="D2817" s="159" t="str">
        <f t="shared" si="220"/>
        <v>October!$I$1:$I$92</v>
      </c>
      <c r="E2817" t="s">
        <v>6</v>
      </c>
      <c r="F2817" t="s">
        <v>129</v>
      </c>
      <c r="G2817" t="s">
        <v>143</v>
      </c>
      <c r="H2817" t="s">
        <v>18</v>
      </c>
      <c r="I2817" t="e">
        <f t="shared" ca="1" si="221"/>
        <v>#REF!</v>
      </c>
      <c r="J2817" t="str">
        <f>VLOOKUP($G2817,DefinitionArrays!$I$6:$J$12,2,FALSE)</f>
        <v>Workweek</v>
      </c>
    </row>
    <row r="2818" spans="1:10">
      <c r="A2818" s="159" t="str">
        <f t="shared" ref="A2818:A2881" si="222">VLOOKUP($G2818,Fx_Code,2,FALSE)</f>
        <v>$H$1:$H$92</v>
      </c>
      <c r="B2818" s="159" t="str">
        <f t="shared" ref="B2818:B2881" si="223">VLOOKUP($G2818,Fx_Code,3,FALSE)</f>
        <v>$I$1:$I$92</v>
      </c>
      <c r="C2818" s="159" t="str">
        <f t="shared" ref="C2818:C2881" si="224">CONCATENATE($F2818,$K$1,A2818)</f>
        <v>October!$H$1:$H$92</v>
      </c>
      <c r="D2818" s="159" t="str">
        <f t="shared" ref="D2818:D2881" si="225">CONCATENATE($F2818,$K$1,B2818)</f>
        <v>October!$I$1:$I$92</v>
      </c>
      <c r="E2818" t="s">
        <v>6</v>
      </c>
      <c r="F2818" t="s">
        <v>129</v>
      </c>
      <c r="G2818" t="s">
        <v>143</v>
      </c>
      <c r="H2818" t="s">
        <v>153</v>
      </c>
      <c r="I2818" t="e">
        <f t="shared" ca="1" si="221"/>
        <v>#REF!</v>
      </c>
      <c r="J2818" t="str">
        <f>VLOOKUP($G2818,DefinitionArrays!$I$6:$J$12,2,FALSE)</f>
        <v>Workweek</v>
      </c>
    </row>
    <row r="2819" spans="1:10">
      <c r="A2819" s="159" t="str">
        <f t="shared" si="222"/>
        <v>$H$1:$H$92</v>
      </c>
      <c r="B2819" s="159" t="str">
        <f t="shared" si="223"/>
        <v>$I$1:$I$92</v>
      </c>
      <c r="C2819" s="159" t="str">
        <f t="shared" si="224"/>
        <v>October!$H$1:$H$92</v>
      </c>
      <c r="D2819" s="159" t="str">
        <f t="shared" si="225"/>
        <v>October!$I$1:$I$92</v>
      </c>
      <c r="E2819" t="s">
        <v>6</v>
      </c>
      <c r="F2819" t="s">
        <v>129</v>
      </c>
      <c r="G2819" t="s">
        <v>143</v>
      </c>
      <c r="H2819" t="s">
        <v>19</v>
      </c>
      <c r="I2819" t="e">
        <f t="shared" ca="1" si="221"/>
        <v>#REF!</v>
      </c>
      <c r="J2819" t="str">
        <f>VLOOKUP($G2819,DefinitionArrays!$I$6:$J$12,2,FALSE)</f>
        <v>Workweek</v>
      </c>
    </row>
    <row r="2820" spans="1:10">
      <c r="A2820" s="159" t="str">
        <f t="shared" si="222"/>
        <v>$H$1:$H$92</v>
      </c>
      <c r="B2820" s="159" t="str">
        <f t="shared" si="223"/>
        <v>$I$1:$I$92</v>
      </c>
      <c r="C2820" s="159" t="str">
        <f t="shared" si="224"/>
        <v>October!$H$1:$H$92</v>
      </c>
      <c r="D2820" s="159" t="str">
        <f t="shared" si="225"/>
        <v>October!$I$1:$I$92</v>
      </c>
      <c r="E2820" t="s">
        <v>6</v>
      </c>
      <c r="F2820" t="s">
        <v>129</v>
      </c>
      <c r="G2820" t="s">
        <v>143</v>
      </c>
      <c r="H2820" t="s">
        <v>20</v>
      </c>
      <c r="I2820" t="e">
        <f t="shared" ca="1" si="221"/>
        <v>#REF!</v>
      </c>
      <c r="J2820" t="str">
        <f>VLOOKUP($G2820,DefinitionArrays!$I$6:$J$12,2,FALSE)</f>
        <v>Workweek</v>
      </c>
    </row>
    <row r="2821" spans="1:10">
      <c r="A2821" s="159" t="str">
        <f t="shared" si="222"/>
        <v>$H$1:$H$92</v>
      </c>
      <c r="B2821" s="159" t="str">
        <f t="shared" si="223"/>
        <v>$I$1:$I$92</v>
      </c>
      <c r="C2821" s="159" t="str">
        <f t="shared" si="224"/>
        <v>October!$H$1:$H$92</v>
      </c>
      <c r="D2821" s="159" t="str">
        <f t="shared" si="225"/>
        <v>October!$I$1:$I$92</v>
      </c>
      <c r="E2821" t="s">
        <v>6</v>
      </c>
      <c r="F2821" t="s">
        <v>129</v>
      </c>
      <c r="G2821" t="s">
        <v>143</v>
      </c>
      <c r="H2821" t="s">
        <v>21</v>
      </c>
      <c r="I2821" t="e">
        <f t="shared" ca="1" si="221"/>
        <v>#REF!</v>
      </c>
      <c r="J2821" t="str">
        <f>VLOOKUP($G2821,DefinitionArrays!$I$6:$J$12,2,FALSE)</f>
        <v>Workweek</v>
      </c>
    </row>
    <row r="2822" spans="1:10">
      <c r="A2822" s="159" t="str">
        <f t="shared" si="222"/>
        <v>$H$1:$H$92</v>
      </c>
      <c r="B2822" s="159" t="str">
        <f t="shared" si="223"/>
        <v>$I$1:$I$92</v>
      </c>
      <c r="C2822" s="159" t="str">
        <f t="shared" si="224"/>
        <v>October!$H$1:$H$92</v>
      </c>
      <c r="D2822" s="159" t="str">
        <f t="shared" si="225"/>
        <v>October!$I$1:$I$92</v>
      </c>
      <c r="E2822" t="s">
        <v>6</v>
      </c>
      <c r="F2822" t="s">
        <v>129</v>
      </c>
      <c r="G2822" t="s">
        <v>143</v>
      </c>
      <c r="H2822" t="s">
        <v>22</v>
      </c>
      <c r="I2822" t="e">
        <f t="shared" ca="1" si="221"/>
        <v>#REF!</v>
      </c>
      <c r="J2822" t="str">
        <f>VLOOKUP($G2822,DefinitionArrays!$I$6:$J$12,2,FALSE)</f>
        <v>Workweek</v>
      </c>
    </row>
    <row r="2823" spans="1:10">
      <c r="A2823" s="159" t="str">
        <f t="shared" si="222"/>
        <v>$H$1:$H$92</v>
      </c>
      <c r="B2823" s="159" t="str">
        <f t="shared" si="223"/>
        <v>$I$1:$I$92</v>
      </c>
      <c r="C2823" s="159" t="str">
        <f t="shared" si="224"/>
        <v>October!$H$1:$H$92</v>
      </c>
      <c r="D2823" s="159" t="str">
        <f t="shared" si="225"/>
        <v>October!$I$1:$I$92</v>
      </c>
      <c r="E2823" t="s">
        <v>6</v>
      </c>
      <c r="F2823" t="s">
        <v>129</v>
      </c>
      <c r="G2823" t="s">
        <v>143</v>
      </c>
      <c r="H2823" t="s">
        <v>23</v>
      </c>
      <c r="I2823" t="e">
        <f t="shared" ca="1" si="221"/>
        <v>#REF!</v>
      </c>
      <c r="J2823" t="str">
        <f>VLOOKUP($G2823,DefinitionArrays!$I$6:$J$12,2,FALSE)</f>
        <v>Workweek</v>
      </c>
    </row>
    <row r="2824" spans="1:10">
      <c r="A2824" s="159" t="str">
        <f t="shared" si="222"/>
        <v>$H$1:$H$92</v>
      </c>
      <c r="B2824" s="159" t="str">
        <f t="shared" si="223"/>
        <v>$I$1:$I$92</v>
      </c>
      <c r="C2824" s="159" t="str">
        <f t="shared" si="224"/>
        <v>October!$H$1:$H$92</v>
      </c>
      <c r="D2824" s="159" t="str">
        <f t="shared" si="225"/>
        <v>October!$I$1:$I$92</v>
      </c>
      <c r="E2824" t="s">
        <v>6</v>
      </c>
      <c r="F2824" t="s">
        <v>129</v>
      </c>
      <c r="G2824" t="s">
        <v>143</v>
      </c>
      <c r="H2824" t="s">
        <v>24</v>
      </c>
      <c r="I2824" t="e">
        <f t="shared" ca="1" si="221"/>
        <v>#REF!</v>
      </c>
      <c r="J2824" t="str">
        <f>VLOOKUP($G2824,DefinitionArrays!$I$6:$J$12,2,FALSE)</f>
        <v>Workweek</v>
      </c>
    </row>
    <row r="2825" spans="1:10">
      <c r="A2825" s="159" t="str">
        <f t="shared" si="222"/>
        <v>$H$1:$H$92</v>
      </c>
      <c r="B2825" s="159" t="str">
        <f t="shared" si="223"/>
        <v>$I$1:$I$92</v>
      </c>
      <c r="C2825" s="159" t="str">
        <f t="shared" si="224"/>
        <v>October!$H$1:$H$92</v>
      </c>
      <c r="D2825" s="159" t="str">
        <f t="shared" si="225"/>
        <v>October!$I$1:$I$92</v>
      </c>
      <c r="E2825" t="s">
        <v>6</v>
      </c>
      <c r="F2825" t="s">
        <v>129</v>
      </c>
      <c r="G2825" t="s">
        <v>143</v>
      </c>
      <c r="H2825" t="s">
        <v>179</v>
      </c>
      <c r="I2825" t="e">
        <f t="shared" ca="1" si="221"/>
        <v>#REF!</v>
      </c>
      <c r="J2825" t="str">
        <f>VLOOKUP($G2825,DefinitionArrays!$I$6:$J$12,2,FALSE)</f>
        <v>Workweek</v>
      </c>
    </row>
    <row r="2826" spans="1:10">
      <c r="A2826" s="159" t="str">
        <f t="shared" si="222"/>
        <v>$H$1:$H$92</v>
      </c>
      <c r="B2826" s="159" t="str">
        <f t="shared" si="223"/>
        <v>$I$1:$I$92</v>
      </c>
      <c r="C2826" s="159" t="str">
        <f t="shared" si="224"/>
        <v>October!$H$1:$H$92</v>
      </c>
      <c r="D2826" s="159" t="str">
        <f t="shared" si="225"/>
        <v>October!$I$1:$I$92</v>
      </c>
      <c r="E2826" t="s">
        <v>6</v>
      </c>
      <c r="F2826" t="s">
        <v>129</v>
      </c>
      <c r="G2826" t="s">
        <v>143</v>
      </c>
      <c r="H2826" t="s">
        <v>180</v>
      </c>
      <c r="I2826" t="e">
        <f t="shared" ca="1" si="221"/>
        <v>#REF!</v>
      </c>
      <c r="J2826" t="str">
        <f>VLOOKUP($G2826,DefinitionArrays!$I$6:$J$12,2,FALSE)</f>
        <v>Workweek</v>
      </c>
    </row>
    <row r="2827" spans="1:10">
      <c r="A2827" s="159" t="str">
        <f t="shared" si="222"/>
        <v>$H$1:$H$92</v>
      </c>
      <c r="B2827" s="159" t="str">
        <f t="shared" si="223"/>
        <v>$I$1:$I$92</v>
      </c>
      <c r="C2827" s="159" t="str">
        <f t="shared" si="224"/>
        <v>October!$H$1:$H$92</v>
      </c>
      <c r="D2827" s="159" t="str">
        <f t="shared" si="225"/>
        <v>October!$I$1:$I$92</v>
      </c>
      <c r="E2827" t="s">
        <v>6</v>
      </c>
      <c r="F2827" t="s">
        <v>129</v>
      </c>
      <c r="G2827" t="s">
        <v>143</v>
      </c>
      <c r="H2827" t="s">
        <v>44</v>
      </c>
      <c r="I2827" t="e">
        <f t="shared" ca="1" si="221"/>
        <v>#REF!</v>
      </c>
      <c r="J2827" t="str">
        <f>VLOOKUP($G2827,DefinitionArrays!$I$6:$J$12,2,FALSE)</f>
        <v>Workweek</v>
      </c>
    </row>
    <row r="2828" spans="1:10">
      <c r="A2828" s="159" t="str">
        <f t="shared" si="222"/>
        <v>$K$1:$K$92</v>
      </c>
      <c r="B2828" s="159" t="str">
        <f t="shared" si="223"/>
        <v>$L$1:$L$92</v>
      </c>
      <c r="C2828" s="159" t="str">
        <f t="shared" si="224"/>
        <v>October!$K$1:$K$92</v>
      </c>
      <c r="D2828" s="159" t="str">
        <f t="shared" si="225"/>
        <v>October!$L$1:$L$92</v>
      </c>
      <c r="E2828" t="s">
        <v>6</v>
      </c>
      <c r="F2828" t="s">
        <v>129</v>
      </c>
      <c r="G2828" t="s">
        <v>144</v>
      </c>
      <c r="H2828" t="s">
        <v>159</v>
      </c>
      <c r="I2828" t="e">
        <f t="shared" ca="1" si="221"/>
        <v>#REF!</v>
      </c>
      <c r="J2828" t="str">
        <f>VLOOKUP($G2828,DefinitionArrays!$I$6:$J$12,2,FALSE)</f>
        <v>Workweek</v>
      </c>
    </row>
    <row r="2829" spans="1:10">
      <c r="A2829" s="159" t="str">
        <f t="shared" si="222"/>
        <v>$K$1:$K$92</v>
      </c>
      <c r="B2829" s="159" t="str">
        <f t="shared" si="223"/>
        <v>$L$1:$L$92</v>
      </c>
      <c r="C2829" s="159" t="str">
        <f t="shared" si="224"/>
        <v>October!$K$1:$K$92</v>
      </c>
      <c r="D2829" s="159" t="str">
        <f t="shared" si="225"/>
        <v>October!$L$1:$L$92</v>
      </c>
      <c r="E2829" t="s">
        <v>6</v>
      </c>
      <c r="F2829" t="s">
        <v>129</v>
      </c>
      <c r="G2829" t="s">
        <v>144</v>
      </c>
      <c r="H2829" t="s">
        <v>18</v>
      </c>
      <c r="I2829" t="e">
        <f t="shared" ca="1" si="221"/>
        <v>#REF!</v>
      </c>
      <c r="J2829" t="str">
        <f>VLOOKUP($G2829,DefinitionArrays!$I$6:$J$12,2,FALSE)</f>
        <v>Workweek</v>
      </c>
    </row>
    <row r="2830" spans="1:10">
      <c r="A2830" s="159" t="str">
        <f t="shared" si="222"/>
        <v>$K$1:$K$92</v>
      </c>
      <c r="B2830" s="159" t="str">
        <f t="shared" si="223"/>
        <v>$L$1:$L$92</v>
      </c>
      <c r="C2830" s="159" t="str">
        <f t="shared" si="224"/>
        <v>October!$K$1:$K$92</v>
      </c>
      <c r="D2830" s="159" t="str">
        <f t="shared" si="225"/>
        <v>October!$L$1:$L$92</v>
      </c>
      <c r="E2830" t="s">
        <v>6</v>
      </c>
      <c r="F2830" t="s">
        <v>129</v>
      </c>
      <c r="G2830" t="s">
        <v>144</v>
      </c>
      <c r="H2830" t="s">
        <v>153</v>
      </c>
      <c r="I2830" t="e">
        <f t="shared" ca="1" si="221"/>
        <v>#REF!</v>
      </c>
      <c r="J2830" t="str">
        <f>VLOOKUP($G2830,DefinitionArrays!$I$6:$J$12,2,FALSE)</f>
        <v>Workweek</v>
      </c>
    </row>
    <row r="2831" spans="1:10">
      <c r="A2831" s="159" t="str">
        <f t="shared" si="222"/>
        <v>$K$1:$K$92</v>
      </c>
      <c r="B2831" s="159" t="str">
        <f t="shared" si="223"/>
        <v>$L$1:$L$92</v>
      </c>
      <c r="C2831" s="159" t="str">
        <f t="shared" si="224"/>
        <v>October!$K$1:$K$92</v>
      </c>
      <c r="D2831" s="159" t="str">
        <f t="shared" si="225"/>
        <v>October!$L$1:$L$92</v>
      </c>
      <c r="E2831" t="s">
        <v>6</v>
      </c>
      <c r="F2831" t="s">
        <v>129</v>
      </c>
      <c r="G2831" t="s">
        <v>144</v>
      </c>
      <c r="H2831" t="s">
        <v>19</v>
      </c>
      <c r="I2831" t="e">
        <f t="shared" ca="1" si="221"/>
        <v>#REF!</v>
      </c>
      <c r="J2831" t="str">
        <f>VLOOKUP($G2831,DefinitionArrays!$I$6:$J$12,2,FALSE)</f>
        <v>Workweek</v>
      </c>
    </row>
    <row r="2832" spans="1:10">
      <c r="A2832" s="159" t="str">
        <f t="shared" si="222"/>
        <v>$K$1:$K$92</v>
      </c>
      <c r="B2832" s="159" t="str">
        <f t="shared" si="223"/>
        <v>$L$1:$L$92</v>
      </c>
      <c r="C2832" s="159" t="str">
        <f t="shared" si="224"/>
        <v>October!$K$1:$K$92</v>
      </c>
      <c r="D2832" s="159" t="str">
        <f t="shared" si="225"/>
        <v>October!$L$1:$L$92</v>
      </c>
      <c r="E2832" t="s">
        <v>6</v>
      </c>
      <c r="F2832" t="s">
        <v>129</v>
      </c>
      <c r="G2832" t="s">
        <v>144</v>
      </c>
      <c r="H2832" t="s">
        <v>20</v>
      </c>
      <c r="I2832" t="e">
        <f t="shared" ca="1" si="221"/>
        <v>#REF!</v>
      </c>
      <c r="J2832" t="str">
        <f>VLOOKUP($G2832,DefinitionArrays!$I$6:$J$12,2,FALSE)</f>
        <v>Workweek</v>
      </c>
    </row>
    <row r="2833" spans="1:10">
      <c r="A2833" s="159" t="str">
        <f t="shared" si="222"/>
        <v>$K$1:$K$92</v>
      </c>
      <c r="B2833" s="159" t="str">
        <f t="shared" si="223"/>
        <v>$L$1:$L$92</v>
      </c>
      <c r="C2833" s="159" t="str">
        <f t="shared" si="224"/>
        <v>October!$K$1:$K$92</v>
      </c>
      <c r="D2833" s="159" t="str">
        <f t="shared" si="225"/>
        <v>October!$L$1:$L$92</v>
      </c>
      <c r="E2833" t="s">
        <v>6</v>
      </c>
      <c r="F2833" t="s">
        <v>129</v>
      </c>
      <c r="G2833" t="s">
        <v>144</v>
      </c>
      <c r="H2833" t="s">
        <v>21</v>
      </c>
      <c r="I2833" t="e">
        <f t="shared" ca="1" si="221"/>
        <v>#REF!</v>
      </c>
      <c r="J2833" t="str">
        <f>VLOOKUP($G2833,DefinitionArrays!$I$6:$J$12,2,FALSE)</f>
        <v>Workweek</v>
      </c>
    </row>
    <row r="2834" spans="1:10">
      <c r="A2834" s="159" t="str">
        <f t="shared" si="222"/>
        <v>$K$1:$K$92</v>
      </c>
      <c r="B2834" s="159" t="str">
        <f t="shared" si="223"/>
        <v>$L$1:$L$92</v>
      </c>
      <c r="C2834" s="159" t="str">
        <f t="shared" si="224"/>
        <v>October!$K$1:$K$92</v>
      </c>
      <c r="D2834" s="159" t="str">
        <f t="shared" si="225"/>
        <v>October!$L$1:$L$92</v>
      </c>
      <c r="E2834" t="s">
        <v>6</v>
      </c>
      <c r="F2834" t="s">
        <v>129</v>
      </c>
      <c r="G2834" t="s">
        <v>144</v>
      </c>
      <c r="H2834" t="s">
        <v>22</v>
      </c>
      <c r="I2834" t="e">
        <f t="shared" ca="1" si="221"/>
        <v>#REF!</v>
      </c>
      <c r="J2834" t="str">
        <f>VLOOKUP($G2834,DefinitionArrays!$I$6:$J$12,2,FALSE)</f>
        <v>Workweek</v>
      </c>
    </row>
    <row r="2835" spans="1:10">
      <c r="A2835" s="159" t="str">
        <f t="shared" si="222"/>
        <v>$K$1:$K$92</v>
      </c>
      <c r="B2835" s="159" t="str">
        <f t="shared" si="223"/>
        <v>$L$1:$L$92</v>
      </c>
      <c r="C2835" s="159" t="str">
        <f t="shared" si="224"/>
        <v>October!$K$1:$K$92</v>
      </c>
      <c r="D2835" s="159" t="str">
        <f t="shared" si="225"/>
        <v>October!$L$1:$L$92</v>
      </c>
      <c r="E2835" t="s">
        <v>6</v>
      </c>
      <c r="F2835" t="s">
        <v>129</v>
      </c>
      <c r="G2835" t="s">
        <v>144</v>
      </c>
      <c r="H2835" t="s">
        <v>23</v>
      </c>
      <c r="I2835" t="e">
        <f t="shared" ca="1" si="221"/>
        <v>#REF!</v>
      </c>
      <c r="J2835" t="str">
        <f>VLOOKUP($G2835,DefinitionArrays!$I$6:$J$12,2,FALSE)</f>
        <v>Workweek</v>
      </c>
    </row>
    <row r="2836" spans="1:10">
      <c r="A2836" s="159" t="str">
        <f t="shared" si="222"/>
        <v>$K$1:$K$92</v>
      </c>
      <c r="B2836" s="159" t="str">
        <f t="shared" si="223"/>
        <v>$L$1:$L$92</v>
      </c>
      <c r="C2836" s="159" t="str">
        <f t="shared" si="224"/>
        <v>October!$K$1:$K$92</v>
      </c>
      <c r="D2836" s="159" t="str">
        <f t="shared" si="225"/>
        <v>October!$L$1:$L$92</v>
      </c>
      <c r="E2836" t="s">
        <v>6</v>
      </c>
      <c r="F2836" t="s">
        <v>129</v>
      </c>
      <c r="G2836" t="s">
        <v>144</v>
      </c>
      <c r="H2836" t="s">
        <v>24</v>
      </c>
      <c r="I2836" t="e">
        <f t="shared" ca="1" si="221"/>
        <v>#REF!</v>
      </c>
      <c r="J2836" t="str">
        <f>VLOOKUP($G2836,DefinitionArrays!$I$6:$J$12,2,FALSE)</f>
        <v>Workweek</v>
      </c>
    </row>
    <row r="2837" spans="1:10">
      <c r="A2837" s="159" t="str">
        <f t="shared" si="222"/>
        <v>$K$1:$K$92</v>
      </c>
      <c r="B2837" s="159" t="str">
        <f t="shared" si="223"/>
        <v>$L$1:$L$92</v>
      </c>
      <c r="C2837" s="159" t="str">
        <f t="shared" si="224"/>
        <v>October!$K$1:$K$92</v>
      </c>
      <c r="D2837" s="159" t="str">
        <f t="shared" si="225"/>
        <v>October!$L$1:$L$92</v>
      </c>
      <c r="E2837" t="s">
        <v>6</v>
      </c>
      <c r="F2837" t="s">
        <v>129</v>
      </c>
      <c r="G2837" t="s">
        <v>144</v>
      </c>
      <c r="H2837" t="s">
        <v>179</v>
      </c>
      <c r="I2837" t="e">
        <f t="shared" ca="1" si="221"/>
        <v>#REF!</v>
      </c>
      <c r="J2837" t="str">
        <f>VLOOKUP($G2837,DefinitionArrays!$I$6:$J$12,2,FALSE)</f>
        <v>Workweek</v>
      </c>
    </row>
    <row r="2838" spans="1:10">
      <c r="A2838" s="159" t="str">
        <f t="shared" si="222"/>
        <v>$K$1:$K$92</v>
      </c>
      <c r="B2838" s="159" t="str">
        <f t="shared" si="223"/>
        <v>$L$1:$L$92</v>
      </c>
      <c r="C2838" s="159" t="str">
        <f t="shared" si="224"/>
        <v>October!$K$1:$K$92</v>
      </c>
      <c r="D2838" s="159" t="str">
        <f t="shared" si="225"/>
        <v>October!$L$1:$L$92</v>
      </c>
      <c r="E2838" t="s">
        <v>6</v>
      </c>
      <c r="F2838" t="s">
        <v>129</v>
      </c>
      <c r="G2838" t="s">
        <v>144</v>
      </c>
      <c r="H2838" t="s">
        <v>180</v>
      </c>
      <c r="I2838" t="e">
        <f t="shared" ca="1" si="221"/>
        <v>#REF!</v>
      </c>
      <c r="J2838" t="str">
        <f>VLOOKUP($G2838,DefinitionArrays!$I$6:$J$12,2,FALSE)</f>
        <v>Workweek</v>
      </c>
    </row>
    <row r="2839" spans="1:10">
      <c r="A2839" s="159" t="str">
        <f t="shared" si="222"/>
        <v>$K$1:$K$92</v>
      </c>
      <c r="B2839" s="159" t="str">
        <f t="shared" si="223"/>
        <v>$L$1:$L$92</v>
      </c>
      <c r="C2839" s="159" t="str">
        <f t="shared" si="224"/>
        <v>October!$K$1:$K$92</v>
      </c>
      <c r="D2839" s="159" t="str">
        <f t="shared" si="225"/>
        <v>October!$L$1:$L$92</v>
      </c>
      <c r="E2839" t="s">
        <v>6</v>
      </c>
      <c r="F2839" t="s">
        <v>129</v>
      </c>
      <c r="G2839" t="s">
        <v>144</v>
      </c>
      <c r="H2839" t="s">
        <v>44</v>
      </c>
      <c r="I2839" t="e">
        <f t="shared" ca="1" si="221"/>
        <v>#REF!</v>
      </c>
      <c r="J2839" t="str">
        <f>VLOOKUP($G2839,DefinitionArrays!$I$6:$J$12,2,FALSE)</f>
        <v>Workweek</v>
      </c>
    </row>
    <row r="2840" spans="1:10">
      <c r="A2840" s="159" t="str">
        <f t="shared" si="222"/>
        <v>$N$1:$N$92</v>
      </c>
      <c r="B2840" s="159" t="str">
        <f t="shared" si="223"/>
        <v>$O$1:$O$92</v>
      </c>
      <c r="C2840" s="159" t="str">
        <f t="shared" si="224"/>
        <v>October!$N$1:$N$92</v>
      </c>
      <c r="D2840" s="159" t="str">
        <f t="shared" si="225"/>
        <v>October!$O$1:$O$92</v>
      </c>
      <c r="E2840" t="s">
        <v>6</v>
      </c>
      <c r="F2840" t="s">
        <v>129</v>
      </c>
      <c r="G2840" t="s">
        <v>145</v>
      </c>
      <c r="H2840" t="s">
        <v>159</v>
      </c>
      <c r="I2840" t="e">
        <f t="shared" ca="1" si="221"/>
        <v>#REF!</v>
      </c>
      <c r="J2840" t="str">
        <f>VLOOKUP($G2840,DefinitionArrays!$I$6:$J$12,2,FALSE)</f>
        <v>Weekend</v>
      </c>
    </row>
    <row r="2841" spans="1:10">
      <c r="A2841" s="159" t="str">
        <f t="shared" si="222"/>
        <v>$N$1:$N$92</v>
      </c>
      <c r="B2841" s="159" t="str">
        <f t="shared" si="223"/>
        <v>$O$1:$O$92</v>
      </c>
      <c r="C2841" s="159" t="str">
        <f t="shared" si="224"/>
        <v>October!$N$1:$N$92</v>
      </c>
      <c r="D2841" s="159" t="str">
        <f t="shared" si="225"/>
        <v>October!$O$1:$O$92</v>
      </c>
      <c r="E2841" t="s">
        <v>6</v>
      </c>
      <c r="F2841" t="s">
        <v>129</v>
      </c>
      <c r="G2841" t="s">
        <v>145</v>
      </c>
      <c r="H2841" t="s">
        <v>18</v>
      </c>
      <c r="I2841" t="e">
        <f t="shared" ca="1" si="221"/>
        <v>#REF!</v>
      </c>
      <c r="J2841" t="str">
        <f>VLOOKUP($G2841,DefinitionArrays!$I$6:$J$12,2,FALSE)</f>
        <v>Weekend</v>
      </c>
    </row>
    <row r="2842" spans="1:10">
      <c r="A2842" s="159" t="str">
        <f t="shared" si="222"/>
        <v>$N$1:$N$92</v>
      </c>
      <c r="B2842" s="159" t="str">
        <f t="shared" si="223"/>
        <v>$O$1:$O$92</v>
      </c>
      <c r="C2842" s="159" t="str">
        <f t="shared" si="224"/>
        <v>October!$N$1:$N$92</v>
      </c>
      <c r="D2842" s="159" t="str">
        <f t="shared" si="225"/>
        <v>October!$O$1:$O$92</v>
      </c>
      <c r="E2842" t="s">
        <v>6</v>
      </c>
      <c r="F2842" t="s">
        <v>129</v>
      </c>
      <c r="G2842" t="s">
        <v>145</v>
      </c>
      <c r="H2842" t="s">
        <v>153</v>
      </c>
      <c r="I2842" t="e">
        <f t="shared" ca="1" si="221"/>
        <v>#REF!</v>
      </c>
      <c r="J2842" t="str">
        <f>VLOOKUP($G2842,DefinitionArrays!$I$6:$J$12,2,FALSE)</f>
        <v>Weekend</v>
      </c>
    </row>
    <row r="2843" spans="1:10">
      <c r="A2843" s="159" t="str">
        <f t="shared" si="222"/>
        <v>$N$1:$N$92</v>
      </c>
      <c r="B2843" s="159" t="str">
        <f t="shared" si="223"/>
        <v>$O$1:$O$92</v>
      </c>
      <c r="C2843" s="159" t="str">
        <f t="shared" si="224"/>
        <v>October!$N$1:$N$92</v>
      </c>
      <c r="D2843" s="159" t="str">
        <f t="shared" si="225"/>
        <v>October!$O$1:$O$92</v>
      </c>
      <c r="E2843" t="s">
        <v>6</v>
      </c>
      <c r="F2843" t="s">
        <v>129</v>
      </c>
      <c r="G2843" t="s">
        <v>145</v>
      </c>
      <c r="H2843" t="s">
        <v>19</v>
      </c>
      <c r="I2843" t="e">
        <f t="shared" ca="1" si="221"/>
        <v>#REF!</v>
      </c>
      <c r="J2843" t="str">
        <f>VLOOKUP($G2843,DefinitionArrays!$I$6:$J$12,2,FALSE)</f>
        <v>Weekend</v>
      </c>
    </row>
    <row r="2844" spans="1:10">
      <c r="A2844" s="159" t="str">
        <f t="shared" si="222"/>
        <v>$N$1:$N$92</v>
      </c>
      <c r="B2844" s="159" t="str">
        <f t="shared" si="223"/>
        <v>$O$1:$O$92</v>
      </c>
      <c r="C2844" s="159" t="str">
        <f t="shared" si="224"/>
        <v>October!$N$1:$N$92</v>
      </c>
      <c r="D2844" s="159" t="str">
        <f t="shared" si="225"/>
        <v>October!$O$1:$O$92</v>
      </c>
      <c r="E2844" t="s">
        <v>6</v>
      </c>
      <c r="F2844" t="s">
        <v>129</v>
      </c>
      <c r="G2844" t="s">
        <v>145</v>
      </c>
      <c r="H2844" t="s">
        <v>20</v>
      </c>
      <c r="I2844" t="e">
        <f t="shared" ca="1" si="221"/>
        <v>#REF!</v>
      </c>
      <c r="J2844" t="str">
        <f>VLOOKUP($G2844,DefinitionArrays!$I$6:$J$12,2,FALSE)</f>
        <v>Weekend</v>
      </c>
    </row>
    <row r="2845" spans="1:10">
      <c r="A2845" s="159" t="str">
        <f t="shared" si="222"/>
        <v>$N$1:$N$92</v>
      </c>
      <c r="B2845" s="159" t="str">
        <f t="shared" si="223"/>
        <v>$O$1:$O$92</v>
      </c>
      <c r="C2845" s="159" t="str">
        <f t="shared" si="224"/>
        <v>October!$N$1:$N$92</v>
      </c>
      <c r="D2845" s="159" t="str">
        <f t="shared" si="225"/>
        <v>October!$O$1:$O$92</v>
      </c>
      <c r="E2845" t="s">
        <v>6</v>
      </c>
      <c r="F2845" t="s">
        <v>129</v>
      </c>
      <c r="G2845" t="s">
        <v>145</v>
      </c>
      <c r="H2845" t="s">
        <v>21</v>
      </c>
      <c r="I2845" t="e">
        <f t="shared" ca="1" si="221"/>
        <v>#REF!</v>
      </c>
      <c r="J2845" t="str">
        <f>VLOOKUP($G2845,DefinitionArrays!$I$6:$J$12,2,FALSE)</f>
        <v>Weekend</v>
      </c>
    </row>
    <row r="2846" spans="1:10">
      <c r="A2846" s="159" t="str">
        <f t="shared" si="222"/>
        <v>$N$1:$N$92</v>
      </c>
      <c r="B2846" s="159" t="str">
        <f t="shared" si="223"/>
        <v>$O$1:$O$92</v>
      </c>
      <c r="C2846" s="159" t="str">
        <f t="shared" si="224"/>
        <v>October!$N$1:$N$92</v>
      </c>
      <c r="D2846" s="159" t="str">
        <f t="shared" si="225"/>
        <v>October!$O$1:$O$92</v>
      </c>
      <c r="E2846" t="s">
        <v>6</v>
      </c>
      <c r="F2846" t="s">
        <v>129</v>
      </c>
      <c r="G2846" t="s">
        <v>145</v>
      </c>
      <c r="H2846" t="s">
        <v>22</v>
      </c>
      <c r="I2846" t="e">
        <f t="shared" ca="1" si="221"/>
        <v>#REF!</v>
      </c>
      <c r="J2846" t="str">
        <f>VLOOKUP($G2846,DefinitionArrays!$I$6:$J$12,2,FALSE)</f>
        <v>Weekend</v>
      </c>
    </row>
    <row r="2847" spans="1:10">
      <c r="A2847" s="159" t="str">
        <f t="shared" si="222"/>
        <v>$N$1:$N$92</v>
      </c>
      <c r="B2847" s="159" t="str">
        <f t="shared" si="223"/>
        <v>$O$1:$O$92</v>
      </c>
      <c r="C2847" s="159" t="str">
        <f t="shared" si="224"/>
        <v>October!$N$1:$N$92</v>
      </c>
      <c r="D2847" s="159" t="str">
        <f t="shared" si="225"/>
        <v>October!$O$1:$O$92</v>
      </c>
      <c r="E2847" t="s">
        <v>6</v>
      </c>
      <c r="F2847" t="s">
        <v>129</v>
      </c>
      <c r="G2847" t="s">
        <v>145</v>
      </c>
      <c r="H2847" t="s">
        <v>23</v>
      </c>
      <c r="I2847" t="e">
        <f t="shared" ca="1" si="221"/>
        <v>#REF!</v>
      </c>
      <c r="J2847" t="str">
        <f>VLOOKUP($G2847,DefinitionArrays!$I$6:$J$12,2,FALSE)</f>
        <v>Weekend</v>
      </c>
    </row>
    <row r="2848" spans="1:10">
      <c r="A2848" s="159" t="str">
        <f t="shared" si="222"/>
        <v>$N$1:$N$92</v>
      </c>
      <c r="B2848" s="159" t="str">
        <f t="shared" si="223"/>
        <v>$O$1:$O$92</v>
      </c>
      <c r="C2848" s="159" t="str">
        <f t="shared" si="224"/>
        <v>October!$N$1:$N$92</v>
      </c>
      <c r="D2848" s="159" t="str">
        <f t="shared" si="225"/>
        <v>October!$O$1:$O$92</v>
      </c>
      <c r="E2848" t="s">
        <v>6</v>
      </c>
      <c r="F2848" t="s">
        <v>129</v>
      </c>
      <c r="G2848" t="s">
        <v>145</v>
      </c>
      <c r="H2848" t="s">
        <v>24</v>
      </c>
      <c r="I2848" t="e">
        <f t="shared" ca="1" si="221"/>
        <v>#REF!</v>
      </c>
      <c r="J2848" t="str">
        <f>VLOOKUP($G2848,DefinitionArrays!$I$6:$J$12,2,FALSE)</f>
        <v>Weekend</v>
      </c>
    </row>
    <row r="2849" spans="1:10">
      <c r="A2849" s="159" t="str">
        <f t="shared" si="222"/>
        <v>$N$1:$N$92</v>
      </c>
      <c r="B2849" s="159" t="str">
        <f t="shared" si="223"/>
        <v>$O$1:$O$92</v>
      </c>
      <c r="C2849" s="159" t="str">
        <f t="shared" si="224"/>
        <v>October!$N$1:$N$92</v>
      </c>
      <c r="D2849" s="159" t="str">
        <f t="shared" si="225"/>
        <v>October!$O$1:$O$92</v>
      </c>
      <c r="E2849" t="s">
        <v>6</v>
      </c>
      <c r="F2849" t="s">
        <v>129</v>
      </c>
      <c r="G2849" t="s">
        <v>145</v>
      </c>
      <c r="H2849" t="s">
        <v>179</v>
      </c>
      <c r="I2849" t="e">
        <f t="shared" ca="1" si="221"/>
        <v>#REF!</v>
      </c>
      <c r="J2849" t="str">
        <f>VLOOKUP($G2849,DefinitionArrays!$I$6:$J$12,2,FALSE)</f>
        <v>Weekend</v>
      </c>
    </row>
    <row r="2850" spans="1:10">
      <c r="A2850" s="159" t="str">
        <f t="shared" si="222"/>
        <v>$N$1:$N$92</v>
      </c>
      <c r="B2850" s="159" t="str">
        <f t="shared" si="223"/>
        <v>$O$1:$O$92</v>
      </c>
      <c r="C2850" s="159" t="str">
        <f t="shared" si="224"/>
        <v>October!$N$1:$N$92</v>
      </c>
      <c r="D2850" s="159" t="str">
        <f t="shared" si="225"/>
        <v>October!$O$1:$O$92</v>
      </c>
      <c r="E2850" t="s">
        <v>6</v>
      </c>
      <c r="F2850" t="s">
        <v>129</v>
      </c>
      <c r="G2850" t="s">
        <v>145</v>
      </c>
      <c r="H2850" t="s">
        <v>180</v>
      </c>
      <c r="I2850" t="e">
        <f t="shared" ca="1" si="221"/>
        <v>#REF!</v>
      </c>
      <c r="J2850" t="str">
        <f>VLOOKUP($G2850,DefinitionArrays!$I$6:$J$12,2,FALSE)</f>
        <v>Weekend</v>
      </c>
    </row>
    <row r="2851" spans="1:10">
      <c r="A2851" s="159" t="str">
        <f t="shared" si="222"/>
        <v>$N$1:$N$92</v>
      </c>
      <c r="B2851" s="159" t="str">
        <f t="shared" si="223"/>
        <v>$O$1:$O$92</v>
      </c>
      <c r="C2851" s="159" t="str">
        <f t="shared" si="224"/>
        <v>October!$N$1:$N$92</v>
      </c>
      <c r="D2851" s="159" t="str">
        <f t="shared" si="225"/>
        <v>October!$O$1:$O$92</v>
      </c>
      <c r="E2851" t="s">
        <v>6</v>
      </c>
      <c r="F2851" t="s">
        <v>129</v>
      </c>
      <c r="G2851" t="s">
        <v>145</v>
      </c>
      <c r="H2851" t="s">
        <v>44</v>
      </c>
      <c r="I2851" t="e">
        <f t="shared" ca="1" si="221"/>
        <v>#REF!</v>
      </c>
      <c r="J2851" t="str">
        <f>VLOOKUP($G2851,DefinitionArrays!$I$6:$J$12,2,FALSE)</f>
        <v>Weekend</v>
      </c>
    </row>
    <row r="2852" spans="1:10">
      <c r="A2852" s="159" t="str">
        <f t="shared" si="222"/>
        <v>$Q$1:$Q$92</v>
      </c>
      <c r="B2852" s="159" t="str">
        <f t="shared" si="223"/>
        <v>$R$1:$R$92</v>
      </c>
      <c r="C2852" s="159" t="str">
        <f t="shared" si="224"/>
        <v>October!$Q$1:$Q$92</v>
      </c>
      <c r="D2852" s="159" t="str">
        <f t="shared" si="225"/>
        <v>October!$R$1:$R$92</v>
      </c>
      <c r="E2852" t="s">
        <v>6</v>
      </c>
      <c r="F2852" t="s">
        <v>129</v>
      </c>
      <c r="G2852" t="s">
        <v>146</v>
      </c>
      <c r="H2852" t="s">
        <v>159</v>
      </c>
      <c r="I2852" t="e">
        <f t="shared" ca="1" si="221"/>
        <v>#REF!</v>
      </c>
      <c r="J2852" t="str">
        <f>VLOOKUP($G2852,DefinitionArrays!$I$6:$J$12,2,FALSE)</f>
        <v>Weekend</v>
      </c>
    </row>
    <row r="2853" spans="1:10">
      <c r="A2853" s="159" t="str">
        <f t="shared" si="222"/>
        <v>$T$1:$T$92</v>
      </c>
      <c r="B2853" s="159" t="str">
        <f t="shared" si="223"/>
        <v>$U$1:$U$92</v>
      </c>
      <c r="C2853" s="159" t="str">
        <f t="shared" si="224"/>
        <v>October!$T$1:$T$92</v>
      </c>
      <c r="D2853" s="159" t="str">
        <f t="shared" si="225"/>
        <v>October!$U$1:$U$92</v>
      </c>
      <c r="E2853" t="s">
        <v>6</v>
      </c>
      <c r="F2853" t="s">
        <v>129</v>
      </c>
      <c r="G2853" t="s">
        <v>141</v>
      </c>
      <c r="H2853" t="s">
        <v>159</v>
      </c>
      <c r="I2853" t="e">
        <f t="shared" ca="1" si="221"/>
        <v>#REF!</v>
      </c>
      <c r="J2853" t="str">
        <f>VLOOKUP($G2853,DefinitionArrays!$I$6:$J$12,2,FALSE)</f>
        <v>Weekend</v>
      </c>
    </row>
    <row r="2854" spans="1:10">
      <c r="A2854" s="159" t="str">
        <f t="shared" si="222"/>
        <v>$B$1:$B$92</v>
      </c>
      <c r="B2854" s="159" t="str">
        <f t="shared" si="223"/>
        <v>$C$1:$C$92</v>
      </c>
      <c r="C2854" s="159" t="str">
        <f t="shared" si="224"/>
        <v>November!$B$1:$B$92</v>
      </c>
      <c r="D2854" s="159" t="str">
        <f t="shared" si="225"/>
        <v>November!$C$1:$C$92</v>
      </c>
      <c r="E2854" t="s">
        <v>6</v>
      </c>
      <c r="F2854" t="s">
        <v>130</v>
      </c>
      <c r="G2854" t="s">
        <v>13</v>
      </c>
      <c r="H2854" t="s">
        <v>159</v>
      </c>
      <c r="I2854" t="e">
        <f ca="1">COUNTIFS(INDIRECT($C2854),$E2854,INDIRECT($D2854),$H2854)</f>
        <v>#REF!</v>
      </c>
      <c r="J2854" t="str">
        <f>VLOOKUP($G2854,DefinitionArrays!$I$6:$J$12,2,FALSE)</f>
        <v>Workweek</v>
      </c>
    </row>
    <row r="2855" spans="1:10">
      <c r="A2855" s="159" t="str">
        <f t="shared" si="222"/>
        <v>$B$1:$B$92</v>
      </c>
      <c r="B2855" s="159" t="str">
        <f t="shared" si="223"/>
        <v>$C$1:$C$92</v>
      </c>
      <c r="C2855" s="159" t="str">
        <f t="shared" si="224"/>
        <v>November!$B$1:$B$92</v>
      </c>
      <c r="D2855" s="159" t="str">
        <f t="shared" si="225"/>
        <v>November!$C$1:$C$92</v>
      </c>
      <c r="E2855" t="s">
        <v>6</v>
      </c>
      <c r="F2855" t="s">
        <v>130</v>
      </c>
      <c r="G2855" t="s">
        <v>13</v>
      </c>
      <c r="H2855" t="s">
        <v>18</v>
      </c>
      <c r="I2855" t="e">
        <f t="shared" ref="I2855:I2915" ca="1" si="226">COUNTIFS(INDIRECT($C2855),$E2855,INDIRECT($D2855),$H2855)</f>
        <v>#REF!</v>
      </c>
      <c r="J2855" t="str">
        <f>VLOOKUP($G2855,DefinitionArrays!$I$6:$J$12,2,FALSE)</f>
        <v>Workweek</v>
      </c>
    </row>
    <row r="2856" spans="1:10">
      <c r="A2856" s="159" t="str">
        <f t="shared" si="222"/>
        <v>$B$1:$B$92</v>
      </c>
      <c r="B2856" s="159" t="str">
        <f t="shared" si="223"/>
        <v>$C$1:$C$92</v>
      </c>
      <c r="C2856" s="159" t="str">
        <f t="shared" si="224"/>
        <v>November!$B$1:$B$92</v>
      </c>
      <c r="D2856" s="159" t="str">
        <f t="shared" si="225"/>
        <v>November!$C$1:$C$92</v>
      </c>
      <c r="E2856" t="s">
        <v>6</v>
      </c>
      <c r="F2856" t="s">
        <v>130</v>
      </c>
      <c r="G2856" t="s">
        <v>13</v>
      </c>
      <c r="H2856" t="s">
        <v>153</v>
      </c>
      <c r="I2856" t="e">
        <f t="shared" ca="1" si="226"/>
        <v>#REF!</v>
      </c>
      <c r="J2856" t="str">
        <f>VLOOKUP($G2856,DefinitionArrays!$I$6:$J$12,2,FALSE)</f>
        <v>Workweek</v>
      </c>
    </row>
    <row r="2857" spans="1:10">
      <c r="A2857" s="159" t="str">
        <f t="shared" si="222"/>
        <v>$B$1:$B$92</v>
      </c>
      <c r="B2857" s="159" t="str">
        <f t="shared" si="223"/>
        <v>$C$1:$C$92</v>
      </c>
      <c r="C2857" s="159" t="str">
        <f t="shared" si="224"/>
        <v>November!$B$1:$B$92</v>
      </c>
      <c r="D2857" s="159" t="str">
        <f t="shared" si="225"/>
        <v>November!$C$1:$C$92</v>
      </c>
      <c r="E2857" t="s">
        <v>6</v>
      </c>
      <c r="F2857" t="s">
        <v>130</v>
      </c>
      <c r="G2857" t="s">
        <v>13</v>
      </c>
      <c r="H2857" t="s">
        <v>19</v>
      </c>
      <c r="I2857" t="e">
        <f t="shared" ca="1" si="226"/>
        <v>#REF!</v>
      </c>
      <c r="J2857" t="str">
        <f>VLOOKUP($G2857,DefinitionArrays!$I$6:$J$12,2,FALSE)</f>
        <v>Workweek</v>
      </c>
    </row>
    <row r="2858" spans="1:10">
      <c r="A2858" s="159" t="str">
        <f t="shared" si="222"/>
        <v>$B$1:$B$92</v>
      </c>
      <c r="B2858" s="159" t="str">
        <f t="shared" si="223"/>
        <v>$C$1:$C$92</v>
      </c>
      <c r="C2858" s="159" t="str">
        <f t="shared" si="224"/>
        <v>November!$B$1:$B$92</v>
      </c>
      <c r="D2858" s="159" t="str">
        <f t="shared" si="225"/>
        <v>November!$C$1:$C$92</v>
      </c>
      <c r="E2858" t="s">
        <v>6</v>
      </c>
      <c r="F2858" t="s">
        <v>130</v>
      </c>
      <c r="G2858" t="s">
        <v>13</v>
      </c>
      <c r="H2858" t="s">
        <v>20</v>
      </c>
      <c r="I2858" t="e">
        <f t="shared" ca="1" si="226"/>
        <v>#REF!</v>
      </c>
      <c r="J2858" t="str">
        <f>VLOOKUP($G2858,DefinitionArrays!$I$6:$J$12,2,FALSE)</f>
        <v>Workweek</v>
      </c>
    </row>
    <row r="2859" spans="1:10">
      <c r="A2859" s="159" t="str">
        <f t="shared" si="222"/>
        <v>$B$1:$B$92</v>
      </c>
      <c r="B2859" s="159" t="str">
        <f t="shared" si="223"/>
        <v>$C$1:$C$92</v>
      </c>
      <c r="C2859" s="159" t="str">
        <f t="shared" si="224"/>
        <v>November!$B$1:$B$92</v>
      </c>
      <c r="D2859" s="159" t="str">
        <f t="shared" si="225"/>
        <v>November!$C$1:$C$92</v>
      </c>
      <c r="E2859" t="s">
        <v>6</v>
      </c>
      <c r="F2859" t="s">
        <v>130</v>
      </c>
      <c r="G2859" t="s">
        <v>13</v>
      </c>
      <c r="H2859" t="s">
        <v>21</v>
      </c>
      <c r="I2859" t="e">
        <f t="shared" ca="1" si="226"/>
        <v>#REF!</v>
      </c>
      <c r="J2859" t="str">
        <f>VLOOKUP($G2859,DefinitionArrays!$I$6:$J$12,2,FALSE)</f>
        <v>Workweek</v>
      </c>
    </row>
    <row r="2860" spans="1:10">
      <c r="A2860" s="159" t="str">
        <f t="shared" si="222"/>
        <v>$B$1:$B$92</v>
      </c>
      <c r="B2860" s="159" t="str">
        <f t="shared" si="223"/>
        <v>$C$1:$C$92</v>
      </c>
      <c r="C2860" s="159" t="str">
        <f t="shared" si="224"/>
        <v>November!$B$1:$B$92</v>
      </c>
      <c r="D2860" s="159" t="str">
        <f t="shared" si="225"/>
        <v>November!$C$1:$C$92</v>
      </c>
      <c r="E2860" t="s">
        <v>6</v>
      </c>
      <c r="F2860" t="s">
        <v>130</v>
      </c>
      <c r="G2860" t="s">
        <v>13</v>
      </c>
      <c r="H2860" t="s">
        <v>22</v>
      </c>
      <c r="I2860" t="e">
        <f t="shared" ca="1" si="226"/>
        <v>#REF!</v>
      </c>
      <c r="J2860" t="str">
        <f>VLOOKUP($G2860,DefinitionArrays!$I$6:$J$12,2,FALSE)</f>
        <v>Workweek</v>
      </c>
    </row>
    <row r="2861" spans="1:10">
      <c r="A2861" s="159" t="str">
        <f t="shared" si="222"/>
        <v>$B$1:$B$92</v>
      </c>
      <c r="B2861" s="159" t="str">
        <f t="shared" si="223"/>
        <v>$C$1:$C$92</v>
      </c>
      <c r="C2861" s="159" t="str">
        <f t="shared" si="224"/>
        <v>November!$B$1:$B$92</v>
      </c>
      <c r="D2861" s="159" t="str">
        <f t="shared" si="225"/>
        <v>November!$C$1:$C$92</v>
      </c>
      <c r="E2861" t="s">
        <v>6</v>
      </c>
      <c r="F2861" t="s">
        <v>130</v>
      </c>
      <c r="G2861" t="s">
        <v>13</v>
      </c>
      <c r="H2861" t="s">
        <v>23</v>
      </c>
      <c r="I2861" t="e">
        <f t="shared" ca="1" si="226"/>
        <v>#REF!</v>
      </c>
      <c r="J2861" t="str">
        <f>VLOOKUP($G2861,DefinitionArrays!$I$6:$J$12,2,FALSE)</f>
        <v>Workweek</v>
      </c>
    </row>
    <row r="2862" spans="1:10">
      <c r="A2862" s="159" t="str">
        <f t="shared" si="222"/>
        <v>$B$1:$B$92</v>
      </c>
      <c r="B2862" s="159" t="str">
        <f t="shared" si="223"/>
        <v>$C$1:$C$92</v>
      </c>
      <c r="C2862" s="159" t="str">
        <f t="shared" si="224"/>
        <v>November!$B$1:$B$92</v>
      </c>
      <c r="D2862" s="159" t="str">
        <f t="shared" si="225"/>
        <v>November!$C$1:$C$92</v>
      </c>
      <c r="E2862" t="s">
        <v>6</v>
      </c>
      <c r="F2862" t="s">
        <v>130</v>
      </c>
      <c r="G2862" t="s">
        <v>13</v>
      </c>
      <c r="H2862" t="s">
        <v>24</v>
      </c>
      <c r="I2862" t="e">
        <f t="shared" ca="1" si="226"/>
        <v>#REF!</v>
      </c>
      <c r="J2862" t="str">
        <f>VLOOKUP($G2862,DefinitionArrays!$I$6:$J$12,2,FALSE)</f>
        <v>Workweek</v>
      </c>
    </row>
    <row r="2863" spans="1:10">
      <c r="A2863" s="159" t="str">
        <f t="shared" si="222"/>
        <v>$B$1:$B$92</v>
      </c>
      <c r="B2863" s="159" t="str">
        <f t="shared" si="223"/>
        <v>$C$1:$C$92</v>
      </c>
      <c r="C2863" s="159" t="str">
        <f t="shared" si="224"/>
        <v>November!$B$1:$B$92</v>
      </c>
      <c r="D2863" s="159" t="str">
        <f t="shared" si="225"/>
        <v>November!$C$1:$C$92</v>
      </c>
      <c r="E2863" t="s">
        <v>6</v>
      </c>
      <c r="F2863" t="s">
        <v>130</v>
      </c>
      <c r="G2863" t="s">
        <v>13</v>
      </c>
      <c r="H2863" t="s">
        <v>179</v>
      </c>
      <c r="I2863" t="e">
        <f t="shared" ca="1" si="226"/>
        <v>#REF!</v>
      </c>
      <c r="J2863" t="str">
        <f>VLOOKUP($G2863,DefinitionArrays!$I$6:$J$12,2,FALSE)</f>
        <v>Workweek</v>
      </c>
    </row>
    <row r="2864" spans="1:10">
      <c r="A2864" s="159" t="str">
        <f t="shared" si="222"/>
        <v>$B$1:$B$92</v>
      </c>
      <c r="B2864" s="159" t="str">
        <f t="shared" si="223"/>
        <v>$C$1:$C$92</v>
      </c>
      <c r="C2864" s="159" t="str">
        <f t="shared" si="224"/>
        <v>November!$B$1:$B$92</v>
      </c>
      <c r="D2864" s="159" t="str">
        <f t="shared" si="225"/>
        <v>November!$C$1:$C$92</v>
      </c>
      <c r="E2864" t="s">
        <v>6</v>
      </c>
      <c r="F2864" t="s">
        <v>130</v>
      </c>
      <c r="G2864" t="s">
        <v>13</v>
      </c>
      <c r="H2864" t="s">
        <v>180</v>
      </c>
      <c r="I2864" t="e">
        <f t="shared" ca="1" si="226"/>
        <v>#REF!</v>
      </c>
      <c r="J2864" t="str">
        <f>VLOOKUP($G2864,DefinitionArrays!$I$6:$J$12,2,FALSE)</f>
        <v>Workweek</v>
      </c>
    </row>
    <row r="2865" spans="1:10">
      <c r="A2865" s="159" t="str">
        <f t="shared" si="222"/>
        <v>$B$1:$B$92</v>
      </c>
      <c r="B2865" s="159" t="str">
        <f t="shared" si="223"/>
        <v>$C$1:$C$92</v>
      </c>
      <c r="C2865" s="159" t="str">
        <f t="shared" si="224"/>
        <v>November!$B$1:$B$92</v>
      </c>
      <c r="D2865" s="159" t="str">
        <f t="shared" si="225"/>
        <v>November!$C$1:$C$92</v>
      </c>
      <c r="E2865" t="s">
        <v>6</v>
      </c>
      <c r="F2865" t="s">
        <v>130</v>
      </c>
      <c r="G2865" t="s">
        <v>13</v>
      </c>
      <c r="H2865" t="s">
        <v>44</v>
      </c>
      <c r="I2865" t="e">
        <f t="shared" ca="1" si="226"/>
        <v>#REF!</v>
      </c>
      <c r="J2865" t="str">
        <f>VLOOKUP($G2865,DefinitionArrays!$I$6:$J$12,2,FALSE)</f>
        <v>Workweek</v>
      </c>
    </row>
    <row r="2866" spans="1:10">
      <c r="A2866" s="159" t="str">
        <f t="shared" si="222"/>
        <v>$E$1:$E$92</v>
      </c>
      <c r="B2866" s="159" t="str">
        <f t="shared" si="223"/>
        <v>$F$1:$F$92</v>
      </c>
      <c r="C2866" s="159" t="str">
        <f t="shared" si="224"/>
        <v>November!$E$1:$E$92</v>
      </c>
      <c r="D2866" s="159" t="str">
        <f t="shared" si="225"/>
        <v>November!$F$1:$F$92</v>
      </c>
      <c r="E2866" t="s">
        <v>6</v>
      </c>
      <c r="F2866" t="s">
        <v>130</v>
      </c>
      <c r="G2866" t="s">
        <v>142</v>
      </c>
      <c r="H2866" t="s">
        <v>159</v>
      </c>
      <c r="I2866" t="e">
        <f t="shared" ca="1" si="226"/>
        <v>#REF!</v>
      </c>
      <c r="J2866" t="str">
        <f>VLOOKUP($G2866,DefinitionArrays!$I$6:$J$12,2,FALSE)</f>
        <v>Workweek</v>
      </c>
    </row>
    <row r="2867" spans="1:10">
      <c r="A2867" s="159" t="str">
        <f t="shared" si="222"/>
        <v>$E$1:$E$92</v>
      </c>
      <c r="B2867" s="159" t="str">
        <f t="shared" si="223"/>
        <v>$F$1:$F$92</v>
      </c>
      <c r="C2867" s="159" t="str">
        <f t="shared" si="224"/>
        <v>November!$E$1:$E$92</v>
      </c>
      <c r="D2867" s="159" t="str">
        <f t="shared" si="225"/>
        <v>November!$F$1:$F$92</v>
      </c>
      <c r="E2867" t="s">
        <v>6</v>
      </c>
      <c r="F2867" t="s">
        <v>130</v>
      </c>
      <c r="G2867" t="s">
        <v>142</v>
      </c>
      <c r="H2867" t="s">
        <v>18</v>
      </c>
      <c r="I2867" t="e">
        <f t="shared" ca="1" si="226"/>
        <v>#REF!</v>
      </c>
      <c r="J2867" t="str">
        <f>VLOOKUP($G2867,DefinitionArrays!$I$6:$J$12,2,FALSE)</f>
        <v>Workweek</v>
      </c>
    </row>
    <row r="2868" spans="1:10">
      <c r="A2868" s="159" t="str">
        <f t="shared" si="222"/>
        <v>$E$1:$E$92</v>
      </c>
      <c r="B2868" s="159" t="str">
        <f t="shared" si="223"/>
        <v>$F$1:$F$92</v>
      </c>
      <c r="C2868" s="159" t="str">
        <f t="shared" si="224"/>
        <v>November!$E$1:$E$92</v>
      </c>
      <c r="D2868" s="159" t="str">
        <f t="shared" si="225"/>
        <v>November!$F$1:$F$92</v>
      </c>
      <c r="E2868" t="s">
        <v>6</v>
      </c>
      <c r="F2868" t="s">
        <v>130</v>
      </c>
      <c r="G2868" t="s">
        <v>142</v>
      </c>
      <c r="H2868" t="s">
        <v>153</v>
      </c>
      <c r="I2868" t="e">
        <f t="shared" ca="1" si="226"/>
        <v>#REF!</v>
      </c>
      <c r="J2868" t="str">
        <f>VLOOKUP($G2868,DefinitionArrays!$I$6:$J$12,2,FALSE)</f>
        <v>Workweek</v>
      </c>
    </row>
    <row r="2869" spans="1:10">
      <c r="A2869" s="159" t="str">
        <f t="shared" si="222"/>
        <v>$E$1:$E$92</v>
      </c>
      <c r="B2869" s="159" t="str">
        <f t="shared" si="223"/>
        <v>$F$1:$F$92</v>
      </c>
      <c r="C2869" s="159" t="str">
        <f t="shared" si="224"/>
        <v>November!$E$1:$E$92</v>
      </c>
      <c r="D2869" s="159" t="str">
        <f t="shared" si="225"/>
        <v>November!$F$1:$F$92</v>
      </c>
      <c r="E2869" t="s">
        <v>6</v>
      </c>
      <c r="F2869" t="s">
        <v>130</v>
      </c>
      <c r="G2869" t="s">
        <v>142</v>
      </c>
      <c r="H2869" t="s">
        <v>19</v>
      </c>
      <c r="I2869" t="e">
        <f t="shared" ca="1" si="226"/>
        <v>#REF!</v>
      </c>
      <c r="J2869" t="str">
        <f>VLOOKUP($G2869,DefinitionArrays!$I$6:$J$12,2,FALSE)</f>
        <v>Workweek</v>
      </c>
    </row>
    <row r="2870" spans="1:10">
      <c r="A2870" s="159" t="str">
        <f t="shared" si="222"/>
        <v>$E$1:$E$92</v>
      </c>
      <c r="B2870" s="159" t="str">
        <f t="shared" si="223"/>
        <v>$F$1:$F$92</v>
      </c>
      <c r="C2870" s="159" t="str">
        <f t="shared" si="224"/>
        <v>November!$E$1:$E$92</v>
      </c>
      <c r="D2870" s="159" t="str">
        <f t="shared" si="225"/>
        <v>November!$F$1:$F$92</v>
      </c>
      <c r="E2870" t="s">
        <v>6</v>
      </c>
      <c r="F2870" t="s">
        <v>130</v>
      </c>
      <c r="G2870" t="s">
        <v>142</v>
      </c>
      <c r="H2870" t="s">
        <v>20</v>
      </c>
      <c r="I2870" t="e">
        <f t="shared" ca="1" si="226"/>
        <v>#REF!</v>
      </c>
      <c r="J2870" t="str">
        <f>VLOOKUP($G2870,DefinitionArrays!$I$6:$J$12,2,FALSE)</f>
        <v>Workweek</v>
      </c>
    </row>
    <row r="2871" spans="1:10">
      <c r="A2871" s="159" t="str">
        <f t="shared" si="222"/>
        <v>$E$1:$E$92</v>
      </c>
      <c r="B2871" s="159" t="str">
        <f t="shared" si="223"/>
        <v>$F$1:$F$92</v>
      </c>
      <c r="C2871" s="159" t="str">
        <f t="shared" si="224"/>
        <v>November!$E$1:$E$92</v>
      </c>
      <c r="D2871" s="159" t="str">
        <f t="shared" si="225"/>
        <v>November!$F$1:$F$92</v>
      </c>
      <c r="E2871" t="s">
        <v>6</v>
      </c>
      <c r="F2871" t="s">
        <v>130</v>
      </c>
      <c r="G2871" t="s">
        <v>142</v>
      </c>
      <c r="H2871" t="s">
        <v>21</v>
      </c>
      <c r="I2871" t="e">
        <f t="shared" ca="1" si="226"/>
        <v>#REF!</v>
      </c>
      <c r="J2871" t="str">
        <f>VLOOKUP($G2871,DefinitionArrays!$I$6:$J$12,2,FALSE)</f>
        <v>Workweek</v>
      </c>
    </row>
    <row r="2872" spans="1:10">
      <c r="A2872" s="159" t="str">
        <f t="shared" si="222"/>
        <v>$E$1:$E$92</v>
      </c>
      <c r="B2872" s="159" t="str">
        <f t="shared" si="223"/>
        <v>$F$1:$F$92</v>
      </c>
      <c r="C2872" s="159" t="str">
        <f t="shared" si="224"/>
        <v>November!$E$1:$E$92</v>
      </c>
      <c r="D2872" s="159" t="str">
        <f t="shared" si="225"/>
        <v>November!$F$1:$F$92</v>
      </c>
      <c r="E2872" t="s">
        <v>6</v>
      </c>
      <c r="F2872" t="s">
        <v>130</v>
      </c>
      <c r="G2872" t="s">
        <v>142</v>
      </c>
      <c r="H2872" t="s">
        <v>22</v>
      </c>
      <c r="I2872" t="e">
        <f t="shared" ca="1" si="226"/>
        <v>#REF!</v>
      </c>
      <c r="J2872" t="str">
        <f>VLOOKUP($G2872,DefinitionArrays!$I$6:$J$12,2,FALSE)</f>
        <v>Workweek</v>
      </c>
    </row>
    <row r="2873" spans="1:10">
      <c r="A2873" s="159" t="str">
        <f t="shared" si="222"/>
        <v>$E$1:$E$92</v>
      </c>
      <c r="B2873" s="159" t="str">
        <f t="shared" si="223"/>
        <v>$F$1:$F$92</v>
      </c>
      <c r="C2873" s="159" t="str">
        <f t="shared" si="224"/>
        <v>November!$E$1:$E$92</v>
      </c>
      <c r="D2873" s="159" t="str">
        <f t="shared" si="225"/>
        <v>November!$F$1:$F$92</v>
      </c>
      <c r="E2873" t="s">
        <v>6</v>
      </c>
      <c r="F2873" t="s">
        <v>130</v>
      </c>
      <c r="G2873" t="s">
        <v>142</v>
      </c>
      <c r="H2873" t="s">
        <v>23</v>
      </c>
      <c r="I2873" t="e">
        <f t="shared" ca="1" si="226"/>
        <v>#REF!</v>
      </c>
      <c r="J2873" t="str">
        <f>VLOOKUP($G2873,DefinitionArrays!$I$6:$J$12,2,FALSE)</f>
        <v>Workweek</v>
      </c>
    </row>
    <row r="2874" spans="1:10">
      <c r="A2874" s="159" t="str">
        <f t="shared" si="222"/>
        <v>$E$1:$E$92</v>
      </c>
      <c r="B2874" s="159" t="str">
        <f t="shared" si="223"/>
        <v>$F$1:$F$92</v>
      </c>
      <c r="C2874" s="159" t="str">
        <f t="shared" si="224"/>
        <v>November!$E$1:$E$92</v>
      </c>
      <c r="D2874" s="159" t="str">
        <f t="shared" si="225"/>
        <v>November!$F$1:$F$92</v>
      </c>
      <c r="E2874" t="s">
        <v>6</v>
      </c>
      <c r="F2874" t="s">
        <v>130</v>
      </c>
      <c r="G2874" t="s">
        <v>142</v>
      </c>
      <c r="H2874" t="s">
        <v>24</v>
      </c>
      <c r="I2874" t="e">
        <f t="shared" ca="1" si="226"/>
        <v>#REF!</v>
      </c>
      <c r="J2874" t="str">
        <f>VLOOKUP($G2874,DefinitionArrays!$I$6:$J$12,2,FALSE)</f>
        <v>Workweek</v>
      </c>
    </row>
    <row r="2875" spans="1:10">
      <c r="A2875" s="159" t="str">
        <f t="shared" si="222"/>
        <v>$E$1:$E$92</v>
      </c>
      <c r="B2875" s="159" t="str">
        <f t="shared" si="223"/>
        <v>$F$1:$F$92</v>
      </c>
      <c r="C2875" s="159" t="str">
        <f t="shared" si="224"/>
        <v>November!$E$1:$E$92</v>
      </c>
      <c r="D2875" s="159" t="str">
        <f t="shared" si="225"/>
        <v>November!$F$1:$F$92</v>
      </c>
      <c r="E2875" t="s">
        <v>6</v>
      </c>
      <c r="F2875" t="s">
        <v>130</v>
      </c>
      <c r="G2875" t="s">
        <v>142</v>
      </c>
      <c r="H2875" t="s">
        <v>179</v>
      </c>
      <c r="I2875" t="e">
        <f t="shared" ca="1" si="226"/>
        <v>#REF!</v>
      </c>
      <c r="J2875" t="str">
        <f>VLOOKUP($G2875,DefinitionArrays!$I$6:$J$12,2,FALSE)</f>
        <v>Workweek</v>
      </c>
    </row>
    <row r="2876" spans="1:10">
      <c r="A2876" s="159" t="str">
        <f t="shared" si="222"/>
        <v>$E$1:$E$92</v>
      </c>
      <c r="B2876" s="159" t="str">
        <f t="shared" si="223"/>
        <v>$F$1:$F$92</v>
      </c>
      <c r="C2876" s="159" t="str">
        <f t="shared" si="224"/>
        <v>November!$E$1:$E$92</v>
      </c>
      <c r="D2876" s="159" t="str">
        <f t="shared" si="225"/>
        <v>November!$F$1:$F$92</v>
      </c>
      <c r="E2876" t="s">
        <v>6</v>
      </c>
      <c r="F2876" t="s">
        <v>130</v>
      </c>
      <c r="G2876" t="s">
        <v>142</v>
      </c>
      <c r="H2876" t="s">
        <v>180</v>
      </c>
      <c r="I2876" t="e">
        <f t="shared" ca="1" si="226"/>
        <v>#REF!</v>
      </c>
      <c r="J2876" t="str">
        <f>VLOOKUP($G2876,DefinitionArrays!$I$6:$J$12,2,FALSE)</f>
        <v>Workweek</v>
      </c>
    </row>
    <row r="2877" spans="1:10">
      <c r="A2877" s="159" t="str">
        <f t="shared" si="222"/>
        <v>$E$1:$E$92</v>
      </c>
      <c r="B2877" s="159" t="str">
        <f t="shared" si="223"/>
        <v>$F$1:$F$92</v>
      </c>
      <c r="C2877" s="159" t="str">
        <f t="shared" si="224"/>
        <v>November!$E$1:$E$92</v>
      </c>
      <c r="D2877" s="159" t="str">
        <f t="shared" si="225"/>
        <v>November!$F$1:$F$92</v>
      </c>
      <c r="E2877" t="s">
        <v>6</v>
      </c>
      <c r="F2877" t="s">
        <v>130</v>
      </c>
      <c r="G2877" t="s">
        <v>142</v>
      </c>
      <c r="H2877" t="s">
        <v>44</v>
      </c>
      <c r="I2877" t="e">
        <f t="shared" ca="1" si="226"/>
        <v>#REF!</v>
      </c>
      <c r="J2877" t="str">
        <f>VLOOKUP($G2877,DefinitionArrays!$I$6:$J$12,2,FALSE)</f>
        <v>Workweek</v>
      </c>
    </row>
    <row r="2878" spans="1:10">
      <c r="A2878" s="159" t="str">
        <f t="shared" si="222"/>
        <v>$H$1:$H$92</v>
      </c>
      <c r="B2878" s="159" t="str">
        <f t="shared" si="223"/>
        <v>$I$1:$I$92</v>
      </c>
      <c r="C2878" s="159" t="str">
        <f t="shared" si="224"/>
        <v>November!$H$1:$H$92</v>
      </c>
      <c r="D2878" s="159" t="str">
        <f t="shared" si="225"/>
        <v>November!$I$1:$I$92</v>
      </c>
      <c r="E2878" t="s">
        <v>6</v>
      </c>
      <c r="F2878" t="s">
        <v>130</v>
      </c>
      <c r="G2878" t="s">
        <v>143</v>
      </c>
      <c r="H2878" t="s">
        <v>159</v>
      </c>
      <c r="I2878" t="e">
        <f t="shared" ca="1" si="226"/>
        <v>#REF!</v>
      </c>
      <c r="J2878" t="str">
        <f>VLOOKUP($G2878,DefinitionArrays!$I$6:$J$12,2,FALSE)</f>
        <v>Workweek</v>
      </c>
    </row>
    <row r="2879" spans="1:10">
      <c r="A2879" s="159" t="str">
        <f t="shared" si="222"/>
        <v>$H$1:$H$92</v>
      </c>
      <c r="B2879" s="159" t="str">
        <f t="shared" si="223"/>
        <v>$I$1:$I$92</v>
      </c>
      <c r="C2879" s="159" t="str">
        <f t="shared" si="224"/>
        <v>November!$H$1:$H$92</v>
      </c>
      <c r="D2879" s="159" t="str">
        <f t="shared" si="225"/>
        <v>November!$I$1:$I$92</v>
      </c>
      <c r="E2879" t="s">
        <v>6</v>
      </c>
      <c r="F2879" t="s">
        <v>130</v>
      </c>
      <c r="G2879" t="s">
        <v>143</v>
      </c>
      <c r="H2879" t="s">
        <v>18</v>
      </c>
      <c r="I2879" t="e">
        <f t="shared" ca="1" si="226"/>
        <v>#REF!</v>
      </c>
      <c r="J2879" t="str">
        <f>VLOOKUP($G2879,DefinitionArrays!$I$6:$J$12,2,FALSE)</f>
        <v>Workweek</v>
      </c>
    </row>
    <row r="2880" spans="1:10">
      <c r="A2880" s="159" t="str">
        <f t="shared" si="222"/>
        <v>$H$1:$H$92</v>
      </c>
      <c r="B2880" s="159" t="str">
        <f t="shared" si="223"/>
        <v>$I$1:$I$92</v>
      </c>
      <c r="C2880" s="159" t="str">
        <f t="shared" si="224"/>
        <v>November!$H$1:$H$92</v>
      </c>
      <c r="D2880" s="159" t="str">
        <f t="shared" si="225"/>
        <v>November!$I$1:$I$92</v>
      </c>
      <c r="E2880" t="s">
        <v>6</v>
      </c>
      <c r="F2880" t="s">
        <v>130</v>
      </c>
      <c r="G2880" t="s">
        <v>143</v>
      </c>
      <c r="H2880" t="s">
        <v>153</v>
      </c>
      <c r="I2880" t="e">
        <f t="shared" ca="1" si="226"/>
        <v>#REF!</v>
      </c>
      <c r="J2880" t="str">
        <f>VLOOKUP($G2880,DefinitionArrays!$I$6:$J$12,2,FALSE)</f>
        <v>Workweek</v>
      </c>
    </row>
    <row r="2881" spans="1:10">
      <c r="A2881" s="159" t="str">
        <f t="shared" si="222"/>
        <v>$H$1:$H$92</v>
      </c>
      <c r="B2881" s="159" t="str">
        <f t="shared" si="223"/>
        <v>$I$1:$I$92</v>
      </c>
      <c r="C2881" s="159" t="str">
        <f t="shared" si="224"/>
        <v>November!$H$1:$H$92</v>
      </c>
      <c r="D2881" s="159" t="str">
        <f t="shared" si="225"/>
        <v>November!$I$1:$I$92</v>
      </c>
      <c r="E2881" t="s">
        <v>6</v>
      </c>
      <c r="F2881" t="s">
        <v>130</v>
      </c>
      <c r="G2881" t="s">
        <v>143</v>
      </c>
      <c r="H2881" t="s">
        <v>19</v>
      </c>
      <c r="I2881" t="e">
        <f t="shared" ca="1" si="226"/>
        <v>#REF!</v>
      </c>
      <c r="J2881" t="str">
        <f>VLOOKUP($G2881,DefinitionArrays!$I$6:$J$12,2,FALSE)</f>
        <v>Workweek</v>
      </c>
    </row>
    <row r="2882" spans="1:10">
      <c r="A2882" s="159" t="str">
        <f t="shared" ref="A2882:A2945" si="227">VLOOKUP($G2882,Fx_Code,2,FALSE)</f>
        <v>$H$1:$H$92</v>
      </c>
      <c r="B2882" s="159" t="str">
        <f t="shared" ref="B2882:B2945" si="228">VLOOKUP($G2882,Fx_Code,3,FALSE)</f>
        <v>$I$1:$I$92</v>
      </c>
      <c r="C2882" s="159" t="str">
        <f t="shared" ref="C2882:C2945" si="229">CONCATENATE($F2882,$K$1,A2882)</f>
        <v>November!$H$1:$H$92</v>
      </c>
      <c r="D2882" s="159" t="str">
        <f t="shared" ref="D2882:D2945" si="230">CONCATENATE($F2882,$K$1,B2882)</f>
        <v>November!$I$1:$I$92</v>
      </c>
      <c r="E2882" t="s">
        <v>6</v>
      </c>
      <c r="F2882" t="s">
        <v>130</v>
      </c>
      <c r="G2882" t="s">
        <v>143</v>
      </c>
      <c r="H2882" t="s">
        <v>20</v>
      </c>
      <c r="I2882" t="e">
        <f t="shared" ca="1" si="226"/>
        <v>#REF!</v>
      </c>
      <c r="J2882" t="str">
        <f>VLOOKUP($G2882,DefinitionArrays!$I$6:$J$12,2,FALSE)</f>
        <v>Workweek</v>
      </c>
    </row>
    <row r="2883" spans="1:10">
      <c r="A2883" s="159" t="str">
        <f t="shared" si="227"/>
        <v>$H$1:$H$92</v>
      </c>
      <c r="B2883" s="159" t="str">
        <f t="shared" si="228"/>
        <v>$I$1:$I$92</v>
      </c>
      <c r="C2883" s="159" t="str">
        <f t="shared" si="229"/>
        <v>November!$H$1:$H$92</v>
      </c>
      <c r="D2883" s="159" t="str">
        <f t="shared" si="230"/>
        <v>November!$I$1:$I$92</v>
      </c>
      <c r="E2883" t="s">
        <v>6</v>
      </c>
      <c r="F2883" t="s">
        <v>130</v>
      </c>
      <c r="G2883" t="s">
        <v>143</v>
      </c>
      <c r="H2883" t="s">
        <v>21</v>
      </c>
      <c r="I2883" t="e">
        <f t="shared" ca="1" si="226"/>
        <v>#REF!</v>
      </c>
      <c r="J2883" t="str">
        <f>VLOOKUP($G2883,DefinitionArrays!$I$6:$J$12,2,FALSE)</f>
        <v>Workweek</v>
      </c>
    </row>
    <row r="2884" spans="1:10">
      <c r="A2884" s="159" t="str">
        <f t="shared" si="227"/>
        <v>$H$1:$H$92</v>
      </c>
      <c r="B2884" s="159" t="str">
        <f t="shared" si="228"/>
        <v>$I$1:$I$92</v>
      </c>
      <c r="C2884" s="159" t="str">
        <f t="shared" si="229"/>
        <v>November!$H$1:$H$92</v>
      </c>
      <c r="D2884" s="159" t="str">
        <f t="shared" si="230"/>
        <v>November!$I$1:$I$92</v>
      </c>
      <c r="E2884" t="s">
        <v>6</v>
      </c>
      <c r="F2884" t="s">
        <v>130</v>
      </c>
      <c r="G2884" t="s">
        <v>143</v>
      </c>
      <c r="H2884" t="s">
        <v>22</v>
      </c>
      <c r="I2884" t="e">
        <f t="shared" ca="1" si="226"/>
        <v>#REF!</v>
      </c>
      <c r="J2884" t="str">
        <f>VLOOKUP($G2884,DefinitionArrays!$I$6:$J$12,2,FALSE)</f>
        <v>Workweek</v>
      </c>
    </row>
    <row r="2885" spans="1:10">
      <c r="A2885" s="159" t="str">
        <f t="shared" si="227"/>
        <v>$H$1:$H$92</v>
      </c>
      <c r="B2885" s="159" t="str">
        <f t="shared" si="228"/>
        <v>$I$1:$I$92</v>
      </c>
      <c r="C2885" s="159" t="str">
        <f t="shared" si="229"/>
        <v>November!$H$1:$H$92</v>
      </c>
      <c r="D2885" s="159" t="str">
        <f t="shared" si="230"/>
        <v>November!$I$1:$I$92</v>
      </c>
      <c r="E2885" t="s">
        <v>6</v>
      </c>
      <c r="F2885" t="s">
        <v>130</v>
      </c>
      <c r="G2885" t="s">
        <v>143</v>
      </c>
      <c r="H2885" t="s">
        <v>23</v>
      </c>
      <c r="I2885" t="e">
        <f t="shared" ca="1" si="226"/>
        <v>#REF!</v>
      </c>
      <c r="J2885" t="str">
        <f>VLOOKUP($G2885,DefinitionArrays!$I$6:$J$12,2,FALSE)</f>
        <v>Workweek</v>
      </c>
    </row>
    <row r="2886" spans="1:10">
      <c r="A2886" s="159" t="str">
        <f t="shared" si="227"/>
        <v>$H$1:$H$92</v>
      </c>
      <c r="B2886" s="159" t="str">
        <f t="shared" si="228"/>
        <v>$I$1:$I$92</v>
      </c>
      <c r="C2886" s="159" t="str">
        <f t="shared" si="229"/>
        <v>November!$H$1:$H$92</v>
      </c>
      <c r="D2886" s="159" t="str">
        <f t="shared" si="230"/>
        <v>November!$I$1:$I$92</v>
      </c>
      <c r="E2886" t="s">
        <v>6</v>
      </c>
      <c r="F2886" t="s">
        <v>130</v>
      </c>
      <c r="G2886" t="s">
        <v>143</v>
      </c>
      <c r="H2886" t="s">
        <v>24</v>
      </c>
      <c r="I2886" t="e">
        <f t="shared" ca="1" si="226"/>
        <v>#REF!</v>
      </c>
      <c r="J2886" t="str">
        <f>VLOOKUP($G2886,DefinitionArrays!$I$6:$J$12,2,FALSE)</f>
        <v>Workweek</v>
      </c>
    </row>
    <row r="2887" spans="1:10">
      <c r="A2887" s="159" t="str">
        <f t="shared" si="227"/>
        <v>$H$1:$H$92</v>
      </c>
      <c r="B2887" s="159" t="str">
        <f t="shared" si="228"/>
        <v>$I$1:$I$92</v>
      </c>
      <c r="C2887" s="159" t="str">
        <f t="shared" si="229"/>
        <v>November!$H$1:$H$92</v>
      </c>
      <c r="D2887" s="159" t="str">
        <f t="shared" si="230"/>
        <v>November!$I$1:$I$92</v>
      </c>
      <c r="E2887" t="s">
        <v>6</v>
      </c>
      <c r="F2887" t="s">
        <v>130</v>
      </c>
      <c r="G2887" t="s">
        <v>143</v>
      </c>
      <c r="H2887" t="s">
        <v>179</v>
      </c>
      <c r="I2887" t="e">
        <f t="shared" ca="1" si="226"/>
        <v>#REF!</v>
      </c>
      <c r="J2887" t="str">
        <f>VLOOKUP($G2887,DefinitionArrays!$I$6:$J$12,2,FALSE)</f>
        <v>Workweek</v>
      </c>
    </row>
    <row r="2888" spans="1:10">
      <c r="A2888" s="159" t="str">
        <f t="shared" si="227"/>
        <v>$H$1:$H$92</v>
      </c>
      <c r="B2888" s="159" t="str">
        <f t="shared" si="228"/>
        <v>$I$1:$I$92</v>
      </c>
      <c r="C2888" s="159" t="str">
        <f t="shared" si="229"/>
        <v>November!$H$1:$H$92</v>
      </c>
      <c r="D2888" s="159" t="str">
        <f t="shared" si="230"/>
        <v>November!$I$1:$I$92</v>
      </c>
      <c r="E2888" t="s">
        <v>6</v>
      </c>
      <c r="F2888" t="s">
        <v>130</v>
      </c>
      <c r="G2888" t="s">
        <v>143</v>
      </c>
      <c r="H2888" t="s">
        <v>180</v>
      </c>
      <c r="I2888" t="e">
        <f t="shared" ca="1" si="226"/>
        <v>#REF!</v>
      </c>
      <c r="J2888" t="str">
        <f>VLOOKUP($G2888,DefinitionArrays!$I$6:$J$12,2,FALSE)</f>
        <v>Workweek</v>
      </c>
    </row>
    <row r="2889" spans="1:10">
      <c r="A2889" s="159" t="str">
        <f t="shared" si="227"/>
        <v>$H$1:$H$92</v>
      </c>
      <c r="B2889" s="159" t="str">
        <f t="shared" si="228"/>
        <v>$I$1:$I$92</v>
      </c>
      <c r="C2889" s="159" t="str">
        <f t="shared" si="229"/>
        <v>November!$H$1:$H$92</v>
      </c>
      <c r="D2889" s="159" t="str">
        <f t="shared" si="230"/>
        <v>November!$I$1:$I$92</v>
      </c>
      <c r="E2889" t="s">
        <v>6</v>
      </c>
      <c r="F2889" t="s">
        <v>130</v>
      </c>
      <c r="G2889" t="s">
        <v>143</v>
      </c>
      <c r="H2889" t="s">
        <v>44</v>
      </c>
      <c r="I2889" t="e">
        <f t="shared" ca="1" si="226"/>
        <v>#REF!</v>
      </c>
      <c r="J2889" t="str">
        <f>VLOOKUP($G2889,DefinitionArrays!$I$6:$J$12,2,FALSE)</f>
        <v>Workweek</v>
      </c>
    </row>
    <row r="2890" spans="1:10">
      <c r="A2890" s="159" t="str">
        <f t="shared" si="227"/>
        <v>$K$1:$K$92</v>
      </c>
      <c r="B2890" s="159" t="str">
        <f t="shared" si="228"/>
        <v>$L$1:$L$92</v>
      </c>
      <c r="C2890" s="159" t="str">
        <f t="shared" si="229"/>
        <v>November!$K$1:$K$92</v>
      </c>
      <c r="D2890" s="159" t="str">
        <f t="shared" si="230"/>
        <v>November!$L$1:$L$92</v>
      </c>
      <c r="E2890" t="s">
        <v>6</v>
      </c>
      <c r="F2890" t="s">
        <v>130</v>
      </c>
      <c r="G2890" t="s">
        <v>144</v>
      </c>
      <c r="H2890" t="s">
        <v>159</v>
      </c>
      <c r="I2890" t="e">
        <f t="shared" ca="1" si="226"/>
        <v>#REF!</v>
      </c>
      <c r="J2890" t="str">
        <f>VLOOKUP($G2890,DefinitionArrays!$I$6:$J$12,2,FALSE)</f>
        <v>Workweek</v>
      </c>
    </row>
    <row r="2891" spans="1:10">
      <c r="A2891" s="159" t="str">
        <f t="shared" si="227"/>
        <v>$K$1:$K$92</v>
      </c>
      <c r="B2891" s="159" t="str">
        <f t="shared" si="228"/>
        <v>$L$1:$L$92</v>
      </c>
      <c r="C2891" s="159" t="str">
        <f t="shared" si="229"/>
        <v>November!$K$1:$K$92</v>
      </c>
      <c r="D2891" s="159" t="str">
        <f t="shared" si="230"/>
        <v>November!$L$1:$L$92</v>
      </c>
      <c r="E2891" t="s">
        <v>6</v>
      </c>
      <c r="F2891" t="s">
        <v>130</v>
      </c>
      <c r="G2891" t="s">
        <v>144</v>
      </c>
      <c r="H2891" t="s">
        <v>18</v>
      </c>
      <c r="I2891" t="e">
        <f t="shared" ca="1" si="226"/>
        <v>#REF!</v>
      </c>
      <c r="J2891" t="str">
        <f>VLOOKUP($G2891,DefinitionArrays!$I$6:$J$12,2,FALSE)</f>
        <v>Workweek</v>
      </c>
    </row>
    <row r="2892" spans="1:10">
      <c r="A2892" s="159" t="str">
        <f t="shared" si="227"/>
        <v>$K$1:$K$92</v>
      </c>
      <c r="B2892" s="159" t="str">
        <f t="shared" si="228"/>
        <v>$L$1:$L$92</v>
      </c>
      <c r="C2892" s="159" t="str">
        <f t="shared" si="229"/>
        <v>November!$K$1:$K$92</v>
      </c>
      <c r="D2892" s="159" t="str">
        <f t="shared" si="230"/>
        <v>November!$L$1:$L$92</v>
      </c>
      <c r="E2892" t="s">
        <v>6</v>
      </c>
      <c r="F2892" t="s">
        <v>130</v>
      </c>
      <c r="G2892" t="s">
        <v>144</v>
      </c>
      <c r="H2892" t="s">
        <v>153</v>
      </c>
      <c r="I2892" t="e">
        <f t="shared" ca="1" si="226"/>
        <v>#REF!</v>
      </c>
      <c r="J2892" t="str">
        <f>VLOOKUP($G2892,DefinitionArrays!$I$6:$J$12,2,FALSE)</f>
        <v>Workweek</v>
      </c>
    </row>
    <row r="2893" spans="1:10">
      <c r="A2893" s="159" t="str">
        <f t="shared" si="227"/>
        <v>$K$1:$K$92</v>
      </c>
      <c r="B2893" s="159" t="str">
        <f t="shared" si="228"/>
        <v>$L$1:$L$92</v>
      </c>
      <c r="C2893" s="159" t="str">
        <f t="shared" si="229"/>
        <v>November!$K$1:$K$92</v>
      </c>
      <c r="D2893" s="159" t="str">
        <f t="shared" si="230"/>
        <v>November!$L$1:$L$92</v>
      </c>
      <c r="E2893" t="s">
        <v>6</v>
      </c>
      <c r="F2893" t="s">
        <v>130</v>
      </c>
      <c r="G2893" t="s">
        <v>144</v>
      </c>
      <c r="H2893" t="s">
        <v>19</v>
      </c>
      <c r="I2893" t="e">
        <f t="shared" ca="1" si="226"/>
        <v>#REF!</v>
      </c>
      <c r="J2893" t="str">
        <f>VLOOKUP($G2893,DefinitionArrays!$I$6:$J$12,2,FALSE)</f>
        <v>Workweek</v>
      </c>
    </row>
    <row r="2894" spans="1:10">
      <c r="A2894" s="159" t="str">
        <f t="shared" si="227"/>
        <v>$K$1:$K$92</v>
      </c>
      <c r="B2894" s="159" t="str">
        <f t="shared" si="228"/>
        <v>$L$1:$L$92</v>
      </c>
      <c r="C2894" s="159" t="str">
        <f t="shared" si="229"/>
        <v>November!$K$1:$K$92</v>
      </c>
      <c r="D2894" s="159" t="str">
        <f t="shared" si="230"/>
        <v>November!$L$1:$L$92</v>
      </c>
      <c r="E2894" t="s">
        <v>6</v>
      </c>
      <c r="F2894" t="s">
        <v>130</v>
      </c>
      <c r="G2894" t="s">
        <v>144</v>
      </c>
      <c r="H2894" t="s">
        <v>20</v>
      </c>
      <c r="I2894" t="e">
        <f t="shared" ca="1" si="226"/>
        <v>#REF!</v>
      </c>
      <c r="J2894" t="str">
        <f>VLOOKUP($G2894,DefinitionArrays!$I$6:$J$12,2,FALSE)</f>
        <v>Workweek</v>
      </c>
    </row>
    <row r="2895" spans="1:10">
      <c r="A2895" s="159" t="str">
        <f t="shared" si="227"/>
        <v>$K$1:$K$92</v>
      </c>
      <c r="B2895" s="159" t="str">
        <f t="shared" si="228"/>
        <v>$L$1:$L$92</v>
      </c>
      <c r="C2895" s="159" t="str">
        <f t="shared" si="229"/>
        <v>November!$K$1:$K$92</v>
      </c>
      <c r="D2895" s="159" t="str">
        <f t="shared" si="230"/>
        <v>November!$L$1:$L$92</v>
      </c>
      <c r="E2895" t="s">
        <v>6</v>
      </c>
      <c r="F2895" t="s">
        <v>130</v>
      </c>
      <c r="G2895" t="s">
        <v>144</v>
      </c>
      <c r="H2895" t="s">
        <v>21</v>
      </c>
      <c r="I2895" t="e">
        <f t="shared" ca="1" si="226"/>
        <v>#REF!</v>
      </c>
      <c r="J2895" t="str">
        <f>VLOOKUP($G2895,DefinitionArrays!$I$6:$J$12,2,FALSE)</f>
        <v>Workweek</v>
      </c>
    </row>
    <row r="2896" spans="1:10">
      <c r="A2896" s="159" t="str">
        <f t="shared" si="227"/>
        <v>$K$1:$K$92</v>
      </c>
      <c r="B2896" s="159" t="str">
        <f t="shared" si="228"/>
        <v>$L$1:$L$92</v>
      </c>
      <c r="C2896" s="159" t="str">
        <f t="shared" si="229"/>
        <v>November!$K$1:$K$92</v>
      </c>
      <c r="D2896" s="159" t="str">
        <f t="shared" si="230"/>
        <v>November!$L$1:$L$92</v>
      </c>
      <c r="E2896" t="s">
        <v>6</v>
      </c>
      <c r="F2896" t="s">
        <v>130</v>
      </c>
      <c r="G2896" t="s">
        <v>144</v>
      </c>
      <c r="H2896" t="s">
        <v>22</v>
      </c>
      <c r="I2896" t="e">
        <f t="shared" ca="1" si="226"/>
        <v>#REF!</v>
      </c>
      <c r="J2896" t="str">
        <f>VLOOKUP($G2896,DefinitionArrays!$I$6:$J$12,2,FALSE)</f>
        <v>Workweek</v>
      </c>
    </row>
    <row r="2897" spans="1:10">
      <c r="A2897" s="159" t="str">
        <f t="shared" si="227"/>
        <v>$K$1:$K$92</v>
      </c>
      <c r="B2897" s="159" t="str">
        <f t="shared" si="228"/>
        <v>$L$1:$L$92</v>
      </c>
      <c r="C2897" s="159" t="str">
        <f t="shared" si="229"/>
        <v>November!$K$1:$K$92</v>
      </c>
      <c r="D2897" s="159" t="str">
        <f t="shared" si="230"/>
        <v>November!$L$1:$L$92</v>
      </c>
      <c r="E2897" t="s">
        <v>6</v>
      </c>
      <c r="F2897" t="s">
        <v>130</v>
      </c>
      <c r="G2897" t="s">
        <v>144</v>
      </c>
      <c r="H2897" t="s">
        <v>23</v>
      </c>
      <c r="I2897" t="e">
        <f t="shared" ca="1" si="226"/>
        <v>#REF!</v>
      </c>
      <c r="J2897" t="str">
        <f>VLOOKUP($G2897,DefinitionArrays!$I$6:$J$12,2,FALSE)</f>
        <v>Workweek</v>
      </c>
    </row>
    <row r="2898" spans="1:10">
      <c r="A2898" s="159" t="str">
        <f t="shared" si="227"/>
        <v>$K$1:$K$92</v>
      </c>
      <c r="B2898" s="159" t="str">
        <f t="shared" si="228"/>
        <v>$L$1:$L$92</v>
      </c>
      <c r="C2898" s="159" t="str">
        <f t="shared" si="229"/>
        <v>November!$K$1:$K$92</v>
      </c>
      <c r="D2898" s="159" t="str">
        <f t="shared" si="230"/>
        <v>November!$L$1:$L$92</v>
      </c>
      <c r="E2898" t="s">
        <v>6</v>
      </c>
      <c r="F2898" t="s">
        <v>130</v>
      </c>
      <c r="G2898" t="s">
        <v>144</v>
      </c>
      <c r="H2898" t="s">
        <v>24</v>
      </c>
      <c r="I2898" t="e">
        <f t="shared" ca="1" si="226"/>
        <v>#REF!</v>
      </c>
      <c r="J2898" t="str">
        <f>VLOOKUP($G2898,DefinitionArrays!$I$6:$J$12,2,FALSE)</f>
        <v>Workweek</v>
      </c>
    </row>
    <row r="2899" spans="1:10">
      <c r="A2899" s="159" t="str">
        <f t="shared" si="227"/>
        <v>$K$1:$K$92</v>
      </c>
      <c r="B2899" s="159" t="str">
        <f t="shared" si="228"/>
        <v>$L$1:$L$92</v>
      </c>
      <c r="C2899" s="159" t="str">
        <f t="shared" si="229"/>
        <v>November!$K$1:$K$92</v>
      </c>
      <c r="D2899" s="159" t="str">
        <f t="shared" si="230"/>
        <v>November!$L$1:$L$92</v>
      </c>
      <c r="E2899" t="s">
        <v>6</v>
      </c>
      <c r="F2899" t="s">
        <v>130</v>
      </c>
      <c r="G2899" t="s">
        <v>144</v>
      </c>
      <c r="H2899" t="s">
        <v>179</v>
      </c>
      <c r="I2899" t="e">
        <f t="shared" ca="1" si="226"/>
        <v>#REF!</v>
      </c>
      <c r="J2899" t="str">
        <f>VLOOKUP($G2899,DefinitionArrays!$I$6:$J$12,2,FALSE)</f>
        <v>Workweek</v>
      </c>
    </row>
    <row r="2900" spans="1:10">
      <c r="A2900" s="159" t="str">
        <f t="shared" si="227"/>
        <v>$K$1:$K$92</v>
      </c>
      <c r="B2900" s="159" t="str">
        <f t="shared" si="228"/>
        <v>$L$1:$L$92</v>
      </c>
      <c r="C2900" s="159" t="str">
        <f t="shared" si="229"/>
        <v>November!$K$1:$K$92</v>
      </c>
      <c r="D2900" s="159" t="str">
        <f t="shared" si="230"/>
        <v>November!$L$1:$L$92</v>
      </c>
      <c r="E2900" t="s">
        <v>6</v>
      </c>
      <c r="F2900" t="s">
        <v>130</v>
      </c>
      <c r="G2900" t="s">
        <v>144</v>
      </c>
      <c r="H2900" t="s">
        <v>180</v>
      </c>
      <c r="I2900" t="e">
        <f t="shared" ca="1" si="226"/>
        <v>#REF!</v>
      </c>
      <c r="J2900" t="str">
        <f>VLOOKUP($G2900,DefinitionArrays!$I$6:$J$12,2,FALSE)</f>
        <v>Workweek</v>
      </c>
    </row>
    <row r="2901" spans="1:10">
      <c r="A2901" s="159" t="str">
        <f t="shared" si="227"/>
        <v>$K$1:$K$92</v>
      </c>
      <c r="B2901" s="159" t="str">
        <f t="shared" si="228"/>
        <v>$L$1:$L$92</v>
      </c>
      <c r="C2901" s="159" t="str">
        <f t="shared" si="229"/>
        <v>November!$K$1:$K$92</v>
      </c>
      <c r="D2901" s="159" t="str">
        <f t="shared" si="230"/>
        <v>November!$L$1:$L$92</v>
      </c>
      <c r="E2901" t="s">
        <v>6</v>
      </c>
      <c r="F2901" t="s">
        <v>130</v>
      </c>
      <c r="G2901" t="s">
        <v>144</v>
      </c>
      <c r="H2901" t="s">
        <v>44</v>
      </c>
      <c r="I2901" t="e">
        <f t="shared" ca="1" si="226"/>
        <v>#REF!</v>
      </c>
      <c r="J2901" t="str">
        <f>VLOOKUP($G2901,DefinitionArrays!$I$6:$J$12,2,FALSE)</f>
        <v>Workweek</v>
      </c>
    </row>
    <row r="2902" spans="1:10">
      <c r="A2902" s="159" t="str">
        <f t="shared" si="227"/>
        <v>$N$1:$N$92</v>
      </c>
      <c r="B2902" s="159" t="str">
        <f t="shared" si="228"/>
        <v>$O$1:$O$92</v>
      </c>
      <c r="C2902" s="159" t="str">
        <f t="shared" si="229"/>
        <v>November!$N$1:$N$92</v>
      </c>
      <c r="D2902" s="159" t="str">
        <f t="shared" si="230"/>
        <v>November!$O$1:$O$92</v>
      </c>
      <c r="E2902" t="s">
        <v>6</v>
      </c>
      <c r="F2902" t="s">
        <v>130</v>
      </c>
      <c r="G2902" t="s">
        <v>145</v>
      </c>
      <c r="H2902" t="s">
        <v>159</v>
      </c>
      <c r="I2902" t="e">
        <f t="shared" ca="1" si="226"/>
        <v>#REF!</v>
      </c>
      <c r="J2902" t="str">
        <f>VLOOKUP($G2902,DefinitionArrays!$I$6:$J$12,2,FALSE)</f>
        <v>Weekend</v>
      </c>
    </row>
    <row r="2903" spans="1:10">
      <c r="A2903" s="159" t="str">
        <f t="shared" si="227"/>
        <v>$N$1:$N$92</v>
      </c>
      <c r="B2903" s="159" t="str">
        <f t="shared" si="228"/>
        <v>$O$1:$O$92</v>
      </c>
      <c r="C2903" s="159" t="str">
        <f t="shared" si="229"/>
        <v>November!$N$1:$N$92</v>
      </c>
      <c r="D2903" s="159" t="str">
        <f t="shared" si="230"/>
        <v>November!$O$1:$O$92</v>
      </c>
      <c r="E2903" t="s">
        <v>6</v>
      </c>
      <c r="F2903" t="s">
        <v>130</v>
      </c>
      <c r="G2903" t="s">
        <v>145</v>
      </c>
      <c r="H2903" t="s">
        <v>18</v>
      </c>
      <c r="I2903" t="e">
        <f t="shared" ca="1" si="226"/>
        <v>#REF!</v>
      </c>
      <c r="J2903" t="str">
        <f>VLOOKUP($G2903,DefinitionArrays!$I$6:$J$12,2,FALSE)</f>
        <v>Weekend</v>
      </c>
    </row>
    <row r="2904" spans="1:10">
      <c r="A2904" s="159" t="str">
        <f t="shared" si="227"/>
        <v>$N$1:$N$92</v>
      </c>
      <c r="B2904" s="159" t="str">
        <f t="shared" si="228"/>
        <v>$O$1:$O$92</v>
      </c>
      <c r="C2904" s="159" t="str">
        <f t="shared" si="229"/>
        <v>November!$N$1:$N$92</v>
      </c>
      <c r="D2904" s="159" t="str">
        <f t="shared" si="230"/>
        <v>November!$O$1:$O$92</v>
      </c>
      <c r="E2904" t="s">
        <v>6</v>
      </c>
      <c r="F2904" t="s">
        <v>130</v>
      </c>
      <c r="G2904" t="s">
        <v>145</v>
      </c>
      <c r="H2904" t="s">
        <v>153</v>
      </c>
      <c r="I2904" t="e">
        <f t="shared" ca="1" si="226"/>
        <v>#REF!</v>
      </c>
      <c r="J2904" t="str">
        <f>VLOOKUP($G2904,DefinitionArrays!$I$6:$J$12,2,FALSE)</f>
        <v>Weekend</v>
      </c>
    </row>
    <row r="2905" spans="1:10">
      <c r="A2905" s="159" t="str">
        <f t="shared" si="227"/>
        <v>$N$1:$N$92</v>
      </c>
      <c r="B2905" s="159" t="str">
        <f t="shared" si="228"/>
        <v>$O$1:$O$92</v>
      </c>
      <c r="C2905" s="159" t="str">
        <f t="shared" si="229"/>
        <v>November!$N$1:$N$92</v>
      </c>
      <c r="D2905" s="159" t="str">
        <f t="shared" si="230"/>
        <v>November!$O$1:$O$92</v>
      </c>
      <c r="E2905" t="s">
        <v>6</v>
      </c>
      <c r="F2905" t="s">
        <v>130</v>
      </c>
      <c r="G2905" t="s">
        <v>145</v>
      </c>
      <c r="H2905" t="s">
        <v>19</v>
      </c>
      <c r="I2905" t="e">
        <f t="shared" ca="1" si="226"/>
        <v>#REF!</v>
      </c>
      <c r="J2905" t="str">
        <f>VLOOKUP($G2905,DefinitionArrays!$I$6:$J$12,2,FALSE)</f>
        <v>Weekend</v>
      </c>
    </row>
    <row r="2906" spans="1:10">
      <c r="A2906" s="159" t="str">
        <f t="shared" si="227"/>
        <v>$N$1:$N$92</v>
      </c>
      <c r="B2906" s="159" t="str">
        <f t="shared" si="228"/>
        <v>$O$1:$O$92</v>
      </c>
      <c r="C2906" s="159" t="str">
        <f t="shared" si="229"/>
        <v>November!$N$1:$N$92</v>
      </c>
      <c r="D2906" s="159" t="str">
        <f t="shared" si="230"/>
        <v>November!$O$1:$O$92</v>
      </c>
      <c r="E2906" t="s">
        <v>6</v>
      </c>
      <c r="F2906" t="s">
        <v>130</v>
      </c>
      <c r="G2906" t="s">
        <v>145</v>
      </c>
      <c r="H2906" t="s">
        <v>20</v>
      </c>
      <c r="I2906" t="e">
        <f t="shared" ca="1" si="226"/>
        <v>#REF!</v>
      </c>
      <c r="J2906" t="str">
        <f>VLOOKUP($G2906,DefinitionArrays!$I$6:$J$12,2,FALSE)</f>
        <v>Weekend</v>
      </c>
    </row>
    <row r="2907" spans="1:10">
      <c r="A2907" s="159" t="str">
        <f t="shared" si="227"/>
        <v>$N$1:$N$92</v>
      </c>
      <c r="B2907" s="159" t="str">
        <f t="shared" si="228"/>
        <v>$O$1:$O$92</v>
      </c>
      <c r="C2907" s="159" t="str">
        <f t="shared" si="229"/>
        <v>November!$N$1:$N$92</v>
      </c>
      <c r="D2907" s="159" t="str">
        <f t="shared" si="230"/>
        <v>November!$O$1:$O$92</v>
      </c>
      <c r="E2907" t="s">
        <v>6</v>
      </c>
      <c r="F2907" t="s">
        <v>130</v>
      </c>
      <c r="G2907" t="s">
        <v>145</v>
      </c>
      <c r="H2907" t="s">
        <v>21</v>
      </c>
      <c r="I2907" t="e">
        <f t="shared" ca="1" si="226"/>
        <v>#REF!</v>
      </c>
      <c r="J2907" t="str">
        <f>VLOOKUP($G2907,DefinitionArrays!$I$6:$J$12,2,FALSE)</f>
        <v>Weekend</v>
      </c>
    </row>
    <row r="2908" spans="1:10">
      <c r="A2908" s="159" t="str">
        <f t="shared" si="227"/>
        <v>$N$1:$N$92</v>
      </c>
      <c r="B2908" s="159" t="str">
        <f t="shared" si="228"/>
        <v>$O$1:$O$92</v>
      </c>
      <c r="C2908" s="159" t="str">
        <f t="shared" si="229"/>
        <v>November!$N$1:$N$92</v>
      </c>
      <c r="D2908" s="159" t="str">
        <f t="shared" si="230"/>
        <v>November!$O$1:$O$92</v>
      </c>
      <c r="E2908" t="s">
        <v>6</v>
      </c>
      <c r="F2908" t="s">
        <v>130</v>
      </c>
      <c r="G2908" t="s">
        <v>145</v>
      </c>
      <c r="H2908" t="s">
        <v>22</v>
      </c>
      <c r="I2908" t="e">
        <f t="shared" ca="1" si="226"/>
        <v>#REF!</v>
      </c>
      <c r="J2908" t="str">
        <f>VLOOKUP($G2908,DefinitionArrays!$I$6:$J$12,2,FALSE)</f>
        <v>Weekend</v>
      </c>
    </row>
    <row r="2909" spans="1:10">
      <c r="A2909" s="159" t="str">
        <f t="shared" si="227"/>
        <v>$N$1:$N$92</v>
      </c>
      <c r="B2909" s="159" t="str">
        <f t="shared" si="228"/>
        <v>$O$1:$O$92</v>
      </c>
      <c r="C2909" s="159" t="str">
        <f t="shared" si="229"/>
        <v>November!$N$1:$N$92</v>
      </c>
      <c r="D2909" s="159" t="str">
        <f t="shared" si="230"/>
        <v>November!$O$1:$O$92</v>
      </c>
      <c r="E2909" t="s">
        <v>6</v>
      </c>
      <c r="F2909" t="s">
        <v>130</v>
      </c>
      <c r="G2909" t="s">
        <v>145</v>
      </c>
      <c r="H2909" t="s">
        <v>23</v>
      </c>
      <c r="I2909" t="e">
        <f t="shared" ca="1" si="226"/>
        <v>#REF!</v>
      </c>
      <c r="J2909" t="str">
        <f>VLOOKUP($G2909,DefinitionArrays!$I$6:$J$12,2,FALSE)</f>
        <v>Weekend</v>
      </c>
    </row>
    <row r="2910" spans="1:10">
      <c r="A2910" s="159" t="str">
        <f t="shared" si="227"/>
        <v>$N$1:$N$92</v>
      </c>
      <c r="B2910" s="159" t="str">
        <f t="shared" si="228"/>
        <v>$O$1:$O$92</v>
      </c>
      <c r="C2910" s="159" t="str">
        <f t="shared" si="229"/>
        <v>November!$N$1:$N$92</v>
      </c>
      <c r="D2910" s="159" t="str">
        <f t="shared" si="230"/>
        <v>November!$O$1:$O$92</v>
      </c>
      <c r="E2910" t="s">
        <v>6</v>
      </c>
      <c r="F2910" t="s">
        <v>130</v>
      </c>
      <c r="G2910" t="s">
        <v>145</v>
      </c>
      <c r="H2910" t="s">
        <v>24</v>
      </c>
      <c r="I2910" t="e">
        <f t="shared" ca="1" si="226"/>
        <v>#REF!</v>
      </c>
      <c r="J2910" t="str">
        <f>VLOOKUP($G2910,DefinitionArrays!$I$6:$J$12,2,FALSE)</f>
        <v>Weekend</v>
      </c>
    </row>
    <row r="2911" spans="1:10">
      <c r="A2911" s="159" t="str">
        <f t="shared" si="227"/>
        <v>$N$1:$N$92</v>
      </c>
      <c r="B2911" s="159" t="str">
        <f t="shared" si="228"/>
        <v>$O$1:$O$92</v>
      </c>
      <c r="C2911" s="159" t="str">
        <f t="shared" si="229"/>
        <v>November!$N$1:$N$92</v>
      </c>
      <c r="D2911" s="159" t="str">
        <f t="shared" si="230"/>
        <v>November!$O$1:$O$92</v>
      </c>
      <c r="E2911" t="s">
        <v>6</v>
      </c>
      <c r="F2911" t="s">
        <v>130</v>
      </c>
      <c r="G2911" t="s">
        <v>145</v>
      </c>
      <c r="H2911" t="s">
        <v>179</v>
      </c>
      <c r="I2911" t="e">
        <f t="shared" ca="1" si="226"/>
        <v>#REF!</v>
      </c>
      <c r="J2911" t="str">
        <f>VLOOKUP($G2911,DefinitionArrays!$I$6:$J$12,2,FALSE)</f>
        <v>Weekend</v>
      </c>
    </row>
    <row r="2912" spans="1:10">
      <c r="A2912" s="159" t="str">
        <f t="shared" si="227"/>
        <v>$N$1:$N$92</v>
      </c>
      <c r="B2912" s="159" t="str">
        <f t="shared" si="228"/>
        <v>$O$1:$O$92</v>
      </c>
      <c r="C2912" s="159" t="str">
        <f t="shared" si="229"/>
        <v>November!$N$1:$N$92</v>
      </c>
      <c r="D2912" s="159" t="str">
        <f t="shared" si="230"/>
        <v>November!$O$1:$O$92</v>
      </c>
      <c r="E2912" t="s">
        <v>6</v>
      </c>
      <c r="F2912" t="s">
        <v>130</v>
      </c>
      <c r="G2912" t="s">
        <v>145</v>
      </c>
      <c r="H2912" t="s">
        <v>180</v>
      </c>
      <c r="I2912" t="e">
        <f t="shared" ca="1" si="226"/>
        <v>#REF!</v>
      </c>
      <c r="J2912" t="str">
        <f>VLOOKUP($G2912,DefinitionArrays!$I$6:$J$12,2,FALSE)</f>
        <v>Weekend</v>
      </c>
    </row>
    <row r="2913" spans="1:10">
      <c r="A2913" s="159" t="str">
        <f t="shared" si="227"/>
        <v>$N$1:$N$92</v>
      </c>
      <c r="B2913" s="159" t="str">
        <f t="shared" si="228"/>
        <v>$O$1:$O$92</v>
      </c>
      <c r="C2913" s="159" t="str">
        <f t="shared" si="229"/>
        <v>November!$N$1:$N$92</v>
      </c>
      <c r="D2913" s="159" t="str">
        <f t="shared" si="230"/>
        <v>November!$O$1:$O$92</v>
      </c>
      <c r="E2913" t="s">
        <v>6</v>
      </c>
      <c r="F2913" t="s">
        <v>130</v>
      </c>
      <c r="G2913" t="s">
        <v>145</v>
      </c>
      <c r="H2913" t="s">
        <v>44</v>
      </c>
      <c r="I2913" t="e">
        <f t="shared" ca="1" si="226"/>
        <v>#REF!</v>
      </c>
      <c r="J2913" t="str">
        <f>VLOOKUP($G2913,DefinitionArrays!$I$6:$J$12,2,FALSE)</f>
        <v>Weekend</v>
      </c>
    </row>
    <row r="2914" spans="1:10">
      <c r="A2914" s="159" t="str">
        <f t="shared" si="227"/>
        <v>$Q$1:$Q$92</v>
      </c>
      <c r="B2914" s="159" t="str">
        <f t="shared" si="228"/>
        <v>$R$1:$R$92</v>
      </c>
      <c r="C2914" s="159" t="str">
        <f t="shared" si="229"/>
        <v>November!$Q$1:$Q$92</v>
      </c>
      <c r="D2914" s="159" t="str">
        <f t="shared" si="230"/>
        <v>November!$R$1:$R$92</v>
      </c>
      <c r="E2914" t="s">
        <v>6</v>
      </c>
      <c r="F2914" t="s">
        <v>130</v>
      </c>
      <c r="G2914" t="s">
        <v>146</v>
      </c>
      <c r="H2914" t="s">
        <v>159</v>
      </c>
      <c r="I2914" t="e">
        <f t="shared" ca="1" si="226"/>
        <v>#REF!</v>
      </c>
      <c r="J2914" t="str">
        <f>VLOOKUP($G2914,DefinitionArrays!$I$6:$J$12,2,FALSE)</f>
        <v>Weekend</v>
      </c>
    </row>
    <row r="2915" spans="1:10">
      <c r="A2915" s="159" t="str">
        <f t="shared" si="227"/>
        <v>$T$1:$T$92</v>
      </c>
      <c r="B2915" s="159" t="str">
        <f t="shared" si="228"/>
        <v>$U$1:$U$92</v>
      </c>
      <c r="C2915" s="159" t="str">
        <f t="shared" si="229"/>
        <v>November!$T$1:$T$92</v>
      </c>
      <c r="D2915" s="159" t="str">
        <f t="shared" si="230"/>
        <v>November!$U$1:$U$92</v>
      </c>
      <c r="E2915" t="s">
        <v>6</v>
      </c>
      <c r="F2915" t="s">
        <v>130</v>
      </c>
      <c r="G2915" t="s">
        <v>141</v>
      </c>
      <c r="H2915" t="s">
        <v>159</v>
      </c>
      <c r="I2915" t="e">
        <f t="shared" ca="1" si="226"/>
        <v>#REF!</v>
      </c>
      <c r="J2915" t="str">
        <f>VLOOKUP($G2915,DefinitionArrays!$I$6:$J$12,2,FALSE)</f>
        <v>Weekend</v>
      </c>
    </row>
    <row r="2916" spans="1:10">
      <c r="A2916" s="159" t="str">
        <f t="shared" si="227"/>
        <v>$B$1:$B$92</v>
      </c>
      <c r="B2916" s="159" t="str">
        <f t="shared" si="228"/>
        <v>$C$1:$C$92</v>
      </c>
      <c r="C2916" s="159" t="str">
        <f t="shared" si="229"/>
        <v>December!$B$1:$B$92</v>
      </c>
      <c r="D2916" s="159" t="str">
        <f t="shared" si="230"/>
        <v>December!$C$1:$C$92</v>
      </c>
      <c r="E2916" t="s">
        <v>6</v>
      </c>
      <c r="F2916" t="s">
        <v>131</v>
      </c>
      <c r="G2916" t="s">
        <v>13</v>
      </c>
      <c r="H2916" t="s">
        <v>159</v>
      </c>
      <c r="I2916" t="e">
        <f ca="1">COUNTIFS(INDIRECT($C2916),$E2916,INDIRECT($D2916),$H2916)</f>
        <v>#REF!</v>
      </c>
      <c r="J2916" t="str">
        <f>VLOOKUP($G2916,DefinitionArrays!$I$6:$J$12,2,FALSE)</f>
        <v>Workweek</v>
      </c>
    </row>
    <row r="2917" spans="1:10">
      <c r="A2917" s="159" t="str">
        <f t="shared" si="227"/>
        <v>$B$1:$B$92</v>
      </c>
      <c r="B2917" s="159" t="str">
        <f t="shared" si="228"/>
        <v>$C$1:$C$92</v>
      </c>
      <c r="C2917" s="159" t="str">
        <f t="shared" si="229"/>
        <v>December!$B$1:$B$92</v>
      </c>
      <c r="D2917" s="159" t="str">
        <f t="shared" si="230"/>
        <v>December!$C$1:$C$92</v>
      </c>
      <c r="E2917" t="s">
        <v>6</v>
      </c>
      <c r="F2917" t="s">
        <v>131</v>
      </c>
      <c r="G2917" t="s">
        <v>13</v>
      </c>
      <c r="H2917" t="s">
        <v>18</v>
      </c>
      <c r="I2917" t="e">
        <f t="shared" ref="I2917:I2977" ca="1" si="231">COUNTIFS(INDIRECT($C2917),$E2917,INDIRECT($D2917),$H2917)</f>
        <v>#REF!</v>
      </c>
      <c r="J2917" t="str">
        <f>VLOOKUP($G2917,DefinitionArrays!$I$6:$J$12,2,FALSE)</f>
        <v>Workweek</v>
      </c>
    </row>
    <row r="2918" spans="1:10">
      <c r="A2918" s="159" t="str">
        <f t="shared" si="227"/>
        <v>$B$1:$B$92</v>
      </c>
      <c r="B2918" s="159" t="str">
        <f t="shared" si="228"/>
        <v>$C$1:$C$92</v>
      </c>
      <c r="C2918" s="159" t="str">
        <f t="shared" si="229"/>
        <v>December!$B$1:$B$92</v>
      </c>
      <c r="D2918" s="159" t="str">
        <f t="shared" si="230"/>
        <v>December!$C$1:$C$92</v>
      </c>
      <c r="E2918" t="s">
        <v>6</v>
      </c>
      <c r="F2918" t="s">
        <v>131</v>
      </c>
      <c r="G2918" t="s">
        <v>13</v>
      </c>
      <c r="H2918" t="s">
        <v>153</v>
      </c>
      <c r="I2918" t="e">
        <f t="shared" ca="1" si="231"/>
        <v>#REF!</v>
      </c>
      <c r="J2918" t="str">
        <f>VLOOKUP($G2918,DefinitionArrays!$I$6:$J$12,2,FALSE)</f>
        <v>Workweek</v>
      </c>
    </row>
    <row r="2919" spans="1:10">
      <c r="A2919" s="159" t="str">
        <f t="shared" si="227"/>
        <v>$B$1:$B$92</v>
      </c>
      <c r="B2919" s="159" t="str">
        <f t="shared" si="228"/>
        <v>$C$1:$C$92</v>
      </c>
      <c r="C2919" s="159" t="str">
        <f t="shared" si="229"/>
        <v>December!$B$1:$B$92</v>
      </c>
      <c r="D2919" s="159" t="str">
        <f t="shared" si="230"/>
        <v>December!$C$1:$C$92</v>
      </c>
      <c r="E2919" t="s">
        <v>6</v>
      </c>
      <c r="F2919" t="s">
        <v>131</v>
      </c>
      <c r="G2919" t="s">
        <v>13</v>
      </c>
      <c r="H2919" t="s">
        <v>19</v>
      </c>
      <c r="I2919" t="e">
        <f t="shared" ca="1" si="231"/>
        <v>#REF!</v>
      </c>
      <c r="J2919" t="str">
        <f>VLOOKUP($G2919,DefinitionArrays!$I$6:$J$12,2,FALSE)</f>
        <v>Workweek</v>
      </c>
    </row>
    <row r="2920" spans="1:10">
      <c r="A2920" s="159" t="str">
        <f t="shared" si="227"/>
        <v>$B$1:$B$92</v>
      </c>
      <c r="B2920" s="159" t="str">
        <f t="shared" si="228"/>
        <v>$C$1:$C$92</v>
      </c>
      <c r="C2920" s="159" t="str">
        <f t="shared" si="229"/>
        <v>December!$B$1:$B$92</v>
      </c>
      <c r="D2920" s="159" t="str">
        <f t="shared" si="230"/>
        <v>December!$C$1:$C$92</v>
      </c>
      <c r="E2920" t="s">
        <v>6</v>
      </c>
      <c r="F2920" t="s">
        <v>131</v>
      </c>
      <c r="G2920" t="s">
        <v>13</v>
      </c>
      <c r="H2920" t="s">
        <v>20</v>
      </c>
      <c r="I2920" t="e">
        <f t="shared" ca="1" si="231"/>
        <v>#REF!</v>
      </c>
      <c r="J2920" t="str">
        <f>VLOOKUP($G2920,DefinitionArrays!$I$6:$J$12,2,FALSE)</f>
        <v>Workweek</v>
      </c>
    </row>
    <row r="2921" spans="1:10">
      <c r="A2921" s="159" t="str">
        <f t="shared" si="227"/>
        <v>$B$1:$B$92</v>
      </c>
      <c r="B2921" s="159" t="str">
        <f t="shared" si="228"/>
        <v>$C$1:$C$92</v>
      </c>
      <c r="C2921" s="159" t="str">
        <f t="shared" si="229"/>
        <v>December!$B$1:$B$92</v>
      </c>
      <c r="D2921" s="159" t="str">
        <f t="shared" si="230"/>
        <v>December!$C$1:$C$92</v>
      </c>
      <c r="E2921" t="s">
        <v>6</v>
      </c>
      <c r="F2921" t="s">
        <v>131</v>
      </c>
      <c r="G2921" t="s">
        <v>13</v>
      </c>
      <c r="H2921" t="s">
        <v>21</v>
      </c>
      <c r="I2921" t="e">
        <f t="shared" ca="1" si="231"/>
        <v>#REF!</v>
      </c>
      <c r="J2921" t="str">
        <f>VLOOKUP($G2921,DefinitionArrays!$I$6:$J$12,2,FALSE)</f>
        <v>Workweek</v>
      </c>
    </row>
    <row r="2922" spans="1:10">
      <c r="A2922" s="159" t="str">
        <f t="shared" si="227"/>
        <v>$B$1:$B$92</v>
      </c>
      <c r="B2922" s="159" t="str">
        <f t="shared" si="228"/>
        <v>$C$1:$C$92</v>
      </c>
      <c r="C2922" s="159" t="str">
        <f t="shared" si="229"/>
        <v>December!$B$1:$B$92</v>
      </c>
      <c r="D2922" s="159" t="str">
        <f t="shared" si="230"/>
        <v>December!$C$1:$C$92</v>
      </c>
      <c r="E2922" t="s">
        <v>6</v>
      </c>
      <c r="F2922" t="s">
        <v>131</v>
      </c>
      <c r="G2922" t="s">
        <v>13</v>
      </c>
      <c r="H2922" t="s">
        <v>22</v>
      </c>
      <c r="I2922" t="e">
        <f t="shared" ca="1" si="231"/>
        <v>#REF!</v>
      </c>
      <c r="J2922" t="str">
        <f>VLOOKUP($G2922,DefinitionArrays!$I$6:$J$12,2,FALSE)</f>
        <v>Workweek</v>
      </c>
    </row>
    <row r="2923" spans="1:10">
      <c r="A2923" s="159" t="str">
        <f t="shared" si="227"/>
        <v>$B$1:$B$92</v>
      </c>
      <c r="B2923" s="159" t="str">
        <f t="shared" si="228"/>
        <v>$C$1:$C$92</v>
      </c>
      <c r="C2923" s="159" t="str">
        <f t="shared" si="229"/>
        <v>December!$B$1:$B$92</v>
      </c>
      <c r="D2923" s="159" t="str">
        <f t="shared" si="230"/>
        <v>December!$C$1:$C$92</v>
      </c>
      <c r="E2923" t="s">
        <v>6</v>
      </c>
      <c r="F2923" t="s">
        <v>131</v>
      </c>
      <c r="G2923" t="s">
        <v>13</v>
      </c>
      <c r="H2923" t="s">
        <v>23</v>
      </c>
      <c r="I2923" t="e">
        <f t="shared" ca="1" si="231"/>
        <v>#REF!</v>
      </c>
      <c r="J2923" t="str">
        <f>VLOOKUP($G2923,DefinitionArrays!$I$6:$J$12,2,FALSE)</f>
        <v>Workweek</v>
      </c>
    </row>
    <row r="2924" spans="1:10">
      <c r="A2924" s="159" t="str">
        <f t="shared" si="227"/>
        <v>$B$1:$B$92</v>
      </c>
      <c r="B2924" s="159" t="str">
        <f t="shared" si="228"/>
        <v>$C$1:$C$92</v>
      </c>
      <c r="C2924" s="159" t="str">
        <f t="shared" si="229"/>
        <v>December!$B$1:$B$92</v>
      </c>
      <c r="D2924" s="159" t="str">
        <f t="shared" si="230"/>
        <v>December!$C$1:$C$92</v>
      </c>
      <c r="E2924" t="s">
        <v>6</v>
      </c>
      <c r="F2924" t="s">
        <v>131</v>
      </c>
      <c r="G2924" t="s">
        <v>13</v>
      </c>
      <c r="H2924" t="s">
        <v>24</v>
      </c>
      <c r="I2924" t="e">
        <f t="shared" ca="1" si="231"/>
        <v>#REF!</v>
      </c>
      <c r="J2924" t="str">
        <f>VLOOKUP($G2924,DefinitionArrays!$I$6:$J$12,2,FALSE)</f>
        <v>Workweek</v>
      </c>
    </row>
    <row r="2925" spans="1:10">
      <c r="A2925" s="159" t="str">
        <f t="shared" si="227"/>
        <v>$B$1:$B$92</v>
      </c>
      <c r="B2925" s="159" t="str">
        <f t="shared" si="228"/>
        <v>$C$1:$C$92</v>
      </c>
      <c r="C2925" s="159" t="str">
        <f t="shared" si="229"/>
        <v>December!$B$1:$B$92</v>
      </c>
      <c r="D2925" s="159" t="str">
        <f t="shared" si="230"/>
        <v>December!$C$1:$C$92</v>
      </c>
      <c r="E2925" t="s">
        <v>6</v>
      </c>
      <c r="F2925" t="s">
        <v>131</v>
      </c>
      <c r="G2925" t="s">
        <v>13</v>
      </c>
      <c r="H2925" t="s">
        <v>179</v>
      </c>
      <c r="I2925" t="e">
        <f t="shared" ca="1" si="231"/>
        <v>#REF!</v>
      </c>
      <c r="J2925" t="str">
        <f>VLOOKUP($G2925,DefinitionArrays!$I$6:$J$12,2,FALSE)</f>
        <v>Workweek</v>
      </c>
    </row>
    <row r="2926" spans="1:10">
      <c r="A2926" s="159" t="str">
        <f t="shared" si="227"/>
        <v>$B$1:$B$92</v>
      </c>
      <c r="B2926" s="159" t="str">
        <f t="shared" si="228"/>
        <v>$C$1:$C$92</v>
      </c>
      <c r="C2926" s="159" t="str">
        <f t="shared" si="229"/>
        <v>December!$B$1:$B$92</v>
      </c>
      <c r="D2926" s="159" t="str">
        <f t="shared" si="230"/>
        <v>December!$C$1:$C$92</v>
      </c>
      <c r="E2926" t="s">
        <v>6</v>
      </c>
      <c r="F2926" t="s">
        <v>131</v>
      </c>
      <c r="G2926" t="s">
        <v>13</v>
      </c>
      <c r="H2926" t="s">
        <v>180</v>
      </c>
      <c r="I2926" t="e">
        <f t="shared" ca="1" si="231"/>
        <v>#REF!</v>
      </c>
      <c r="J2926" t="str">
        <f>VLOOKUP($G2926,DefinitionArrays!$I$6:$J$12,2,FALSE)</f>
        <v>Workweek</v>
      </c>
    </row>
    <row r="2927" spans="1:10">
      <c r="A2927" s="159" t="str">
        <f t="shared" si="227"/>
        <v>$B$1:$B$92</v>
      </c>
      <c r="B2927" s="159" t="str">
        <f t="shared" si="228"/>
        <v>$C$1:$C$92</v>
      </c>
      <c r="C2927" s="159" t="str">
        <f t="shared" si="229"/>
        <v>December!$B$1:$B$92</v>
      </c>
      <c r="D2927" s="159" t="str">
        <f t="shared" si="230"/>
        <v>December!$C$1:$C$92</v>
      </c>
      <c r="E2927" t="s">
        <v>6</v>
      </c>
      <c r="F2927" t="s">
        <v>131</v>
      </c>
      <c r="G2927" t="s">
        <v>13</v>
      </c>
      <c r="H2927" t="s">
        <v>44</v>
      </c>
      <c r="I2927" t="e">
        <f t="shared" ca="1" si="231"/>
        <v>#REF!</v>
      </c>
      <c r="J2927" t="str">
        <f>VLOOKUP($G2927,DefinitionArrays!$I$6:$J$12,2,FALSE)</f>
        <v>Workweek</v>
      </c>
    </row>
    <row r="2928" spans="1:10">
      <c r="A2928" s="159" t="str">
        <f t="shared" si="227"/>
        <v>$E$1:$E$92</v>
      </c>
      <c r="B2928" s="159" t="str">
        <f t="shared" si="228"/>
        <v>$F$1:$F$92</v>
      </c>
      <c r="C2928" s="159" t="str">
        <f t="shared" si="229"/>
        <v>December!$E$1:$E$92</v>
      </c>
      <c r="D2928" s="159" t="str">
        <f t="shared" si="230"/>
        <v>December!$F$1:$F$92</v>
      </c>
      <c r="E2928" t="s">
        <v>6</v>
      </c>
      <c r="F2928" t="s">
        <v>131</v>
      </c>
      <c r="G2928" t="s">
        <v>142</v>
      </c>
      <c r="H2928" t="s">
        <v>159</v>
      </c>
      <c r="I2928" t="e">
        <f t="shared" ca="1" si="231"/>
        <v>#REF!</v>
      </c>
      <c r="J2928" t="str">
        <f>VLOOKUP($G2928,DefinitionArrays!$I$6:$J$12,2,FALSE)</f>
        <v>Workweek</v>
      </c>
    </row>
    <row r="2929" spans="1:10">
      <c r="A2929" s="159" t="str">
        <f t="shared" si="227"/>
        <v>$E$1:$E$92</v>
      </c>
      <c r="B2929" s="159" t="str">
        <f t="shared" si="228"/>
        <v>$F$1:$F$92</v>
      </c>
      <c r="C2929" s="159" t="str">
        <f t="shared" si="229"/>
        <v>December!$E$1:$E$92</v>
      </c>
      <c r="D2929" s="159" t="str">
        <f t="shared" si="230"/>
        <v>December!$F$1:$F$92</v>
      </c>
      <c r="E2929" t="s">
        <v>6</v>
      </c>
      <c r="F2929" t="s">
        <v>131</v>
      </c>
      <c r="G2929" t="s">
        <v>142</v>
      </c>
      <c r="H2929" t="s">
        <v>18</v>
      </c>
      <c r="I2929" t="e">
        <f t="shared" ca="1" si="231"/>
        <v>#REF!</v>
      </c>
      <c r="J2929" t="str">
        <f>VLOOKUP($G2929,DefinitionArrays!$I$6:$J$12,2,FALSE)</f>
        <v>Workweek</v>
      </c>
    </row>
    <row r="2930" spans="1:10">
      <c r="A2930" s="159" t="str">
        <f t="shared" si="227"/>
        <v>$E$1:$E$92</v>
      </c>
      <c r="B2930" s="159" t="str">
        <f t="shared" si="228"/>
        <v>$F$1:$F$92</v>
      </c>
      <c r="C2930" s="159" t="str">
        <f t="shared" si="229"/>
        <v>December!$E$1:$E$92</v>
      </c>
      <c r="D2930" s="159" t="str">
        <f t="shared" si="230"/>
        <v>December!$F$1:$F$92</v>
      </c>
      <c r="E2930" t="s">
        <v>6</v>
      </c>
      <c r="F2930" t="s">
        <v>131</v>
      </c>
      <c r="G2930" t="s">
        <v>142</v>
      </c>
      <c r="H2930" t="s">
        <v>153</v>
      </c>
      <c r="I2930" t="e">
        <f t="shared" ca="1" si="231"/>
        <v>#REF!</v>
      </c>
      <c r="J2930" t="str">
        <f>VLOOKUP($G2930,DefinitionArrays!$I$6:$J$12,2,FALSE)</f>
        <v>Workweek</v>
      </c>
    </row>
    <row r="2931" spans="1:10">
      <c r="A2931" s="159" t="str">
        <f t="shared" si="227"/>
        <v>$E$1:$E$92</v>
      </c>
      <c r="B2931" s="159" t="str">
        <f t="shared" si="228"/>
        <v>$F$1:$F$92</v>
      </c>
      <c r="C2931" s="159" t="str">
        <f t="shared" si="229"/>
        <v>December!$E$1:$E$92</v>
      </c>
      <c r="D2931" s="159" t="str">
        <f t="shared" si="230"/>
        <v>December!$F$1:$F$92</v>
      </c>
      <c r="E2931" t="s">
        <v>6</v>
      </c>
      <c r="F2931" t="s">
        <v>131</v>
      </c>
      <c r="G2931" t="s">
        <v>142</v>
      </c>
      <c r="H2931" t="s">
        <v>19</v>
      </c>
      <c r="I2931" t="e">
        <f t="shared" ca="1" si="231"/>
        <v>#REF!</v>
      </c>
      <c r="J2931" t="str">
        <f>VLOOKUP($G2931,DefinitionArrays!$I$6:$J$12,2,FALSE)</f>
        <v>Workweek</v>
      </c>
    </row>
    <row r="2932" spans="1:10">
      <c r="A2932" s="159" t="str">
        <f t="shared" si="227"/>
        <v>$E$1:$E$92</v>
      </c>
      <c r="B2932" s="159" t="str">
        <f t="shared" si="228"/>
        <v>$F$1:$F$92</v>
      </c>
      <c r="C2932" s="159" t="str">
        <f t="shared" si="229"/>
        <v>December!$E$1:$E$92</v>
      </c>
      <c r="D2932" s="159" t="str">
        <f t="shared" si="230"/>
        <v>December!$F$1:$F$92</v>
      </c>
      <c r="E2932" t="s">
        <v>6</v>
      </c>
      <c r="F2932" t="s">
        <v>131</v>
      </c>
      <c r="G2932" t="s">
        <v>142</v>
      </c>
      <c r="H2932" t="s">
        <v>20</v>
      </c>
      <c r="I2932" t="e">
        <f t="shared" ca="1" si="231"/>
        <v>#REF!</v>
      </c>
      <c r="J2932" t="str">
        <f>VLOOKUP($G2932,DefinitionArrays!$I$6:$J$12,2,FALSE)</f>
        <v>Workweek</v>
      </c>
    </row>
    <row r="2933" spans="1:10">
      <c r="A2933" s="159" t="str">
        <f t="shared" si="227"/>
        <v>$E$1:$E$92</v>
      </c>
      <c r="B2933" s="159" t="str">
        <f t="shared" si="228"/>
        <v>$F$1:$F$92</v>
      </c>
      <c r="C2933" s="159" t="str">
        <f t="shared" si="229"/>
        <v>December!$E$1:$E$92</v>
      </c>
      <c r="D2933" s="159" t="str">
        <f t="shared" si="230"/>
        <v>December!$F$1:$F$92</v>
      </c>
      <c r="E2933" t="s">
        <v>6</v>
      </c>
      <c r="F2933" t="s">
        <v>131</v>
      </c>
      <c r="G2933" t="s">
        <v>142</v>
      </c>
      <c r="H2933" t="s">
        <v>21</v>
      </c>
      <c r="I2933" t="e">
        <f t="shared" ca="1" si="231"/>
        <v>#REF!</v>
      </c>
      <c r="J2933" t="str">
        <f>VLOOKUP($G2933,DefinitionArrays!$I$6:$J$12,2,FALSE)</f>
        <v>Workweek</v>
      </c>
    </row>
    <row r="2934" spans="1:10">
      <c r="A2934" s="159" t="str">
        <f t="shared" si="227"/>
        <v>$E$1:$E$92</v>
      </c>
      <c r="B2934" s="159" t="str">
        <f t="shared" si="228"/>
        <v>$F$1:$F$92</v>
      </c>
      <c r="C2934" s="159" t="str">
        <f t="shared" si="229"/>
        <v>December!$E$1:$E$92</v>
      </c>
      <c r="D2934" s="159" t="str">
        <f t="shared" si="230"/>
        <v>December!$F$1:$F$92</v>
      </c>
      <c r="E2934" t="s">
        <v>6</v>
      </c>
      <c r="F2934" t="s">
        <v>131</v>
      </c>
      <c r="G2934" t="s">
        <v>142</v>
      </c>
      <c r="H2934" t="s">
        <v>22</v>
      </c>
      <c r="I2934" t="e">
        <f t="shared" ca="1" si="231"/>
        <v>#REF!</v>
      </c>
      <c r="J2934" t="str">
        <f>VLOOKUP($G2934,DefinitionArrays!$I$6:$J$12,2,FALSE)</f>
        <v>Workweek</v>
      </c>
    </row>
    <row r="2935" spans="1:10">
      <c r="A2935" s="159" t="str">
        <f t="shared" si="227"/>
        <v>$E$1:$E$92</v>
      </c>
      <c r="B2935" s="159" t="str">
        <f t="shared" si="228"/>
        <v>$F$1:$F$92</v>
      </c>
      <c r="C2935" s="159" t="str">
        <f t="shared" si="229"/>
        <v>December!$E$1:$E$92</v>
      </c>
      <c r="D2935" s="159" t="str">
        <f t="shared" si="230"/>
        <v>December!$F$1:$F$92</v>
      </c>
      <c r="E2935" t="s">
        <v>6</v>
      </c>
      <c r="F2935" t="s">
        <v>131</v>
      </c>
      <c r="G2935" t="s">
        <v>142</v>
      </c>
      <c r="H2935" t="s">
        <v>23</v>
      </c>
      <c r="I2935" t="e">
        <f t="shared" ca="1" si="231"/>
        <v>#REF!</v>
      </c>
      <c r="J2935" t="str">
        <f>VLOOKUP($G2935,DefinitionArrays!$I$6:$J$12,2,FALSE)</f>
        <v>Workweek</v>
      </c>
    </row>
    <row r="2936" spans="1:10">
      <c r="A2936" s="159" t="str">
        <f t="shared" si="227"/>
        <v>$E$1:$E$92</v>
      </c>
      <c r="B2936" s="159" t="str">
        <f t="shared" si="228"/>
        <v>$F$1:$F$92</v>
      </c>
      <c r="C2936" s="159" t="str">
        <f t="shared" si="229"/>
        <v>December!$E$1:$E$92</v>
      </c>
      <c r="D2936" s="159" t="str">
        <f t="shared" si="230"/>
        <v>December!$F$1:$F$92</v>
      </c>
      <c r="E2936" t="s">
        <v>6</v>
      </c>
      <c r="F2936" t="s">
        <v>131</v>
      </c>
      <c r="G2936" t="s">
        <v>142</v>
      </c>
      <c r="H2936" t="s">
        <v>24</v>
      </c>
      <c r="I2936" t="e">
        <f t="shared" ca="1" si="231"/>
        <v>#REF!</v>
      </c>
      <c r="J2936" t="str">
        <f>VLOOKUP($G2936,DefinitionArrays!$I$6:$J$12,2,FALSE)</f>
        <v>Workweek</v>
      </c>
    </row>
    <row r="2937" spans="1:10">
      <c r="A2937" s="159" t="str">
        <f t="shared" si="227"/>
        <v>$E$1:$E$92</v>
      </c>
      <c r="B2937" s="159" t="str">
        <f t="shared" si="228"/>
        <v>$F$1:$F$92</v>
      </c>
      <c r="C2937" s="159" t="str">
        <f t="shared" si="229"/>
        <v>December!$E$1:$E$92</v>
      </c>
      <c r="D2937" s="159" t="str">
        <f t="shared" si="230"/>
        <v>December!$F$1:$F$92</v>
      </c>
      <c r="E2937" t="s">
        <v>6</v>
      </c>
      <c r="F2937" t="s">
        <v>131</v>
      </c>
      <c r="G2937" t="s">
        <v>142</v>
      </c>
      <c r="H2937" t="s">
        <v>179</v>
      </c>
      <c r="I2937" t="e">
        <f t="shared" ca="1" si="231"/>
        <v>#REF!</v>
      </c>
      <c r="J2937" t="str">
        <f>VLOOKUP($G2937,DefinitionArrays!$I$6:$J$12,2,FALSE)</f>
        <v>Workweek</v>
      </c>
    </row>
    <row r="2938" spans="1:10">
      <c r="A2938" s="159" t="str">
        <f t="shared" si="227"/>
        <v>$E$1:$E$92</v>
      </c>
      <c r="B2938" s="159" t="str">
        <f t="shared" si="228"/>
        <v>$F$1:$F$92</v>
      </c>
      <c r="C2938" s="159" t="str">
        <f t="shared" si="229"/>
        <v>December!$E$1:$E$92</v>
      </c>
      <c r="D2938" s="159" t="str">
        <f t="shared" si="230"/>
        <v>December!$F$1:$F$92</v>
      </c>
      <c r="E2938" t="s">
        <v>6</v>
      </c>
      <c r="F2938" t="s">
        <v>131</v>
      </c>
      <c r="G2938" t="s">
        <v>142</v>
      </c>
      <c r="H2938" t="s">
        <v>180</v>
      </c>
      <c r="I2938" t="e">
        <f t="shared" ca="1" si="231"/>
        <v>#REF!</v>
      </c>
      <c r="J2938" t="str">
        <f>VLOOKUP($G2938,DefinitionArrays!$I$6:$J$12,2,FALSE)</f>
        <v>Workweek</v>
      </c>
    </row>
    <row r="2939" spans="1:10">
      <c r="A2939" s="159" t="str">
        <f t="shared" si="227"/>
        <v>$E$1:$E$92</v>
      </c>
      <c r="B2939" s="159" t="str">
        <f t="shared" si="228"/>
        <v>$F$1:$F$92</v>
      </c>
      <c r="C2939" s="159" t="str">
        <f t="shared" si="229"/>
        <v>December!$E$1:$E$92</v>
      </c>
      <c r="D2939" s="159" t="str">
        <f t="shared" si="230"/>
        <v>December!$F$1:$F$92</v>
      </c>
      <c r="E2939" t="s">
        <v>6</v>
      </c>
      <c r="F2939" t="s">
        <v>131</v>
      </c>
      <c r="G2939" t="s">
        <v>142</v>
      </c>
      <c r="H2939" t="s">
        <v>44</v>
      </c>
      <c r="I2939" t="e">
        <f t="shared" ca="1" si="231"/>
        <v>#REF!</v>
      </c>
      <c r="J2939" t="str">
        <f>VLOOKUP($G2939,DefinitionArrays!$I$6:$J$12,2,FALSE)</f>
        <v>Workweek</v>
      </c>
    </row>
    <row r="2940" spans="1:10">
      <c r="A2940" s="159" t="str">
        <f t="shared" si="227"/>
        <v>$H$1:$H$92</v>
      </c>
      <c r="B2940" s="159" t="str">
        <f t="shared" si="228"/>
        <v>$I$1:$I$92</v>
      </c>
      <c r="C2940" s="159" t="str">
        <f t="shared" si="229"/>
        <v>December!$H$1:$H$92</v>
      </c>
      <c r="D2940" s="159" t="str">
        <f t="shared" si="230"/>
        <v>December!$I$1:$I$92</v>
      </c>
      <c r="E2940" t="s">
        <v>6</v>
      </c>
      <c r="F2940" t="s">
        <v>131</v>
      </c>
      <c r="G2940" t="s">
        <v>143</v>
      </c>
      <c r="H2940" t="s">
        <v>159</v>
      </c>
      <c r="I2940" t="e">
        <f t="shared" ca="1" si="231"/>
        <v>#REF!</v>
      </c>
      <c r="J2940" t="str">
        <f>VLOOKUP($G2940,DefinitionArrays!$I$6:$J$12,2,FALSE)</f>
        <v>Workweek</v>
      </c>
    </row>
    <row r="2941" spans="1:10">
      <c r="A2941" s="159" t="str">
        <f t="shared" si="227"/>
        <v>$H$1:$H$92</v>
      </c>
      <c r="B2941" s="159" t="str">
        <f t="shared" si="228"/>
        <v>$I$1:$I$92</v>
      </c>
      <c r="C2941" s="159" t="str">
        <f t="shared" si="229"/>
        <v>December!$H$1:$H$92</v>
      </c>
      <c r="D2941" s="159" t="str">
        <f t="shared" si="230"/>
        <v>December!$I$1:$I$92</v>
      </c>
      <c r="E2941" t="s">
        <v>6</v>
      </c>
      <c r="F2941" t="s">
        <v>131</v>
      </c>
      <c r="G2941" t="s">
        <v>143</v>
      </c>
      <c r="H2941" t="s">
        <v>18</v>
      </c>
      <c r="I2941" t="e">
        <f t="shared" ca="1" si="231"/>
        <v>#REF!</v>
      </c>
      <c r="J2941" t="str">
        <f>VLOOKUP($G2941,DefinitionArrays!$I$6:$J$12,2,FALSE)</f>
        <v>Workweek</v>
      </c>
    </row>
    <row r="2942" spans="1:10">
      <c r="A2942" s="159" t="str">
        <f t="shared" si="227"/>
        <v>$H$1:$H$92</v>
      </c>
      <c r="B2942" s="159" t="str">
        <f t="shared" si="228"/>
        <v>$I$1:$I$92</v>
      </c>
      <c r="C2942" s="159" t="str">
        <f t="shared" si="229"/>
        <v>December!$H$1:$H$92</v>
      </c>
      <c r="D2942" s="159" t="str">
        <f t="shared" si="230"/>
        <v>December!$I$1:$I$92</v>
      </c>
      <c r="E2942" t="s">
        <v>6</v>
      </c>
      <c r="F2942" t="s">
        <v>131</v>
      </c>
      <c r="G2942" t="s">
        <v>143</v>
      </c>
      <c r="H2942" t="s">
        <v>153</v>
      </c>
      <c r="I2942" t="e">
        <f t="shared" ca="1" si="231"/>
        <v>#REF!</v>
      </c>
      <c r="J2942" t="str">
        <f>VLOOKUP($G2942,DefinitionArrays!$I$6:$J$12,2,FALSE)</f>
        <v>Workweek</v>
      </c>
    </row>
    <row r="2943" spans="1:10">
      <c r="A2943" s="159" t="str">
        <f t="shared" si="227"/>
        <v>$H$1:$H$92</v>
      </c>
      <c r="B2943" s="159" t="str">
        <f t="shared" si="228"/>
        <v>$I$1:$I$92</v>
      </c>
      <c r="C2943" s="159" t="str">
        <f t="shared" si="229"/>
        <v>December!$H$1:$H$92</v>
      </c>
      <c r="D2943" s="159" t="str">
        <f t="shared" si="230"/>
        <v>December!$I$1:$I$92</v>
      </c>
      <c r="E2943" t="s">
        <v>6</v>
      </c>
      <c r="F2943" t="s">
        <v>131</v>
      </c>
      <c r="G2943" t="s">
        <v>143</v>
      </c>
      <c r="H2943" t="s">
        <v>19</v>
      </c>
      <c r="I2943" t="e">
        <f t="shared" ca="1" si="231"/>
        <v>#REF!</v>
      </c>
      <c r="J2943" t="str">
        <f>VLOOKUP($G2943,DefinitionArrays!$I$6:$J$12,2,FALSE)</f>
        <v>Workweek</v>
      </c>
    </row>
    <row r="2944" spans="1:10">
      <c r="A2944" s="159" t="str">
        <f t="shared" si="227"/>
        <v>$H$1:$H$92</v>
      </c>
      <c r="B2944" s="159" t="str">
        <f t="shared" si="228"/>
        <v>$I$1:$I$92</v>
      </c>
      <c r="C2944" s="159" t="str">
        <f t="shared" si="229"/>
        <v>December!$H$1:$H$92</v>
      </c>
      <c r="D2944" s="159" t="str">
        <f t="shared" si="230"/>
        <v>December!$I$1:$I$92</v>
      </c>
      <c r="E2944" t="s">
        <v>6</v>
      </c>
      <c r="F2944" t="s">
        <v>131</v>
      </c>
      <c r="G2944" t="s">
        <v>143</v>
      </c>
      <c r="H2944" t="s">
        <v>20</v>
      </c>
      <c r="I2944" t="e">
        <f t="shared" ca="1" si="231"/>
        <v>#REF!</v>
      </c>
      <c r="J2944" t="str">
        <f>VLOOKUP($G2944,DefinitionArrays!$I$6:$J$12,2,FALSE)</f>
        <v>Workweek</v>
      </c>
    </row>
    <row r="2945" spans="1:10">
      <c r="A2945" s="159" t="str">
        <f t="shared" si="227"/>
        <v>$H$1:$H$92</v>
      </c>
      <c r="B2945" s="159" t="str">
        <f t="shared" si="228"/>
        <v>$I$1:$I$92</v>
      </c>
      <c r="C2945" s="159" t="str">
        <f t="shared" si="229"/>
        <v>December!$H$1:$H$92</v>
      </c>
      <c r="D2945" s="159" t="str">
        <f t="shared" si="230"/>
        <v>December!$I$1:$I$92</v>
      </c>
      <c r="E2945" t="s">
        <v>6</v>
      </c>
      <c r="F2945" t="s">
        <v>131</v>
      </c>
      <c r="G2945" t="s">
        <v>143</v>
      </c>
      <c r="H2945" t="s">
        <v>21</v>
      </c>
      <c r="I2945" t="e">
        <f t="shared" ca="1" si="231"/>
        <v>#REF!</v>
      </c>
      <c r="J2945" t="str">
        <f>VLOOKUP($G2945,DefinitionArrays!$I$6:$J$12,2,FALSE)</f>
        <v>Workweek</v>
      </c>
    </row>
    <row r="2946" spans="1:10">
      <c r="A2946" s="159" t="str">
        <f t="shared" ref="A2946:A3009" si="232">VLOOKUP($G2946,Fx_Code,2,FALSE)</f>
        <v>$H$1:$H$92</v>
      </c>
      <c r="B2946" s="159" t="str">
        <f t="shared" ref="B2946:B3009" si="233">VLOOKUP($G2946,Fx_Code,3,FALSE)</f>
        <v>$I$1:$I$92</v>
      </c>
      <c r="C2946" s="159" t="str">
        <f t="shared" ref="C2946:C3009" si="234">CONCATENATE($F2946,$K$1,A2946)</f>
        <v>December!$H$1:$H$92</v>
      </c>
      <c r="D2946" s="159" t="str">
        <f t="shared" ref="D2946:D3009" si="235">CONCATENATE($F2946,$K$1,B2946)</f>
        <v>December!$I$1:$I$92</v>
      </c>
      <c r="E2946" t="s">
        <v>6</v>
      </c>
      <c r="F2946" t="s">
        <v>131</v>
      </c>
      <c r="G2946" t="s">
        <v>143</v>
      </c>
      <c r="H2946" t="s">
        <v>22</v>
      </c>
      <c r="I2946" t="e">
        <f t="shared" ca="1" si="231"/>
        <v>#REF!</v>
      </c>
      <c r="J2946" t="str">
        <f>VLOOKUP($G2946,DefinitionArrays!$I$6:$J$12,2,FALSE)</f>
        <v>Workweek</v>
      </c>
    </row>
    <row r="2947" spans="1:10">
      <c r="A2947" s="159" t="str">
        <f t="shared" si="232"/>
        <v>$H$1:$H$92</v>
      </c>
      <c r="B2947" s="159" t="str">
        <f t="shared" si="233"/>
        <v>$I$1:$I$92</v>
      </c>
      <c r="C2947" s="159" t="str">
        <f t="shared" si="234"/>
        <v>December!$H$1:$H$92</v>
      </c>
      <c r="D2947" s="159" t="str">
        <f t="shared" si="235"/>
        <v>December!$I$1:$I$92</v>
      </c>
      <c r="E2947" t="s">
        <v>6</v>
      </c>
      <c r="F2947" t="s">
        <v>131</v>
      </c>
      <c r="G2947" t="s">
        <v>143</v>
      </c>
      <c r="H2947" t="s">
        <v>23</v>
      </c>
      <c r="I2947" t="e">
        <f t="shared" ca="1" si="231"/>
        <v>#REF!</v>
      </c>
      <c r="J2947" t="str">
        <f>VLOOKUP($G2947,DefinitionArrays!$I$6:$J$12,2,FALSE)</f>
        <v>Workweek</v>
      </c>
    </row>
    <row r="2948" spans="1:10">
      <c r="A2948" s="159" t="str">
        <f t="shared" si="232"/>
        <v>$H$1:$H$92</v>
      </c>
      <c r="B2948" s="159" t="str">
        <f t="shared" si="233"/>
        <v>$I$1:$I$92</v>
      </c>
      <c r="C2948" s="159" t="str">
        <f t="shared" si="234"/>
        <v>December!$H$1:$H$92</v>
      </c>
      <c r="D2948" s="159" t="str">
        <f t="shared" si="235"/>
        <v>December!$I$1:$I$92</v>
      </c>
      <c r="E2948" t="s">
        <v>6</v>
      </c>
      <c r="F2948" t="s">
        <v>131</v>
      </c>
      <c r="G2948" t="s">
        <v>143</v>
      </c>
      <c r="H2948" t="s">
        <v>24</v>
      </c>
      <c r="I2948" t="e">
        <f t="shared" ca="1" si="231"/>
        <v>#REF!</v>
      </c>
      <c r="J2948" t="str">
        <f>VLOOKUP($G2948,DefinitionArrays!$I$6:$J$12,2,FALSE)</f>
        <v>Workweek</v>
      </c>
    </row>
    <row r="2949" spans="1:10">
      <c r="A2949" s="159" t="str">
        <f t="shared" si="232"/>
        <v>$H$1:$H$92</v>
      </c>
      <c r="B2949" s="159" t="str">
        <f t="shared" si="233"/>
        <v>$I$1:$I$92</v>
      </c>
      <c r="C2949" s="159" t="str">
        <f t="shared" si="234"/>
        <v>December!$H$1:$H$92</v>
      </c>
      <c r="D2949" s="159" t="str">
        <f t="shared" si="235"/>
        <v>December!$I$1:$I$92</v>
      </c>
      <c r="E2949" t="s">
        <v>6</v>
      </c>
      <c r="F2949" t="s">
        <v>131</v>
      </c>
      <c r="G2949" t="s">
        <v>143</v>
      </c>
      <c r="H2949" t="s">
        <v>179</v>
      </c>
      <c r="I2949" t="e">
        <f t="shared" ca="1" si="231"/>
        <v>#REF!</v>
      </c>
      <c r="J2949" t="str">
        <f>VLOOKUP($G2949,DefinitionArrays!$I$6:$J$12,2,FALSE)</f>
        <v>Workweek</v>
      </c>
    </row>
    <row r="2950" spans="1:10">
      <c r="A2950" s="159" t="str">
        <f t="shared" si="232"/>
        <v>$H$1:$H$92</v>
      </c>
      <c r="B2950" s="159" t="str">
        <f t="shared" si="233"/>
        <v>$I$1:$I$92</v>
      </c>
      <c r="C2950" s="159" t="str">
        <f t="shared" si="234"/>
        <v>December!$H$1:$H$92</v>
      </c>
      <c r="D2950" s="159" t="str">
        <f t="shared" si="235"/>
        <v>December!$I$1:$I$92</v>
      </c>
      <c r="E2950" t="s">
        <v>6</v>
      </c>
      <c r="F2950" t="s">
        <v>131</v>
      </c>
      <c r="G2950" t="s">
        <v>143</v>
      </c>
      <c r="H2950" t="s">
        <v>180</v>
      </c>
      <c r="I2950" t="e">
        <f t="shared" ca="1" si="231"/>
        <v>#REF!</v>
      </c>
      <c r="J2950" t="str">
        <f>VLOOKUP($G2950,DefinitionArrays!$I$6:$J$12,2,FALSE)</f>
        <v>Workweek</v>
      </c>
    </row>
    <row r="2951" spans="1:10">
      <c r="A2951" s="159" t="str">
        <f t="shared" si="232"/>
        <v>$H$1:$H$92</v>
      </c>
      <c r="B2951" s="159" t="str">
        <f t="shared" si="233"/>
        <v>$I$1:$I$92</v>
      </c>
      <c r="C2951" s="159" t="str">
        <f t="shared" si="234"/>
        <v>December!$H$1:$H$92</v>
      </c>
      <c r="D2951" s="159" t="str">
        <f t="shared" si="235"/>
        <v>December!$I$1:$I$92</v>
      </c>
      <c r="E2951" t="s">
        <v>6</v>
      </c>
      <c r="F2951" t="s">
        <v>131</v>
      </c>
      <c r="G2951" t="s">
        <v>143</v>
      </c>
      <c r="H2951" t="s">
        <v>44</v>
      </c>
      <c r="I2951" t="e">
        <f t="shared" ca="1" si="231"/>
        <v>#REF!</v>
      </c>
      <c r="J2951" t="str">
        <f>VLOOKUP($G2951,DefinitionArrays!$I$6:$J$12,2,FALSE)</f>
        <v>Workweek</v>
      </c>
    </row>
    <row r="2952" spans="1:10">
      <c r="A2952" s="159" t="str">
        <f t="shared" si="232"/>
        <v>$K$1:$K$92</v>
      </c>
      <c r="B2952" s="159" t="str">
        <f t="shared" si="233"/>
        <v>$L$1:$L$92</v>
      </c>
      <c r="C2952" s="159" t="str">
        <f t="shared" si="234"/>
        <v>December!$K$1:$K$92</v>
      </c>
      <c r="D2952" s="159" t="str">
        <f t="shared" si="235"/>
        <v>December!$L$1:$L$92</v>
      </c>
      <c r="E2952" t="s">
        <v>6</v>
      </c>
      <c r="F2952" t="s">
        <v>131</v>
      </c>
      <c r="G2952" t="s">
        <v>144</v>
      </c>
      <c r="H2952" t="s">
        <v>159</v>
      </c>
      <c r="I2952" t="e">
        <f t="shared" ca="1" si="231"/>
        <v>#REF!</v>
      </c>
      <c r="J2952" t="str">
        <f>VLOOKUP($G2952,DefinitionArrays!$I$6:$J$12,2,FALSE)</f>
        <v>Workweek</v>
      </c>
    </row>
    <row r="2953" spans="1:10">
      <c r="A2953" s="159" t="str">
        <f t="shared" si="232"/>
        <v>$K$1:$K$92</v>
      </c>
      <c r="B2953" s="159" t="str">
        <f t="shared" si="233"/>
        <v>$L$1:$L$92</v>
      </c>
      <c r="C2953" s="159" t="str">
        <f t="shared" si="234"/>
        <v>December!$K$1:$K$92</v>
      </c>
      <c r="D2953" s="159" t="str">
        <f t="shared" si="235"/>
        <v>December!$L$1:$L$92</v>
      </c>
      <c r="E2953" t="s">
        <v>6</v>
      </c>
      <c r="F2953" t="s">
        <v>131</v>
      </c>
      <c r="G2953" t="s">
        <v>144</v>
      </c>
      <c r="H2953" t="s">
        <v>18</v>
      </c>
      <c r="I2953" t="e">
        <f t="shared" ca="1" si="231"/>
        <v>#REF!</v>
      </c>
      <c r="J2953" t="str">
        <f>VLOOKUP($G2953,DefinitionArrays!$I$6:$J$12,2,FALSE)</f>
        <v>Workweek</v>
      </c>
    </row>
    <row r="2954" spans="1:10">
      <c r="A2954" s="159" t="str">
        <f t="shared" si="232"/>
        <v>$K$1:$K$92</v>
      </c>
      <c r="B2954" s="159" t="str">
        <f t="shared" si="233"/>
        <v>$L$1:$L$92</v>
      </c>
      <c r="C2954" s="159" t="str">
        <f t="shared" si="234"/>
        <v>December!$K$1:$K$92</v>
      </c>
      <c r="D2954" s="159" t="str">
        <f t="shared" si="235"/>
        <v>December!$L$1:$L$92</v>
      </c>
      <c r="E2954" t="s">
        <v>6</v>
      </c>
      <c r="F2954" t="s">
        <v>131</v>
      </c>
      <c r="G2954" t="s">
        <v>144</v>
      </c>
      <c r="H2954" t="s">
        <v>153</v>
      </c>
      <c r="I2954" t="e">
        <f t="shared" ca="1" si="231"/>
        <v>#REF!</v>
      </c>
      <c r="J2954" t="str">
        <f>VLOOKUP($G2954,DefinitionArrays!$I$6:$J$12,2,FALSE)</f>
        <v>Workweek</v>
      </c>
    </row>
    <row r="2955" spans="1:10">
      <c r="A2955" s="159" t="str">
        <f t="shared" si="232"/>
        <v>$K$1:$K$92</v>
      </c>
      <c r="B2955" s="159" t="str">
        <f t="shared" si="233"/>
        <v>$L$1:$L$92</v>
      </c>
      <c r="C2955" s="159" t="str">
        <f t="shared" si="234"/>
        <v>December!$K$1:$K$92</v>
      </c>
      <c r="D2955" s="159" t="str">
        <f t="shared" si="235"/>
        <v>December!$L$1:$L$92</v>
      </c>
      <c r="E2955" t="s">
        <v>6</v>
      </c>
      <c r="F2955" t="s">
        <v>131</v>
      </c>
      <c r="G2955" t="s">
        <v>144</v>
      </c>
      <c r="H2955" t="s">
        <v>19</v>
      </c>
      <c r="I2955" t="e">
        <f t="shared" ca="1" si="231"/>
        <v>#REF!</v>
      </c>
      <c r="J2955" t="str">
        <f>VLOOKUP($G2955,DefinitionArrays!$I$6:$J$12,2,FALSE)</f>
        <v>Workweek</v>
      </c>
    </row>
    <row r="2956" spans="1:10">
      <c r="A2956" s="159" t="str">
        <f t="shared" si="232"/>
        <v>$K$1:$K$92</v>
      </c>
      <c r="B2956" s="159" t="str">
        <f t="shared" si="233"/>
        <v>$L$1:$L$92</v>
      </c>
      <c r="C2956" s="159" t="str">
        <f t="shared" si="234"/>
        <v>December!$K$1:$K$92</v>
      </c>
      <c r="D2956" s="159" t="str">
        <f t="shared" si="235"/>
        <v>December!$L$1:$L$92</v>
      </c>
      <c r="E2956" t="s">
        <v>6</v>
      </c>
      <c r="F2956" t="s">
        <v>131</v>
      </c>
      <c r="G2956" t="s">
        <v>144</v>
      </c>
      <c r="H2956" t="s">
        <v>20</v>
      </c>
      <c r="I2956" t="e">
        <f t="shared" ca="1" si="231"/>
        <v>#REF!</v>
      </c>
      <c r="J2956" t="str">
        <f>VLOOKUP($G2956,DefinitionArrays!$I$6:$J$12,2,FALSE)</f>
        <v>Workweek</v>
      </c>
    </row>
    <row r="2957" spans="1:10">
      <c r="A2957" s="159" t="str">
        <f t="shared" si="232"/>
        <v>$K$1:$K$92</v>
      </c>
      <c r="B2957" s="159" t="str">
        <f t="shared" si="233"/>
        <v>$L$1:$L$92</v>
      </c>
      <c r="C2957" s="159" t="str">
        <f t="shared" si="234"/>
        <v>December!$K$1:$K$92</v>
      </c>
      <c r="D2957" s="159" t="str">
        <f t="shared" si="235"/>
        <v>December!$L$1:$L$92</v>
      </c>
      <c r="E2957" t="s">
        <v>6</v>
      </c>
      <c r="F2957" t="s">
        <v>131</v>
      </c>
      <c r="G2957" t="s">
        <v>144</v>
      </c>
      <c r="H2957" t="s">
        <v>21</v>
      </c>
      <c r="I2957" t="e">
        <f t="shared" ca="1" si="231"/>
        <v>#REF!</v>
      </c>
      <c r="J2957" t="str">
        <f>VLOOKUP($G2957,DefinitionArrays!$I$6:$J$12,2,FALSE)</f>
        <v>Workweek</v>
      </c>
    </row>
    <row r="2958" spans="1:10">
      <c r="A2958" s="159" t="str">
        <f t="shared" si="232"/>
        <v>$K$1:$K$92</v>
      </c>
      <c r="B2958" s="159" t="str">
        <f t="shared" si="233"/>
        <v>$L$1:$L$92</v>
      </c>
      <c r="C2958" s="159" t="str">
        <f t="shared" si="234"/>
        <v>December!$K$1:$K$92</v>
      </c>
      <c r="D2958" s="159" t="str">
        <f t="shared" si="235"/>
        <v>December!$L$1:$L$92</v>
      </c>
      <c r="E2958" t="s">
        <v>6</v>
      </c>
      <c r="F2958" t="s">
        <v>131</v>
      </c>
      <c r="G2958" t="s">
        <v>144</v>
      </c>
      <c r="H2958" t="s">
        <v>22</v>
      </c>
      <c r="I2958" t="e">
        <f t="shared" ca="1" si="231"/>
        <v>#REF!</v>
      </c>
      <c r="J2958" t="str">
        <f>VLOOKUP($G2958,DefinitionArrays!$I$6:$J$12,2,FALSE)</f>
        <v>Workweek</v>
      </c>
    </row>
    <row r="2959" spans="1:10">
      <c r="A2959" s="159" t="str">
        <f t="shared" si="232"/>
        <v>$K$1:$K$92</v>
      </c>
      <c r="B2959" s="159" t="str">
        <f t="shared" si="233"/>
        <v>$L$1:$L$92</v>
      </c>
      <c r="C2959" s="159" t="str">
        <f t="shared" si="234"/>
        <v>December!$K$1:$K$92</v>
      </c>
      <c r="D2959" s="159" t="str">
        <f t="shared" si="235"/>
        <v>December!$L$1:$L$92</v>
      </c>
      <c r="E2959" t="s">
        <v>6</v>
      </c>
      <c r="F2959" t="s">
        <v>131</v>
      </c>
      <c r="G2959" t="s">
        <v>144</v>
      </c>
      <c r="H2959" t="s">
        <v>23</v>
      </c>
      <c r="I2959" t="e">
        <f t="shared" ca="1" si="231"/>
        <v>#REF!</v>
      </c>
      <c r="J2959" t="str">
        <f>VLOOKUP($G2959,DefinitionArrays!$I$6:$J$12,2,FALSE)</f>
        <v>Workweek</v>
      </c>
    </row>
    <row r="2960" spans="1:10">
      <c r="A2960" s="159" t="str">
        <f t="shared" si="232"/>
        <v>$K$1:$K$92</v>
      </c>
      <c r="B2960" s="159" t="str">
        <f t="shared" si="233"/>
        <v>$L$1:$L$92</v>
      </c>
      <c r="C2960" s="159" t="str">
        <f t="shared" si="234"/>
        <v>December!$K$1:$K$92</v>
      </c>
      <c r="D2960" s="159" t="str">
        <f t="shared" si="235"/>
        <v>December!$L$1:$L$92</v>
      </c>
      <c r="E2960" t="s">
        <v>6</v>
      </c>
      <c r="F2960" t="s">
        <v>131</v>
      </c>
      <c r="G2960" t="s">
        <v>144</v>
      </c>
      <c r="H2960" t="s">
        <v>24</v>
      </c>
      <c r="I2960" t="e">
        <f t="shared" ca="1" si="231"/>
        <v>#REF!</v>
      </c>
      <c r="J2960" t="str">
        <f>VLOOKUP($G2960,DefinitionArrays!$I$6:$J$12,2,FALSE)</f>
        <v>Workweek</v>
      </c>
    </row>
    <row r="2961" spans="1:10">
      <c r="A2961" s="159" t="str">
        <f t="shared" si="232"/>
        <v>$K$1:$K$92</v>
      </c>
      <c r="B2961" s="159" t="str">
        <f t="shared" si="233"/>
        <v>$L$1:$L$92</v>
      </c>
      <c r="C2961" s="159" t="str">
        <f t="shared" si="234"/>
        <v>December!$K$1:$K$92</v>
      </c>
      <c r="D2961" s="159" t="str">
        <f t="shared" si="235"/>
        <v>December!$L$1:$L$92</v>
      </c>
      <c r="E2961" t="s">
        <v>6</v>
      </c>
      <c r="F2961" t="s">
        <v>131</v>
      </c>
      <c r="G2961" t="s">
        <v>144</v>
      </c>
      <c r="H2961" t="s">
        <v>179</v>
      </c>
      <c r="I2961" t="e">
        <f t="shared" ca="1" si="231"/>
        <v>#REF!</v>
      </c>
      <c r="J2961" t="str">
        <f>VLOOKUP($G2961,DefinitionArrays!$I$6:$J$12,2,FALSE)</f>
        <v>Workweek</v>
      </c>
    </row>
    <row r="2962" spans="1:10">
      <c r="A2962" s="159" t="str">
        <f t="shared" si="232"/>
        <v>$K$1:$K$92</v>
      </c>
      <c r="B2962" s="159" t="str">
        <f t="shared" si="233"/>
        <v>$L$1:$L$92</v>
      </c>
      <c r="C2962" s="159" t="str">
        <f t="shared" si="234"/>
        <v>December!$K$1:$K$92</v>
      </c>
      <c r="D2962" s="159" t="str">
        <f t="shared" si="235"/>
        <v>December!$L$1:$L$92</v>
      </c>
      <c r="E2962" t="s">
        <v>6</v>
      </c>
      <c r="F2962" t="s">
        <v>131</v>
      </c>
      <c r="G2962" t="s">
        <v>144</v>
      </c>
      <c r="H2962" t="s">
        <v>180</v>
      </c>
      <c r="I2962" t="e">
        <f t="shared" ca="1" si="231"/>
        <v>#REF!</v>
      </c>
      <c r="J2962" t="str">
        <f>VLOOKUP($G2962,DefinitionArrays!$I$6:$J$12,2,FALSE)</f>
        <v>Workweek</v>
      </c>
    </row>
    <row r="2963" spans="1:10">
      <c r="A2963" s="159" t="str">
        <f t="shared" si="232"/>
        <v>$K$1:$K$92</v>
      </c>
      <c r="B2963" s="159" t="str">
        <f t="shared" si="233"/>
        <v>$L$1:$L$92</v>
      </c>
      <c r="C2963" s="159" t="str">
        <f t="shared" si="234"/>
        <v>December!$K$1:$K$92</v>
      </c>
      <c r="D2963" s="159" t="str">
        <f t="shared" si="235"/>
        <v>December!$L$1:$L$92</v>
      </c>
      <c r="E2963" t="s">
        <v>6</v>
      </c>
      <c r="F2963" t="s">
        <v>131</v>
      </c>
      <c r="G2963" t="s">
        <v>144</v>
      </c>
      <c r="H2963" t="s">
        <v>44</v>
      </c>
      <c r="I2963" t="e">
        <f t="shared" ca="1" si="231"/>
        <v>#REF!</v>
      </c>
      <c r="J2963" t="str">
        <f>VLOOKUP($G2963,DefinitionArrays!$I$6:$J$12,2,FALSE)</f>
        <v>Workweek</v>
      </c>
    </row>
    <row r="2964" spans="1:10">
      <c r="A2964" s="159" t="str">
        <f t="shared" si="232"/>
        <v>$N$1:$N$92</v>
      </c>
      <c r="B2964" s="159" t="str">
        <f t="shared" si="233"/>
        <v>$O$1:$O$92</v>
      </c>
      <c r="C2964" s="159" t="str">
        <f t="shared" si="234"/>
        <v>December!$N$1:$N$92</v>
      </c>
      <c r="D2964" s="159" t="str">
        <f t="shared" si="235"/>
        <v>December!$O$1:$O$92</v>
      </c>
      <c r="E2964" t="s">
        <v>6</v>
      </c>
      <c r="F2964" t="s">
        <v>131</v>
      </c>
      <c r="G2964" t="s">
        <v>145</v>
      </c>
      <c r="H2964" t="s">
        <v>159</v>
      </c>
      <c r="I2964" t="e">
        <f t="shared" ca="1" si="231"/>
        <v>#REF!</v>
      </c>
      <c r="J2964" t="str">
        <f>VLOOKUP($G2964,DefinitionArrays!$I$6:$J$12,2,FALSE)</f>
        <v>Weekend</v>
      </c>
    </row>
    <row r="2965" spans="1:10">
      <c r="A2965" s="159" t="str">
        <f t="shared" si="232"/>
        <v>$N$1:$N$92</v>
      </c>
      <c r="B2965" s="159" t="str">
        <f t="shared" si="233"/>
        <v>$O$1:$O$92</v>
      </c>
      <c r="C2965" s="159" t="str">
        <f t="shared" si="234"/>
        <v>December!$N$1:$N$92</v>
      </c>
      <c r="D2965" s="159" t="str">
        <f t="shared" si="235"/>
        <v>December!$O$1:$O$92</v>
      </c>
      <c r="E2965" t="s">
        <v>6</v>
      </c>
      <c r="F2965" t="s">
        <v>131</v>
      </c>
      <c r="G2965" t="s">
        <v>145</v>
      </c>
      <c r="H2965" t="s">
        <v>18</v>
      </c>
      <c r="I2965" t="e">
        <f t="shared" ca="1" si="231"/>
        <v>#REF!</v>
      </c>
      <c r="J2965" t="str">
        <f>VLOOKUP($G2965,DefinitionArrays!$I$6:$J$12,2,FALSE)</f>
        <v>Weekend</v>
      </c>
    </row>
    <row r="2966" spans="1:10">
      <c r="A2966" s="159" t="str">
        <f t="shared" si="232"/>
        <v>$N$1:$N$92</v>
      </c>
      <c r="B2966" s="159" t="str">
        <f t="shared" si="233"/>
        <v>$O$1:$O$92</v>
      </c>
      <c r="C2966" s="159" t="str">
        <f t="shared" si="234"/>
        <v>December!$N$1:$N$92</v>
      </c>
      <c r="D2966" s="159" t="str">
        <f t="shared" si="235"/>
        <v>December!$O$1:$O$92</v>
      </c>
      <c r="E2966" t="s">
        <v>6</v>
      </c>
      <c r="F2966" t="s">
        <v>131</v>
      </c>
      <c r="G2966" t="s">
        <v>145</v>
      </c>
      <c r="H2966" t="s">
        <v>153</v>
      </c>
      <c r="I2966" t="e">
        <f t="shared" ca="1" si="231"/>
        <v>#REF!</v>
      </c>
      <c r="J2966" t="str">
        <f>VLOOKUP($G2966,DefinitionArrays!$I$6:$J$12,2,FALSE)</f>
        <v>Weekend</v>
      </c>
    </row>
    <row r="2967" spans="1:10">
      <c r="A2967" s="159" t="str">
        <f t="shared" si="232"/>
        <v>$N$1:$N$92</v>
      </c>
      <c r="B2967" s="159" t="str">
        <f t="shared" si="233"/>
        <v>$O$1:$O$92</v>
      </c>
      <c r="C2967" s="159" t="str">
        <f t="shared" si="234"/>
        <v>December!$N$1:$N$92</v>
      </c>
      <c r="D2967" s="159" t="str">
        <f t="shared" si="235"/>
        <v>December!$O$1:$O$92</v>
      </c>
      <c r="E2967" t="s">
        <v>6</v>
      </c>
      <c r="F2967" t="s">
        <v>131</v>
      </c>
      <c r="G2967" t="s">
        <v>145</v>
      </c>
      <c r="H2967" t="s">
        <v>19</v>
      </c>
      <c r="I2967" t="e">
        <f t="shared" ca="1" si="231"/>
        <v>#REF!</v>
      </c>
      <c r="J2967" t="str">
        <f>VLOOKUP($G2967,DefinitionArrays!$I$6:$J$12,2,FALSE)</f>
        <v>Weekend</v>
      </c>
    </row>
    <row r="2968" spans="1:10">
      <c r="A2968" s="159" t="str">
        <f t="shared" si="232"/>
        <v>$N$1:$N$92</v>
      </c>
      <c r="B2968" s="159" t="str">
        <f t="shared" si="233"/>
        <v>$O$1:$O$92</v>
      </c>
      <c r="C2968" s="159" t="str">
        <f t="shared" si="234"/>
        <v>December!$N$1:$N$92</v>
      </c>
      <c r="D2968" s="159" t="str">
        <f t="shared" si="235"/>
        <v>December!$O$1:$O$92</v>
      </c>
      <c r="E2968" t="s">
        <v>6</v>
      </c>
      <c r="F2968" t="s">
        <v>131</v>
      </c>
      <c r="G2968" t="s">
        <v>145</v>
      </c>
      <c r="H2968" t="s">
        <v>20</v>
      </c>
      <c r="I2968" t="e">
        <f t="shared" ca="1" si="231"/>
        <v>#REF!</v>
      </c>
      <c r="J2968" t="str">
        <f>VLOOKUP($G2968,DefinitionArrays!$I$6:$J$12,2,FALSE)</f>
        <v>Weekend</v>
      </c>
    </row>
    <row r="2969" spans="1:10">
      <c r="A2969" s="159" t="str">
        <f t="shared" si="232"/>
        <v>$N$1:$N$92</v>
      </c>
      <c r="B2969" s="159" t="str">
        <f t="shared" si="233"/>
        <v>$O$1:$O$92</v>
      </c>
      <c r="C2969" s="159" t="str">
        <f t="shared" si="234"/>
        <v>December!$N$1:$N$92</v>
      </c>
      <c r="D2969" s="159" t="str">
        <f t="shared" si="235"/>
        <v>December!$O$1:$O$92</v>
      </c>
      <c r="E2969" t="s">
        <v>6</v>
      </c>
      <c r="F2969" t="s">
        <v>131</v>
      </c>
      <c r="G2969" t="s">
        <v>145</v>
      </c>
      <c r="H2969" t="s">
        <v>21</v>
      </c>
      <c r="I2969" t="e">
        <f t="shared" ca="1" si="231"/>
        <v>#REF!</v>
      </c>
      <c r="J2969" t="str">
        <f>VLOOKUP($G2969,DefinitionArrays!$I$6:$J$12,2,FALSE)</f>
        <v>Weekend</v>
      </c>
    </row>
    <row r="2970" spans="1:10">
      <c r="A2970" s="159" t="str">
        <f t="shared" si="232"/>
        <v>$N$1:$N$92</v>
      </c>
      <c r="B2970" s="159" t="str">
        <f t="shared" si="233"/>
        <v>$O$1:$O$92</v>
      </c>
      <c r="C2970" s="159" t="str">
        <f t="shared" si="234"/>
        <v>December!$N$1:$N$92</v>
      </c>
      <c r="D2970" s="159" t="str">
        <f t="shared" si="235"/>
        <v>December!$O$1:$O$92</v>
      </c>
      <c r="E2970" t="s">
        <v>6</v>
      </c>
      <c r="F2970" t="s">
        <v>131</v>
      </c>
      <c r="G2970" t="s">
        <v>145</v>
      </c>
      <c r="H2970" t="s">
        <v>22</v>
      </c>
      <c r="I2970" t="e">
        <f t="shared" ca="1" si="231"/>
        <v>#REF!</v>
      </c>
      <c r="J2970" t="str">
        <f>VLOOKUP($G2970,DefinitionArrays!$I$6:$J$12,2,FALSE)</f>
        <v>Weekend</v>
      </c>
    </row>
    <row r="2971" spans="1:10">
      <c r="A2971" s="159" t="str">
        <f t="shared" si="232"/>
        <v>$N$1:$N$92</v>
      </c>
      <c r="B2971" s="159" t="str">
        <f t="shared" si="233"/>
        <v>$O$1:$O$92</v>
      </c>
      <c r="C2971" s="159" t="str">
        <f t="shared" si="234"/>
        <v>December!$N$1:$N$92</v>
      </c>
      <c r="D2971" s="159" t="str">
        <f t="shared" si="235"/>
        <v>December!$O$1:$O$92</v>
      </c>
      <c r="E2971" t="s">
        <v>6</v>
      </c>
      <c r="F2971" t="s">
        <v>131</v>
      </c>
      <c r="G2971" t="s">
        <v>145</v>
      </c>
      <c r="H2971" t="s">
        <v>23</v>
      </c>
      <c r="I2971" t="e">
        <f t="shared" ca="1" si="231"/>
        <v>#REF!</v>
      </c>
      <c r="J2971" t="str">
        <f>VLOOKUP($G2971,DefinitionArrays!$I$6:$J$12,2,FALSE)</f>
        <v>Weekend</v>
      </c>
    </row>
    <row r="2972" spans="1:10">
      <c r="A2972" s="159" t="str">
        <f t="shared" si="232"/>
        <v>$N$1:$N$92</v>
      </c>
      <c r="B2972" s="159" t="str">
        <f t="shared" si="233"/>
        <v>$O$1:$O$92</v>
      </c>
      <c r="C2972" s="159" t="str">
        <f t="shared" si="234"/>
        <v>December!$N$1:$N$92</v>
      </c>
      <c r="D2972" s="159" t="str">
        <f t="shared" si="235"/>
        <v>December!$O$1:$O$92</v>
      </c>
      <c r="E2972" t="s">
        <v>6</v>
      </c>
      <c r="F2972" t="s">
        <v>131</v>
      </c>
      <c r="G2972" t="s">
        <v>145</v>
      </c>
      <c r="H2972" t="s">
        <v>24</v>
      </c>
      <c r="I2972" t="e">
        <f t="shared" ca="1" si="231"/>
        <v>#REF!</v>
      </c>
      <c r="J2972" t="str">
        <f>VLOOKUP($G2972,DefinitionArrays!$I$6:$J$12,2,FALSE)</f>
        <v>Weekend</v>
      </c>
    </row>
    <row r="2973" spans="1:10">
      <c r="A2973" s="159" t="str">
        <f t="shared" si="232"/>
        <v>$N$1:$N$92</v>
      </c>
      <c r="B2973" s="159" t="str">
        <f t="shared" si="233"/>
        <v>$O$1:$O$92</v>
      </c>
      <c r="C2973" s="159" t="str">
        <f t="shared" si="234"/>
        <v>December!$N$1:$N$92</v>
      </c>
      <c r="D2973" s="159" t="str">
        <f t="shared" si="235"/>
        <v>December!$O$1:$O$92</v>
      </c>
      <c r="E2973" t="s">
        <v>6</v>
      </c>
      <c r="F2973" t="s">
        <v>131</v>
      </c>
      <c r="G2973" t="s">
        <v>145</v>
      </c>
      <c r="H2973" t="s">
        <v>179</v>
      </c>
      <c r="I2973" t="e">
        <f t="shared" ca="1" si="231"/>
        <v>#REF!</v>
      </c>
      <c r="J2973" t="str">
        <f>VLOOKUP($G2973,DefinitionArrays!$I$6:$J$12,2,FALSE)</f>
        <v>Weekend</v>
      </c>
    </row>
    <row r="2974" spans="1:10">
      <c r="A2974" s="159" t="str">
        <f t="shared" si="232"/>
        <v>$N$1:$N$92</v>
      </c>
      <c r="B2974" s="159" t="str">
        <f t="shared" si="233"/>
        <v>$O$1:$O$92</v>
      </c>
      <c r="C2974" s="159" t="str">
        <f t="shared" si="234"/>
        <v>December!$N$1:$N$92</v>
      </c>
      <c r="D2974" s="159" t="str">
        <f t="shared" si="235"/>
        <v>December!$O$1:$O$92</v>
      </c>
      <c r="E2974" t="s">
        <v>6</v>
      </c>
      <c r="F2974" t="s">
        <v>131</v>
      </c>
      <c r="G2974" t="s">
        <v>145</v>
      </c>
      <c r="H2974" t="s">
        <v>180</v>
      </c>
      <c r="I2974" t="e">
        <f t="shared" ca="1" si="231"/>
        <v>#REF!</v>
      </c>
      <c r="J2974" t="str">
        <f>VLOOKUP($G2974,DefinitionArrays!$I$6:$J$12,2,FALSE)</f>
        <v>Weekend</v>
      </c>
    </row>
    <row r="2975" spans="1:10">
      <c r="A2975" s="159" t="str">
        <f t="shared" si="232"/>
        <v>$N$1:$N$92</v>
      </c>
      <c r="B2975" s="159" t="str">
        <f t="shared" si="233"/>
        <v>$O$1:$O$92</v>
      </c>
      <c r="C2975" s="159" t="str">
        <f t="shared" si="234"/>
        <v>December!$N$1:$N$92</v>
      </c>
      <c r="D2975" s="159" t="str">
        <f t="shared" si="235"/>
        <v>December!$O$1:$O$92</v>
      </c>
      <c r="E2975" t="s">
        <v>6</v>
      </c>
      <c r="F2975" t="s">
        <v>131</v>
      </c>
      <c r="G2975" t="s">
        <v>145</v>
      </c>
      <c r="H2975" t="s">
        <v>44</v>
      </c>
      <c r="I2975" t="e">
        <f t="shared" ca="1" si="231"/>
        <v>#REF!</v>
      </c>
      <c r="J2975" t="str">
        <f>VLOOKUP($G2975,DefinitionArrays!$I$6:$J$12,2,FALSE)</f>
        <v>Weekend</v>
      </c>
    </row>
    <row r="2976" spans="1:10">
      <c r="A2976" s="159" t="str">
        <f t="shared" si="232"/>
        <v>$Q$1:$Q$92</v>
      </c>
      <c r="B2976" s="159" t="str">
        <f t="shared" si="233"/>
        <v>$R$1:$R$92</v>
      </c>
      <c r="C2976" s="159" t="str">
        <f t="shared" si="234"/>
        <v>December!$Q$1:$Q$92</v>
      </c>
      <c r="D2976" s="159" t="str">
        <f t="shared" si="235"/>
        <v>December!$R$1:$R$92</v>
      </c>
      <c r="E2976" t="s">
        <v>6</v>
      </c>
      <c r="F2976" t="s">
        <v>131</v>
      </c>
      <c r="G2976" t="s">
        <v>146</v>
      </c>
      <c r="H2976" t="s">
        <v>159</v>
      </c>
      <c r="I2976" t="e">
        <f t="shared" ca="1" si="231"/>
        <v>#REF!</v>
      </c>
      <c r="J2976" t="str">
        <f>VLOOKUP($G2976,DefinitionArrays!$I$6:$J$12,2,FALSE)</f>
        <v>Weekend</v>
      </c>
    </row>
    <row r="2977" spans="1:10">
      <c r="A2977" s="159" t="str">
        <f t="shared" si="232"/>
        <v>$T$1:$T$92</v>
      </c>
      <c r="B2977" s="159" t="str">
        <f t="shared" si="233"/>
        <v>$U$1:$U$92</v>
      </c>
      <c r="C2977" s="159" t="str">
        <f t="shared" si="234"/>
        <v>December!$T$1:$T$92</v>
      </c>
      <c r="D2977" s="159" t="str">
        <f t="shared" si="235"/>
        <v>December!$U$1:$U$92</v>
      </c>
      <c r="E2977" t="s">
        <v>6</v>
      </c>
      <c r="F2977" t="s">
        <v>131</v>
      </c>
      <c r="G2977" t="s">
        <v>141</v>
      </c>
      <c r="H2977" t="s">
        <v>159</v>
      </c>
      <c r="I2977" t="e">
        <f t="shared" ca="1" si="231"/>
        <v>#REF!</v>
      </c>
      <c r="J2977" t="str">
        <f>VLOOKUP($G2977,DefinitionArrays!$I$6:$J$12,2,FALSE)</f>
        <v>Weekend</v>
      </c>
    </row>
    <row r="2978" spans="1:10">
      <c r="A2978" s="159" t="str">
        <f t="shared" si="232"/>
        <v>$B$1:$B$92</v>
      </c>
      <c r="B2978" s="159" t="str">
        <f t="shared" si="233"/>
        <v>$C$1:$C$92</v>
      </c>
      <c r="C2978" s="159" t="str">
        <f t="shared" si="234"/>
        <v>January!$B$1:$B$92</v>
      </c>
      <c r="D2978" s="159" t="str">
        <f t="shared" si="235"/>
        <v>January!$C$1:$C$92</v>
      </c>
      <c r="E2978" t="s">
        <v>7</v>
      </c>
      <c r="F2978" t="s">
        <v>48</v>
      </c>
      <c r="G2978" t="s">
        <v>13</v>
      </c>
      <c r="H2978" t="s">
        <v>159</v>
      </c>
      <c r="I2978" t="e">
        <f ca="1">COUNTIFS(INDIRECT($C2978),$E2978,INDIRECT($D2978),$H2978)</f>
        <v>#REF!</v>
      </c>
      <c r="J2978" t="str">
        <f>VLOOKUP($G2978,DefinitionArrays!$I$6:$J$12,2,FALSE)</f>
        <v>Workweek</v>
      </c>
    </row>
    <row r="2979" spans="1:10">
      <c r="A2979" s="159" t="str">
        <f t="shared" si="232"/>
        <v>$B$1:$B$92</v>
      </c>
      <c r="B2979" s="159" t="str">
        <f t="shared" si="233"/>
        <v>$C$1:$C$92</v>
      </c>
      <c r="C2979" s="159" t="str">
        <f t="shared" si="234"/>
        <v>January!$B$1:$B$92</v>
      </c>
      <c r="D2979" s="159" t="str">
        <f t="shared" si="235"/>
        <v>January!$C$1:$C$92</v>
      </c>
      <c r="E2979" t="s">
        <v>7</v>
      </c>
      <c r="F2979" t="s">
        <v>48</v>
      </c>
      <c r="G2979" t="s">
        <v>13</v>
      </c>
      <c r="H2979" t="s">
        <v>18</v>
      </c>
      <c r="I2979" t="e">
        <f t="shared" ref="I2979:I3039" ca="1" si="236">COUNTIFS(INDIRECT($C2979),$E2979,INDIRECT($D2979),$H2979)</f>
        <v>#REF!</v>
      </c>
      <c r="J2979" t="str">
        <f>VLOOKUP($G2979,DefinitionArrays!$I$6:$J$12,2,FALSE)</f>
        <v>Workweek</v>
      </c>
    </row>
    <row r="2980" spans="1:10">
      <c r="A2980" s="159" t="str">
        <f t="shared" si="232"/>
        <v>$B$1:$B$92</v>
      </c>
      <c r="B2980" s="159" t="str">
        <f t="shared" si="233"/>
        <v>$C$1:$C$92</v>
      </c>
      <c r="C2980" s="159" t="str">
        <f t="shared" si="234"/>
        <v>January!$B$1:$B$92</v>
      </c>
      <c r="D2980" s="159" t="str">
        <f t="shared" si="235"/>
        <v>January!$C$1:$C$92</v>
      </c>
      <c r="E2980" t="s">
        <v>7</v>
      </c>
      <c r="F2980" t="s">
        <v>48</v>
      </c>
      <c r="G2980" t="s">
        <v>13</v>
      </c>
      <c r="H2980" t="s">
        <v>153</v>
      </c>
      <c r="I2980" t="e">
        <f t="shared" ca="1" si="236"/>
        <v>#REF!</v>
      </c>
      <c r="J2980" t="str">
        <f>VLOOKUP($G2980,DefinitionArrays!$I$6:$J$12,2,FALSE)</f>
        <v>Workweek</v>
      </c>
    </row>
    <row r="2981" spans="1:10">
      <c r="A2981" s="159" t="str">
        <f t="shared" si="232"/>
        <v>$B$1:$B$92</v>
      </c>
      <c r="B2981" s="159" t="str">
        <f t="shared" si="233"/>
        <v>$C$1:$C$92</v>
      </c>
      <c r="C2981" s="159" t="str">
        <f t="shared" si="234"/>
        <v>January!$B$1:$B$92</v>
      </c>
      <c r="D2981" s="159" t="str">
        <f t="shared" si="235"/>
        <v>January!$C$1:$C$92</v>
      </c>
      <c r="E2981" t="s">
        <v>7</v>
      </c>
      <c r="F2981" t="s">
        <v>48</v>
      </c>
      <c r="G2981" t="s">
        <v>13</v>
      </c>
      <c r="H2981" t="s">
        <v>19</v>
      </c>
      <c r="I2981" t="e">
        <f t="shared" ca="1" si="236"/>
        <v>#REF!</v>
      </c>
      <c r="J2981" t="str">
        <f>VLOOKUP($G2981,DefinitionArrays!$I$6:$J$12,2,FALSE)</f>
        <v>Workweek</v>
      </c>
    </row>
    <row r="2982" spans="1:10">
      <c r="A2982" s="159" t="str">
        <f t="shared" si="232"/>
        <v>$B$1:$B$92</v>
      </c>
      <c r="B2982" s="159" t="str">
        <f t="shared" si="233"/>
        <v>$C$1:$C$92</v>
      </c>
      <c r="C2982" s="159" t="str">
        <f t="shared" si="234"/>
        <v>January!$B$1:$B$92</v>
      </c>
      <c r="D2982" s="159" t="str">
        <f t="shared" si="235"/>
        <v>January!$C$1:$C$92</v>
      </c>
      <c r="E2982" t="s">
        <v>7</v>
      </c>
      <c r="F2982" t="s">
        <v>48</v>
      </c>
      <c r="G2982" t="s">
        <v>13</v>
      </c>
      <c r="H2982" t="s">
        <v>20</v>
      </c>
      <c r="I2982" t="e">
        <f t="shared" ca="1" si="236"/>
        <v>#REF!</v>
      </c>
      <c r="J2982" t="str">
        <f>VLOOKUP($G2982,DefinitionArrays!$I$6:$J$12,2,FALSE)</f>
        <v>Workweek</v>
      </c>
    </row>
    <row r="2983" spans="1:10">
      <c r="A2983" s="159" t="str">
        <f t="shared" si="232"/>
        <v>$B$1:$B$92</v>
      </c>
      <c r="B2983" s="159" t="str">
        <f t="shared" si="233"/>
        <v>$C$1:$C$92</v>
      </c>
      <c r="C2983" s="159" t="str">
        <f t="shared" si="234"/>
        <v>January!$B$1:$B$92</v>
      </c>
      <c r="D2983" s="159" t="str">
        <f t="shared" si="235"/>
        <v>January!$C$1:$C$92</v>
      </c>
      <c r="E2983" t="s">
        <v>7</v>
      </c>
      <c r="F2983" t="s">
        <v>48</v>
      </c>
      <c r="G2983" t="s">
        <v>13</v>
      </c>
      <c r="H2983" t="s">
        <v>21</v>
      </c>
      <c r="I2983" t="e">
        <f t="shared" ca="1" si="236"/>
        <v>#REF!</v>
      </c>
      <c r="J2983" t="str">
        <f>VLOOKUP($G2983,DefinitionArrays!$I$6:$J$12,2,FALSE)</f>
        <v>Workweek</v>
      </c>
    </row>
    <row r="2984" spans="1:10">
      <c r="A2984" s="159" t="str">
        <f t="shared" si="232"/>
        <v>$B$1:$B$92</v>
      </c>
      <c r="B2984" s="159" t="str">
        <f t="shared" si="233"/>
        <v>$C$1:$C$92</v>
      </c>
      <c r="C2984" s="159" t="str">
        <f t="shared" si="234"/>
        <v>January!$B$1:$B$92</v>
      </c>
      <c r="D2984" s="159" t="str">
        <f t="shared" si="235"/>
        <v>January!$C$1:$C$92</v>
      </c>
      <c r="E2984" t="s">
        <v>7</v>
      </c>
      <c r="F2984" t="s">
        <v>48</v>
      </c>
      <c r="G2984" t="s">
        <v>13</v>
      </c>
      <c r="H2984" t="s">
        <v>22</v>
      </c>
      <c r="I2984" t="e">
        <f t="shared" ca="1" si="236"/>
        <v>#REF!</v>
      </c>
      <c r="J2984" t="str">
        <f>VLOOKUP($G2984,DefinitionArrays!$I$6:$J$12,2,FALSE)</f>
        <v>Workweek</v>
      </c>
    </row>
    <row r="2985" spans="1:10">
      <c r="A2985" s="159" t="str">
        <f t="shared" si="232"/>
        <v>$B$1:$B$92</v>
      </c>
      <c r="B2985" s="159" t="str">
        <f t="shared" si="233"/>
        <v>$C$1:$C$92</v>
      </c>
      <c r="C2985" s="159" t="str">
        <f t="shared" si="234"/>
        <v>January!$B$1:$B$92</v>
      </c>
      <c r="D2985" s="159" t="str">
        <f t="shared" si="235"/>
        <v>January!$C$1:$C$92</v>
      </c>
      <c r="E2985" t="s">
        <v>7</v>
      </c>
      <c r="F2985" t="s">
        <v>48</v>
      </c>
      <c r="G2985" t="s">
        <v>13</v>
      </c>
      <c r="H2985" t="s">
        <v>23</v>
      </c>
      <c r="I2985" t="e">
        <f t="shared" ca="1" si="236"/>
        <v>#REF!</v>
      </c>
      <c r="J2985" t="str">
        <f>VLOOKUP($G2985,DefinitionArrays!$I$6:$J$12,2,FALSE)</f>
        <v>Workweek</v>
      </c>
    </row>
    <row r="2986" spans="1:10">
      <c r="A2986" s="159" t="str">
        <f t="shared" si="232"/>
        <v>$B$1:$B$92</v>
      </c>
      <c r="B2986" s="159" t="str">
        <f t="shared" si="233"/>
        <v>$C$1:$C$92</v>
      </c>
      <c r="C2986" s="159" t="str">
        <f t="shared" si="234"/>
        <v>January!$B$1:$B$92</v>
      </c>
      <c r="D2986" s="159" t="str">
        <f t="shared" si="235"/>
        <v>January!$C$1:$C$92</v>
      </c>
      <c r="E2986" t="s">
        <v>7</v>
      </c>
      <c r="F2986" t="s">
        <v>48</v>
      </c>
      <c r="G2986" t="s">
        <v>13</v>
      </c>
      <c r="H2986" t="s">
        <v>24</v>
      </c>
      <c r="I2986" t="e">
        <f t="shared" ca="1" si="236"/>
        <v>#REF!</v>
      </c>
      <c r="J2986" t="str">
        <f>VLOOKUP($G2986,DefinitionArrays!$I$6:$J$12,2,FALSE)</f>
        <v>Workweek</v>
      </c>
    </row>
    <row r="2987" spans="1:10">
      <c r="A2987" s="159" t="str">
        <f t="shared" si="232"/>
        <v>$B$1:$B$92</v>
      </c>
      <c r="B2987" s="159" t="str">
        <f t="shared" si="233"/>
        <v>$C$1:$C$92</v>
      </c>
      <c r="C2987" s="159" t="str">
        <f t="shared" si="234"/>
        <v>January!$B$1:$B$92</v>
      </c>
      <c r="D2987" s="159" t="str">
        <f t="shared" si="235"/>
        <v>January!$C$1:$C$92</v>
      </c>
      <c r="E2987" t="s">
        <v>7</v>
      </c>
      <c r="F2987" t="s">
        <v>48</v>
      </c>
      <c r="G2987" t="s">
        <v>13</v>
      </c>
      <c r="H2987" t="s">
        <v>179</v>
      </c>
      <c r="I2987" t="e">
        <f t="shared" ca="1" si="236"/>
        <v>#REF!</v>
      </c>
      <c r="J2987" t="str">
        <f>VLOOKUP($G2987,DefinitionArrays!$I$6:$J$12,2,FALSE)</f>
        <v>Workweek</v>
      </c>
    </row>
    <row r="2988" spans="1:10">
      <c r="A2988" s="159" t="str">
        <f t="shared" si="232"/>
        <v>$B$1:$B$92</v>
      </c>
      <c r="B2988" s="159" t="str">
        <f t="shared" si="233"/>
        <v>$C$1:$C$92</v>
      </c>
      <c r="C2988" s="159" t="str">
        <f t="shared" si="234"/>
        <v>January!$B$1:$B$92</v>
      </c>
      <c r="D2988" s="159" t="str">
        <f t="shared" si="235"/>
        <v>January!$C$1:$C$92</v>
      </c>
      <c r="E2988" t="s">
        <v>7</v>
      </c>
      <c r="F2988" t="s">
        <v>48</v>
      </c>
      <c r="G2988" t="s">
        <v>13</v>
      </c>
      <c r="H2988" t="s">
        <v>180</v>
      </c>
      <c r="I2988" t="e">
        <f t="shared" ca="1" si="236"/>
        <v>#REF!</v>
      </c>
      <c r="J2988" t="str">
        <f>VLOOKUP($G2988,DefinitionArrays!$I$6:$J$12,2,FALSE)</f>
        <v>Workweek</v>
      </c>
    </row>
    <row r="2989" spans="1:10">
      <c r="A2989" s="159" t="str">
        <f t="shared" si="232"/>
        <v>$B$1:$B$92</v>
      </c>
      <c r="B2989" s="159" t="str">
        <f t="shared" si="233"/>
        <v>$C$1:$C$92</v>
      </c>
      <c r="C2989" s="159" t="str">
        <f t="shared" si="234"/>
        <v>January!$B$1:$B$92</v>
      </c>
      <c r="D2989" s="159" t="str">
        <f t="shared" si="235"/>
        <v>January!$C$1:$C$92</v>
      </c>
      <c r="E2989" t="s">
        <v>7</v>
      </c>
      <c r="F2989" t="s">
        <v>48</v>
      </c>
      <c r="G2989" t="s">
        <v>13</v>
      </c>
      <c r="H2989" t="s">
        <v>44</v>
      </c>
      <c r="I2989" t="e">
        <f t="shared" ca="1" si="236"/>
        <v>#REF!</v>
      </c>
      <c r="J2989" t="str">
        <f>VLOOKUP($G2989,DefinitionArrays!$I$6:$J$12,2,FALSE)</f>
        <v>Workweek</v>
      </c>
    </row>
    <row r="2990" spans="1:10">
      <c r="A2990" s="159" t="str">
        <f t="shared" si="232"/>
        <v>$E$1:$E$92</v>
      </c>
      <c r="B2990" s="159" t="str">
        <f t="shared" si="233"/>
        <v>$F$1:$F$92</v>
      </c>
      <c r="C2990" s="159" t="str">
        <f t="shared" si="234"/>
        <v>January!$E$1:$E$92</v>
      </c>
      <c r="D2990" s="159" t="str">
        <f t="shared" si="235"/>
        <v>January!$F$1:$F$92</v>
      </c>
      <c r="E2990" t="s">
        <v>7</v>
      </c>
      <c r="F2990" t="s">
        <v>48</v>
      </c>
      <c r="G2990" t="s">
        <v>142</v>
      </c>
      <c r="H2990" t="s">
        <v>159</v>
      </c>
      <c r="I2990" t="e">
        <f t="shared" ca="1" si="236"/>
        <v>#REF!</v>
      </c>
      <c r="J2990" t="str">
        <f>VLOOKUP($G2990,DefinitionArrays!$I$6:$J$12,2,FALSE)</f>
        <v>Workweek</v>
      </c>
    </row>
    <row r="2991" spans="1:10">
      <c r="A2991" s="159" t="str">
        <f t="shared" si="232"/>
        <v>$E$1:$E$92</v>
      </c>
      <c r="B2991" s="159" t="str">
        <f t="shared" si="233"/>
        <v>$F$1:$F$92</v>
      </c>
      <c r="C2991" s="159" t="str">
        <f t="shared" si="234"/>
        <v>January!$E$1:$E$92</v>
      </c>
      <c r="D2991" s="159" t="str">
        <f t="shared" si="235"/>
        <v>January!$F$1:$F$92</v>
      </c>
      <c r="E2991" t="s">
        <v>7</v>
      </c>
      <c r="F2991" t="s">
        <v>48</v>
      </c>
      <c r="G2991" t="s">
        <v>142</v>
      </c>
      <c r="H2991" t="s">
        <v>18</v>
      </c>
      <c r="I2991" t="e">
        <f t="shared" ca="1" si="236"/>
        <v>#REF!</v>
      </c>
      <c r="J2991" t="str">
        <f>VLOOKUP($G2991,DefinitionArrays!$I$6:$J$12,2,FALSE)</f>
        <v>Workweek</v>
      </c>
    </row>
    <row r="2992" spans="1:10">
      <c r="A2992" s="159" t="str">
        <f t="shared" si="232"/>
        <v>$E$1:$E$92</v>
      </c>
      <c r="B2992" s="159" t="str">
        <f t="shared" si="233"/>
        <v>$F$1:$F$92</v>
      </c>
      <c r="C2992" s="159" t="str">
        <f t="shared" si="234"/>
        <v>January!$E$1:$E$92</v>
      </c>
      <c r="D2992" s="159" t="str">
        <f t="shared" si="235"/>
        <v>January!$F$1:$F$92</v>
      </c>
      <c r="E2992" t="s">
        <v>7</v>
      </c>
      <c r="F2992" t="s">
        <v>48</v>
      </c>
      <c r="G2992" t="s">
        <v>142</v>
      </c>
      <c r="H2992" t="s">
        <v>153</v>
      </c>
      <c r="I2992" t="e">
        <f t="shared" ca="1" si="236"/>
        <v>#REF!</v>
      </c>
      <c r="J2992" t="str">
        <f>VLOOKUP($G2992,DefinitionArrays!$I$6:$J$12,2,FALSE)</f>
        <v>Workweek</v>
      </c>
    </row>
    <row r="2993" spans="1:10">
      <c r="A2993" s="159" t="str">
        <f t="shared" si="232"/>
        <v>$E$1:$E$92</v>
      </c>
      <c r="B2993" s="159" t="str">
        <f t="shared" si="233"/>
        <v>$F$1:$F$92</v>
      </c>
      <c r="C2993" s="159" t="str">
        <f t="shared" si="234"/>
        <v>January!$E$1:$E$92</v>
      </c>
      <c r="D2993" s="159" t="str">
        <f t="shared" si="235"/>
        <v>January!$F$1:$F$92</v>
      </c>
      <c r="E2993" t="s">
        <v>7</v>
      </c>
      <c r="F2993" t="s">
        <v>48</v>
      </c>
      <c r="G2993" t="s">
        <v>142</v>
      </c>
      <c r="H2993" t="s">
        <v>19</v>
      </c>
      <c r="I2993" t="e">
        <f t="shared" ca="1" si="236"/>
        <v>#REF!</v>
      </c>
      <c r="J2993" t="str">
        <f>VLOOKUP($G2993,DefinitionArrays!$I$6:$J$12,2,FALSE)</f>
        <v>Workweek</v>
      </c>
    </row>
    <row r="2994" spans="1:10">
      <c r="A2994" s="159" t="str">
        <f t="shared" si="232"/>
        <v>$E$1:$E$92</v>
      </c>
      <c r="B2994" s="159" t="str">
        <f t="shared" si="233"/>
        <v>$F$1:$F$92</v>
      </c>
      <c r="C2994" s="159" t="str">
        <f t="shared" si="234"/>
        <v>January!$E$1:$E$92</v>
      </c>
      <c r="D2994" s="159" t="str">
        <f t="shared" si="235"/>
        <v>January!$F$1:$F$92</v>
      </c>
      <c r="E2994" t="s">
        <v>7</v>
      </c>
      <c r="F2994" t="s">
        <v>48</v>
      </c>
      <c r="G2994" t="s">
        <v>142</v>
      </c>
      <c r="H2994" t="s">
        <v>20</v>
      </c>
      <c r="I2994" t="e">
        <f t="shared" ca="1" si="236"/>
        <v>#REF!</v>
      </c>
      <c r="J2994" t="str">
        <f>VLOOKUP($G2994,DefinitionArrays!$I$6:$J$12,2,FALSE)</f>
        <v>Workweek</v>
      </c>
    </row>
    <row r="2995" spans="1:10">
      <c r="A2995" s="159" t="str">
        <f t="shared" si="232"/>
        <v>$E$1:$E$92</v>
      </c>
      <c r="B2995" s="159" t="str">
        <f t="shared" si="233"/>
        <v>$F$1:$F$92</v>
      </c>
      <c r="C2995" s="159" t="str">
        <f t="shared" si="234"/>
        <v>January!$E$1:$E$92</v>
      </c>
      <c r="D2995" s="159" t="str">
        <f t="shared" si="235"/>
        <v>January!$F$1:$F$92</v>
      </c>
      <c r="E2995" t="s">
        <v>7</v>
      </c>
      <c r="F2995" t="s">
        <v>48</v>
      </c>
      <c r="G2995" t="s">
        <v>142</v>
      </c>
      <c r="H2995" t="s">
        <v>21</v>
      </c>
      <c r="I2995" t="e">
        <f t="shared" ca="1" si="236"/>
        <v>#REF!</v>
      </c>
      <c r="J2995" t="str">
        <f>VLOOKUP($G2995,DefinitionArrays!$I$6:$J$12,2,FALSE)</f>
        <v>Workweek</v>
      </c>
    </row>
    <row r="2996" spans="1:10">
      <c r="A2996" s="159" t="str">
        <f t="shared" si="232"/>
        <v>$E$1:$E$92</v>
      </c>
      <c r="B2996" s="159" t="str">
        <f t="shared" si="233"/>
        <v>$F$1:$F$92</v>
      </c>
      <c r="C2996" s="159" t="str">
        <f t="shared" si="234"/>
        <v>January!$E$1:$E$92</v>
      </c>
      <c r="D2996" s="159" t="str">
        <f t="shared" si="235"/>
        <v>January!$F$1:$F$92</v>
      </c>
      <c r="E2996" t="s">
        <v>7</v>
      </c>
      <c r="F2996" t="s">
        <v>48</v>
      </c>
      <c r="G2996" t="s">
        <v>142</v>
      </c>
      <c r="H2996" t="s">
        <v>22</v>
      </c>
      <c r="I2996" t="e">
        <f t="shared" ca="1" si="236"/>
        <v>#REF!</v>
      </c>
      <c r="J2996" t="str">
        <f>VLOOKUP($G2996,DefinitionArrays!$I$6:$J$12,2,FALSE)</f>
        <v>Workweek</v>
      </c>
    </row>
    <row r="2997" spans="1:10">
      <c r="A2997" s="159" t="str">
        <f t="shared" si="232"/>
        <v>$E$1:$E$92</v>
      </c>
      <c r="B2997" s="159" t="str">
        <f t="shared" si="233"/>
        <v>$F$1:$F$92</v>
      </c>
      <c r="C2997" s="159" t="str">
        <f t="shared" si="234"/>
        <v>January!$E$1:$E$92</v>
      </c>
      <c r="D2997" s="159" t="str">
        <f t="shared" si="235"/>
        <v>January!$F$1:$F$92</v>
      </c>
      <c r="E2997" t="s">
        <v>7</v>
      </c>
      <c r="F2997" t="s">
        <v>48</v>
      </c>
      <c r="G2997" t="s">
        <v>142</v>
      </c>
      <c r="H2997" t="s">
        <v>23</v>
      </c>
      <c r="I2997" t="e">
        <f t="shared" ca="1" si="236"/>
        <v>#REF!</v>
      </c>
      <c r="J2997" t="str">
        <f>VLOOKUP($G2997,DefinitionArrays!$I$6:$J$12,2,FALSE)</f>
        <v>Workweek</v>
      </c>
    </row>
    <row r="2998" spans="1:10">
      <c r="A2998" s="159" t="str">
        <f t="shared" si="232"/>
        <v>$E$1:$E$92</v>
      </c>
      <c r="B2998" s="159" t="str">
        <f t="shared" si="233"/>
        <v>$F$1:$F$92</v>
      </c>
      <c r="C2998" s="159" t="str">
        <f t="shared" si="234"/>
        <v>January!$E$1:$E$92</v>
      </c>
      <c r="D2998" s="159" t="str">
        <f t="shared" si="235"/>
        <v>January!$F$1:$F$92</v>
      </c>
      <c r="E2998" t="s">
        <v>7</v>
      </c>
      <c r="F2998" t="s">
        <v>48</v>
      </c>
      <c r="G2998" t="s">
        <v>142</v>
      </c>
      <c r="H2998" t="s">
        <v>24</v>
      </c>
      <c r="I2998" t="e">
        <f t="shared" ca="1" si="236"/>
        <v>#REF!</v>
      </c>
      <c r="J2998" t="str">
        <f>VLOOKUP($G2998,DefinitionArrays!$I$6:$J$12,2,FALSE)</f>
        <v>Workweek</v>
      </c>
    </row>
    <row r="2999" spans="1:10">
      <c r="A2999" s="159" t="str">
        <f t="shared" si="232"/>
        <v>$E$1:$E$92</v>
      </c>
      <c r="B2999" s="159" t="str">
        <f t="shared" si="233"/>
        <v>$F$1:$F$92</v>
      </c>
      <c r="C2999" s="159" t="str">
        <f t="shared" si="234"/>
        <v>January!$E$1:$E$92</v>
      </c>
      <c r="D2999" s="159" t="str">
        <f t="shared" si="235"/>
        <v>January!$F$1:$F$92</v>
      </c>
      <c r="E2999" t="s">
        <v>7</v>
      </c>
      <c r="F2999" t="s">
        <v>48</v>
      </c>
      <c r="G2999" t="s">
        <v>142</v>
      </c>
      <c r="H2999" t="s">
        <v>179</v>
      </c>
      <c r="I2999" t="e">
        <f t="shared" ca="1" si="236"/>
        <v>#REF!</v>
      </c>
      <c r="J2999" t="str">
        <f>VLOOKUP($G2999,DefinitionArrays!$I$6:$J$12,2,FALSE)</f>
        <v>Workweek</v>
      </c>
    </row>
    <row r="3000" spans="1:10">
      <c r="A3000" s="159" t="str">
        <f t="shared" si="232"/>
        <v>$E$1:$E$92</v>
      </c>
      <c r="B3000" s="159" t="str">
        <f t="shared" si="233"/>
        <v>$F$1:$F$92</v>
      </c>
      <c r="C3000" s="159" t="str">
        <f t="shared" si="234"/>
        <v>January!$E$1:$E$92</v>
      </c>
      <c r="D3000" s="159" t="str">
        <f t="shared" si="235"/>
        <v>January!$F$1:$F$92</v>
      </c>
      <c r="E3000" t="s">
        <v>7</v>
      </c>
      <c r="F3000" t="s">
        <v>48</v>
      </c>
      <c r="G3000" t="s">
        <v>142</v>
      </c>
      <c r="H3000" t="s">
        <v>180</v>
      </c>
      <c r="I3000" t="e">
        <f t="shared" ca="1" si="236"/>
        <v>#REF!</v>
      </c>
      <c r="J3000" t="str">
        <f>VLOOKUP($G3000,DefinitionArrays!$I$6:$J$12,2,FALSE)</f>
        <v>Workweek</v>
      </c>
    </row>
    <row r="3001" spans="1:10">
      <c r="A3001" s="159" t="str">
        <f t="shared" si="232"/>
        <v>$E$1:$E$92</v>
      </c>
      <c r="B3001" s="159" t="str">
        <f t="shared" si="233"/>
        <v>$F$1:$F$92</v>
      </c>
      <c r="C3001" s="159" t="str">
        <f t="shared" si="234"/>
        <v>January!$E$1:$E$92</v>
      </c>
      <c r="D3001" s="159" t="str">
        <f t="shared" si="235"/>
        <v>January!$F$1:$F$92</v>
      </c>
      <c r="E3001" t="s">
        <v>7</v>
      </c>
      <c r="F3001" t="s">
        <v>48</v>
      </c>
      <c r="G3001" t="s">
        <v>142</v>
      </c>
      <c r="H3001" t="s">
        <v>44</v>
      </c>
      <c r="I3001" t="e">
        <f t="shared" ca="1" si="236"/>
        <v>#REF!</v>
      </c>
      <c r="J3001" t="str">
        <f>VLOOKUP($G3001,DefinitionArrays!$I$6:$J$12,2,FALSE)</f>
        <v>Workweek</v>
      </c>
    </row>
    <row r="3002" spans="1:10">
      <c r="A3002" s="159" t="str">
        <f t="shared" si="232"/>
        <v>$H$1:$H$92</v>
      </c>
      <c r="B3002" s="159" t="str">
        <f t="shared" si="233"/>
        <v>$I$1:$I$92</v>
      </c>
      <c r="C3002" s="159" t="str">
        <f t="shared" si="234"/>
        <v>January!$H$1:$H$92</v>
      </c>
      <c r="D3002" s="159" t="str">
        <f t="shared" si="235"/>
        <v>January!$I$1:$I$92</v>
      </c>
      <c r="E3002" t="s">
        <v>7</v>
      </c>
      <c r="F3002" t="s">
        <v>48</v>
      </c>
      <c r="G3002" t="s">
        <v>143</v>
      </c>
      <c r="H3002" t="s">
        <v>159</v>
      </c>
      <c r="I3002" t="e">
        <f t="shared" ca="1" si="236"/>
        <v>#REF!</v>
      </c>
      <c r="J3002" t="str">
        <f>VLOOKUP($G3002,DefinitionArrays!$I$6:$J$12,2,FALSE)</f>
        <v>Workweek</v>
      </c>
    </row>
    <row r="3003" spans="1:10">
      <c r="A3003" s="159" t="str">
        <f t="shared" si="232"/>
        <v>$H$1:$H$92</v>
      </c>
      <c r="B3003" s="159" t="str">
        <f t="shared" si="233"/>
        <v>$I$1:$I$92</v>
      </c>
      <c r="C3003" s="159" t="str">
        <f t="shared" si="234"/>
        <v>January!$H$1:$H$92</v>
      </c>
      <c r="D3003" s="159" t="str">
        <f t="shared" si="235"/>
        <v>January!$I$1:$I$92</v>
      </c>
      <c r="E3003" t="s">
        <v>7</v>
      </c>
      <c r="F3003" t="s">
        <v>48</v>
      </c>
      <c r="G3003" t="s">
        <v>143</v>
      </c>
      <c r="H3003" t="s">
        <v>18</v>
      </c>
      <c r="I3003" t="e">
        <f t="shared" ca="1" si="236"/>
        <v>#REF!</v>
      </c>
      <c r="J3003" t="str">
        <f>VLOOKUP($G3003,DefinitionArrays!$I$6:$J$12,2,FALSE)</f>
        <v>Workweek</v>
      </c>
    </row>
    <row r="3004" spans="1:10">
      <c r="A3004" s="159" t="str">
        <f t="shared" si="232"/>
        <v>$H$1:$H$92</v>
      </c>
      <c r="B3004" s="159" t="str">
        <f t="shared" si="233"/>
        <v>$I$1:$I$92</v>
      </c>
      <c r="C3004" s="159" t="str">
        <f t="shared" si="234"/>
        <v>January!$H$1:$H$92</v>
      </c>
      <c r="D3004" s="159" t="str">
        <f t="shared" si="235"/>
        <v>January!$I$1:$I$92</v>
      </c>
      <c r="E3004" t="s">
        <v>7</v>
      </c>
      <c r="F3004" t="s">
        <v>48</v>
      </c>
      <c r="G3004" t="s">
        <v>143</v>
      </c>
      <c r="H3004" t="s">
        <v>153</v>
      </c>
      <c r="I3004" t="e">
        <f t="shared" ca="1" si="236"/>
        <v>#REF!</v>
      </c>
      <c r="J3004" t="str">
        <f>VLOOKUP($G3004,DefinitionArrays!$I$6:$J$12,2,FALSE)</f>
        <v>Workweek</v>
      </c>
    </row>
    <row r="3005" spans="1:10">
      <c r="A3005" s="159" t="str">
        <f t="shared" si="232"/>
        <v>$H$1:$H$92</v>
      </c>
      <c r="B3005" s="159" t="str">
        <f t="shared" si="233"/>
        <v>$I$1:$I$92</v>
      </c>
      <c r="C3005" s="159" t="str">
        <f t="shared" si="234"/>
        <v>January!$H$1:$H$92</v>
      </c>
      <c r="D3005" s="159" t="str">
        <f t="shared" si="235"/>
        <v>January!$I$1:$I$92</v>
      </c>
      <c r="E3005" t="s">
        <v>7</v>
      </c>
      <c r="F3005" t="s">
        <v>48</v>
      </c>
      <c r="G3005" t="s">
        <v>143</v>
      </c>
      <c r="H3005" t="s">
        <v>19</v>
      </c>
      <c r="I3005" t="e">
        <f t="shared" ca="1" si="236"/>
        <v>#REF!</v>
      </c>
      <c r="J3005" t="str">
        <f>VLOOKUP($G3005,DefinitionArrays!$I$6:$J$12,2,FALSE)</f>
        <v>Workweek</v>
      </c>
    </row>
    <row r="3006" spans="1:10">
      <c r="A3006" s="159" t="str">
        <f t="shared" si="232"/>
        <v>$H$1:$H$92</v>
      </c>
      <c r="B3006" s="159" t="str">
        <f t="shared" si="233"/>
        <v>$I$1:$I$92</v>
      </c>
      <c r="C3006" s="159" t="str">
        <f t="shared" si="234"/>
        <v>January!$H$1:$H$92</v>
      </c>
      <c r="D3006" s="159" t="str">
        <f t="shared" si="235"/>
        <v>January!$I$1:$I$92</v>
      </c>
      <c r="E3006" t="s">
        <v>7</v>
      </c>
      <c r="F3006" t="s">
        <v>48</v>
      </c>
      <c r="G3006" t="s">
        <v>143</v>
      </c>
      <c r="H3006" t="s">
        <v>20</v>
      </c>
      <c r="I3006" t="e">
        <f t="shared" ca="1" si="236"/>
        <v>#REF!</v>
      </c>
      <c r="J3006" t="str">
        <f>VLOOKUP($G3006,DefinitionArrays!$I$6:$J$12,2,FALSE)</f>
        <v>Workweek</v>
      </c>
    </row>
    <row r="3007" spans="1:10">
      <c r="A3007" s="159" t="str">
        <f t="shared" si="232"/>
        <v>$H$1:$H$92</v>
      </c>
      <c r="B3007" s="159" t="str">
        <f t="shared" si="233"/>
        <v>$I$1:$I$92</v>
      </c>
      <c r="C3007" s="159" t="str">
        <f t="shared" si="234"/>
        <v>January!$H$1:$H$92</v>
      </c>
      <c r="D3007" s="159" t="str">
        <f t="shared" si="235"/>
        <v>January!$I$1:$I$92</v>
      </c>
      <c r="E3007" t="s">
        <v>7</v>
      </c>
      <c r="F3007" t="s">
        <v>48</v>
      </c>
      <c r="G3007" t="s">
        <v>143</v>
      </c>
      <c r="H3007" t="s">
        <v>21</v>
      </c>
      <c r="I3007" t="e">
        <f t="shared" ca="1" si="236"/>
        <v>#REF!</v>
      </c>
      <c r="J3007" t="str">
        <f>VLOOKUP($G3007,DefinitionArrays!$I$6:$J$12,2,FALSE)</f>
        <v>Workweek</v>
      </c>
    </row>
    <row r="3008" spans="1:10">
      <c r="A3008" s="159" t="str">
        <f t="shared" si="232"/>
        <v>$H$1:$H$92</v>
      </c>
      <c r="B3008" s="159" t="str">
        <f t="shared" si="233"/>
        <v>$I$1:$I$92</v>
      </c>
      <c r="C3008" s="159" t="str">
        <f t="shared" si="234"/>
        <v>January!$H$1:$H$92</v>
      </c>
      <c r="D3008" s="159" t="str">
        <f t="shared" si="235"/>
        <v>January!$I$1:$I$92</v>
      </c>
      <c r="E3008" t="s">
        <v>7</v>
      </c>
      <c r="F3008" t="s">
        <v>48</v>
      </c>
      <c r="G3008" t="s">
        <v>143</v>
      </c>
      <c r="H3008" t="s">
        <v>22</v>
      </c>
      <c r="I3008" t="e">
        <f t="shared" ca="1" si="236"/>
        <v>#REF!</v>
      </c>
      <c r="J3008" t="str">
        <f>VLOOKUP($G3008,DefinitionArrays!$I$6:$J$12,2,FALSE)</f>
        <v>Workweek</v>
      </c>
    </row>
    <row r="3009" spans="1:10">
      <c r="A3009" s="159" t="str">
        <f t="shared" si="232"/>
        <v>$H$1:$H$92</v>
      </c>
      <c r="B3009" s="159" t="str">
        <f t="shared" si="233"/>
        <v>$I$1:$I$92</v>
      </c>
      <c r="C3009" s="159" t="str">
        <f t="shared" si="234"/>
        <v>January!$H$1:$H$92</v>
      </c>
      <c r="D3009" s="159" t="str">
        <f t="shared" si="235"/>
        <v>January!$I$1:$I$92</v>
      </c>
      <c r="E3009" t="s">
        <v>7</v>
      </c>
      <c r="F3009" t="s">
        <v>48</v>
      </c>
      <c r="G3009" t="s">
        <v>143</v>
      </c>
      <c r="H3009" t="s">
        <v>23</v>
      </c>
      <c r="I3009" t="e">
        <f t="shared" ca="1" si="236"/>
        <v>#REF!</v>
      </c>
      <c r="J3009" t="str">
        <f>VLOOKUP($G3009,DefinitionArrays!$I$6:$J$12,2,FALSE)</f>
        <v>Workweek</v>
      </c>
    </row>
    <row r="3010" spans="1:10">
      <c r="A3010" s="159" t="str">
        <f t="shared" ref="A3010:A3073" si="237">VLOOKUP($G3010,Fx_Code,2,FALSE)</f>
        <v>$H$1:$H$92</v>
      </c>
      <c r="B3010" s="159" t="str">
        <f t="shared" ref="B3010:B3073" si="238">VLOOKUP($G3010,Fx_Code,3,FALSE)</f>
        <v>$I$1:$I$92</v>
      </c>
      <c r="C3010" s="159" t="str">
        <f t="shared" ref="C3010:C3073" si="239">CONCATENATE($F3010,$K$1,A3010)</f>
        <v>January!$H$1:$H$92</v>
      </c>
      <c r="D3010" s="159" t="str">
        <f t="shared" ref="D3010:D3073" si="240">CONCATENATE($F3010,$K$1,B3010)</f>
        <v>January!$I$1:$I$92</v>
      </c>
      <c r="E3010" t="s">
        <v>7</v>
      </c>
      <c r="F3010" t="s">
        <v>48</v>
      </c>
      <c r="G3010" t="s">
        <v>143</v>
      </c>
      <c r="H3010" t="s">
        <v>24</v>
      </c>
      <c r="I3010" t="e">
        <f t="shared" ca="1" si="236"/>
        <v>#REF!</v>
      </c>
      <c r="J3010" t="str">
        <f>VLOOKUP($G3010,DefinitionArrays!$I$6:$J$12,2,FALSE)</f>
        <v>Workweek</v>
      </c>
    </row>
    <row r="3011" spans="1:10">
      <c r="A3011" s="159" t="str">
        <f t="shared" si="237"/>
        <v>$H$1:$H$92</v>
      </c>
      <c r="B3011" s="159" t="str">
        <f t="shared" si="238"/>
        <v>$I$1:$I$92</v>
      </c>
      <c r="C3011" s="159" t="str">
        <f t="shared" si="239"/>
        <v>January!$H$1:$H$92</v>
      </c>
      <c r="D3011" s="159" t="str">
        <f t="shared" si="240"/>
        <v>January!$I$1:$I$92</v>
      </c>
      <c r="E3011" t="s">
        <v>7</v>
      </c>
      <c r="F3011" t="s">
        <v>48</v>
      </c>
      <c r="G3011" t="s">
        <v>143</v>
      </c>
      <c r="H3011" t="s">
        <v>179</v>
      </c>
      <c r="I3011" t="e">
        <f t="shared" ca="1" si="236"/>
        <v>#REF!</v>
      </c>
      <c r="J3011" t="str">
        <f>VLOOKUP($G3011,DefinitionArrays!$I$6:$J$12,2,FALSE)</f>
        <v>Workweek</v>
      </c>
    </row>
    <row r="3012" spans="1:10">
      <c r="A3012" s="159" t="str">
        <f t="shared" si="237"/>
        <v>$H$1:$H$92</v>
      </c>
      <c r="B3012" s="159" t="str">
        <f t="shared" si="238"/>
        <v>$I$1:$I$92</v>
      </c>
      <c r="C3012" s="159" t="str">
        <f t="shared" si="239"/>
        <v>January!$H$1:$H$92</v>
      </c>
      <c r="D3012" s="159" t="str">
        <f t="shared" si="240"/>
        <v>January!$I$1:$I$92</v>
      </c>
      <c r="E3012" t="s">
        <v>7</v>
      </c>
      <c r="F3012" t="s">
        <v>48</v>
      </c>
      <c r="G3012" t="s">
        <v>143</v>
      </c>
      <c r="H3012" t="s">
        <v>180</v>
      </c>
      <c r="I3012" t="e">
        <f t="shared" ca="1" si="236"/>
        <v>#REF!</v>
      </c>
      <c r="J3012" t="str">
        <f>VLOOKUP($G3012,DefinitionArrays!$I$6:$J$12,2,FALSE)</f>
        <v>Workweek</v>
      </c>
    </row>
    <row r="3013" spans="1:10">
      <c r="A3013" s="159" t="str">
        <f t="shared" si="237"/>
        <v>$H$1:$H$92</v>
      </c>
      <c r="B3013" s="159" t="str">
        <f t="shared" si="238"/>
        <v>$I$1:$I$92</v>
      </c>
      <c r="C3013" s="159" t="str">
        <f t="shared" si="239"/>
        <v>January!$H$1:$H$92</v>
      </c>
      <c r="D3013" s="159" t="str">
        <f t="shared" si="240"/>
        <v>January!$I$1:$I$92</v>
      </c>
      <c r="E3013" t="s">
        <v>7</v>
      </c>
      <c r="F3013" t="s">
        <v>48</v>
      </c>
      <c r="G3013" t="s">
        <v>143</v>
      </c>
      <c r="H3013" t="s">
        <v>44</v>
      </c>
      <c r="I3013" t="e">
        <f t="shared" ca="1" si="236"/>
        <v>#REF!</v>
      </c>
      <c r="J3013" t="str">
        <f>VLOOKUP($G3013,DefinitionArrays!$I$6:$J$12,2,FALSE)</f>
        <v>Workweek</v>
      </c>
    </row>
    <row r="3014" spans="1:10">
      <c r="A3014" s="159" t="str">
        <f t="shared" si="237"/>
        <v>$K$1:$K$92</v>
      </c>
      <c r="B3014" s="159" t="str">
        <f t="shared" si="238"/>
        <v>$L$1:$L$92</v>
      </c>
      <c r="C3014" s="159" t="str">
        <f t="shared" si="239"/>
        <v>January!$K$1:$K$92</v>
      </c>
      <c r="D3014" s="159" t="str">
        <f t="shared" si="240"/>
        <v>January!$L$1:$L$92</v>
      </c>
      <c r="E3014" t="s">
        <v>7</v>
      </c>
      <c r="F3014" t="s">
        <v>48</v>
      </c>
      <c r="G3014" t="s">
        <v>144</v>
      </c>
      <c r="H3014" t="s">
        <v>159</v>
      </c>
      <c r="I3014" t="e">
        <f t="shared" ca="1" si="236"/>
        <v>#REF!</v>
      </c>
      <c r="J3014" t="str">
        <f>VLOOKUP($G3014,DefinitionArrays!$I$6:$J$12,2,FALSE)</f>
        <v>Workweek</v>
      </c>
    </row>
    <row r="3015" spans="1:10">
      <c r="A3015" s="159" t="str">
        <f t="shared" si="237"/>
        <v>$K$1:$K$92</v>
      </c>
      <c r="B3015" s="159" t="str">
        <f t="shared" si="238"/>
        <v>$L$1:$L$92</v>
      </c>
      <c r="C3015" s="159" t="str">
        <f t="shared" si="239"/>
        <v>January!$K$1:$K$92</v>
      </c>
      <c r="D3015" s="159" t="str">
        <f t="shared" si="240"/>
        <v>January!$L$1:$L$92</v>
      </c>
      <c r="E3015" t="s">
        <v>7</v>
      </c>
      <c r="F3015" t="s">
        <v>48</v>
      </c>
      <c r="G3015" t="s">
        <v>144</v>
      </c>
      <c r="H3015" t="s">
        <v>18</v>
      </c>
      <c r="I3015" t="e">
        <f t="shared" ca="1" si="236"/>
        <v>#REF!</v>
      </c>
      <c r="J3015" t="str">
        <f>VLOOKUP($G3015,DefinitionArrays!$I$6:$J$12,2,FALSE)</f>
        <v>Workweek</v>
      </c>
    </row>
    <row r="3016" spans="1:10">
      <c r="A3016" s="159" t="str">
        <f t="shared" si="237"/>
        <v>$K$1:$K$92</v>
      </c>
      <c r="B3016" s="159" t="str">
        <f t="shared" si="238"/>
        <v>$L$1:$L$92</v>
      </c>
      <c r="C3016" s="159" t="str">
        <f t="shared" si="239"/>
        <v>January!$K$1:$K$92</v>
      </c>
      <c r="D3016" s="159" t="str">
        <f t="shared" si="240"/>
        <v>January!$L$1:$L$92</v>
      </c>
      <c r="E3016" t="s">
        <v>7</v>
      </c>
      <c r="F3016" t="s">
        <v>48</v>
      </c>
      <c r="G3016" t="s">
        <v>144</v>
      </c>
      <c r="H3016" t="s">
        <v>153</v>
      </c>
      <c r="I3016" t="e">
        <f t="shared" ca="1" si="236"/>
        <v>#REF!</v>
      </c>
      <c r="J3016" t="str">
        <f>VLOOKUP($G3016,DefinitionArrays!$I$6:$J$12,2,FALSE)</f>
        <v>Workweek</v>
      </c>
    </row>
    <row r="3017" spans="1:10">
      <c r="A3017" s="159" t="str">
        <f t="shared" si="237"/>
        <v>$K$1:$K$92</v>
      </c>
      <c r="B3017" s="159" t="str">
        <f t="shared" si="238"/>
        <v>$L$1:$L$92</v>
      </c>
      <c r="C3017" s="159" t="str">
        <f t="shared" si="239"/>
        <v>January!$K$1:$K$92</v>
      </c>
      <c r="D3017" s="159" t="str">
        <f t="shared" si="240"/>
        <v>January!$L$1:$L$92</v>
      </c>
      <c r="E3017" t="s">
        <v>7</v>
      </c>
      <c r="F3017" t="s">
        <v>48</v>
      </c>
      <c r="G3017" t="s">
        <v>144</v>
      </c>
      <c r="H3017" t="s">
        <v>19</v>
      </c>
      <c r="I3017" t="e">
        <f t="shared" ca="1" si="236"/>
        <v>#REF!</v>
      </c>
      <c r="J3017" t="str">
        <f>VLOOKUP($G3017,DefinitionArrays!$I$6:$J$12,2,FALSE)</f>
        <v>Workweek</v>
      </c>
    </row>
    <row r="3018" spans="1:10">
      <c r="A3018" s="159" t="str">
        <f t="shared" si="237"/>
        <v>$K$1:$K$92</v>
      </c>
      <c r="B3018" s="159" t="str">
        <f t="shared" si="238"/>
        <v>$L$1:$L$92</v>
      </c>
      <c r="C3018" s="159" t="str">
        <f t="shared" si="239"/>
        <v>January!$K$1:$K$92</v>
      </c>
      <c r="D3018" s="159" t="str">
        <f t="shared" si="240"/>
        <v>January!$L$1:$L$92</v>
      </c>
      <c r="E3018" t="s">
        <v>7</v>
      </c>
      <c r="F3018" t="s">
        <v>48</v>
      </c>
      <c r="G3018" t="s">
        <v>144</v>
      </c>
      <c r="H3018" t="s">
        <v>20</v>
      </c>
      <c r="I3018" t="e">
        <f t="shared" ca="1" si="236"/>
        <v>#REF!</v>
      </c>
      <c r="J3018" t="str">
        <f>VLOOKUP($G3018,DefinitionArrays!$I$6:$J$12,2,FALSE)</f>
        <v>Workweek</v>
      </c>
    </row>
    <row r="3019" spans="1:10">
      <c r="A3019" s="159" t="str">
        <f t="shared" si="237"/>
        <v>$K$1:$K$92</v>
      </c>
      <c r="B3019" s="159" t="str">
        <f t="shared" si="238"/>
        <v>$L$1:$L$92</v>
      </c>
      <c r="C3019" s="159" t="str">
        <f t="shared" si="239"/>
        <v>January!$K$1:$K$92</v>
      </c>
      <c r="D3019" s="159" t="str">
        <f t="shared" si="240"/>
        <v>January!$L$1:$L$92</v>
      </c>
      <c r="E3019" t="s">
        <v>7</v>
      </c>
      <c r="F3019" t="s">
        <v>48</v>
      </c>
      <c r="G3019" t="s">
        <v>144</v>
      </c>
      <c r="H3019" t="s">
        <v>21</v>
      </c>
      <c r="I3019" t="e">
        <f t="shared" ca="1" si="236"/>
        <v>#REF!</v>
      </c>
      <c r="J3019" t="str">
        <f>VLOOKUP($G3019,DefinitionArrays!$I$6:$J$12,2,FALSE)</f>
        <v>Workweek</v>
      </c>
    </row>
    <row r="3020" spans="1:10">
      <c r="A3020" s="159" t="str">
        <f t="shared" si="237"/>
        <v>$K$1:$K$92</v>
      </c>
      <c r="B3020" s="159" t="str">
        <f t="shared" si="238"/>
        <v>$L$1:$L$92</v>
      </c>
      <c r="C3020" s="159" t="str">
        <f t="shared" si="239"/>
        <v>January!$K$1:$K$92</v>
      </c>
      <c r="D3020" s="159" t="str">
        <f t="shared" si="240"/>
        <v>January!$L$1:$L$92</v>
      </c>
      <c r="E3020" t="s">
        <v>7</v>
      </c>
      <c r="F3020" t="s">
        <v>48</v>
      </c>
      <c r="G3020" t="s">
        <v>144</v>
      </c>
      <c r="H3020" t="s">
        <v>22</v>
      </c>
      <c r="I3020" t="e">
        <f t="shared" ca="1" si="236"/>
        <v>#REF!</v>
      </c>
      <c r="J3020" t="str">
        <f>VLOOKUP($G3020,DefinitionArrays!$I$6:$J$12,2,FALSE)</f>
        <v>Workweek</v>
      </c>
    </row>
    <row r="3021" spans="1:10">
      <c r="A3021" s="159" t="str">
        <f t="shared" si="237"/>
        <v>$K$1:$K$92</v>
      </c>
      <c r="B3021" s="159" t="str">
        <f t="shared" si="238"/>
        <v>$L$1:$L$92</v>
      </c>
      <c r="C3021" s="159" t="str">
        <f t="shared" si="239"/>
        <v>January!$K$1:$K$92</v>
      </c>
      <c r="D3021" s="159" t="str">
        <f t="shared" si="240"/>
        <v>January!$L$1:$L$92</v>
      </c>
      <c r="E3021" t="s">
        <v>7</v>
      </c>
      <c r="F3021" t="s">
        <v>48</v>
      </c>
      <c r="G3021" t="s">
        <v>144</v>
      </c>
      <c r="H3021" t="s">
        <v>23</v>
      </c>
      <c r="I3021" t="e">
        <f t="shared" ca="1" si="236"/>
        <v>#REF!</v>
      </c>
      <c r="J3021" t="str">
        <f>VLOOKUP($G3021,DefinitionArrays!$I$6:$J$12,2,FALSE)</f>
        <v>Workweek</v>
      </c>
    </row>
    <row r="3022" spans="1:10">
      <c r="A3022" s="159" t="str">
        <f t="shared" si="237"/>
        <v>$K$1:$K$92</v>
      </c>
      <c r="B3022" s="159" t="str">
        <f t="shared" si="238"/>
        <v>$L$1:$L$92</v>
      </c>
      <c r="C3022" s="159" t="str">
        <f t="shared" si="239"/>
        <v>January!$K$1:$K$92</v>
      </c>
      <c r="D3022" s="159" t="str">
        <f t="shared" si="240"/>
        <v>January!$L$1:$L$92</v>
      </c>
      <c r="E3022" t="s">
        <v>7</v>
      </c>
      <c r="F3022" t="s">
        <v>48</v>
      </c>
      <c r="G3022" t="s">
        <v>144</v>
      </c>
      <c r="H3022" t="s">
        <v>24</v>
      </c>
      <c r="I3022" t="e">
        <f t="shared" ca="1" si="236"/>
        <v>#REF!</v>
      </c>
      <c r="J3022" t="str">
        <f>VLOOKUP($G3022,DefinitionArrays!$I$6:$J$12,2,FALSE)</f>
        <v>Workweek</v>
      </c>
    </row>
    <row r="3023" spans="1:10">
      <c r="A3023" s="159" t="str">
        <f t="shared" si="237"/>
        <v>$K$1:$K$92</v>
      </c>
      <c r="B3023" s="159" t="str">
        <f t="shared" si="238"/>
        <v>$L$1:$L$92</v>
      </c>
      <c r="C3023" s="159" t="str">
        <f t="shared" si="239"/>
        <v>January!$K$1:$K$92</v>
      </c>
      <c r="D3023" s="159" t="str">
        <f t="shared" si="240"/>
        <v>January!$L$1:$L$92</v>
      </c>
      <c r="E3023" t="s">
        <v>7</v>
      </c>
      <c r="F3023" t="s">
        <v>48</v>
      </c>
      <c r="G3023" t="s">
        <v>144</v>
      </c>
      <c r="H3023" t="s">
        <v>179</v>
      </c>
      <c r="I3023" t="e">
        <f t="shared" ca="1" si="236"/>
        <v>#REF!</v>
      </c>
      <c r="J3023" t="str">
        <f>VLOOKUP($G3023,DefinitionArrays!$I$6:$J$12,2,FALSE)</f>
        <v>Workweek</v>
      </c>
    </row>
    <row r="3024" spans="1:10">
      <c r="A3024" s="159" t="str">
        <f t="shared" si="237"/>
        <v>$K$1:$K$92</v>
      </c>
      <c r="B3024" s="159" t="str">
        <f t="shared" si="238"/>
        <v>$L$1:$L$92</v>
      </c>
      <c r="C3024" s="159" t="str">
        <f t="shared" si="239"/>
        <v>January!$K$1:$K$92</v>
      </c>
      <c r="D3024" s="159" t="str">
        <f t="shared" si="240"/>
        <v>January!$L$1:$L$92</v>
      </c>
      <c r="E3024" t="s">
        <v>7</v>
      </c>
      <c r="F3024" t="s">
        <v>48</v>
      </c>
      <c r="G3024" t="s">
        <v>144</v>
      </c>
      <c r="H3024" t="s">
        <v>180</v>
      </c>
      <c r="I3024" t="e">
        <f t="shared" ca="1" si="236"/>
        <v>#REF!</v>
      </c>
      <c r="J3024" t="str">
        <f>VLOOKUP($G3024,DefinitionArrays!$I$6:$J$12,2,FALSE)</f>
        <v>Workweek</v>
      </c>
    </row>
    <row r="3025" spans="1:10">
      <c r="A3025" s="159" t="str">
        <f t="shared" si="237"/>
        <v>$K$1:$K$92</v>
      </c>
      <c r="B3025" s="159" t="str">
        <f t="shared" si="238"/>
        <v>$L$1:$L$92</v>
      </c>
      <c r="C3025" s="159" t="str">
        <f t="shared" si="239"/>
        <v>January!$K$1:$K$92</v>
      </c>
      <c r="D3025" s="159" t="str">
        <f t="shared" si="240"/>
        <v>January!$L$1:$L$92</v>
      </c>
      <c r="E3025" t="s">
        <v>7</v>
      </c>
      <c r="F3025" t="s">
        <v>48</v>
      </c>
      <c r="G3025" t="s">
        <v>144</v>
      </c>
      <c r="H3025" t="s">
        <v>44</v>
      </c>
      <c r="I3025" t="e">
        <f t="shared" ca="1" si="236"/>
        <v>#REF!</v>
      </c>
      <c r="J3025" t="str">
        <f>VLOOKUP($G3025,DefinitionArrays!$I$6:$J$12,2,FALSE)</f>
        <v>Workweek</v>
      </c>
    </row>
    <row r="3026" spans="1:10">
      <c r="A3026" s="159" t="str">
        <f t="shared" si="237"/>
        <v>$N$1:$N$92</v>
      </c>
      <c r="B3026" s="159" t="str">
        <f t="shared" si="238"/>
        <v>$O$1:$O$92</v>
      </c>
      <c r="C3026" s="159" t="str">
        <f t="shared" si="239"/>
        <v>January!$N$1:$N$92</v>
      </c>
      <c r="D3026" s="159" t="str">
        <f t="shared" si="240"/>
        <v>January!$O$1:$O$92</v>
      </c>
      <c r="E3026" t="s">
        <v>7</v>
      </c>
      <c r="F3026" t="s">
        <v>48</v>
      </c>
      <c r="G3026" t="s">
        <v>145</v>
      </c>
      <c r="H3026" t="s">
        <v>159</v>
      </c>
      <c r="I3026" t="e">
        <f t="shared" ca="1" si="236"/>
        <v>#REF!</v>
      </c>
      <c r="J3026" t="str">
        <f>VLOOKUP($G3026,DefinitionArrays!$I$6:$J$12,2,FALSE)</f>
        <v>Weekend</v>
      </c>
    </row>
    <row r="3027" spans="1:10">
      <c r="A3027" s="159" t="str">
        <f t="shared" si="237"/>
        <v>$N$1:$N$92</v>
      </c>
      <c r="B3027" s="159" t="str">
        <f t="shared" si="238"/>
        <v>$O$1:$O$92</v>
      </c>
      <c r="C3027" s="159" t="str">
        <f t="shared" si="239"/>
        <v>January!$N$1:$N$92</v>
      </c>
      <c r="D3027" s="159" t="str">
        <f t="shared" si="240"/>
        <v>January!$O$1:$O$92</v>
      </c>
      <c r="E3027" t="s">
        <v>7</v>
      </c>
      <c r="F3027" t="s">
        <v>48</v>
      </c>
      <c r="G3027" t="s">
        <v>145</v>
      </c>
      <c r="H3027" t="s">
        <v>18</v>
      </c>
      <c r="I3027" t="e">
        <f t="shared" ca="1" si="236"/>
        <v>#REF!</v>
      </c>
      <c r="J3027" t="str">
        <f>VLOOKUP($G3027,DefinitionArrays!$I$6:$J$12,2,FALSE)</f>
        <v>Weekend</v>
      </c>
    </row>
    <row r="3028" spans="1:10">
      <c r="A3028" s="159" t="str">
        <f t="shared" si="237"/>
        <v>$N$1:$N$92</v>
      </c>
      <c r="B3028" s="159" t="str">
        <f t="shared" si="238"/>
        <v>$O$1:$O$92</v>
      </c>
      <c r="C3028" s="159" t="str">
        <f t="shared" si="239"/>
        <v>January!$N$1:$N$92</v>
      </c>
      <c r="D3028" s="159" t="str">
        <f t="shared" si="240"/>
        <v>January!$O$1:$O$92</v>
      </c>
      <c r="E3028" t="s">
        <v>7</v>
      </c>
      <c r="F3028" t="s">
        <v>48</v>
      </c>
      <c r="G3028" t="s">
        <v>145</v>
      </c>
      <c r="H3028" t="s">
        <v>153</v>
      </c>
      <c r="I3028" t="e">
        <f t="shared" ca="1" si="236"/>
        <v>#REF!</v>
      </c>
      <c r="J3028" t="str">
        <f>VLOOKUP($G3028,DefinitionArrays!$I$6:$J$12,2,FALSE)</f>
        <v>Weekend</v>
      </c>
    </row>
    <row r="3029" spans="1:10">
      <c r="A3029" s="159" t="str">
        <f t="shared" si="237"/>
        <v>$N$1:$N$92</v>
      </c>
      <c r="B3029" s="159" t="str">
        <f t="shared" si="238"/>
        <v>$O$1:$O$92</v>
      </c>
      <c r="C3029" s="159" t="str">
        <f t="shared" si="239"/>
        <v>January!$N$1:$N$92</v>
      </c>
      <c r="D3029" s="159" t="str">
        <f t="shared" si="240"/>
        <v>January!$O$1:$O$92</v>
      </c>
      <c r="E3029" t="s">
        <v>7</v>
      </c>
      <c r="F3029" t="s">
        <v>48</v>
      </c>
      <c r="G3029" t="s">
        <v>145</v>
      </c>
      <c r="H3029" t="s">
        <v>19</v>
      </c>
      <c r="I3029" t="e">
        <f t="shared" ca="1" si="236"/>
        <v>#REF!</v>
      </c>
      <c r="J3029" t="str">
        <f>VLOOKUP($G3029,DefinitionArrays!$I$6:$J$12,2,FALSE)</f>
        <v>Weekend</v>
      </c>
    </row>
    <row r="3030" spans="1:10">
      <c r="A3030" s="159" t="str">
        <f t="shared" si="237"/>
        <v>$N$1:$N$92</v>
      </c>
      <c r="B3030" s="159" t="str">
        <f t="shared" si="238"/>
        <v>$O$1:$O$92</v>
      </c>
      <c r="C3030" s="159" t="str">
        <f t="shared" si="239"/>
        <v>January!$N$1:$N$92</v>
      </c>
      <c r="D3030" s="159" t="str">
        <f t="shared" si="240"/>
        <v>January!$O$1:$O$92</v>
      </c>
      <c r="E3030" t="s">
        <v>7</v>
      </c>
      <c r="F3030" t="s">
        <v>48</v>
      </c>
      <c r="G3030" t="s">
        <v>145</v>
      </c>
      <c r="H3030" t="s">
        <v>20</v>
      </c>
      <c r="I3030" t="e">
        <f t="shared" ca="1" si="236"/>
        <v>#REF!</v>
      </c>
      <c r="J3030" t="str">
        <f>VLOOKUP($G3030,DefinitionArrays!$I$6:$J$12,2,FALSE)</f>
        <v>Weekend</v>
      </c>
    </row>
    <row r="3031" spans="1:10">
      <c r="A3031" s="159" t="str">
        <f t="shared" si="237"/>
        <v>$N$1:$N$92</v>
      </c>
      <c r="B3031" s="159" t="str">
        <f t="shared" si="238"/>
        <v>$O$1:$O$92</v>
      </c>
      <c r="C3031" s="159" t="str">
        <f t="shared" si="239"/>
        <v>January!$N$1:$N$92</v>
      </c>
      <c r="D3031" s="159" t="str">
        <f t="shared" si="240"/>
        <v>January!$O$1:$O$92</v>
      </c>
      <c r="E3031" t="s">
        <v>7</v>
      </c>
      <c r="F3031" t="s">
        <v>48</v>
      </c>
      <c r="G3031" t="s">
        <v>145</v>
      </c>
      <c r="H3031" t="s">
        <v>21</v>
      </c>
      <c r="I3031" t="e">
        <f t="shared" ca="1" si="236"/>
        <v>#REF!</v>
      </c>
      <c r="J3031" t="str">
        <f>VLOOKUP($G3031,DefinitionArrays!$I$6:$J$12,2,FALSE)</f>
        <v>Weekend</v>
      </c>
    </row>
    <row r="3032" spans="1:10">
      <c r="A3032" s="159" t="str">
        <f t="shared" si="237"/>
        <v>$N$1:$N$92</v>
      </c>
      <c r="B3032" s="159" t="str">
        <f t="shared" si="238"/>
        <v>$O$1:$O$92</v>
      </c>
      <c r="C3032" s="159" t="str">
        <f t="shared" si="239"/>
        <v>January!$N$1:$N$92</v>
      </c>
      <c r="D3032" s="159" t="str">
        <f t="shared" si="240"/>
        <v>January!$O$1:$O$92</v>
      </c>
      <c r="E3032" t="s">
        <v>7</v>
      </c>
      <c r="F3032" t="s">
        <v>48</v>
      </c>
      <c r="G3032" t="s">
        <v>145</v>
      </c>
      <c r="H3032" t="s">
        <v>22</v>
      </c>
      <c r="I3032" t="e">
        <f t="shared" ca="1" si="236"/>
        <v>#REF!</v>
      </c>
      <c r="J3032" t="str">
        <f>VLOOKUP($G3032,DefinitionArrays!$I$6:$J$12,2,FALSE)</f>
        <v>Weekend</v>
      </c>
    </row>
    <row r="3033" spans="1:10">
      <c r="A3033" s="159" t="str">
        <f t="shared" si="237"/>
        <v>$N$1:$N$92</v>
      </c>
      <c r="B3033" s="159" t="str">
        <f t="shared" si="238"/>
        <v>$O$1:$O$92</v>
      </c>
      <c r="C3033" s="159" t="str">
        <f t="shared" si="239"/>
        <v>January!$N$1:$N$92</v>
      </c>
      <c r="D3033" s="159" t="str">
        <f t="shared" si="240"/>
        <v>January!$O$1:$O$92</v>
      </c>
      <c r="E3033" t="s">
        <v>7</v>
      </c>
      <c r="F3033" t="s">
        <v>48</v>
      </c>
      <c r="G3033" t="s">
        <v>145</v>
      </c>
      <c r="H3033" t="s">
        <v>23</v>
      </c>
      <c r="I3033" t="e">
        <f t="shared" ca="1" si="236"/>
        <v>#REF!</v>
      </c>
      <c r="J3033" t="str">
        <f>VLOOKUP($G3033,DefinitionArrays!$I$6:$J$12,2,FALSE)</f>
        <v>Weekend</v>
      </c>
    </row>
    <row r="3034" spans="1:10">
      <c r="A3034" s="159" t="str">
        <f t="shared" si="237"/>
        <v>$N$1:$N$92</v>
      </c>
      <c r="B3034" s="159" t="str">
        <f t="shared" si="238"/>
        <v>$O$1:$O$92</v>
      </c>
      <c r="C3034" s="159" t="str">
        <f t="shared" si="239"/>
        <v>January!$N$1:$N$92</v>
      </c>
      <c r="D3034" s="159" t="str">
        <f t="shared" si="240"/>
        <v>January!$O$1:$O$92</v>
      </c>
      <c r="E3034" t="s">
        <v>7</v>
      </c>
      <c r="F3034" t="s">
        <v>48</v>
      </c>
      <c r="G3034" t="s">
        <v>145</v>
      </c>
      <c r="H3034" t="s">
        <v>24</v>
      </c>
      <c r="I3034" t="e">
        <f t="shared" ca="1" si="236"/>
        <v>#REF!</v>
      </c>
      <c r="J3034" t="str">
        <f>VLOOKUP($G3034,DefinitionArrays!$I$6:$J$12,2,FALSE)</f>
        <v>Weekend</v>
      </c>
    </row>
    <row r="3035" spans="1:10">
      <c r="A3035" s="159" t="str">
        <f t="shared" si="237"/>
        <v>$N$1:$N$92</v>
      </c>
      <c r="B3035" s="159" t="str">
        <f t="shared" si="238"/>
        <v>$O$1:$O$92</v>
      </c>
      <c r="C3035" s="159" t="str">
        <f t="shared" si="239"/>
        <v>January!$N$1:$N$92</v>
      </c>
      <c r="D3035" s="159" t="str">
        <f t="shared" si="240"/>
        <v>January!$O$1:$O$92</v>
      </c>
      <c r="E3035" t="s">
        <v>7</v>
      </c>
      <c r="F3035" t="s">
        <v>48</v>
      </c>
      <c r="G3035" t="s">
        <v>145</v>
      </c>
      <c r="H3035" t="s">
        <v>179</v>
      </c>
      <c r="I3035" t="e">
        <f t="shared" ca="1" si="236"/>
        <v>#REF!</v>
      </c>
      <c r="J3035" t="str">
        <f>VLOOKUP($G3035,DefinitionArrays!$I$6:$J$12,2,FALSE)</f>
        <v>Weekend</v>
      </c>
    </row>
    <row r="3036" spans="1:10">
      <c r="A3036" s="159" t="str">
        <f t="shared" si="237"/>
        <v>$N$1:$N$92</v>
      </c>
      <c r="B3036" s="159" t="str">
        <f t="shared" si="238"/>
        <v>$O$1:$O$92</v>
      </c>
      <c r="C3036" s="159" t="str">
        <f t="shared" si="239"/>
        <v>January!$N$1:$N$92</v>
      </c>
      <c r="D3036" s="159" t="str">
        <f t="shared" si="240"/>
        <v>January!$O$1:$O$92</v>
      </c>
      <c r="E3036" t="s">
        <v>7</v>
      </c>
      <c r="F3036" t="s">
        <v>48</v>
      </c>
      <c r="G3036" t="s">
        <v>145</v>
      </c>
      <c r="H3036" t="s">
        <v>180</v>
      </c>
      <c r="I3036" t="e">
        <f t="shared" ca="1" si="236"/>
        <v>#REF!</v>
      </c>
      <c r="J3036" t="str">
        <f>VLOOKUP($G3036,DefinitionArrays!$I$6:$J$12,2,FALSE)</f>
        <v>Weekend</v>
      </c>
    </row>
    <row r="3037" spans="1:10">
      <c r="A3037" s="159" t="str">
        <f t="shared" si="237"/>
        <v>$N$1:$N$92</v>
      </c>
      <c r="B3037" s="159" t="str">
        <f t="shared" si="238"/>
        <v>$O$1:$O$92</v>
      </c>
      <c r="C3037" s="159" t="str">
        <f t="shared" si="239"/>
        <v>January!$N$1:$N$92</v>
      </c>
      <c r="D3037" s="159" t="str">
        <f t="shared" si="240"/>
        <v>January!$O$1:$O$92</v>
      </c>
      <c r="E3037" t="s">
        <v>7</v>
      </c>
      <c r="F3037" t="s">
        <v>48</v>
      </c>
      <c r="G3037" t="s">
        <v>145</v>
      </c>
      <c r="H3037" t="s">
        <v>44</v>
      </c>
      <c r="I3037" t="e">
        <f t="shared" ca="1" si="236"/>
        <v>#REF!</v>
      </c>
      <c r="J3037" t="str">
        <f>VLOOKUP($G3037,DefinitionArrays!$I$6:$J$12,2,FALSE)</f>
        <v>Weekend</v>
      </c>
    </row>
    <row r="3038" spans="1:10">
      <c r="A3038" s="159" t="str">
        <f t="shared" si="237"/>
        <v>$Q$1:$Q$92</v>
      </c>
      <c r="B3038" s="159" t="str">
        <f t="shared" si="238"/>
        <v>$R$1:$R$92</v>
      </c>
      <c r="C3038" s="159" t="str">
        <f t="shared" si="239"/>
        <v>January!$Q$1:$Q$92</v>
      </c>
      <c r="D3038" s="159" t="str">
        <f t="shared" si="240"/>
        <v>January!$R$1:$R$92</v>
      </c>
      <c r="E3038" t="s">
        <v>7</v>
      </c>
      <c r="F3038" t="s">
        <v>48</v>
      </c>
      <c r="G3038" t="s">
        <v>146</v>
      </c>
      <c r="H3038" t="s">
        <v>159</v>
      </c>
      <c r="I3038" t="e">
        <f t="shared" ca="1" si="236"/>
        <v>#REF!</v>
      </c>
      <c r="J3038" t="str">
        <f>VLOOKUP($G3038,DefinitionArrays!$I$6:$J$12,2,FALSE)</f>
        <v>Weekend</v>
      </c>
    </row>
    <row r="3039" spans="1:10">
      <c r="A3039" s="159" t="str">
        <f t="shared" si="237"/>
        <v>$T$1:$T$92</v>
      </c>
      <c r="B3039" s="159" t="str">
        <f t="shared" si="238"/>
        <v>$U$1:$U$92</v>
      </c>
      <c r="C3039" s="159" t="str">
        <f t="shared" si="239"/>
        <v>January!$T$1:$T$92</v>
      </c>
      <c r="D3039" s="159" t="str">
        <f t="shared" si="240"/>
        <v>January!$U$1:$U$92</v>
      </c>
      <c r="E3039" t="s">
        <v>7</v>
      </c>
      <c r="F3039" t="s">
        <v>48</v>
      </c>
      <c r="G3039" t="s">
        <v>141</v>
      </c>
      <c r="H3039" t="s">
        <v>159</v>
      </c>
      <c r="I3039" t="e">
        <f t="shared" ca="1" si="236"/>
        <v>#REF!</v>
      </c>
      <c r="J3039" t="str">
        <f>VLOOKUP($G3039,DefinitionArrays!$I$6:$J$12,2,FALSE)</f>
        <v>Weekend</v>
      </c>
    </row>
    <row r="3040" spans="1:10">
      <c r="A3040" s="159" t="str">
        <f t="shared" si="237"/>
        <v>$B$1:$B$92</v>
      </c>
      <c r="B3040" s="159" t="str">
        <f t="shared" si="238"/>
        <v>$C$1:$C$92</v>
      </c>
      <c r="C3040" s="159" t="str">
        <f t="shared" si="239"/>
        <v>February!$B$1:$B$92</v>
      </c>
      <c r="D3040" s="159" t="str">
        <f t="shared" si="240"/>
        <v>February!$C$1:$C$92</v>
      </c>
      <c r="E3040" t="s">
        <v>7</v>
      </c>
      <c r="F3040" t="s">
        <v>121</v>
      </c>
      <c r="G3040" t="s">
        <v>13</v>
      </c>
      <c r="H3040" t="s">
        <v>159</v>
      </c>
      <c r="I3040" t="e">
        <f ca="1">COUNTIFS(INDIRECT($C3040),$E3040,INDIRECT($D3040),$H3040)</f>
        <v>#REF!</v>
      </c>
      <c r="J3040" t="str">
        <f>VLOOKUP($G3040,DefinitionArrays!$I$6:$J$12,2,FALSE)</f>
        <v>Workweek</v>
      </c>
    </row>
    <row r="3041" spans="1:10">
      <c r="A3041" s="159" t="str">
        <f t="shared" si="237"/>
        <v>$B$1:$B$92</v>
      </c>
      <c r="B3041" s="159" t="str">
        <f t="shared" si="238"/>
        <v>$C$1:$C$92</v>
      </c>
      <c r="C3041" s="159" t="str">
        <f t="shared" si="239"/>
        <v>February!$B$1:$B$92</v>
      </c>
      <c r="D3041" s="159" t="str">
        <f t="shared" si="240"/>
        <v>February!$C$1:$C$92</v>
      </c>
      <c r="E3041" t="s">
        <v>7</v>
      </c>
      <c r="F3041" t="s">
        <v>121</v>
      </c>
      <c r="G3041" t="s">
        <v>13</v>
      </c>
      <c r="H3041" t="s">
        <v>18</v>
      </c>
      <c r="I3041" t="e">
        <f t="shared" ref="I3041:I3101" ca="1" si="241">COUNTIFS(INDIRECT($C3041),$E3041,INDIRECT($D3041),$H3041)</f>
        <v>#REF!</v>
      </c>
      <c r="J3041" t="str">
        <f>VLOOKUP($G3041,DefinitionArrays!$I$6:$J$12,2,FALSE)</f>
        <v>Workweek</v>
      </c>
    </row>
    <row r="3042" spans="1:10">
      <c r="A3042" s="159" t="str">
        <f t="shared" si="237"/>
        <v>$B$1:$B$92</v>
      </c>
      <c r="B3042" s="159" t="str">
        <f t="shared" si="238"/>
        <v>$C$1:$C$92</v>
      </c>
      <c r="C3042" s="159" t="str">
        <f t="shared" si="239"/>
        <v>February!$B$1:$B$92</v>
      </c>
      <c r="D3042" s="159" t="str">
        <f t="shared" si="240"/>
        <v>February!$C$1:$C$92</v>
      </c>
      <c r="E3042" t="s">
        <v>7</v>
      </c>
      <c r="F3042" t="s">
        <v>121</v>
      </c>
      <c r="G3042" t="s">
        <v>13</v>
      </c>
      <c r="H3042" t="s">
        <v>153</v>
      </c>
      <c r="I3042" t="e">
        <f t="shared" ca="1" si="241"/>
        <v>#REF!</v>
      </c>
      <c r="J3042" t="str">
        <f>VLOOKUP($G3042,DefinitionArrays!$I$6:$J$12,2,FALSE)</f>
        <v>Workweek</v>
      </c>
    </row>
    <row r="3043" spans="1:10">
      <c r="A3043" s="159" t="str">
        <f t="shared" si="237"/>
        <v>$B$1:$B$92</v>
      </c>
      <c r="B3043" s="159" t="str">
        <f t="shared" si="238"/>
        <v>$C$1:$C$92</v>
      </c>
      <c r="C3043" s="159" t="str">
        <f t="shared" si="239"/>
        <v>February!$B$1:$B$92</v>
      </c>
      <c r="D3043" s="159" t="str">
        <f t="shared" si="240"/>
        <v>February!$C$1:$C$92</v>
      </c>
      <c r="E3043" t="s">
        <v>7</v>
      </c>
      <c r="F3043" t="s">
        <v>121</v>
      </c>
      <c r="G3043" t="s">
        <v>13</v>
      </c>
      <c r="H3043" t="s">
        <v>19</v>
      </c>
      <c r="I3043" t="e">
        <f t="shared" ca="1" si="241"/>
        <v>#REF!</v>
      </c>
      <c r="J3043" t="str">
        <f>VLOOKUP($G3043,DefinitionArrays!$I$6:$J$12,2,FALSE)</f>
        <v>Workweek</v>
      </c>
    </row>
    <row r="3044" spans="1:10">
      <c r="A3044" s="159" t="str">
        <f t="shared" si="237"/>
        <v>$B$1:$B$92</v>
      </c>
      <c r="B3044" s="159" t="str">
        <f t="shared" si="238"/>
        <v>$C$1:$C$92</v>
      </c>
      <c r="C3044" s="159" t="str">
        <f t="shared" si="239"/>
        <v>February!$B$1:$B$92</v>
      </c>
      <c r="D3044" s="159" t="str">
        <f t="shared" si="240"/>
        <v>February!$C$1:$C$92</v>
      </c>
      <c r="E3044" t="s">
        <v>7</v>
      </c>
      <c r="F3044" t="s">
        <v>121</v>
      </c>
      <c r="G3044" t="s">
        <v>13</v>
      </c>
      <c r="H3044" t="s">
        <v>20</v>
      </c>
      <c r="I3044" t="e">
        <f t="shared" ca="1" si="241"/>
        <v>#REF!</v>
      </c>
      <c r="J3044" t="str">
        <f>VLOOKUP($G3044,DefinitionArrays!$I$6:$J$12,2,FALSE)</f>
        <v>Workweek</v>
      </c>
    </row>
    <row r="3045" spans="1:10">
      <c r="A3045" s="159" t="str">
        <f t="shared" si="237"/>
        <v>$B$1:$B$92</v>
      </c>
      <c r="B3045" s="159" t="str">
        <f t="shared" si="238"/>
        <v>$C$1:$C$92</v>
      </c>
      <c r="C3045" s="159" t="str">
        <f t="shared" si="239"/>
        <v>February!$B$1:$B$92</v>
      </c>
      <c r="D3045" s="159" t="str">
        <f t="shared" si="240"/>
        <v>February!$C$1:$C$92</v>
      </c>
      <c r="E3045" t="s">
        <v>7</v>
      </c>
      <c r="F3045" t="s">
        <v>121</v>
      </c>
      <c r="G3045" t="s">
        <v>13</v>
      </c>
      <c r="H3045" t="s">
        <v>21</v>
      </c>
      <c r="I3045" t="e">
        <f t="shared" ca="1" si="241"/>
        <v>#REF!</v>
      </c>
      <c r="J3045" t="str">
        <f>VLOOKUP($G3045,DefinitionArrays!$I$6:$J$12,2,FALSE)</f>
        <v>Workweek</v>
      </c>
    </row>
    <row r="3046" spans="1:10">
      <c r="A3046" s="159" t="str">
        <f t="shared" si="237"/>
        <v>$B$1:$B$92</v>
      </c>
      <c r="B3046" s="159" t="str">
        <f t="shared" si="238"/>
        <v>$C$1:$C$92</v>
      </c>
      <c r="C3046" s="159" t="str">
        <f t="shared" si="239"/>
        <v>February!$B$1:$B$92</v>
      </c>
      <c r="D3046" s="159" t="str">
        <f t="shared" si="240"/>
        <v>February!$C$1:$C$92</v>
      </c>
      <c r="E3046" t="s">
        <v>7</v>
      </c>
      <c r="F3046" t="s">
        <v>121</v>
      </c>
      <c r="G3046" t="s">
        <v>13</v>
      </c>
      <c r="H3046" t="s">
        <v>22</v>
      </c>
      <c r="I3046" t="e">
        <f t="shared" ca="1" si="241"/>
        <v>#REF!</v>
      </c>
      <c r="J3046" t="str">
        <f>VLOOKUP($G3046,DefinitionArrays!$I$6:$J$12,2,FALSE)</f>
        <v>Workweek</v>
      </c>
    </row>
    <row r="3047" spans="1:10">
      <c r="A3047" s="159" t="str">
        <f t="shared" si="237"/>
        <v>$B$1:$B$92</v>
      </c>
      <c r="B3047" s="159" t="str">
        <f t="shared" si="238"/>
        <v>$C$1:$C$92</v>
      </c>
      <c r="C3047" s="159" t="str">
        <f t="shared" si="239"/>
        <v>February!$B$1:$B$92</v>
      </c>
      <c r="D3047" s="159" t="str">
        <f t="shared" si="240"/>
        <v>February!$C$1:$C$92</v>
      </c>
      <c r="E3047" t="s">
        <v>7</v>
      </c>
      <c r="F3047" t="s">
        <v>121</v>
      </c>
      <c r="G3047" t="s">
        <v>13</v>
      </c>
      <c r="H3047" t="s">
        <v>23</v>
      </c>
      <c r="I3047" t="e">
        <f t="shared" ca="1" si="241"/>
        <v>#REF!</v>
      </c>
      <c r="J3047" t="str">
        <f>VLOOKUP($G3047,DefinitionArrays!$I$6:$J$12,2,FALSE)</f>
        <v>Workweek</v>
      </c>
    </row>
    <row r="3048" spans="1:10">
      <c r="A3048" s="159" t="str">
        <f t="shared" si="237"/>
        <v>$B$1:$B$92</v>
      </c>
      <c r="B3048" s="159" t="str">
        <f t="shared" si="238"/>
        <v>$C$1:$C$92</v>
      </c>
      <c r="C3048" s="159" t="str">
        <f t="shared" si="239"/>
        <v>February!$B$1:$B$92</v>
      </c>
      <c r="D3048" s="159" t="str">
        <f t="shared" si="240"/>
        <v>February!$C$1:$C$92</v>
      </c>
      <c r="E3048" t="s">
        <v>7</v>
      </c>
      <c r="F3048" t="s">
        <v>121</v>
      </c>
      <c r="G3048" t="s">
        <v>13</v>
      </c>
      <c r="H3048" t="s">
        <v>24</v>
      </c>
      <c r="I3048" t="e">
        <f t="shared" ca="1" si="241"/>
        <v>#REF!</v>
      </c>
      <c r="J3048" t="str">
        <f>VLOOKUP($G3048,DefinitionArrays!$I$6:$J$12,2,FALSE)</f>
        <v>Workweek</v>
      </c>
    </row>
    <row r="3049" spans="1:10">
      <c r="A3049" s="159" t="str">
        <f t="shared" si="237"/>
        <v>$B$1:$B$92</v>
      </c>
      <c r="B3049" s="159" t="str">
        <f t="shared" si="238"/>
        <v>$C$1:$C$92</v>
      </c>
      <c r="C3049" s="159" t="str">
        <f t="shared" si="239"/>
        <v>February!$B$1:$B$92</v>
      </c>
      <c r="D3049" s="159" t="str">
        <f t="shared" si="240"/>
        <v>February!$C$1:$C$92</v>
      </c>
      <c r="E3049" t="s">
        <v>7</v>
      </c>
      <c r="F3049" t="s">
        <v>121</v>
      </c>
      <c r="G3049" t="s">
        <v>13</v>
      </c>
      <c r="H3049" t="s">
        <v>179</v>
      </c>
      <c r="I3049" t="e">
        <f t="shared" ca="1" si="241"/>
        <v>#REF!</v>
      </c>
      <c r="J3049" t="str">
        <f>VLOOKUP($G3049,DefinitionArrays!$I$6:$J$12,2,FALSE)</f>
        <v>Workweek</v>
      </c>
    </row>
    <row r="3050" spans="1:10">
      <c r="A3050" s="159" t="str">
        <f t="shared" si="237"/>
        <v>$B$1:$B$92</v>
      </c>
      <c r="B3050" s="159" t="str">
        <f t="shared" si="238"/>
        <v>$C$1:$C$92</v>
      </c>
      <c r="C3050" s="159" t="str">
        <f t="shared" si="239"/>
        <v>February!$B$1:$B$92</v>
      </c>
      <c r="D3050" s="159" t="str">
        <f t="shared" si="240"/>
        <v>February!$C$1:$C$92</v>
      </c>
      <c r="E3050" t="s">
        <v>7</v>
      </c>
      <c r="F3050" t="s">
        <v>121</v>
      </c>
      <c r="G3050" t="s">
        <v>13</v>
      </c>
      <c r="H3050" t="s">
        <v>180</v>
      </c>
      <c r="I3050" t="e">
        <f t="shared" ca="1" si="241"/>
        <v>#REF!</v>
      </c>
      <c r="J3050" t="str">
        <f>VLOOKUP($G3050,DefinitionArrays!$I$6:$J$12,2,FALSE)</f>
        <v>Workweek</v>
      </c>
    </row>
    <row r="3051" spans="1:10">
      <c r="A3051" s="159" t="str">
        <f t="shared" si="237"/>
        <v>$B$1:$B$92</v>
      </c>
      <c r="B3051" s="159" t="str">
        <f t="shared" si="238"/>
        <v>$C$1:$C$92</v>
      </c>
      <c r="C3051" s="159" t="str">
        <f t="shared" si="239"/>
        <v>February!$B$1:$B$92</v>
      </c>
      <c r="D3051" s="159" t="str">
        <f t="shared" si="240"/>
        <v>February!$C$1:$C$92</v>
      </c>
      <c r="E3051" t="s">
        <v>7</v>
      </c>
      <c r="F3051" t="s">
        <v>121</v>
      </c>
      <c r="G3051" t="s">
        <v>13</v>
      </c>
      <c r="H3051" t="s">
        <v>44</v>
      </c>
      <c r="I3051" t="e">
        <f t="shared" ca="1" si="241"/>
        <v>#REF!</v>
      </c>
      <c r="J3051" t="str">
        <f>VLOOKUP($G3051,DefinitionArrays!$I$6:$J$12,2,FALSE)</f>
        <v>Workweek</v>
      </c>
    </row>
    <row r="3052" spans="1:10">
      <c r="A3052" s="159" t="str">
        <f t="shared" si="237"/>
        <v>$E$1:$E$92</v>
      </c>
      <c r="B3052" s="159" t="str">
        <f t="shared" si="238"/>
        <v>$F$1:$F$92</v>
      </c>
      <c r="C3052" s="159" t="str">
        <f t="shared" si="239"/>
        <v>February!$E$1:$E$92</v>
      </c>
      <c r="D3052" s="159" t="str">
        <f t="shared" si="240"/>
        <v>February!$F$1:$F$92</v>
      </c>
      <c r="E3052" t="s">
        <v>7</v>
      </c>
      <c r="F3052" t="s">
        <v>121</v>
      </c>
      <c r="G3052" t="s">
        <v>142</v>
      </c>
      <c r="H3052" t="s">
        <v>159</v>
      </c>
      <c r="I3052" t="e">
        <f t="shared" ca="1" si="241"/>
        <v>#REF!</v>
      </c>
      <c r="J3052" t="str">
        <f>VLOOKUP($G3052,DefinitionArrays!$I$6:$J$12,2,FALSE)</f>
        <v>Workweek</v>
      </c>
    </row>
    <row r="3053" spans="1:10">
      <c r="A3053" s="159" t="str">
        <f t="shared" si="237"/>
        <v>$E$1:$E$92</v>
      </c>
      <c r="B3053" s="159" t="str">
        <f t="shared" si="238"/>
        <v>$F$1:$F$92</v>
      </c>
      <c r="C3053" s="159" t="str">
        <f t="shared" si="239"/>
        <v>February!$E$1:$E$92</v>
      </c>
      <c r="D3053" s="159" t="str">
        <f t="shared" si="240"/>
        <v>February!$F$1:$F$92</v>
      </c>
      <c r="E3053" t="s">
        <v>7</v>
      </c>
      <c r="F3053" t="s">
        <v>121</v>
      </c>
      <c r="G3053" t="s">
        <v>142</v>
      </c>
      <c r="H3053" t="s">
        <v>18</v>
      </c>
      <c r="I3053" t="e">
        <f t="shared" ca="1" si="241"/>
        <v>#REF!</v>
      </c>
      <c r="J3053" t="str">
        <f>VLOOKUP($G3053,DefinitionArrays!$I$6:$J$12,2,FALSE)</f>
        <v>Workweek</v>
      </c>
    </row>
    <row r="3054" spans="1:10">
      <c r="A3054" s="159" t="str">
        <f t="shared" si="237"/>
        <v>$E$1:$E$92</v>
      </c>
      <c r="B3054" s="159" t="str">
        <f t="shared" si="238"/>
        <v>$F$1:$F$92</v>
      </c>
      <c r="C3054" s="159" t="str">
        <f t="shared" si="239"/>
        <v>February!$E$1:$E$92</v>
      </c>
      <c r="D3054" s="159" t="str">
        <f t="shared" si="240"/>
        <v>February!$F$1:$F$92</v>
      </c>
      <c r="E3054" t="s">
        <v>7</v>
      </c>
      <c r="F3054" t="s">
        <v>121</v>
      </c>
      <c r="G3054" t="s">
        <v>142</v>
      </c>
      <c r="H3054" t="s">
        <v>153</v>
      </c>
      <c r="I3054" t="e">
        <f t="shared" ca="1" si="241"/>
        <v>#REF!</v>
      </c>
      <c r="J3054" t="str">
        <f>VLOOKUP($G3054,DefinitionArrays!$I$6:$J$12,2,FALSE)</f>
        <v>Workweek</v>
      </c>
    </row>
    <row r="3055" spans="1:10">
      <c r="A3055" s="159" t="str">
        <f t="shared" si="237"/>
        <v>$E$1:$E$92</v>
      </c>
      <c r="B3055" s="159" t="str">
        <f t="shared" si="238"/>
        <v>$F$1:$F$92</v>
      </c>
      <c r="C3055" s="159" t="str">
        <f t="shared" si="239"/>
        <v>February!$E$1:$E$92</v>
      </c>
      <c r="D3055" s="159" t="str">
        <f t="shared" si="240"/>
        <v>February!$F$1:$F$92</v>
      </c>
      <c r="E3055" t="s">
        <v>7</v>
      </c>
      <c r="F3055" t="s">
        <v>121</v>
      </c>
      <c r="G3055" t="s">
        <v>142</v>
      </c>
      <c r="H3055" t="s">
        <v>19</v>
      </c>
      <c r="I3055" t="e">
        <f t="shared" ca="1" si="241"/>
        <v>#REF!</v>
      </c>
      <c r="J3055" t="str">
        <f>VLOOKUP($G3055,DefinitionArrays!$I$6:$J$12,2,FALSE)</f>
        <v>Workweek</v>
      </c>
    </row>
    <row r="3056" spans="1:10">
      <c r="A3056" s="159" t="str">
        <f t="shared" si="237"/>
        <v>$E$1:$E$92</v>
      </c>
      <c r="B3056" s="159" t="str">
        <f t="shared" si="238"/>
        <v>$F$1:$F$92</v>
      </c>
      <c r="C3056" s="159" t="str">
        <f t="shared" si="239"/>
        <v>February!$E$1:$E$92</v>
      </c>
      <c r="D3056" s="159" t="str">
        <f t="shared" si="240"/>
        <v>February!$F$1:$F$92</v>
      </c>
      <c r="E3056" t="s">
        <v>7</v>
      </c>
      <c r="F3056" t="s">
        <v>121</v>
      </c>
      <c r="G3056" t="s">
        <v>142</v>
      </c>
      <c r="H3056" t="s">
        <v>20</v>
      </c>
      <c r="I3056" t="e">
        <f t="shared" ca="1" si="241"/>
        <v>#REF!</v>
      </c>
      <c r="J3056" t="str">
        <f>VLOOKUP($G3056,DefinitionArrays!$I$6:$J$12,2,FALSE)</f>
        <v>Workweek</v>
      </c>
    </row>
    <row r="3057" spans="1:10">
      <c r="A3057" s="159" t="str">
        <f t="shared" si="237"/>
        <v>$E$1:$E$92</v>
      </c>
      <c r="B3057" s="159" t="str">
        <f t="shared" si="238"/>
        <v>$F$1:$F$92</v>
      </c>
      <c r="C3057" s="159" t="str">
        <f t="shared" si="239"/>
        <v>February!$E$1:$E$92</v>
      </c>
      <c r="D3057" s="159" t="str">
        <f t="shared" si="240"/>
        <v>February!$F$1:$F$92</v>
      </c>
      <c r="E3057" t="s">
        <v>7</v>
      </c>
      <c r="F3057" t="s">
        <v>121</v>
      </c>
      <c r="G3057" t="s">
        <v>142</v>
      </c>
      <c r="H3057" t="s">
        <v>21</v>
      </c>
      <c r="I3057" t="e">
        <f t="shared" ca="1" si="241"/>
        <v>#REF!</v>
      </c>
      <c r="J3057" t="str">
        <f>VLOOKUP($G3057,DefinitionArrays!$I$6:$J$12,2,FALSE)</f>
        <v>Workweek</v>
      </c>
    </row>
    <row r="3058" spans="1:10">
      <c r="A3058" s="159" t="str">
        <f t="shared" si="237"/>
        <v>$E$1:$E$92</v>
      </c>
      <c r="B3058" s="159" t="str">
        <f t="shared" si="238"/>
        <v>$F$1:$F$92</v>
      </c>
      <c r="C3058" s="159" t="str">
        <f t="shared" si="239"/>
        <v>February!$E$1:$E$92</v>
      </c>
      <c r="D3058" s="159" t="str">
        <f t="shared" si="240"/>
        <v>February!$F$1:$F$92</v>
      </c>
      <c r="E3058" t="s">
        <v>7</v>
      </c>
      <c r="F3058" t="s">
        <v>121</v>
      </c>
      <c r="G3058" t="s">
        <v>142</v>
      </c>
      <c r="H3058" t="s">
        <v>22</v>
      </c>
      <c r="I3058" t="e">
        <f t="shared" ca="1" si="241"/>
        <v>#REF!</v>
      </c>
      <c r="J3058" t="str">
        <f>VLOOKUP($G3058,DefinitionArrays!$I$6:$J$12,2,FALSE)</f>
        <v>Workweek</v>
      </c>
    </row>
    <row r="3059" spans="1:10">
      <c r="A3059" s="159" t="str">
        <f t="shared" si="237"/>
        <v>$E$1:$E$92</v>
      </c>
      <c r="B3059" s="159" t="str">
        <f t="shared" si="238"/>
        <v>$F$1:$F$92</v>
      </c>
      <c r="C3059" s="159" t="str">
        <f t="shared" si="239"/>
        <v>February!$E$1:$E$92</v>
      </c>
      <c r="D3059" s="159" t="str">
        <f t="shared" si="240"/>
        <v>February!$F$1:$F$92</v>
      </c>
      <c r="E3059" t="s">
        <v>7</v>
      </c>
      <c r="F3059" t="s">
        <v>121</v>
      </c>
      <c r="G3059" t="s">
        <v>142</v>
      </c>
      <c r="H3059" t="s">
        <v>23</v>
      </c>
      <c r="I3059" t="e">
        <f t="shared" ca="1" si="241"/>
        <v>#REF!</v>
      </c>
      <c r="J3059" t="str">
        <f>VLOOKUP($G3059,DefinitionArrays!$I$6:$J$12,2,FALSE)</f>
        <v>Workweek</v>
      </c>
    </row>
    <row r="3060" spans="1:10">
      <c r="A3060" s="159" t="str">
        <f t="shared" si="237"/>
        <v>$E$1:$E$92</v>
      </c>
      <c r="B3060" s="159" t="str">
        <f t="shared" si="238"/>
        <v>$F$1:$F$92</v>
      </c>
      <c r="C3060" s="159" t="str">
        <f t="shared" si="239"/>
        <v>February!$E$1:$E$92</v>
      </c>
      <c r="D3060" s="159" t="str">
        <f t="shared" si="240"/>
        <v>February!$F$1:$F$92</v>
      </c>
      <c r="E3060" t="s">
        <v>7</v>
      </c>
      <c r="F3060" t="s">
        <v>121</v>
      </c>
      <c r="G3060" t="s">
        <v>142</v>
      </c>
      <c r="H3060" t="s">
        <v>24</v>
      </c>
      <c r="I3060" t="e">
        <f t="shared" ca="1" si="241"/>
        <v>#REF!</v>
      </c>
      <c r="J3060" t="str">
        <f>VLOOKUP($G3060,DefinitionArrays!$I$6:$J$12,2,FALSE)</f>
        <v>Workweek</v>
      </c>
    </row>
    <row r="3061" spans="1:10">
      <c r="A3061" s="159" t="str">
        <f t="shared" si="237"/>
        <v>$E$1:$E$92</v>
      </c>
      <c r="B3061" s="159" t="str">
        <f t="shared" si="238"/>
        <v>$F$1:$F$92</v>
      </c>
      <c r="C3061" s="159" t="str">
        <f t="shared" si="239"/>
        <v>February!$E$1:$E$92</v>
      </c>
      <c r="D3061" s="159" t="str">
        <f t="shared" si="240"/>
        <v>February!$F$1:$F$92</v>
      </c>
      <c r="E3061" t="s">
        <v>7</v>
      </c>
      <c r="F3061" t="s">
        <v>121</v>
      </c>
      <c r="G3061" t="s">
        <v>142</v>
      </c>
      <c r="H3061" t="s">
        <v>179</v>
      </c>
      <c r="I3061" t="e">
        <f t="shared" ca="1" si="241"/>
        <v>#REF!</v>
      </c>
      <c r="J3061" t="str">
        <f>VLOOKUP($G3061,DefinitionArrays!$I$6:$J$12,2,FALSE)</f>
        <v>Workweek</v>
      </c>
    </row>
    <row r="3062" spans="1:10">
      <c r="A3062" s="159" t="str">
        <f t="shared" si="237"/>
        <v>$E$1:$E$92</v>
      </c>
      <c r="B3062" s="159" t="str">
        <f t="shared" si="238"/>
        <v>$F$1:$F$92</v>
      </c>
      <c r="C3062" s="159" t="str">
        <f t="shared" si="239"/>
        <v>February!$E$1:$E$92</v>
      </c>
      <c r="D3062" s="159" t="str">
        <f t="shared" si="240"/>
        <v>February!$F$1:$F$92</v>
      </c>
      <c r="E3062" t="s">
        <v>7</v>
      </c>
      <c r="F3062" t="s">
        <v>121</v>
      </c>
      <c r="G3062" t="s">
        <v>142</v>
      </c>
      <c r="H3062" t="s">
        <v>180</v>
      </c>
      <c r="I3062" t="e">
        <f t="shared" ca="1" si="241"/>
        <v>#REF!</v>
      </c>
      <c r="J3062" t="str">
        <f>VLOOKUP($G3062,DefinitionArrays!$I$6:$J$12,2,FALSE)</f>
        <v>Workweek</v>
      </c>
    </row>
    <row r="3063" spans="1:10">
      <c r="A3063" s="159" t="str">
        <f t="shared" si="237"/>
        <v>$E$1:$E$92</v>
      </c>
      <c r="B3063" s="159" t="str">
        <f t="shared" si="238"/>
        <v>$F$1:$F$92</v>
      </c>
      <c r="C3063" s="159" t="str">
        <f t="shared" si="239"/>
        <v>February!$E$1:$E$92</v>
      </c>
      <c r="D3063" s="159" t="str">
        <f t="shared" si="240"/>
        <v>February!$F$1:$F$92</v>
      </c>
      <c r="E3063" t="s">
        <v>7</v>
      </c>
      <c r="F3063" t="s">
        <v>121</v>
      </c>
      <c r="G3063" t="s">
        <v>142</v>
      </c>
      <c r="H3063" t="s">
        <v>44</v>
      </c>
      <c r="I3063" t="e">
        <f t="shared" ca="1" si="241"/>
        <v>#REF!</v>
      </c>
      <c r="J3063" t="str">
        <f>VLOOKUP($G3063,DefinitionArrays!$I$6:$J$12,2,FALSE)</f>
        <v>Workweek</v>
      </c>
    </row>
    <row r="3064" spans="1:10">
      <c r="A3064" s="159" t="str">
        <f t="shared" si="237"/>
        <v>$H$1:$H$92</v>
      </c>
      <c r="B3064" s="159" t="str">
        <f t="shared" si="238"/>
        <v>$I$1:$I$92</v>
      </c>
      <c r="C3064" s="159" t="str">
        <f t="shared" si="239"/>
        <v>February!$H$1:$H$92</v>
      </c>
      <c r="D3064" s="159" t="str">
        <f t="shared" si="240"/>
        <v>February!$I$1:$I$92</v>
      </c>
      <c r="E3064" t="s">
        <v>7</v>
      </c>
      <c r="F3064" t="s">
        <v>121</v>
      </c>
      <c r="G3064" t="s">
        <v>143</v>
      </c>
      <c r="H3064" t="s">
        <v>159</v>
      </c>
      <c r="I3064" t="e">
        <f t="shared" ca="1" si="241"/>
        <v>#REF!</v>
      </c>
      <c r="J3064" t="str">
        <f>VLOOKUP($G3064,DefinitionArrays!$I$6:$J$12,2,FALSE)</f>
        <v>Workweek</v>
      </c>
    </row>
    <row r="3065" spans="1:10">
      <c r="A3065" s="159" t="str">
        <f t="shared" si="237"/>
        <v>$H$1:$H$92</v>
      </c>
      <c r="B3065" s="159" t="str">
        <f t="shared" si="238"/>
        <v>$I$1:$I$92</v>
      </c>
      <c r="C3065" s="159" t="str">
        <f t="shared" si="239"/>
        <v>February!$H$1:$H$92</v>
      </c>
      <c r="D3065" s="159" t="str">
        <f t="shared" si="240"/>
        <v>February!$I$1:$I$92</v>
      </c>
      <c r="E3065" t="s">
        <v>7</v>
      </c>
      <c r="F3065" t="s">
        <v>121</v>
      </c>
      <c r="G3065" t="s">
        <v>143</v>
      </c>
      <c r="H3065" t="s">
        <v>18</v>
      </c>
      <c r="I3065" t="e">
        <f t="shared" ca="1" si="241"/>
        <v>#REF!</v>
      </c>
      <c r="J3065" t="str">
        <f>VLOOKUP($G3065,DefinitionArrays!$I$6:$J$12,2,FALSE)</f>
        <v>Workweek</v>
      </c>
    </row>
    <row r="3066" spans="1:10">
      <c r="A3066" s="159" t="str">
        <f t="shared" si="237"/>
        <v>$H$1:$H$92</v>
      </c>
      <c r="B3066" s="159" t="str">
        <f t="shared" si="238"/>
        <v>$I$1:$I$92</v>
      </c>
      <c r="C3066" s="159" t="str">
        <f t="shared" si="239"/>
        <v>February!$H$1:$H$92</v>
      </c>
      <c r="D3066" s="159" t="str">
        <f t="shared" si="240"/>
        <v>February!$I$1:$I$92</v>
      </c>
      <c r="E3066" t="s">
        <v>7</v>
      </c>
      <c r="F3066" t="s">
        <v>121</v>
      </c>
      <c r="G3066" t="s">
        <v>143</v>
      </c>
      <c r="H3066" t="s">
        <v>153</v>
      </c>
      <c r="I3066" t="e">
        <f t="shared" ca="1" si="241"/>
        <v>#REF!</v>
      </c>
      <c r="J3066" t="str">
        <f>VLOOKUP($G3066,DefinitionArrays!$I$6:$J$12,2,FALSE)</f>
        <v>Workweek</v>
      </c>
    </row>
    <row r="3067" spans="1:10">
      <c r="A3067" s="159" t="str">
        <f t="shared" si="237"/>
        <v>$H$1:$H$92</v>
      </c>
      <c r="B3067" s="159" t="str">
        <f t="shared" si="238"/>
        <v>$I$1:$I$92</v>
      </c>
      <c r="C3067" s="159" t="str">
        <f t="shared" si="239"/>
        <v>February!$H$1:$H$92</v>
      </c>
      <c r="D3067" s="159" t="str">
        <f t="shared" si="240"/>
        <v>February!$I$1:$I$92</v>
      </c>
      <c r="E3067" t="s">
        <v>7</v>
      </c>
      <c r="F3067" t="s">
        <v>121</v>
      </c>
      <c r="G3067" t="s">
        <v>143</v>
      </c>
      <c r="H3067" t="s">
        <v>19</v>
      </c>
      <c r="I3067" t="e">
        <f t="shared" ca="1" si="241"/>
        <v>#REF!</v>
      </c>
      <c r="J3067" t="str">
        <f>VLOOKUP($G3067,DefinitionArrays!$I$6:$J$12,2,FALSE)</f>
        <v>Workweek</v>
      </c>
    </row>
    <row r="3068" spans="1:10">
      <c r="A3068" s="159" t="str">
        <f t="shared" si="237"/>
        <v>$H$1:$H$92</v>
      </c>
      <c r="B3068" s="159" t="str">
        <f t="shared" si="238"/>
        <v>$I$1:$I$92</v>
      </c>
      <c r="C3068" s="159" t="str">
        <f t="shared" si="239"/>
        <v>February!$H$1:$H$92</v>
      </c>
      <c r="D3068" s="159" t="str">
        <f t="shared" si="240"/>
        <v>February!$I$1:$I$92</v>
      </c>
      <c r="E3068" t="s">
        <v>7</v>
      </c>
      <c r="F3068" t="s">
        <v>121</v>
      </c>
      <c r="G3068" t="s">
        <v>143</v>
      </c>
      <c r="H3068" t="s">
        <v>20</v>
      </c>
      <c r="I3068" t="e">
        <f t="shared" ca="1" si="241"/>
        <v>#REF!</v>
      </c>
      <c r="J3068" t="str">
        <f>VLOOKUP($G3068,DefinitionArrays!$I$6:$J$12,2,FALSE)</f>
        <v>Workweek</v>
      </c>
    </row>
    <row r="3069" spans="1:10">
      <c r="A3069" s="159" t="str">
        <f t="shared" si="237"/>
        <v>$H$1:$H$92</v>
      </c>
      <c r="B3069" s="159" t="str">
        <f t="shared" si="238"/>
        <v>$I$1:$I$92</v>
      </c>
      <c r="C3069" s="159" t="str">
        <f t="shared" si="239"/>
        <v>February!$H$1:$H$92</v>
      </c>
      <c r="D3069" s="159" t="str">
        <f t="shared" si="240"/>
        <v>February!$I$1:$I$92</v>
      </c>
      <c r="E3069" t="s">
        <v>7</v>
      </c>
      <c r="F3069" t="s">
        <v>121</v>
      </c>
      <c r="G3069" t="s">
        <v>143</v>
      </c>
      <c r="H3069" t="s">
        <v>21</v>
      </c>
      <c r="I3069" t="e">
        <f t="shared" ca="1" si="241"/>
        <v>#REF!</v>
      </c>
      <c r="J3069" t="str">
        <f>VLOOKUP($G3069,DefinitionArrays!$I$6:$J$12,2,FALSE)</f>
        <v>Workweek</v>
      </c>
    </row>
    <row r="3070" spans="1:10">
      <c r="A3070" s="159" t="str">
        <f t="shared" si="237"/>
        <v>$H$1:$H$92</v>
      </c>
      <c r="B3070" s="159" t="str">
        <f t="shared" si="238"/>
        <v>$I$1:$I$92</v>
      </c>
      <c r="C3070" s="159" t="str">
        <f t="shared" si="239"/>
        <v>February!$H$1:$H$92</v>
      </c>
      <c r="D3070" s="159" t="str">
        <f t="shared" si="240"/>
        <v>February!$I$1:$I$92</v>
      </c>
      <c r="E3070" t="s">
        <v>7</v>
      </c>
      <c r="F3070" t="s">
        <v>121</v>
      </c>
      <c r="G3070" t="s">
        <v>143</v>
      </c>
      <c r="H3070" t="s">
        <v>22</v>
      </c>
      <c r="I3070" t="e">
        <f t="shared" ca="1" si="241"/>
        <v>#REF!</v>
      </c>
      <c r="J3070" t="str">
        <f>VLOOKUP($G3070,DefinitionArrays!$I$6:$J$12,2,FALSE)</f>
        <v>Workweek</v>
      </c>
    </row>
    <row r="3071" spans="1:10">
      <c r="A3071" s="159" t="str">
        <f t="shared" si="237"/>
        <v>$H$1:$H$92</v>
      </c>
      <c r="B3071" s="159" t="str">
        <f t="shared" si="238"/>
        <v>$I$1:$I$92</v>
      </c>
      <c r="C3071" s="159" t="str">
        <f t="shared" si="239"/>
        <v>February!$H$1:$H$92</v>
      </c>
      <c r="D3071" s="159" t="str">
        <f t="shared" si="240"/>
        <v>February!$I$1:$I$92</v>
      </c>
      <c r="E3071" t="s">
        <v>7</v>
      </c>
      <c r="F3071" t="s">
        <v>121</v>
      </c>
      <c r="G3071" t="s">
        <v>143</v>
      </c>
      <c r="H3071" t="s">
        <v>23</v>
      </c>
      <c r="I3071" t="e">
        <f t="shared" ca="1" si="241"/>
        <v>#REF!</v>
      </c>
      <c r="J3071" t="str">
        <f>VLOOKUP($G3071,DefinitionArrays!$I$6:$J$12,2,FALSE)</f>
        <v>Workweek</v>
      </c>
    </row>
    <row r="3072" spans="1:10">
      <c r="A3072" s="159" t="str">
        <f t="shared" si="237"/>
        <v>$H$1:$H$92</v>
      </c>
      <c r="B3072" s="159" t="str">
        <f t="shared" si="238"/>
        <v>$I$1:$I$92</v>
      </c>
      <c r="C3072" s="159" t="str">
        <f t="shared" si="239"/>
        <v>February!$H$1:$H$92</v>
      </c>
      <c r="D3072" s="159" t="str">
        <f t="shared" si="240"/>
        <v>February!$I$1:$I$92</v>
      </c>
      <c r="E3072" t="s">
        <v>7</v>
      </c>
      <c r="F3072" t="s">
        <v>121</v>
      </c>
      <c r="G3072" t="s">
        <v>143</v>
      </c>
      <c r="H3072" t="s">
        <v>24</v>
      </c>
      <c r="I3072" t="e">
        <f t="shared" ca="1" si="241"/>
        <v>#REF!</v>
      </c>
      <c r="J3072" t="str">
        <f>VLOOKUP($G3072,DefinitionArrays!$I$6:$J$12,2,FALSE)</f>
        <v>Workweek</v>
      </c>
    </row>
    <row r="3073" spans="1:10">
      <c r="A3073" s="159" t="str">
        <f t="shared" si="237"/>
        <v>$H$1:$H$92</v>
      </c>
      <c r="B3073" s="159" t="str">
        <f t="shared" si="238"/>
        <v>$I$1:$I$92</v>
      </c>
      <c r="C3073" s="159" t="str">
        <f t="shared" si="239"/>
        <v>February!$H$1:$H$92</v>
      </c>
      <c r="D3073" s="159" t="str">
        <f t="shared" si="240"/>
        <v>February!$I$1:$I$92</v>
      </c>
      <c r="E3073" t="s">
        <v>7</v>
      </c>
      <c r="F3073" t="s">
        <v>121</v>
      </c>
      <c r="G3073" t="s">
        <v>143</v>
      </c>
      <c r="H3073" t="s">
        <v>179</v>
      </c>
      <c r="I3073" t="e">
        <f t="shared" ca="1" si="241"/>
        <v>#REF!</v>
      </c>
      <c r="J3073" t="str">
        <f>VLOOKUP($G3073,DefinitionArrays!$I$6:$J$12,2,FALSE)</f>
        <v>Workweek</v>
      </c>
    </row>
    <row r="3074" spans="1:10">
      <c r="A3074" s="159" t="str">
        <f t="shared" ref="A3074:A3137" si="242">VLOOKUP($G3074,Fx_Code,2,FALSE)</f>
        <v>$H$1:$H$92</v>
      </c>
      <c r="B3074" s="159" t="str">
        <f t="shared" ref="B3074:B3137" si="243">VLOOKUP($G3074,Fx_Code,3,FALSE)</f>
        <v>$I$1:$I$92</v>
      </c>
      <c r="C3074" s="159" t="str">
        <f t="shared" ref="C3074:C3137" si="244">CONCATENATE($F3074,$K$1,A3074)</f>
        <v>February!$H$1:$H$92</v>
      </c>
      <c r="D3074" s="159" t="str">
        <f t="shared" ref="D3074:D3137" si="245">CONCATENATE($F3074,$K$1,B3074)</f>
        <v>February!$I$1:$I$92</v>
      </c>
      <c r="E3074" t="s">
        <v>7</v>
      </c>
      <c r="F3074" t="s">
        <v>121</v>
      </c>
      <c r="G3074" t="s">
        <v>143</v>
      </c>
      <c r="H3074" t="s">
        <v>180</v>
      </c>
      <c r="I3074" t="e">
        <f t="shared" ca="1" si="241"/>
        <v>#REF!</v>
      </c>
      <c r="J3074" t="str">
        <f>VLOOKUP($G3074,DefinitionArrays!$I$6:$J$12,2,FALSE)</f>
        <v>Workweek</v>
      </c>
    </row>
    <row r="3075" spans="1:10">
      <c r="A3075" s="159" t="str">
        <f t="shared" si="242"/>
        <v>$H$1:$H$92</v>
      </c>
      <c r="B3075" s="159" t="str">
        <f t="shared" si="243"/>
        <v>$I$1:$I$92</v>
      </c>
      <c r="C3075" s="159" t="str">
        <f t="shared" si="244"/>
        <v>February!$H$1:$H$92</v>
      </c>
      <c r="D3075" s="159" t="str">
        <f t="shared" si="245"/>
        <v>February!$I$1:$I$92</v>
      </c>
      <c r="E3075" t="s">
        <v>7</v>
      </c>
      <c r="F3075" t="s">
        <v>121</v>
      </c>
      <c r="G3075" t="s">
        <v>143</v>
      </c>
      <c r="H3075" t="s">
        <v>44</v>
      </c>
      <c r="I3075" t="e">
        <f t="shared" ca="1" si="241"/>
        <v>#REF!</v>
      </c>
      <c r="J3075" t="str">
        <f>VLOOKUP($G3075,DefinitionArrays!$I$6:$J$12,2,FALSE)</f>
        <v>Workweek</v>
      </c>
    </row>
    <row r="3076" spans="1:10">
      <c r="A3076" s="159" t="str">
        <f t="shared" si="242"/>
        <v>$K$1:$K$92</v>
      </c>
      <c r="B3076" s="159" t="str">
        <f t="shared" si="243"/>
        <v>$L$1:$L$92</v>
      </c>
      <c r="C3076" s="159" t="str">
        <f t="shared" si="244"/>
        <v>February!$K$1:$K$92</v>
      </c>
      <c r="D3076" s="159" t="str">
        <f t="shared" si="245"/>
        <v>February!$L$1:$L$92</v>
      </c>
      <c r="E3076" t="s">
        <v>7</v>
      </c>
      <c r="F3076" t="s">
        <v>121</v>
      </c>
      <c r="G3076" t="s">
        <v>144</v>
      </c>
      <c r="H3076" t="s">
        <v>159</v>
      </c>
      <c r="I3076" t="e">
        <f t="shared" ca="1" si="241"/>
        <v>#REF!</v>
      </c>
      <c r="J3076" t="str">
        <f>VLOOKUP($G3076,DefinitionArrays!$I$6:$J$12,2,FALSE)</f>
        <v>Workweek</v>
      </c>
    </row>
    <row r="3077" spans="1:10">
      <c r="A3077" s="159" t="str">
        <f t="shared" si="242"/>
        <v>$K$1:$K$92</v>
      </c>
      <c r="B3077" s="159" t="str">
        <f t="shared" si="243"/>
        <v>$L$1:$L$92</v>
      </c>
      <c r="C3077" s="159" t="str">
        <f t="shared" si="244"/>
        <v>February!$K$1:$K$92</v>
      </c>
      <c r="D3077" s="159" t="str">
        <f t="shared" si="245"/>
        <v>February!$L$1:$L$92</v>
      </c>
      <c r="E3077" t="s">
        <v>7</v>
      </c>
      <c r="F3077" t="s">
        <v>121</v>
      </c>
      <c r="G3077" t="s">
        <v>144</v>
      </c>
      <c r="H3077" t="s">
        <v>18</v>
      </c>
      <c r="I3077" t="e">
        <f t="shared" ca="1" si="241"/>
        <v>#REF!</v>
      </c>
      <c r="J3077" t="str">
        <f>VLOOKUP($G3077,DefinitionArrays!$I$6:$J$12,2,FALSE)</f>
        <v>Workweek</v>
      </c>
    </row>
    <row r="3078" spans="1:10">
      <c r="A3078" s="159" t="str">
        <f t="shared" si="242"/>
        <v>$K$1:$K$92</v>
      </c>
      <c r="B3078" s="159" t="str">
        <f t="shared" si="243"/>
        <v>$L$1:$L$92</v>
      </c>
      <c r="C3078" s="159" t="str">
        <f t="shared" si="244"/>
        <v>February!$K$1:$K$92</v>
      </c>
      <c r="D3078" s="159" t="str">
        <f t="shared" si="245"/>
        <v>February!$L$1:$L$92</v>
      </c>
      <c r="E3078" t="s">
        <v>7</v>
      </c>
      <c r="F3078" t="s">
        <v>121</v>
      </c>
      <c r="G3078" t="s">
        <v>144</v>
      </c>
      <c r="H3078" t="s">
        <v>153</v>
      </c>
      <c r="I3078" t="e">
        <f t="shared" ca="1" si="241"/>
        <v>#REF!</v>
      </c>
      <c r="J3078" t="str">
        <f>VLOOKUP($G3078,DefinitionArrays!$I$6:$J$12,2,FALSE)</f>
        <v>Workweek</v>
      </c>
    </row>
    <row r="3079" spans="1:10">
      <c r="A3079" s="159" t="str">
        <f t="shared" si="242"/>
        <v>$K$1:$K$92</v>
      </c>
      <c r="B3079" s="159" t="str">
        <f t="shared" si="243"/>
        <v>$L$1:$L$92</v>
      </c>
      <c r="C3079" s="159" t="str">
        <f t="shared" si="244"/>
        <v>February!$K$1:$K$92</v>
      </c>
      <c r="D3079" s="159" t="str">
        <f t="shared" si="245"/>
        <v>February!$L$1:$L$92</v>
      </c>
      <c r="E3079" t="s">
        <v>7</v>
      </c>
      <c r="F3079" t="s">
        <v>121</v>
      </c>
      <c r="G3079" t="s">
        <v>144</v>
      </c>
      <c r="H3079" t="s">
        <v>19</v>
      </c>
      <c r="I3079" t="e">
        <f t="shared" ca="1" si="241"/>
        <v>#REF!</v>
      </c>
      <c r="J3079" t="str">
        <f>VLOOKUP($G3079,DefinitionArrays!$I$6:$J$12,2,FALSE)</f>
        <v>Workweek</v>
      </c>
    </row>
    <row r="3080" spans="1:10">
      <c r="A3080" s="159" t="str">
        <f t="shared" si="242"/>
        <v>$K$1:$K$92</v>
      </c>
      <c r="B3080" s="159" t="str">
        <f t="shared" si="243"/>
        <v>$L$1:$L$92</v>
      </c>
      <c r="C3080" s="159" t="str">
        <f t="shared" si="244"/>
        <v>February!$K$1:$K$92</v>
      </c>
      <c r="D3080" s="159" t="str">
        <f t="shared" si="245"/>
        <v>February!$L$1:$L$92</v>
      </c>
      <c r="E3080" t="s">
        <v>7</v>
      </c>
      <c r="F3080" t="s">
        <v>121</v>
      </c>
      <c r="G3080" t="s">
        <v>144</v>
      </c>
      <c r="H3080" t="s">
        <v>20</v>
      </c>
      <c r="I3080" t="e">
        <f t="shared" ca="1" si="241"/>
        <v>#REF!</v>
      </c>
      <c r="J3080" t="str">
        <f>VLOOKUP($G3080,DefinitionArrays!$I$6:$J$12,2,FALSE)</f>
        <v>Workweek</v>
      </c>
    </row>
    <row r="3081" spans="1:10">
      <c r="A3081" s="159" t="str">
        <f t="shared" si="242"/>
        <v>$K$1:$K$92</v>
      </c>
      <c r="B3081" s="159" t="str">
        <f t="shared" si="243"/>
        <v>$L$1:$L$92</v>
      </c>
      <c r="C3081" s="159" t="str">
        <f t="shared" si="244"/>
        <v>February!$K$1:$K$92</v>
      </c>
      <c r="D3081" s="159" t="str">
        <f t="shared" si="245"/>
        <v>February!$L$1:$L$92</v>
      </c>
      <c r="E3081" t="s">
        <v>7</v>
      </c>
      <c r="F3081" t="s">
        <v>121</v>
      </c>
      <c r="G3081" t="s">
        <v>144</v>
      </c>
      <c r="H3081" t="s">
        <v>21</v>
      </c>
      <c r="I3081" t="e">
        <f t="shared" ca="1" si="241"/>
        <v>#REF!</v>
      </c>
      <c r="J3081" t="str">
        <f>VLOOKUP($G3081,DefinitionArrays!$I$6:$J$12,2,FALSE)</f>
        <v>Workweek</v>
      </c>
    </row>
    <row r="3082" spans="1:10">
      <c r="A3082" s="159" t="str">
        <f t="shared" si="242"/>
        <v>$K$1:$K$92</v>
      </c>
      <c r="B3082" s="159" t="str">
        <f t="shared" si="243"/>
        <v>$L$1:$L$92</v>
      </c>
      <c r="C3082" s="159" t="str">
        <f t="shared" si="244"/>
        <v>February!$K$1:$K$92</v>
      </c>
      <c r="D3082" s="159" t="str">
        <f t="shared" si="245"/>
        <v>February!$L$1:$L$92</v>
      </c>
      <c r="E3082" t="s">
        <v>7</v>
      </c>
      <c r="F3082" t="s">
        <v>121</v>
      </c>
      <c r="G3082" t="s">
        <v>144</v>
      </c>
      <c r="H3082" t="s">
        <v>22</v>
      </c>
      <c r="I3082" t="e">
        <f t="shared" ca="1" si="241"/>
        <v>#REF!</v>
      </c>
      <c r="J3082" t="str">
        <f>VLOOKUP($G3082,DefinitionArrays!$I$6:$J$12,2,FALSE)</f>
        <v>Workweek</v>
      </c>
    </row>
    <row r="3083" spans="1:10">
      <c r="A3083" s="159" t="str">
        <f t="shared" si="242"/>
        <v>$K$1:$K$92</v>
      </c>
      <c r="B3083" s="159" t="str">
        <f t="shared" si="243"/>
        <v>$L$1:$L$92</v>
      </c>
      <c r="C3083" s="159" t="str">
        <f t="shared" si="244"/>
        <v>February!$K$1:$K$92</v>
      </c>
      <c r="D3083" s="159" t="str">
        <f t="shared" si="245"/>
        <v>February!$L$1:$L$92</v>
      </c>
      <c r="E3083" t="s">
        <v>7</v>
      </c>
      <c r="F3083" t="s">
        <v>121</v>
      </c>
      <c r="G3083" t="s">
        <v>144</v>
      </c>
      <c r="H3083" t="s">
        <v>23</v>
      </c>
      <c r="I3083" t="e">
        <f t="shared" ca="1" si="241"/>
        <v>#REF!</v>
      </c>
      <c r="J3083" t="str">
        <f>VLOOKUP($G3083,DefinitionArrays!$I$6:$J$12,2,FALSE)</f>
        <v>Workweek</v>
      </c>
    </row>
    <row r="3084" spans="1:10">
      <c r="A3084" s="159" t="str">
        <f t="shared" si="242"/>
        <v>$K$1:$K$92</v>
      </c>
      <c r="B3084" s="159" t="str">
        <f t="shared" si="243"/>
        <v>$L$1:$L$92</v>
      </c>
      <c r="C3084" s="159" t="str">
        <f t="shared" si="244"/>
        <v>February!$K$1:$K$92</v>
      </c>
      <c r="D3084" s="159" t="str">
        <f t="shared" si="245"/>
        <v>February!$L$1:$L$92</v>
      </c>
      <c r="E3084" t="s">
        <v>7</v>
      </c>
      <c r="F3084" t="s">
        <v>121</v>
      </c>
      <c r="G3084" t="s">
        <v>144</v>
      </c>
      <c r="H3084" t="s">
        <v>24</v>
      </c>
      <c r="I3084" t="e">
        <f t="shared" ca="1" si="241"/>
        <v>#REF!</v>
      </c>
      <c r="J3084" t="str">
        <f>VLOOKUP($G3084,DefinitionArrays!$I$6:$J$12,2,FALSE)</f>
        <v>Workweek</v>
      </c>
    </row>
    <row r="3085" spans="1:10">
      <c r="A3085" s="159" t="str">
        <f t="shared" si="242"/>
        <v>$K$1:$K$92</v>
      </c>
      <c r="B3085" s="159" t="str">
        <f t="shared" si="243"/>
        <v>$L$1:$L$92</v>
      </c>
      <c r="C3085" s="159" t="str">
        <f t="shared" si="244"/>
        <v>February!$K$1:$K$92</v>
      </c>
      <c r="D3085" s="159" t="str">
        <f t="shared" si="245"/>
        <v>February!$L$1:$L$92</v>
      </c>
      <c r="E3085" t="s">
        <v>7</v>
      </c>
      <c r="F3085" t="s">
        <v>121</v>
      </c>
      <c r="G3085" t="s">
        <v>144</v>
      </c>
      <c r="H3085" t="s">
        <v>179</v>
      </c>
      <c r="I3085" t="e">
        <f t="shared" ca="1" si="241"/>
        <v>#REF!</v>
      </c>
      <c r="J3085" t="str">
        <f>VLOOKUP($G3085,DefinitionArrays!$I$6:$J$12,2,FALSE)</f>
        <v>Workweek</v>
      </c>
    </row>
    <row r="3086" spans="1:10">
      <c r="A3086" s="159" t="str">
        <f t="shared" si="242"/>
        <v>$K$1:$K$92</v>
      </c>
      <c r="B3086" s="159" t="str">
        <f t="shared" si="243"/>
        <v>$L$1:$L$92</v>
      </c>
      <c r="C3086" s="159" t="str">
        <f t="shared" si="244"/>
        <v>February!$K$1:$K$92</v>
      </c>
      <c r="D3086" s="159" t="str">
        <f t="shared" si="245"/>
        <v>February!$L$1:$L$92</v>
      </c>
      <c r="E3086" t="s">
        <v>7</v>
      </c>
      <c r="F3086" t="s">
        <v>121</v>
      </c>
      <c r="G3086" t="s">
        <v>144</v>
      </c>
      <c r="H3086" t="s">
        <v>180</v>
      </c>
      <c r="I3086" t="e">
        <f t="shared" ca="1" si="241"/>
        <v>#REF!</v>
      </c>
      <c r="J3086" t="str">
        <f>VLOOKUP($G3086,DefinitionArrays!$I$6:$J$12,2,FALSE)</f>
        <v>Workweek</v>
      </c>
    </row>
    <row r="3087" spans="1:10">
      <c r="A3087" s="159" t="str">
        <f t="shared" si="242"/>
        <v>$K$1:$K$92</v>
      </c>
      <c r="B3087" s="159" t="str">
        <f t="shared" si="243"/>
        <v>$L$1:$L$92</v>
      </c>
      <c r="C3087" s="159" t="str">
        <f t="shared" si="244"/>
        <v>February!$K$1:$K$92</v>
      </c>
      <c r="D3087" s="159" t="str">
        <f t="shared" si="245"/>
        <v>February!$L$1:$L$92</v>
      </c>
      <c r="E3087" t="s">
        <v>7</v>
      </c>
      <c r="F3087" t="s">
        <v>121</v>
      </c>
      <c r="G3087" t="s">
        <v>144</v>
      </c>
      <c r="H3087" t="s">
        <v>44</v>
      </c>
      <c r="I3087" t="e">
        <f t="shared" ca="1" si="241"/>
        <v>#REF!</v>
      </c>
      <c r="J3087" t="str">
        <f>VLOOKUP($G3087,DefinitionArrays!$I$6:$J$12,2,FALSE)</f>
        <v>Workweek</v>
      </c>
    </row>
    <row r="3088" spans="1:10">
      <c r="A3088" s="159" t="str">
        <f t="shared" si="242"/>
        <v>$N$1:$N$92</v>
      </c>
      <c r="B3088" s="159" t="str">
        <f t="shared" si="243"/>
        <v>$O$1:$O$92</v>
      </c>
      <c r="C3088" s="159" t="str">
        <f t="shared" si="244"/>
        <v>February!$N$1:$N$92</v>
      </c>
      <c r="D3088" s="159" t="str">
        <f t="shared" si="245"/>
        <v>February!$O$1:$O$92</v>
      </c>
      <c r="E3088" t="s">
        <v>7</v>
      </c>
      <c r="F3088" t="s">
        <v>121</v>
      </c>
      <c r="G3088" t="s">
        <v>145</v>
      </c>
      <c r="H3088" t="s">
        <v>159</v>
      </c>
      <c r="I3088" t="e">
        <f t="shared" ca="1" si="241"/>
        <v>#REF!</v>
      </c>
      <c r="J3088" t="str">
        <f>VLOOKUP($G3088,DefinitionArrays!$I$6:$J$12,2,FALSE)</f>
        <v>Weekend</v>
      </c>
    </row>
    <row r="3089" spans="1:10">
      <c r="A3089" s="159" t="str">
        <f t="shared" si="242"/>
        <v>$N$1:$N$92</v>
      </c>
      <c r="B3089" s="159" t="str">
        <f t="shared" si="243"/>
        <v>$O$1:$O$92</v>
      </c>
      <c r="C3089" s="159" t="str">
        <f t="shared" si="244"/>
        <v>February!$N$1:$N$92</v>
      </c>
      <c r="D3089" s="159" t="str">
        <f t="shared" si="245"/>
        <v>February!$O$1:$O$92</v>
      </c>
      <c r="E3089" t="s">
        <v>7</v>
      </c>
      <c r="F3089" t="s">
        <v>121</v>
      </c>
      <c r="G3089" t="s">
        <v>145</v>
      </c>
      <c r="H3089" t="s">
        <v>18</v>
      </c>
      <c r="I3089" t="e">
        <f t="shared" ca="1" si="241"/>
        <v>#REF!</v>
      </c>
      <c r="J3089" t="str">
        <f>VLOOKUP($G3089,DefinitionArrays!$I$6:$J$12,2,FALSE)</f>
        <v>Weekend</v>
      </c>
    </row>
    <row r="3090" spans="1:10">
      <c r="A3090" s="159" t="str">
        <f t="shared" si="242"/>
        <v>$N$1:$N$92</v>
      </c>
      <c r="B3090" s="159" t="str">
        <f t="shared" si="243"/>
        <v>$O$1:$O$92</v>
      </c>
      <c r="C3090" s="159" t="str">
        <f t="shared" si="244"/>
        <v>February!$N$1:$N$92</v>
      </c>
      <c r="D3090" s="159" t="str">
        <f t="shared" si="245"/>
        <v>February!$O$1:$O$92</v>
      </c>
      <c r="E3090" t="s">
        <v>7</v>
      </c>
      <c r="F3090" t="s">
        <v>121</v>
      </c>
      <c r="G3090" t="s">
        <v>145</v>
      </c>
      <c r="H3090" t="s">
        <v>153</v>
      </c>
      <c r="I3090" t="e">
        <f t="shared" ca="1" si="241"/>
        <v>#REF!</v>
      </c>
      <c r="J3090" t="str">
        <f>VLOOKUP($G3090,DefinitionArrays!$I$6:$J$12,2,FALSE)</f>
        <v>Weekend</v>
      </c>
    </row>
    <row r="3091" spans="1:10">
      <c r="A3091" s="159" t="str">
        <f t="shared" si="242"/>
        <v>$N$1:$N$92</v>
      </c>
      <c r="B3091" s="159" t="str">
        <f t="shared" si="243"/>
        <v>$O$1:$O$92</v>
      </c>
      <c r="C3091" s="159" t="str">
        <f t="shared" si="244"/>
        <v>February!$N$1:$N$92</v>
      </c>
      <c r="D3091" s="159" t="str">
        <f t="shared" si="245"/>
        <v>February!$O$1:$O$92</v>
      </c>
      <c r="E3091" t="s">
        <v>7</v>
      </c>
      <c r="F3091" t="s">
        <v>121</v>
      </c>
      <c r="G3091" t="s">
        <v>145</v>
      </c>
      <c r="H3091" t="s">
        <v>19</v>
      </c>
      <c r="I3091" t="e">
        <f t="shared" ca="1" si="241"/>
        <v>#REF!</v>
      </c>
      <c r="J3091" t="str">
        <f>VLOOKUP($G3091,DefinitionArrays!$I$6:$J$12,2,FALSE)</f>
        <v>Weekend</v>
      </c>
    </row>
    <row r="3092" spans="1:10">
      <c r="A3092" s="159" t="str">
        <f t="shared" si="242"/>
        <v>$N$1:$N$92</v>
      </c>
      <c r="B3092" s="159" t="str">
        <f t="shared" si="243"/>
        <v>$O$1:$O$92</v>
      </c>
      <c r="C3092" s="159" t="str">
        <f t="shared" si="244"/>
        <v>February!$N$1:$N$92</v>
      </c>
      <c r="D3092" s="159" t="str">
        <f t="shared" si="245"/>
        <v>February!$O$1:$O$92</v>
      </c>
      <c r="E3092" t="s">
        <v>7</v>
      </c>
      <c r="F3092" t="s">
        <v>121</v>
      </c>
      <c r="G3092" t="s">
        <v>145</v>
      </c>
      <c r="H3092" t="s">
        <v>20</v>
      </c>
      <c r="I3092" t="e">
        <f t="shared" ca="1" si="241"/>
        <v>#REF!</v>
      </c>
      <c r="J3092" t="str">
        <f>VLOOKUP($G3092,DefinitionArrays!$I$6:$J$12,2,FALSE)</f>
        <v>Weekend</v>
      </c>
    </row>
    <row r="3093" spans="1:10">
      <c r="A3093" s="159" t="str">
        <f t="shared" si="242"/>
        <v>$N$1:$N$92</v>
      </c>
      <c r="B3093" s="159" t="str">
        <f t="shared" si="243"/>
        <v>$O$1:$O$92</v>
      </c>
      <c r="C3093" s="159" t="str">
        <f t="shared" si="244"/>
        <v>February!$N$1:$N$92</v>
      </c>
      <c r="D3093" s="159" t="str">
        <f t="shared" si="245"/>
        <v>February!$O$1:$O$92</v>
      </c>
      <c r="E3093" t="s">
        <v>7</v>
      </c>
      <c r="F3093" t="s">
        <v>121</v>
      </c>
      <c r="G3093" t="s">
        <v>145</v>
      </c>
      <c r="H3093" t="s">
        <v>21</v>
      </c>
      <c r="I3093" t="e">
        <f t="shared" ca="1" si="241"/>
        <v>#REF!</v>
      </c>
      <c r="J3093" t="str">
        <f>VLOOKUP($G3093,DefinitionArrays!$I$6:$J$12,2,FALSE)</f>
        <v>Weekend</v>
      </c>
    </row>
    <row r="3094" spans="1:10">
      <c r="A3094" s="159" t="str">
        <f t="shared" si="242"/>
        <v>$N$1:$N$92</v>
      </c>
      <c r="B3094" s="159" t="str">
        <f t="shared" si="243"/>
        <v>$O$1:$O$92</v>
      </c>
      <c r="C3094" s="159" t="str">
        <f t="shared" si="244"/>
        <v>February!$N$1:$N$92</v>
      </c>
      <c r="D3094" s="159" t="str">
        <f t="shared" si="245"/>
        <v>February!$O$1:$O$92</v>
      </c>
      <c r="E3094" t="s">
        <v>7</v>
      </c>
      <c r="F3094" t="s">
        <v>121</v>
      </c>
      <c r="G3094" t="s">
        <v>145</v>
      </c>
      <c r="H3094" t="s">
        <v>22</v>
      </c>
      <c r="I3094" t="e">
        <f t="shared" ca="1" si="241"/>
        <v>#REF!</v>
      </c>
      <c r="J3094" t="str">
        <f>VLOOKUP($G3094,DefinitionArrays!$I$6:$J$12,2,FALSE)</f>
        <v>Weekend</v>
      </c>
    </row>
    <row r="3095" spans="1:10">
      <c r="A3095" s="159" t="str">
        <f t="shared" si="242"/>
        <v>$N$1:$N$92</v>
      </c>
      <c r="B3095" s="159" t="str">
        <f t="shared" si="243"/>
        <v>$O$1:$O$92</v>
      </c>
      <c r="C3095" s="159" t="str">
        <f t="shared" si="244"/>
        <v>February!$N$1:$N$92</v>
      </c>
      <c r="D3095" s="159" t="str">
        <f t="shared" si="245"/>
        <v>February!$O$1:$O$92</v>
      </c>
      <c r="E3095" t="s">
        <v>7</v>
      </c>
      <c r="F3095" t="s">
        <v>121</v>
      </c>
      <c r="G3095" t="s">
        <v>145</v>
      </c>
      <c r="H3095" t="s">
        <v>23</v>
      </c>
      <c r="I3095" t="e">
        <f t="shared" ca="1" si="241"/>
        <v>#REF!</v>
      </c>
      <c r="J3095" t="str">
        <f>VLOOKUP($G3095,DefinitionArrays!$I$6:$J$12,2,FALSE)</f>
        <v>Weekend</v>
      </c>
    </row>
    <row r="3096" spans="1:10">
      <c r="A3096" s="159" t="str">
        <f t="shared" si="242"/>
        <v>$N$1:$N$92</v>
      </c>
      <c r="B3096" s="159" t="str">
        <f t="shared" si="243"/>
        <v>$O$1:$O$92</v>
      </c>
      <c r="C3096" s="159" t="str">
        <f t="shared" si="244"/>
        <v>February!$N$1:$N$92</v>
      </c>
      <c r="D3096" s="159" t="str">
        <f t="shared" si="245"/>
        <v>February!$O$1:$O$92</v>
      </c>
      <c r="E3096" t="s">
        <v>7</v>
      </c>
      <c r="F3096" t="s">
        <v>121</v>
      </c>
      <c r="G3096" t="s">
        <v>145</v>
      </c>
      <c r="H3096" t="s">
        <v>24</v>
      </c>
      <c r="I3096" t="e">
        <f t="shared" ca="1" si="241"/>
        <v>#REF!</v>
      </c>
      <c r="J3096" t="str">
        <f>VLOOKUP($G3096,DefinitionArrays!$I$6:$J$12,2,FALSE)</f>
        <v>Weekend</v>
      </c>
    </row>
    <row r="3097" spans="1:10">
      <c r="A3097" s="159" t="str">
        <f t="shared" si="242"/>
        <v>$N$1:$N$92</v>
      </c>
      <c r="B3097" s="159" t="str">
        <f t="shared" si="243"/>
        <v>$O$1:$O$92</v>
      </c>
      <c r="C3097" s="159" t="str">
        <f t="shared" si="244"/>
        <v>February!$N$1:$N$92</v>
      </c>
      <c r="D3097" s="159" t="str">
        <f t="shared" si="245"/>
        <v>February!$O$1:$O$92</v>
      </c>
      <c r="E3097" t="s">
        <v>7</v>
      </c>
      <c r="F3097" t="s">
        <v>121</v>
      </c>
      <c r="G3097" t="s">
        <v>145</v>
      </c>
      <c r="H3097" t="s">
        <v>179</v>
      </c>
      <c r="I3097" t="e">
        <f t="shared" ca="1" si="241"/>
        <v>#REF!</v>
      </c>
      <c r="J3097" t="str">
        <f>VLOOKUP($G3097,DefinitionArrays!$I$6:$J$12,2,FALSE)</f>
        <v>Weekend</v>
      </c>
    </row>
    <row r="3098" spans="1:10">
      <c r="A3098" s="159" t="str">
        <f t="shared" si="242"/>
        <v>$N$1:$N$92</v>
      </c>
      <c r="B3098" s="159" t="str">
        <f t="shared" si="243"/>
        <v>$O$1:$O$92</v>
      </c>
      <c r="C3098" s="159" t="str">
        <f t="shared" si="244"/>
        <v>February!$N$1:$N$92</v>
      </c>
      <c r="D3098" s="159" t="str">
        <f t="shared" si="245"/>
        <v>February!$O$1:$O$92</v>
      </c>
      <c r="E3098" t="s">
        <v>7</v>
      </c>
      <c r="F3098" t="s">
        <v>121</v>
      </c>
      <c r="G3098" t="s">
        <v>145</v>
      </c>
      <c r="H3098" t="s">
        <v>180</v>
      </c>
      <c r="I3098" t="e">
        <f t="shared" ca="1" si="241"/>
        <v>#REF!</v>
      </c>
      <c r="J3098" t="str">
        <f>VLOOKUP($G3098,DefinitionArrays!$I$6:$J$12,2,FALSE)</f>
        <v>Weekend</v>
      </c>
    </row>
    <row r="3099" spans="1:10">
      <c r="A3099" s="159" t="str">
        <f t="shared" si="242"/>
        <v>$N$1:$N$92</v>
      </c>
      <c r="B3099" s="159" t="str">
        <f t="shared" si="243"/>
        <v>$O$1:$O$92</v>
      </c>
      <c r="C3099" s="159" t="str">
        <f t="shared" si="244"/>
        <v>February!$N$1:$N$92</v>
      </c>
      <c r="D3099" s="159" t="str">
        <f t="shared" si="245"/>
        <v>February!$O$1:$O$92</v>
      </c>
      <c r="E3099" t="s">
        <v>7</v>
      </c>
      <c r="F3099" t="s">
        <v>121</v>
      </c>
      <c r="G3099" t="s">
        <v>145</v>
      </c>
      <c r="H3099" t="s">
        <v>44</v>
      </c>
      <c r="I3099" t="e">
        <f t="shared" ca="1" si="241"/>
        <v>#REF!</v>
      </c>
      <c r="J3099" t="str">
        <f>VLOOKUP($G3099,DefinitionArrays!$I$6:$J$12,2,FALSE)</f>
        <v>Weekend</v>
      </c>
    </row>
    <row r="3100" spans="1:10">
      <c r="A3100" s="159" t="str">
        <f t="shared" si="242"/>
        <v>$Q$1:$Q$92</v>
      </c>
      <c r="B3100" s="159" t="str">
        <f t="shared" si="243"/>
        <v>$R$1:$R$92</v>
      </c>
      <c r="C3100" s="159" t="str">
        <f t="shared" si="244"/>
        <v>February!$Q$1:$Q$92</v>
      </c>
      <c r="D3100" s="159" t="str">
        <f t="shared" si="245"/>
        <v>February!$R$1:$R$92</v>
      </c>
      <c r="E3100" t="s">
        <v>7</v>
      </c>
      <c r="F3100" t="s">
        <v>121</v>
      </c>
      <c r="G3100" t="s">
        <v>146</v>
      </c>
      <c r="H3100" t="s">
        <v>159</v>
      </c>
      <c r="I3100" t="e">
        <f t="shared" ca="1" si="241"/>
        <v>#REF!</v>
      </c>
      <c r="J3100" t="str">
        <f>VLOOKUP($G3100,DefinitionArrays!$I$6:$J$12,2,FALSE)</f>
        <v>Weekend</v>
      </c>
    </row>
    <row r="3101" spans="1:10">
      <c r="A3101" s="159" t="str">
        <f t="shared" si="242"/>
        <v>$T$1:$T$92</v>
      </c>
      <c r="B3101" s="159" t="str">
        <f t="shared" si="243"/>
        <v>$U$1:$U$92</v>
      </c>
      <c r="C3101" s="159" t="str">
        <f t="shared" si="244"/>
        <v>February!$T$1:$T$92</v>
      </c>
      <c r="D3101" s="159" t="str">
        <f t="shared" si="245"/>
        <v>February!$U$1:$U$92</v>
      </c>
      <c r="E3101" t="s">
        <v>7</v>
      </c>
      <c r="F3101" t="s">
        <v>121</v>
      </c>
      <c r="G3101" t="s">
        <v>141</v>
      </c>
      <c r="H3101" t="s">
        <v>159</v>
      </c>
      <c r="I3101" t="e">
        <f t="shared" ca="1" si="241"/>
        <v>#REF!</v>
      </c>
      <c r="J3101" t="str">
        <f>VLOOKUP($G3101,DefinitionArrays!$I$6:$J$12,2,FALSE)</f>
        <v>Weekend</v>
      </c>
    </row>
    <row r="3102" spans="1:10">
      <c r="A3102" s="159" t="str">
        <f t="shared" si="242"/>
        <v>$B$1:$B$92</v>
      </c>
      <c r="B3102" s="159" t="str">
        <f t="shared" si="243"/>
        <v>$C$1:$C$92</v>
      </c>
      <c r="C3102" s="159" t="str">
        <f t="shared" si="244"/>
        <v>March!$B$1:$B$92</v>
      </c>
      <c r="D3102" s="159" t="str">
        <f t="shared" si="245"/>
        <v>March!$C$1:$C$92</v>
      </c>
      <c r="E3102" t="s">
        <v>7</v>
      </c>
      <c r="F3102" t="s">
        <v>122</v>
      </c>
      <c r="G3102" t="s">
        <v>13</v>
      </c>
      <c r="H3102" t="s">
        <v>159</v>
      </c>
      <c r="I3102" t="e">
        <f ca="1">COUNTIFS(INDIRECT($C3102),$E3102,INDIRECT($D3102),$H3102)</f>
        <v>#REF!</v>
      </c>
      <c r="J3102" t="str">
        <f>VLOOKUP($G3102,DefinitionArrays!$I$6:$J$12,2,FALSE)</f>
        <v>Workweek</v>
      </c>
    </row>
    <row r="3103" spans="1:10">
      <c r="A3103" s="159" t="str">
        <f t="shared" si="242"/>
        <v>$B$1:$B$92</v>
      </c>
      <c r="B3103" s="159" t="str">
        <f t="shared" si="243"/>
        <v>$C$1:$C$92</v>
      </c>
      <c r="C3103" s="159" t="str">
        <f t="shared" si="244"/>
        <v>March!$B$1:$B$92</v>
      </c>
      <c r="D3103" s="159" t="str">
        <f t="shared" si="245"/>
        <v>March!$C$1:$C$92</v>
      </c>
      <c r="E3103" t="s">
        <v>7</v>
      </c>
      <c r="F3103" t="s">
        <v>122</v>
      </c>
      <c r="G3103" t="s">
        <v>13</v>
      </c>
      <c r="H3103" t="s">
        <v>18</v>
      </c>
      <c r="I3103" t="e">
        <f t="shared" ref="I3103:I3163" ca="1" si="246">COUNTIFS(INDIRECT($C3103),$E3103,INDIRECT($D3103),$H3103)</f>
        <v>#REF!</v>
      </c>
      <c r="J3103" t="str">
        <f>VLOOKUP($G3103,DefinitionArrays!$I$6:$J$12,2,FALSE)</f>
        <v>Workweek</v>
      </c>
    </row>
    <row r="3104" spans="1:10">
      <c r="A3104" s="159" t="str">
        <f t="shared" si="242"/>
        <v>$B$1:$B$92</v>
      </c>
      <c r="B3104" s="159" t="str">
        <f t="shared" si="243"/>
        <v>$C$1:$C$92</v>
      </c>
      <c r="C3104" s="159" t="str">
        <f t="shared" si="244"/>
        <v>March!$B$1:$B$92</v>
      </c>
      <c r="D3104" s="159" t="str">
        <f t="shared" si="245"/>
        <v>March!$C$1:$C$92</v>
      </c>
      <c r="E3104" t="s">
        <v>7</v>
      </c>
      <c r="F3104" t="s">
        <v>122</v>
      </c>
      <c r="G3104" t="s">
        <v>13</v>
      </c>
      <c r="H3104" t="s">
        <v>153</v>
      </c>
      <c r="I3104" t="e">
        <f t="shared" ca="1" si="246"/>
        <v>#REF!</v>
      </c>
      <c r="J3104" t="str">
        <f>VLOOKUP($G3104,DefinitionArrays!$I$6:$J$12,2,FALSE)</f>
        <v>Workweek</v>
      </c>
    </row>
    <row r="3105" spans="1:10">
      <c r="A3105" s="159" t="str">
        <f t="shared" si="242"/>
        <v>$B$1:$B$92</v>
      </c>
      <c r="B3105" s="159" t="str">
        <f t="shared" si="243"/>
        <v>$C$1:$C$92</v>
      </c>
      <c r="C3105" s="159" t="str">
        <f t="shared" si="244"/>
        <v>March!$B$1:$B$92</v>
      </c>
      <c r="D3105" s="159" t="str">
        <f t="shared" si="245"/>
        <v>March!$C$1:$C$92</v>
      </c>
      <c r="E3105" t="s">
        <v>7</v>
      </c>
      <c r="F3105" t="s">
        <v>122</v>
      </c>
      <c r="G3105" t="s">
        <v>13</v>
      </c>
      <c r="H3105" t="s">
        <v>19</v>
      </c>
      <c r="I3105" t="e">
        <f t="shared" ca="1" si="246"/>
        <v>#REF!</v>
      </c>
      <c r="J3105" t="str">
        <f>VLOOKUP($G3105,DefinitionArrays!$I$6:$J$12,2,FALSE)</f>
        <v>Workweek</v>
      </c>
    </row>
    <row r="3106" spans="1:10">
      <c r="A3106" s="159" t="str">
        <f t="shared" si="242"/>
        <v>$B$1:$B$92</v>
      </c>
      <c r="B3106" s="159" t="str">
        <f t="shared" si="243"/>
        <v>$C$1:$C$92</v>
      </c>
      <c r="C3106" s="159" t="str">
        <f t="shared" si="244"/>
        <v>March!$B$1:$B$92</v>
      </c>
      <c r="D3106" s="159" t="str">
        <f t="shared" si="245"/>
        <v>March!$C$1:$C$92</v>
      </c>
      <c r="E3106" t="s">
        <v>7</v>
      </c>
      <c r="F3106" t="s">
        <v>122</v>
      </c>
      <c r="G3106" t="s">
        <v>13</v>
      </c>
      <c r="H3106" t="s">
        <v>20</v>
      </c>
      <c r="I3106" t="e">
        <f t="shared" ca="1" si="246"/>
        <v>#REF!</v>
      </c>
      <c r="J3106" t="str">
        <f>VLOOKUP($G3106,DefinitionArrays!$I$6:$J$12,2,FALSE)</f>
        <v>Workweek</v>
      </c>
    </row>
    <row r="3107" spans="1:10">
      <c r="A3107" s="159" t="str">
        <f t="shared" si="242"/>
        <v>$B$1:$B$92</v>
      </c>
      <c r="B3107" s="159" t="str">
        <f t="shared" si="243"/>
        <v>$C$1:$C$92</v>
      </c>
      <c r="C3107" s="159" t="str">
        <f t="shared" si="244"/>
        <v>March!$B$1:$B$92</v>
      </c>
      <c r="D3107" s="159" t="str">
        <f t="shared" si="245"/>
        <v>March!$C$1:$C$92</v>
      </c>
      <c r="E3107" t="s">
        <v>7</v>
      </c>
      <c r="F3107" t="s">
        <v>122</v>
      </c>
      <c r="G3107" t="s">
        <v>13</v>
      </c>
      <c r="H3107" t="s">
        <v>21</v>
      </c>
      <c r="I3107" t="e">
        <f t="shared" ca="1" si="246"/>
        <v>#REF!</v>
      </c>
      <c r="J3107" t="str">
        <f>VLOOKUP($G3107,DefinitionArrays!$I$6:$J$12,2,FALSE)</f>
        <v>Workweek</v>
      </c>
    </row>
    <row r="3108" spans="1:10">
      <c r="A3108" s="159" t="str">
        <f t="shared" si="242"/>
        <v>$B$1:$B$92</v>
      </c>
      <c r="B3108" s="159" t="str">
        <f t="shared" si="243"/>
        <v>$C$1:$C$92</v>
      </c>
      <c r="C3108" s="159" t="str">
        <f t="shared" si="244"/>
        <v>March!$B$1:$B$92</v>
      </c>
      <c r="D3108" s="159" t="str">
        <f t="shared" si="245"/>
        <v>March!$C$1:$C$92</v>
      </c>
      <c r="E3108" t="s">
        <v>7</v>
      </c>
      <c r="F3108" t="s">
        <v>122</v>
      </c>
      <c r="G3108" t="s">
        <v>13</v>
      </c>
      <c r="H3108" t="s">
        <v>22</v>
      </c>
      <c r="I3108" t="e">
        <f t="shared" ca="1" si="246"/>
        <v>#REF!</v>
      </c>
      <c r="J3108" t="str">
        <f>VLOOKUP($G3108,DefinitionArrays!$I$6:$J$12,2,FALSE)</f>
        <v>Workweek</v>
      </c>
    </row>
    <row r="3109" spans="1:10">
      <c r="A3109" s="159" t="str">
        <f t="shared" si="242"/>
        <v>$B$1:$B$92</v>
      </c>
      <c r="B3109" s="159" t="str">
        <f t="shared" si="243"/>
        <v>$C$1:$C$92</v>
      </c>
      <c r="C3109" s="159" t="str">
        <f t="shared" si="244"/>
        <v>March!$B$1:$B$92</v>
      </c>
      <c r="D3109" s="159" t="str">
        <f t="shared" si="245"/>
        <v>March!$C$1:$C$92</v>
      </c>
      <c r="E3109" t="s">
        <v>7</v>
      </c>
      <c r="F3109" t="s">
        <v>122</v>
      </c>
      <c r="G3109" t="s">
        <v>13</v>
      </c>
      <c r="H3109" t="s">
        <v>23</v>
      </c>
      <c r="I3109" t="e">
        <f t="shared" ca="1" si="246"/>
        <v>#REF!</v>
      </c>
      <c r="J3109" t="str">
        <f>VLOOKUP($G3109,DefinitionArrays!$I$6:$J$12,2,FALSE)</f>
        <v>Workweek</v>
      </c>
    </row>
    <row r="3110" spans="1:10">
      <c r="A3110" s="159" t="str">
        <f t="shared" si="242"/>
        <v>$B$1:$B$92</v>
      </c>
      <c r="B3110" s="159" t="str">
        <f t="shared" si="243"/>
        <v>$C$1:$C$92</v>
      </c>
      <c r="C3110" s="159" t="str">
        <f t="shared" si="244"/>
        <v>March!$B$1:$B$92</v>
      </c>
      <c r="D3110" s="159" t="str">
        <f t="shared" si="245"/>
        <v>March!$C$1:$C$92</v>
      </c>
      <c r="E3110" t="s">
        <v>7</v>
      </c>
      <c r="F3110" t="s">
        <v>122</v>
      </c>
      <c r="G3110" t="s">
        <v>13</v>
      </c>
      <c r="H3110" t="s">
        <v>24</v>
      </c>
      <c r="I3110" t="e">
        <f t="shared" ca="1" si="246"/>
        <v>#REF!</v>
      </c>
      <c r="J3110" t="str">
        <f>VLOOKUP($G3110,DefinitionArrays!$I$6:$J$12,2,FALSE)</f>
        <v>Workweek</v>
      </c>
    </row>
    <row r="3111" spans="1:10">
      <c r="A3111" s="159" t="str">
        <f t="shared" si="242"/>
        <v>$B$1:$B$92</v>
      </c>
      <c r="B3111" s="159" t="str">
        <f t="shared" si="243"/>
        <v>$C$1:$C$92</v>
      </c>
      <c r="C3111" s="159" t="str">
        <f t="shared" si="244"/>
        <v>March!$B$1:$B$92</v>
      </c>
      <c r="D3111" s="159" t="str">
        <f t="shared" si="245"/>
        <v>March!$C$1:$C$92</v>
      </c>
      <c r="E3111" t="s">
        <v>7</v>
      </c>
      <c r="F3111" t="s">
        <v>122</v>
      </c>
      <c r="G3111" t="s">
        <v>13</v>
      </c>
      <c r="H3111" t="s">
        <v>179</v>
      </c>
      <c r="I3111" t="e">
        <f t="shared" ca="1" si="246"/>
        <v>#REF!</v>
      </c>
      <c r="J3111" t="str">
        <f>VLOOKUP($G3111,DefinitionArrays!$I$6:$J$12,2,FALSE)</f>
        <v>Workweek</v>
      </c>
    </row>
    <row r="3112" spans="1:10">
      <c r="A3112" s="159" t="str">
        <f t="shared" si="242"/>
        <v>$B$1:$B$92</v>
      </c>
      <c r="B3112" s="159" t="str">
        <f t="shared" si="243"/>
        <v>$C$1:$C$92</v>
      </c>
      <c r="C3112" s="159" t="str">
        <f t="shared" si="244"/>
        <v>March!$B$1:$B$92</v>
      </c>
      <c r="D3112" s="159" t="str">
        <f t="shared" si="245"/>
        <v>March!$C$1:$C$92</v>
      </c>
      <c r="E3112" t="s">
        <v>7</v>
      </c>
      <c r="F3112" t="s">
        <v>122</v>
      </c>
      <c r="G3112" t="s">
        <v>13</v>
      </c>
      <c r="H3112" t="s">
        <v>180</v>
      </c>
      <c r="I3112" t="e">
        <f t="shared" ca="1" si="246"/>
        <v>#REF!</v>
      </c>
      <c r="J3112" t="str">
        <f>VLOOKUP($G3112,DefinitionArrays!$I$6:$J$12,2,FALSE)</f>
        <v>Workweek</v>
      </c>
    </row>
    <row r="3113" spans="1:10">
      <c r="A3113" s="159" t="str">
        <f t="shared" si="242"/>
        <v>$B$1:$B$92</v>
      </c>
      <c r="B3113" s="159" t="str">
        <f t="shared" si="243"/>
        <v>$C$1:$C$92</v>
      </c>
      <c r="C3113" s="159" t="str">
        <f t="shared" si="244"/>
        <v>March!$B$1:$B$92</v>
      </c>
      <c r="D3113" s="159" t="str">
        <f t="shared" si="245"/>
        <v>March!$C$1:$C$92</v>
      </c>
      <c r="E3113" t="s">
        <v>7</v>
      </c>
      <c r="F3113" t="s">
        <v>122</v>
      </c>
      <c r="G3113" t="s">
        <v>13</v>
      </c>
      <c r="H3113" t="s">
        <v>44</v>
      </c>
      <c r="I3113" t="e">
        <f t="shared" ca="1" si="246"/>
        <v>#REF!</v>
      </c>
      <c r="J3113" t="str">
        <f>VLOOKUP($G3113,DefinitionArrays!$I$6:$J$12,2,FALSE)</f>
        <v>Workweek</v>
      </c>
    </row>
    <row r="3114" spans="1:10">
      <c r="A3114" s="159" t="str">
        <f t="shared" si="242"/>
        <v>$E$1:$E$92</v>
      </c>
      <c r="B3114" s="159" t="str">
        <f t="shared" si="243"/>
        <v>$F$1:$F$92</v>
      </c>
      <c r="C3114" s="159" t="str">
        <f t="shared" si="244"/>
        <v>March!$E$1:$E$92</v>
      </c>
      <c r="D3114" s="159" t="str">
        <f t="shared" si="245"/>
        <v>March!$F$1:$F$92</v>
      </c>
      <c r="E3114" t="s">
        <v>7</v>
      </c>
      <c r="F3114" t="s">
        <v>122</v>
      </c>
      <c r="G3114" t="s">
        <v>142</v>
      </c>
      <c r="H3114" t="s">
        <v>159</v>
      </c>
      <c r="I3114" t="e">
        <f t="shared" ca="1" si="246"/>
        <v>#REF!</v>
      </c>
      <c r="J3114" t="str">
        <f>VLOOKUP($G3114,DefinitionArrays!$I$6:$J$12,2,FALSE)</f>
        <v>Workweek</v>
      </c>
    </row>
    <row r="3115" spans="1:10">
      <c r="A3115" s="159" t="str">
        <f t="shared" si="242"/>
        <v>$E$1:$E$92</v>
      </c>
      <c r="B3115" s="159" t="str">
        <f t="shared" si="243"/>
        <v>$F$1:$F$92</v>
      </c>
      <c r="C3115" s="159" t="str">
        <f t="shared" si="244"/>
        <v>March!$E$1:$E$92</v>
      </c>
      <c r="D3115" s="159" t="str">
        <f t="shared" si="245"/>
        <v>March!$F$1:$F$92</v>
      </c>
      <c r="E3115" t="s">
        <v>7</v>
      </c>
      <c r="F3115" t="s">
        <v>122</v>
      </c>
      <c r="G3115" t="s">
        <v>142</v>
      </c>
      <c r="H3115" t="s">
        <v>18</v>
      </c>
      <c r="I3115" t="e">
        <f t="shared" ca="1" si="246"/>
        <v>#REF!</v>
      </c>
      <c r="J3115" t="str">
        <f>VLOOKUP($G3115,DefinitionArrays!$I$6:$J$12,2,FALSE)</f>
        <v>Workweek</v>
      </c>
    </row>
    <row r="3116" spans="1:10">
      <c r="A3116" s="159" t="str">
        <f t="shared" si="242"/>
        <v>$E$1:$E$92</v>
      </c>
      <c r="B3116" s="159" t="str">
        <f t="shared" si="243"/>
        <v>$F$1:$F$92</v>
      </c>
      <c r="C3116" s="159" t="str">
        <f t="shared" si="244"/>
        <v>March!$E$1:$E$92</v>
      </c>
      <c r="D3116" s="159" t="str">
        <f t="shared" si="245"/>
        <v>March!$F$1:$F$92</v>
      </c>
      <c r="E3116" t="s">
        <v>7</v>
      </c>
      <c r="F3116" t="s">
        <v>122</v>
      </c>
      <c r="G3116" t="s">
        <v>142</v>
      </c>
      <c r="H3116" t="s">
        <v>153</v>
      </c>
      <c r="I3116" t="e">
        <f t="shared" ca="1" si="246"/>
        <v>#REF!</v>
      </c>
      <c r="J3116" t="str">
        <f>VLOOKUP($G3116,DefinitionArrays!$I$6:$J$12,2,FALSE)</f>
        <v>Workweek</v>
      </c>
    </row>
    <row r="3117" spans="1:10">
      <c r="A3117" s="159" t="str">
        <f t="shared" si="242"/>
        <v>$E$1:$E$92</v>
      </c>
      <c r="B3117" s="159" t="str">
        <f t="shared" si="243"/>
        <v>$F$1:$F$92</v>
      </c>
      <c r="C3117" s="159" t="str">
        <f t="shared" si="244"/>
        <v>March!$E$1:$E$92</v>
      </c>
      <c r="D3117" s="159" t="str">
        <f t="shared" si="245"/>
        <v>March!$F$1:$F$92</v>
      </c>
      <c r="E3117" t="s">
        <v>7</v>
      </c>
      <c r="F3117" t="s">
        <v>122</v>
      </c>
      <c r="G3117" t="s">
        <v>142</v>
      </c>
      <c r="H3117" t="s">
        <v>19</v>
      </c>
      <c r="I3117" t="e">
        <f t="shared" ca="1" si="246"/>
        <v>#REF!</v>
      </c>
      <c r="J3117" t="str">
        <f>VLOOKUP($G3117,DefinitionArrays!$I$6:$J$12,2,FALSE)</f>
        <v>Workweek</v>
      </c>
    </row>
    <row r="3118" spans="1:10">
      <c r="A3118" s="159" t="str">
        <f t="shared" si="242"/>
        <v>$E$1:$E$92</v>
      </c>
      <c r="B3118" s="159" t="str">
        <f t="shared" si="243"/>
        <v>$F$1:$F$92</v>
      </c>
      <c r="C3118" s="159" t="str">
        <f t="shared" si="244"/>
        <v>March!$E$1:$E$92</v>
      </c>
      <c r="D3118" s="159" t="str">
        <f t="shared" si="245"/>
        <v>March!$F$1:$F$92</v>
      </c>
      <c r="E3118" t="s">
        <v>7</v>
      </c>
      <c r="F3118" t="s">
        <v>122</v>
      </c>
      <c r="G3118" t="s">
        <v>142</v>
      </c>
      <c r="H3118" t="s">
        <v>20</v>
      </c>
      <c r="I3118" t="e">
        <f t="shared" ca="1" si="246"/>
        <v>#REF!</v>
      </c>
      <c r="J3118" t="str">
        <f>VLOOKUP($G3118,DefinitionArrays!$I$6:$J$12,2,FALSE)</f>
        <v>Workweek</v>
      </c>
    </row>
    <row r="3119" spans="1:10">
      <c r="A3119" s="159" t="str">
        <f t="shared" si="242"/>
        <v>$E$1:$E$92</v>
      </c>
      <c r="B3119" s="159" t="str">
        <f t="shared" si="243"/>
        <v>$F$1:$F$92</v>
      </c>
      <c r="C3119" s="159" t="str">
        <f t="shared" si="244"/>
        <v>March!$E$1:$E$92</v>
      </c>
      <c r="D3119" s="159" t="str">
        <f t="shared" si="245"/>
        <v>March!$F$1:$F$92</v>
      </c>
      <c r="E3119" t="s">
        <v>7</v>
      </c>
      <c r="F3119" t="s">
        <v>122</v>
      </c>
      <c r="G3119" t="s">
        <v>142</v>
      </c>
      <c r="H3119" t="s">
        <v>21</v>
      </c>
      <c r="I3119" t="e">
        <f t="shared" ca="1" si="246"/>
        <v>#REF!</v>
      </c>
      <c r="J3119" t="str">
        <f>VLOOKUP($G3119,DefinitionArrays!$I$6:$J$12,2,FALSE)</f>
        <v>Workweek</v>
      </c>
    </row>
    <row r="3120" spans="1:10">
      <c r="A3120" s="159" t="str">
        <f t="shared" si="242"/>
        <v>$E$1:$E$92</v>
      </c>
      <c r="B3120" s="159" t="str">
        <f t="shared" si="243"/>
        <v>$F$1:$F$92</v>
      </c>
      <c r="C3120" s="159" t="str">
        <f t="shared" si="244"/>
        <v>March!$E$1:$E$92</v>
      </c>
      <c r="D3120" s="159" t="str">
        <f t="shared" si="245"/>
        <v>March!$F$1:$F$92</v>
      </c>
      <c r="E3120" t="s">
        <v>7</v>
      </c>
      <c r="F3120" t="s">
        <v>122</v>
      </c>
      <c r="G3120" t="s">
        <v>142</v>
      </c>
      <c r="H3120" t="s">
        <v>22</v>
      </c>
      <c r="I3120" t="e">
        <f t="shared" ca="1" si="246"/>
        <v>#REF!</v>
      </c>
      <c r="J3120" t="str">
        <f>VLOOKUP($G3120,DefinitionArrays!$I$6:$J$12,2,FALSE)</f>
        <v>Workweek</v>
      </c>
    </row>
    <row r="3121" spans="1:10">
      <c r="A3121" s="159" t="str">
        <f t="shared" si="242"/>
        <v>$E$1:$E$92</v>
      </c>
      <c r="B3121" s="159" t="str">
        <f t="shared" si="243"/>
        <v>$F$1:$F$92</v>
      </c>
      <c r="C3121" s="159" t="str">
        <f t="shared" si="244"/>
        <v>March!$E$1:$E$92</v>
      </c>
      <c r="D3121" s="159" t="str">
        <f t="shared" si="245"/>
        <v>March!$F$1:$F$92</v>
      </c>
      <c r="E3121" t="s">
        <v>7</v>
      </c>
      <c r="F3121" t="s">
        <v>122</v>
      </c>
      <c r="G3121" t="s">
        <v>142</v>
      </c>
      <c r="H3121" t="s">
        <v>23</v>
      </c>
      <c r="I3121" t="e">
        <f t="shared" ca="1" si="246"/>
        <v>#REF!</v>
      </c>
      <c r="J3121" t="str">
        <f>VLOOKUP($G3121,DefinitionArrays!$I$6:$J$12,2,FALSE)</f>
        <v>Workweek</v>
      </c>
    </row>
    <row r="3122" spans="1:10">
      <c r="A3122" s="159" t="str">
        <f t="shared" si="242"/>
        <v>$E$1:$E$92</v>
      </c>
      <c r="B3122" s="159" t="str">
        <f t="shared" si="243"/>
        <v>$F$1:$F$92</v>
      </c>
      <c r="C3122" s="159" t="str">
        <f t="shared" si="244"/>
        <v>March!$E$1:$E$92</v>
      </c>
      <c r="D3122" s="159" t="str">
        <f t="shared" si="245"/>
        <v>March!$F$1:$F$92</v>
      </c>
      <c r="E3122" t="s">
        <v>7</v>
      </c>
      <c r="F3122" t="s">
        <v>122</v>
      </c>
      <c r="G3122" t="s">
        <v>142</v>
      </c>
      <c r="H3122" t="s">
        <v>24</v>
      </c>
      <c r="I3122" t="e">
        <f t="shared" ca="1" si="246"/>
        <v>#REF!</v>
      </c>
      <c r="J3122" t="str">
        <f>VLOOKUP($G3122,DefinitionArrays!$I$6:$J$12,2,FALSE)</f>
        <v>Workweek</v>
      </c>
    </row>
    <row r="3123" spans="1:10">
      <c r="A3123" s="159" t="str">
        <f t="shared" si="242"/>
        <v>$E$1:$E$92</v>
      </c>
      <c r="B3123" s="159" t="str">
        <f t="shared" si="243"/>
        <v>$F$1:$F$92</v>
      </c>
      <c r="C3123" s="159" t="str">
        <f t="shared" si="244"/>
        <v>March!$E$1:$E$92</v>
      </c>
      <c r="D3123" s="159" t="str">
        <f t="shared" si="245"/>
        <v>March!$F$1:$F$92</v>
      </c>
      <c r="E3123" t="s">
        <v>7</v>
      </c>
      <c r="F3123" t="s">
        <v>122</v>
      </c>
      <c r="G3123" t="s">
        <v>142</v>
      </c>
      <c r="H3123" t="s">
        <v>179</v>
      </c>
      <c r="I3123" t="e">
        <f t="shared" ca="1" si="246"/>
        <v>#REF!</v>
      </c>
      <c r="J3123" t="str">
        <f>VLOOKUP($G3123,DefinitionArrays!$I$6:$J$12,2,FALSE)</f>
        <v>Workweek</v>
      </c>
    </row>
    <row r="3124" spans="1:10">
      <c r="A3124" s="159" t="str">
        <f t="shared" si="242"/>
        <v>$E$1:$E$92</v>
      </c>
      <c r="B3124" s="159" t="str">
        <f t="shared" si="243"/>
        <v>$F$1:$F$92</v>
      </c>
      <c r="C3124" s="159" t="str">
        <f t="shared" si="244"/>
        <v>March!$E$1:$E$92</v>
      </c>
      <c r="D3124" s="159" t="str">
        <f t="shared" si="245"/>
        <v>March!$F$1:$F$92</v>
      </c>
      <c r="E3124" t="s">
        <v>7</v>
      </c>
      <c r="F3124" t="s">
        <v>122</v>
      </c>
      <c r="G3124" t="s">
        <v>142</v>
      </c>
      <c r="H3124" t="s">
        <v>180</v>
      </c>
      <c r="I3124" t="e">
        <f t="shared" ca="1" si="246"/>
        <v>#REF!</v>
      </c>
      <c r="J3124" t="str">
        <f>VLOOKUP($G3124,DefinitionArrays!$I$6:$J$12,2,FALSE)</f>
        <v>Workweek</v>
      </c>
    </row>
    <row r="3125" spans="1:10">
      <c r="A3125" s="159" t="str">
        <f t="shared" si="242"/>
        <v>$E$1:$E$92</v>
      </c>
      <c r="B3125" s="159" t="str">
        <f t="shared" si="243"/>
        <v>$F$1:$F$92</v>
      </c>
      <c r="C3125" s="159" t="str">
        <f t="shared" si="244"/>
        <v>March!$E$1:$E$92</v>
      </c>
      <c r="D3125" s="159" t="str">
        <f t="shared" si="245"/>
        <v>March!$F$1:$F$92</v>
      </c>
      <c r="E3125" t="s">
        <v>7</v>
      </c>
      <c r="F3125" t="s">
        <v>122</v>
      </c>
      <c r="G3125" t="s">
        <v>142</v>
      </c>
      <c r="H3125" t="s">
        <v>44</v>
      </c>
      <c r="I3125" t="e">
        <f t="shared" ca="1" si="246"/>
        <v>#REF!</v>
      </c>
      <c r="J3125" t="str">
        <f>VLOOKUP($G3125,DefinitionArrays!$I$6:$J$12,2,FALSE)</f>
        <v>Workweek</v>
      </c>
    </row>
    <row r="3126" spans="1:10">
      <c r="A3126" s="159" t="str">
        <f t="shared" si="242"/>
        <v>$H$1:$H$92</v>
      </c>
      <c r="B3126" s="159" t="str">
        <f t="shared" si="243"/>
        <v>$I$1:$I$92</v>
      </c>
      <c r="C3126" s="159" t="str">
        <f t="shared" si="244"/>
        <v>March!$H$1:$H$92</v>
      </c>
      <c r="D3126" s="159" t="str">
        <f t="shared" si="245"/>
        <v>March!$I$1:$I$92</v>
      </c>
      <c r="E3126" t="s">
        <v>7</v>
      </c>
      <c r="F3126" t="s">
        <v>122</v>
      </c>
      <c r="G3126" t="s">
        <v>143</v>
      </c>
      <c r="H3126" t="s">
        <v>159</v>
      </c>
      <c r="I3126" t="e">
        <f t="shared" ca="1" si="246"/>
        <v>#REF!</v>
      </c>
      <c r="J3126" t="str">
        <f>VLOOKUP($G3126,DefinitionArrays!$I$6:$J$12,2,FALSE)</f>
        <v>Workweek</v>
      </c>
    </row>
    <row r="3127" spans="1:10">
      <c r="A3127" s="159" t="str">
        <f t="shared" si="242"/>
        <v>$H$1:$H$92</v>
      </c>
      <c r="B3127" s="159" t="str">
        <f t="shared" si="243"/>
        <v>$I$1:$I$92</v>
      </c>
      <c r="C3127" s="159" t="str">
        <f t="shared" si="244"/>
        <v>March!$H$1:$H$92</v>
      </c>
      <c r="D3127" s="159" t="str">
        <f t="shared" si="245"/>
        <v>March!$I$1:$I$92</v>
      </c>
      <c r="E3127" t="s">
        <v>7</v>
      </c>
      <c r="F3127" t="s">
        <v>122</v>
      </c>
      <c r="G3127" t="s">
        <v>143</v>
      </c>
      <c r="H3127" t="s">
        <v>18</v>
      </c>
      <c r="I3127" t="e">
        <f t="shared" ca="1" si="246"/>
        <v>#REF!</v>
      </c>
      <c r="J3127" t="str">
        <f>VLOOKUP($G3127,DefinitionArrays!$I$6:$J$12,2,FALSE)</f>
        <v>Workweek</v>
      </c>
    </row>
    <row r="3128" spans="1:10">
      <c r="A3128" s="159" t="str">
        <f t="shared" si="242"/>
        <v>$H$1:$H$92</v>
      </c>
      <c r="B3128" s="159" t="str">
        <f t="shared" si="243"/>
        <v>$I$1:$I$92</v>
      </c>
      <c r="C3128" s="159" t="str">
        <f t="shared" si="244"/>
        <v>March!$H$1:$H$92</v>
      </c>
      <c r="D3128" s="159" t="str">
        <f t="shared" si="245"/>
        <v>March!$I$1:$I$92</v>
      </c>
      <c r="E3128" t="s">
        <v>7</v>
      </c>
      <c r="F3128" t="s">
        <v>122</v>
      </c>
      <c r="G3128" t="s">
        <v>143</v>
      </c>
      <c r="H3128" t="s">
        <v>153</v>
      </c>
      <c r="I3128" t="e">
        <f t="shared" ca="1" si="246"/>
        <v>#REF!</v>
      </c>
      <c r="J3128" t="str">
        <f>VLOOKUP($G3128,DefinitionArrays!$I$6:$J$12,2,FALSE)</f>
        <v>Workweek</v>
      </c>
    </row>
    <row r="3129" spans="1:10">
      <c r="A3129" s="159" t="str">
        <f t="shared" si="242"/>
        <v>$H$1:$H$92</v>
      </c>
      <c r="B3129" s="159" t="str">
        <f t="shared" si="243"/>
        <v>$I$1:$I$92</v>
      </c>
      <c r="C3129" s="159" t="str">
        <f t="shared" si="244"/>
        <v>March!$H$1:$H$92</v>
      </c>
      <c r="D3129" s="159" t="str">
        <f t="shared" si="245"/>
        <v>March!$I$1:$I$92</v>
      </c>
      <c r="E3129" t="s">
        <v>7</v>
      </c>
      <c r="F3129" t="s">
        <v>122</v>
      </c>
      <c r="G3129" t="s">
        <v>143</v>
      </c>
      <c r="H3129" t="s">
        <v>19</v>
      </c>
      <c r="I3129" t="e">
        <f t="shared" ca="1" si="246"/>
        <v>#REF!</v>
      </c>
      <c r="J3129" t="str">
        <f>VLOOKUP($G3129,DefinitionArrays!$I$6:$J$12,2,FALSE)</f>
        <v>Workweek</v>
      </c>
    </row>
    <row r="3130" spans="1:10">
      <c r="A3130" s="159" t="str">
        <f t="shared" si="242"/>
        <v>$H$1:$H$92</v>
      </c>
      <c r="B3130" s="159" t="str">
        <f t="shared" si="243"/>
        <v>$I$1:$I$92</v>
      </c>
      <c r="C3130" s="159" t="str">
        <f t="shared" si="244"/>
        <v>March!$H$1:$H$92</v>
      </c>
      <c r="D3130" s="159" t="str">
        <f t="shared" si="245"/>
        <v>March!$I$1:$I$92</v>
      </c>
      <c r="E3130" t="s">
        <v>7</v>
      </c>
      <c r="F3130" t="s">
        <v>122</v>
      </c>
      <c r="G3130" t="s">
        <v>143</v>
      </c>
      <c r="H3130" t="s">
        <v>20</v>
      </c>
      <c r="I3130" t="e">
        <f t="shared" ca="1" si="246"/>
        <v>#REF!</v>
      </c>
      <c r="J3130" t="str">
        <f>VLOOKUP($G3130,DefinitionArrays!$I$6:$J$12,2,FALSE)</f>
        <v>Workweek</v>
      </c>
    </row>
    <row r="3131" spans="1:10">
      <c r="A3131" s="159" t="str">
        <f t="shared" si="242"/>
        <v>$H$1:$H$92</v>
      </c>
      <c r="B3131" s="159" t="str">
        <f t="shared" si="243"/>
        <v>$I$1:$I$92</v>
      </c>
      <c r="C3131" s="159" t="str">
        <f t="shared" si="244"/>
        <v>March!$H$1:$H$92</v>
      </c>
      <c r="D3131" s="159" t="str">
        <f t="shared" si="245"/>
        <v>March!$I$1:$I$92</v>
      </c>
      <c r="E3131" t="s">
        <v>7</v>
      </c>
      <c r="F3131" t="s">
        <v>122</v>
      </c>
      <c r="G3131" t="s">
        <v>143</v>
      </c>
      <c r="H3131" t="s">
        <v>21</v>
      </c>
      <c r="I3131" t="e">
        <f t="shared" ca="1" si="246"/>
        <v>#REF!</v>
      </c>
      <c r="J3131" t="str">
        <f>VLOOKUP($G3131,DefinitionArrays!$I$6:$J$12,2,FALSE)</f>
        <v>Workweek</v>
      </c>
    </row>
    <row r="3132" spans="1:10">
      <c r="A3132" s="159" t="str">
        <f t="shared" si="242"/>
        <v>$H$1:$H$92</v>
      </c>
      <c r="B3132" s="159" t="str">
        <f t="shared" si="243"/>
        <v>$I$1:$I$92</v>
      </c>
      <c r="C3132" s="159" t="str">
        <f t="shared" si="244"/>
        <v>March!$H$1:$H$92</v>
      </c>
      <c r="D3132" s="159" t="str">
        <f t="shared" si="245"/>
        <v>March!$I$1:$I$92</v>
      </c>
      <c r="E3132" t="s">
        <v>7</v>
      </c>
      <c r="F3132" t="s">
        <v>122</v>
      </c>
      <c r="G3132" t="s">
        <v>143</v>
      </c>
      <c r="H3132" t="s">
        <v>22</v>
      </c>
      <c r="I3132" t="e">
        <f t="shared" ca="1" si="246"/>
        <v>#REF!</v>
      </c>
      <c r="J3132" t="str">
        <f>VLOOKUP($G3132,DefinitionArrays!$I$6:$J$12,2,FALSE)</f>
        <v>Workweek</v>
      </c>
    </row>
    <row r="3133" spans="1:10">
      <c r="A3133" s="159" t="str">
        <f t="shared" si="242"/>
        <v>$H$1:$H$92</v>
      </c>
      <c r="B3133" s="159" t="str">
        <f t="shared" si="243"/>
        <v>$I$1:$I$92</v>
      </c>
      <c r="C3133" s="159" t="str">
        <f t="shared" si="244"/>
        <v>March!$H$1:$H$92</v>
      </c>
      <c r="D3133" s="159" t="str">
        <f t="shared" si="245"/>
        <v>March!$I$1:$I$92</v>
      </c>
      <c r="E3133" t="s">
        <v>7</v>
      </c>
      <c r="F3133" t="s">
        <v>122</v>
      </c>
      <c r="G3133" t="s">
        <v>143</v>
      </c>
      <c r="H3133" t="s">
        <v>23</v>
      </c>
      <c r="I3133" t="e">
        <f t="shared" ca="1" si="246"/>
        <v>#REF!</v>
      </c>
      <c r="J3133" t="str">
        <f>VLOOKUP($G3133,DefinitionArrays!$I$6:$J$12,2,FALSE)</f>
        <v>Workweek</v>
      </c>
    </row>
    <row r="3134" spans="1:10">
      <c r="A3134" s="159" t="str">
        <f t="shared" si="242"/>
        <v>$H$1:$H$92</v>
      </c>
      <c r="B3134" s="159" t="str">
        <f t="shared" si="243"/>
        <v>$I$1:$I$92</v>
      </c>
      <c r="C3134" s="159" t="str">
        <f t="shared" si="244"/>
        <v>March!$H$1:$H$92</v>
      </c>
      <c r="D3134" s="159" t="str">
        <f t="shared" si="245"/>
        <v>March!$I$1:$I$92</v>
      </c>
      <c r="E3134" t="s">
        <v>7</v>
      </c>
      <c r="F3134" t="s">
        <v>122</v>
      </c>
      <c r="G3134" t="s">
        <v>143</v>
      </c>
      <c r="H3134" t="s">
        <v>24</v>
      </c>
      <c r="I3134" t="e">
        <f t="shared" ca="1" si="246"/>
        <v>#REF!</v>
      </c>
      <c r="J3134" t="str">
        <f>VLOOKUP($G3134,DefinitionArrays!$I$6:$J$12,2,FALSE)</f>
        <v>Workweek</v>
      </c>
    </row>
    <row r="3135" spans="1:10">
      <c r="A3135" s="159" t="str">
        <f t="shared" si="242"/>
        <v>$H$1:$H$92</v>
      </c>
      <c r="B3135" s="159" t="str">
        <f t="shared" si="243"/>
        <v>$I$1:$I$92</v>
      </c>
      <c r="C3135" s="159" t="str">
        <f t="shared" si="244"/>
        <v>March!$H$1:$H$92</v>
      </c>
      <c r="D3135" s="159" t="str">
        <f t="shared" si="245"/>
        <v>March!$I$1:$I$92</v>
      </c>
      <c r="E3135" t="s">
        <v>7</v>
      </c>
      <c r="F3135" t="s">
        <v>122</v>
      </c>
      <c r="G3135" t="s">
        <v>143</v>
      </c>
      <c r="H3135" t="s">
        <v>179</v>
      </c>
      <c r="I3135" t="e">
        <f t="shared" ca="1" si="246"/>
        <v>#REF!</v>
      </c>
      <c r="J3135" t="str">
        <f>VLOOKUP($G3135,DefinitionArrays!$I$6:$J$12,2,FALSE)</f>
        <v>Workweek</v>
      </c>
    </row>
    <row r="3136" spans="1:10">
      <c r="A3136" s="159" t="str">
        <f t="shared" si="242"/>
        <v>$H$1:$H$92</v>
      </c>
      <c r="B3136" s="159" t="str">
        <f t="shared" si="243"/>
        <v>$I$1:$I$92</v>
      </c>
      <c r="C3136" s="159" t="str">
        <f t="shared" si="244"/>
        <v>March!$H$1:$H$92</v>
      </c>
      <c r="D3136" s="159" t="str">
        <f t="shared" si="245"/>
        <v>March!$I$1:$I$92</v>
      </c>
      <c r="E3136" t="s">
        <v>7</v>
      </c>
      <c r="F3136" t="s">
        <v>122</v>
      </c>
      <c r="G3136" t="s">
        <v>143</v>
      </c>
      <c r="H3136" t="s">
        <v>180</v>
      </c>
      <c r="I3136" t="e">
        <f t="shared" ca="1" si="246"/>
        <v>#REF!</v>
      </c>
      <c r="J3136" t="str">
        <f>VLOOKUP($G3136,DefinitionArrays!$I$6:$J$12,2,FALSE)</f>
        <v>Workweek</v>
      </c>
    </row>
    <row r="3137" spans="1:10">
      <c r="A3137" s="159" t="str">
        <f t="shared" si="242"/>
        <v>$H$1:$H$92</v>
      </c>
      <c r="B3137" s="159" t="str">
        <f t="shared" si="243"/>
        <v>$I$1:$I$92</v>
      </c>
      <c r="C3137" s="159" t="str">
        <f t="shared" si="244"/>
        <v>March!$H$1:$H$92</v>
      </c>
      <c r="D3137" s="159" t="str">
        <f t="shared" si="245"/>
        <v>March!$I$1:$I$92</v>
      </c>
      <c r="E3137" t="s">
        <v>7</v>
      </c>
      <c r="F3137" t="s">
        <v>122</v>
      </c>
      <c r="G3137" t="s">
        <v>143</v>
      </c>
      <c r="H3137" t="s">
        <v>44</v>
      </c>
      <c r="I3137" t="e">
        <f t="shared" ca="1" si="246"/>
        <v>#REF!</v>
      </c>
      <c r="J3137" t="str">
        <f>VLOOKUP($G3137,DefinitionArrays!$I$6:$J$12,2,FALSE)</f>
        <v>Workweek</v>
      </c>
    </row>
    <row r="3138" spans="1:10">
      <c r="A3138" s="159" t="str">
        <f t="shared" ref="A3138:A3201" si="247">VLOOKUP($G3138,Fx_Code,2,FALSE)</f>
        <v>$K$1:$K$92</v>
      </c>
      <c r="B3138" s="159" t="str">
        <f t="shared" ref="B3138:B3201" si="248">VLOOKUP($G3138,Fx_Code,3,FALSE)</f>
        <v>$L$1:$L$92</v>
      </c>
      <c r="C3138" s="159" t="str">
        <f t="shared" ref="C3138:C3201" si="249">CONCATENATE($F3138,$K$1,A3138)</f>
        <v>March!$K$1:$K$92</v>
      </c>
      <c r="D3138" s="159" t="str">
        <f t="shared" ref="D3138:D3201" si="250">CONCATENATE($F3138,$K$1,B3138)</f>
        <v>March!$L$1:$L$92</v>
      </c>
      <c r="E3138" t="s">
        <v>7</v>
      </c>
      <c r="F3138" t="s">
        <v>122</v>
      </c>
      <c r="G3138" t="s">
        <v>144</v>
      </c>
      <c r="H3138" t="s">
        <v>159</v>
      </c>
      <c r="I3138" t="e">
        <f t="shared" ca="1" si="246"/>
        <v>#REF!</v>
      </c>
      <c r="J3138" t="str">
        <f>VLOOKUP($G3138,DefinitionArrays!$I$6:$J$12,2,FALSE)</f>
        <v>Workweek</v>
      </c>
    </row>
    <row r="3139" spans="1:10">
      <c r="A3139" s="159" t="str">
        <f t="shared" si="247"/>
        <v>$K$1:$K$92</v>
      </c>
      <c r="B3139" s="159" t="str">
        <f t="shared" si="248"/>
        <v>$L$1:$L$92</v>
      </c>
      <c r="C3139" s="159" t="str">
        <f t="shared" si="249"/>
        <v>March!$K$1:$K$92</v>
      </c>
      <c r="D3139" s="159" t="str">
        <f t="shared" si="250"/>
        <v>March!$L$1:$L$92</v>
      </c>
      <c r="E3139" t="s">
        <v>7</v>
      </c>
      <c r="F3139" t="s">
        <v>122</v>
      </c>
      <c r="G3139" t="s">
        <v>144</v>
      </c>
      <c r="H3139" t="s">
        <v>18</v>
      </c>
      <c r="I3139" t="e">
        <f t="shared" ca="1" si="246"/>
        <v>#REF!</v>
      </c>
      <c r="J3139" t="str">
        <f>VLOOKUP($G3139,DefinitionArrays!$I$6:$J$12,2,FALSE)</f>
        <v>Workweek</v>
      </c>
    </row>
    <row r="3140" spans="1:10">
      <c r="A3140" s="159" t="str">
        <f t="shared" si="247"/>
        <v>$K$1:$K$92</v>
      </c>
      <c r="B3140" s="159" t="str">
        <f t="shared" si="248"/>
        <v>$L$1:$L$92</v>
      </c>
      <c r="C3140" s="159" t="str">
        <f t="shared" si="249"/>
        <v>March!$K$1:$K$92</v>
      </c>
      <c r="D3140" s="159" t="str">
        <f t="shared" si="250"/>
        <v>March!$L$1:$L$92</v>
      </c>
      <c r="E3140" t="s">
        <v>7</v>
      </c>
      <c r="F3140" t="s">
        <v>122</v>
      </c>
      <c r="G3140" t="s">
        <v>144</v>
      </c>
      <c r="H3140" t="s">
        <v>153</v>
      </c>
      <c r="I3140" t="e">
        <f t="shared" ca="1" si="246"/>
        <v>#REF!</v>
      </c>
      <c r="J3140" t="str">
        <f>VLOOKUP($G3140,DefinitionArrays!$I$6:$J$12,2,FALSE)</f>
        <v>Workweek</v>
      </c>
    </row>
    <row r="3141" spans="1:10">
      <c r="A3141" s="159" t="str">
        <f t="shared" si="247"/>
        <v>$K$1:$K$92</v>
      </c>
      <c r="B3141" s="159" t="str">
        <f t="shared" si="248"/>
        <v>$L$1:$L$92</v>
      </c>
      <c r="C3141" s="159" t="str">
        <f t="shared" si="249"/>
        <v>March!$K$1:$K$92</v>
      </c>
      <c r="D3141" s="159" t="str">
        <f t="shared" si="250"/>
        <v>March!$L$1:$L$92</v>
      </c>
      <c r="E3141" t="s">
        <v>7</v>
      </c>
      <c r="F3141" t="s">
        <v>122</v>
      </c>
      <c r="G3141" t="s">
        <v>144</v>
      </c>
      <c r="H3141" t="s">
        <v>19</v>
      </c>
      <c r="I3141" t="e">
        <f t="shared" ca="1" si="246"/>
        <v>#REF!</v>
      </c>
      <c r="J3141" t="str">
        <f>VLOOKUP($G3141,DefinitionArrays!$I$6:$J$12,2,FALSE)</f>
        <v>Workweek</v>
      </c>
    </row>
    <row r="3142" spans="1:10">
      <c r="A3142" s="159" t="str">
        <f t="shared" si="247"/>
        <v>$K$1:$K$92</v>
      </c>
      <c r="B3142" s="159" t="str">
        <f t="shared" si="248"/>
        <v>$L$1:$L$92</v>
      </c>
      <c r="C3142" s="159" t="str">
        <f t="shared" si="249"/>
        <v>March!$K$1:$K$92</v>
      </c>
      <c r="D3142" s="159" t="str">
        <f t="shared" si="250"/>
        <v>March!$L$1:$L$92</v>
      </c>
      <c r="E3142" t="s">
        <v>7</v>
      </c>
      <c r="F3142" t="s">
        <v>122</v>
      </c>
      <c r="G3142" t="s">
        <v>144</v>
      </c>
      <c r="H3142" t="s">
        <v>20</v>
      </c>
      <c r="I3142" t="e">
        <f t="shared" ca="1" si="246"/>
        <v>#REF!</v>
      </c>
      <c r="J3142" t="str">
        <f>VLOOKUP($G3142,DefinitionArrays!$I$6:$J$12,2,FALSE)</f>
        <v>Workweek</v>
      </c>
    </row>
    <row r="3143" spans="1:10">
      <c r="A3143" s="159" t="str">
        <f t="shared" si="247"/>
        <v>$K$1:$K$92</v>
      </c>
      <c r="B3143" s="159" t="str">
        <f t="shared" si="248"/>
        <v>$L$1:$L$92</v>
      </c>
      <c r="C3143" s="159" t="str">
        <f t="shared" si="249"/>
        <v>March!$K$1:$K$92</v>
      </c>
      <c r="D3143" s="159" t="str">
        <f t="shared" si="250"/>
        <v>March!$L$1:$L$92</v>
      </c>
      <c r="E3143" t="s">
        <v>7</v>
      </c>
      <c r="F3143" t="s">
        <v>122</v>
      </c>
      <c r="G3143" t="s">
        <v>144</v>
      </c>
      <c r="H3143" t="s">
        <v>21</v>
      </c>
      <c r="I3143" t="e">
        <f t="shared" ca="1" si="246"/>
        <v>#REF!</v>
      </c>
      <c r="J3143" t="str">
        <f>VLOOKUP($G3143,DefinitionArrays!$I$6:$J$12,2,FALSE)</f>
        <v>Workweek</v>
      </c>
    </row>
    <row r="3144" spans="1:10">
      <c r="A3144" s="159" t="str">
        <f t="shared" si="247"/>
        <v>$K$1:$K$92</v>
      </c>
      <c r="B3144" s="159" t="str">
        <f t="shared" si="248"/>
        <v>$L$1:$L$92</v>
      </c>
      <c r="C3144" s="159" t="str">
        <f t="shared" si="249"/>
        <v>March!$K$1:$K$92</v>
      </c>
      <c r="D3144" s="159" t="str">
        <f t="shared" si="250"/>
        <v>March!$L$1:$L$92</v>
      </c>
      <c r="E3144" t="s">
        <v>7</v>
      </c>
      <c r="F3144" t="s">
        <v>122</v>
      </c>
      <c r="G3144" t="s">
        <v>144</v>
      </c>
      <c r="H3144" t="s">
        <v>22</v>
      </c>
      <c r="I3144" t="e">
        <f t="shared" ca="1" si="246"/>
        <v>#REF!</v>
      </c>
      <c r="J3144" t="str">
        <f>VLOOKUP($G3144,DefinitionArrays!$I$6:$J$12,2,FALSE)</f>
        <v>Workweek</v>
      </c>
    </row>
    <row r="3145" spans="1:10">
      <c r="A3145" s="159" t="str">
        <f t="shared" si="247"/>
        <v>$K$1:$K$92</v>
      </c>
      <c r="B3145" s="159" t="str">
        <f t="shared" si="248"/>
        <v>$L$1:$L$92</v>
      </c>
      <c r="C3145" s="159" t="str">
        <f t="shared" si="249"/>
        <v>March!$K$1:$K$92</v>
      </c>
      <c r="D3145" s="159" t="str">
        <f t="shared" si="250"/>
        <v>March!$L$1:$L$92</v>
      </c>
      <c r="E3145" t="s">
        <v>7</v>
      </c>
      <c r="F3145" t="s">
        <v>122</v>
      </c>
      <c r="G3145" t="s">
        <v>144</v>
      </c>
      <c r="H3145" t="s">
        <v>23</v>
      </c>
      <c r="I3145" t="e">
        <f t="shared" ca="1" si="246"/>
        <v>#REF!</v>
      </c>
      <c r="J3145" t="str">
        <f>VLOOKUP($G3145,DefinitionArrays!$I$6:$J$12,2,FALSE)</f>
        <v>Workweek</v>
      </c>
    </row>
    <row r="3146" spans="1:10">
      <c r="A3146" s="159" t="str">
        <f t="shared" si="247"/>
        <v>$K$1:$K$92</v>
      </c>
      <c r="B3146" s="159" t="str">
        <f t="shared" si="248"/>
        <v>$L$1:$L$92</v>
      </c>
      <c r="C3146" s="159" t="str">
        <f t="shared" si="249"/>
        <v>March!$K$1:$K$92</v>
      </c>
      <c r="D3146" s="159" t="str">
        <f t="shared" si="250"/>
        <v>March!$L$1:$L$92</v>
      </c>
      <c r="E3146" t="s">
        <v>7</v>
      </c>
      <c r="F3146" t="s">
        <v>122</v>
      </c>
      <c r="G3146" t="s">
        <v>144</v>
      </c>
      <c r="H3146" t="s">
        <v>24</v>
      </c>
      <c r="I3146" t="e">
        <f t="shared" ca="1" si="246"/>
        <v>#REF!</v>
      </c>
      <c r="J3146" t="str">
        <f>VLOOKUP($G3146,DefinitionArrays!$I$6:$J$12,2,FALSE)</f>
        <v>Workweek</v>
      </c>
    </row>
    <row r="3147" spans="1:10">
      <c r="A3147" s="159" t="str">
        <f t="shared" si="247"/>
        <v>$K$1:$K$92</v>
      </c>
      <c r="B3147" s="159" t="str">
        <f t="shared" si="248"/>
        <v>$L$1:$L$92</v>
      </c>
      <c r="C3147" s="159" t="str">
        <f t="shared" si="249"/>
        <v>March!$K$1:$K$92</v>
      </c>
      <c r="D3147" s="159" t="str">
        <f t="shared" si="250"/>
        <v>March!$L$1:$L$92</v>
      </c>
      <c r="E3147" t="s">
        <v>7</v>
      </c>
      <c r="F3147" t="s">
        <v>122</v>
      </c>
      <c r="G3147" t="s">
        <v>144</v>
      </c>
      <c r="H3147" t="s">
        <v>179</v>
      </c>
      <c r="I3147" t="e">
        <f t="shared" ca="1" si="246"/>
        <v>#REF!</v>
      </c>
      <c r="J3147" t="str">
        <f>VLOOKUP($G3147,DefinitionArrays!$I$6:$J$12,2,FALSE)</f>
        <v>Workweek</v>
      </c>
    </row>
    <row r="3148" spans="1:10">
      <c r="A3148" s="159" t="str">
        <f t="shared" si="247"/>
        <v>$K$1:$K$92</v>
      </c>
      <c r="B3148" s="159" t="str">
        <f t="shared" si="248"/>
        <v>$L$1:$L$92</v>
      </c>
      <c r="C3148" s="159" t="str">
        <f t="shared" si="249"/>
        <v>March!$K$1:$K$92</v>
      </c>
      <c r="D3148" s="159" t="str">
        <f t="shared" si="250"/>
        <v>March!$L$1:$L$92</v>
      </c>
      <c r="E3148" t="s">
        <v>7</v>
      </c>
      <c r="F3148" t="s">
        <v>122</v>
      </c>
      <c r="G3148" t="s">
        <v>144</v>
      </c>
      <c r="H3148" t="s">
        <v>180</v>
      </c>
      <c r="I3148" t="e">
        <f t="shared" ca="1" si="246"/>
        <v>#REF!</v>
      </c>
      <c r="J3148" t="str">
        <f>VLOOKUP($G3148,DefinitionArrays!$I$6:$J$12,2,FALSE)</f>
        <v>Workweek</v>
      </c>
    </row>
    <row r="3149" spans="1:10">
      <c r="A3149" s="159" t="str">
        <f t="shared" si="247"/>
        <v>$K$1:$K$92</v>
      </c>
      <c r="B3149" s="159" t="str">
        <f t="shared" si="248"/>
        <v>$L$1:$L$92</v>
      </c>
      <c r="C3149" s="159" t="str">
        <f t="shared" si="249"/>
        <v>March!$K$1:$K$92</v>
      </c>
      <c r="D3149" s="159" t="str">
        <f t="shared" si="250"/>
        <v>March!$L$1:$L$92</v>
      </c>
      <c r="E3149" t="s">
        <v>7</v>
      </c>
      <c r="F3149" t="s">
        <v>122</v>
      </c>
      <c r="G3149" t="s">
        <v>144</v>
      </c>
      <c r="H3149" t="s">
        <v>44</v>
      </c>
      <c r="I3149" t="e">
        <f t="shared" ca="1" si="246"/>
        <v>#REF!</v>
      </c>
      <c r="J3149" t="str">
        <f>VLOOKUP($G3149,DefinitionArrays!$I$6:$J$12,2,FALSE)</f>
        <v>Workweek</v>
      </c>
    </row>
    <row r="3150" spans="1:10">
      <c r="A3150" s="159" t="str">
        <f t="shared" si="247"/>
        <v>$N$1:$N$92</v>
      </c>
      <c r="B3150" s="159" t="str">
        <f t="shared" si="248"/>
        <v>$O$1:$O$92</v>
      </c>
      <c r="C3150" s="159" t="str">
        <f t="shared" si="249"/>
        <v>March!$N$1:$N$92</v>
      </c>
      <c r="D3150" s="159" t="str">
        <f t="shared" si="250"/>
        <v>March!$O$1:$O$92</v>
      </c>
      <c r="E3150" t="s">
        <v>7</v>
      </c>
      <c r="F3150" t="s">
        <v>122</v>
      </c>
      <c r="G3150" t="s">
        <v>145</v>
      </c>
      <c r="H3150" t="s">
        <v>159</v>
      </c>
      <c r="I3150" t="e">
        <f t="shared" ca="1" si="246"/>
        <v>#REF!</v>
      </c>
      <c r="J3150" t="str">
        <f>VLOOKUP($G3150,DefinitionArrays!$I$6:$J$12,2,FALSE)</f>
        <v>Weekend</v>
      </c>
    </row>
    <row r="3151" spans="1:10">
      <c r="A3151" s="159" t="str">
        <f t="shared" si="247"/>
        <v>$N$1:$N$92</v>
      </c>
      <c r="B3151" s="159" t="str">
        <f t="shared" si="248"/>
        <v>$O$1:$O$92</v>
      </c>
      <c r="C3151" s="159" t="str">
        <f t="shared" si="249"/>
        <v>March!$N$1:$N$92</v>
      </c>
      <c r="D3151" s="159" t="str">
        <f t="shared" si="250"/>
        <v>March!$O$1:$O$92</v>
      </c>
      <c r="E3151" t="s">
        <v>7</v>
      </c>
      <c r="F3151" t="s">
        <v>122</v>
      </c>
      <c r="G3151" t="s">
        <v>145</v>
      </c>
      <c r="H3151" t="s">
        <v>18</v>
      </c>
      <c r="I3151" t="e">
        <f t="shared" ca="1" si="246"/>
        <v>#REF!</v>
      </c>
      <c r="J3151" t="str">
        <f>VLOOKUP($G3151,DefinitionArrays!$I$6:$J$12,2,FALSE)</f>
        <v>Weekend</v>
      </c>
    </row>
    <row r="3152" spans="1:10">
      <c r="A3152" s="159" t="str">
        <f t="shared" si="247"/>
        <v>$N$1:$N$92</v>
      </c>
      <c r="B3152" s="159" t="str">
        <f t="shared" si="248"/>
        <v>$O$1:$O$92</v>
      </c>
      <c r="C3152" s="159" t="str">
        <f t="shared" si="249"/>
        <v>March!$N$1:$N$92</v>
      </c>
      <c r="D3152" s="159" t="str">
        <f t="shared" si="250"/>
        <v>March!$O$1:$O$92</v>
      </c>
      <c r="E3152" t="s">
        <v>7</v>
      </c>
      <c r="F3152" t="s">
        <v>122</v>
      </c>
      <c r="G3152" t="s">
        <v>145</v>
      </c>
      <c r="H3152" t="s">
        <v>153</v>
      </c>
      <c r="I3152" t="e">
        <f t="shared" ca="1" si="246"/>
        <v>#REF!</v>
      </c>
      <c r="J3152" t="str">
        <f>VLOOKUP($G3152,DefinitionArrays!$I$6:$J$12,2,FALSE)</f>
        <v>Weekend</v>
      </c>
    </row>
    <row r="3153" spans="1:10">
      <c r="A3153" s="159" t="str">
        <f t="shared" si="247"/>
        <v>$N$1:$N$92</v>
      </c>
      <c r="B3153" s="159" t="str">
        <f t="shared" si="248"/>
        <v>$O$1:$O$92</v>
      </c>
      <c r="C3153" s="159" t="str">
        <f t="shared" si="249"/>
        <v>March!$N$1:$N$92</v>
      </c>
      <c r="D3153" s="159" t="str">
        <f t="shared" si="250"/>
        <v>March!$O$1:$O$92</v>
      </c>
      <c r="E3153" t="s">
        <v>7</v>
      </c>
      <c r="F3153" t="s">
        <v>122</v>
      </c>
      <c r="G3153" t="s">
        <v>145</v>
      </c>
      <c r="H3153" t="s">
        <v>19</v>
      </c>
      <c r="I3153" t="e">
        <f t="shared" ca="1" si="246"/>
        <v>#REF!</v>
      </c>
      <c r="J3153" t="str">
        <f>VLOOKUP($G3153,DefinitionArrays!$I$6:$J$12,2,FALSE)</f>
        <v>Weekend</v>
      </c>
    </row>
    <row r="3154" spans="1:10">
      <c r="A3154" s="159" t="str">
        <f t="shared" si="247"/>
        <v>$N$1:$N$92</v>
      </c>
      <c r="B3154" s="159" t="str">
        <f t="shared" si="248"/>
        <v>$O$1:$O$92</v>
      </c>
      <c r="C3154" s="159" t="str">
        <f t="shared" si="249"/>
        <v>March!$N$1:$N$92</v>
      </c>
      <c r="D3154" s="159" t="str">
        <f t="shared" si="250"/>
        <v>March!$O$1:$O$92</v>
      </c>
      <c r="E3154" t="s">
        <v>7</v>
      </c>
      <c r="F3154" t="s">
        <v>122</v>
      </c>
      <c r="G3154" t="s">
        <v>145</v>
      </c>
      <c r="H3154" t="s">
        <v>20</v>
      </c>
      <c r="I3154" t="e">
        <f t="shared" ca="1" si="246"/>
        <v>#REF!</v>
      </c>
      <c r="J3154" t="str">
        <f>VLOOKUP($G3154,DefinitionArrays!$I$6:$J$12,2,FALSE)</f>
        <v>Weekend</v>
      </c>
    </row>
    <row r="3155" spans="1:10">
      <c r="A3155" s="159" t="str">
        <f t="shared" si="247"/>
        <v>$N$1:$N$92</v>
      </c>
      <c r="B3155" s="159" t="str">
        <f t="shared" si="248"/>
        <v>$O$1:$O$92</v>
      </c>
      <c r="C3155" s="159" t="str">
        <f t="shared" si="249"/>
        <v>March!$N$1:$N$92</v>
      </c>
      <c r="D3155" s="159" t="str">
        <f t="shared" si="250"/>
        <v>March!$O$1:$O$92</v>
      </c>
      <c r="E3155" t="s">
        <v>7</v>
      </c>
      <c r="F3155" t="s">
        <v>122</v>
      </c>
      <c r="G3155" t="s">
        <v>145</v>
      </c>
      <c r="H3155" t="s">
        <v>21</v>
      </c>
      <c r="I3155" t="e">
        <f t="shared" ca="1" si="246"/>
        <v>#REF!</v>
      </c>
      <c r="J3155" t="str">
        <f>VLOOKUP($G3155,DefinitionArrays!$I$6:$J$12,2,FALSE)</f>
        <v>Weekend</v>
      </c>
    </row>
    <row r="3156" spans="1:10">
      <c r="A3156" s="159" t="str">
        <f t="shared" si="247"/>
        <v>$N$1:$N$92</v>
      </c>
      <c r="B3156" s="159" t="str">
        <f t="shared" si="248"/>
        <v>$O$1:$O$92</v>
      </c>
      <c r="C3156" s="159" t="str">
        <f t="shared" si="249"/>
        <v>March!$N$1:$N$92</v>
      </c>
      <c r="D3156" s="159" t="str">
        <f t="shared" si="250"/>
        <v>March!$O$1:$O$92</v>
      </c>
      <c r="E3156" t="s">
        <v>7</v>
      </c>
      <c r="F3156" t="s">
        <v>122</v>
      </c>
      <c r="G3156" t="s">
        <v>145</v>
      </c>
      <c r="H3156" t="s">
        <v>22</v>
      </c>
      <c r="I3156" t="e">
        <f t="shared" ca="1" si="246"/>
        <v>#REF!</v>
      </c>
      <c r="J3156" t="str">
        <f>VLOOKUP($G3156,DefinitionArrays!$I$6:$J$12,2,FALSE)</f>
        <v>Weekend</v>
      </c>
    </row>
    <row r="3157" spans="1:10">
      <c r="A3157" s="159" t="str">
        <f t="shared" si="247"/>
        <v>$N$1:$N$92</v>
      </c>
      <c r="B3157" s="159" t="str">
        <f t="shared" si="248"/>
        <v>$O$1:$O$92</v>
      </c>
      <c r="C3157" s="159" t="str">
        <f t="shared" si="249"/>
        <v>March!$N$1:$N$92</v>
      </c>
      <c r="D3157" s="159" t="str">
        <f t="shared" si="250"/>
        <v>March!$O$1:$O$92</v>
      </c>
      <c r="E3157" t="s">
        <v>7</v>
      </c>
      <c r="F3157" t="s">
        <v>122</v>
      </c>
      <c r="G3157" t="s">
        <v>145</v>
      </c>
      <c r="H3157" t="s">
        <v>23</v>
      </c>
      <c r="I3157" t="e">
        <f t="shared" ca="1" si="246"/>
        <v>#REF!</v>
      </c>
      <c r="J3157" t="str">
        <f>VLOOKUP($G3157,DefinitionArrays!$I$6:$J$12,2,FALSE)</f>
        <v>Weekend</v>
      </c>
    </row>
    <row r="3158" spans="1:10">
      <c r="A3158" s="159" t="str">
        <f t="shared" si="247"/>
        <v>$N$1:$N$92</v>
      </c>
      <c r="B3158" s="159" t="str">
        <f t="shared" si="248"/>
        <v>$O$1:$O$92</v>
      </c>
      <c r="C3158" s="159" t="str">
        <f t="shared" si="249"/>
        <v>March!$N$1:$N$92</v>
      </c>
      <c r="D3158" s="159" t="str">
        <f t="shared" si="250"/>
        <v>March!$O$1:$O$92</v>
      </c>
      <c r="E3158" t="s">
        <v>7</v>
      </c>
      <c r="F3158" t="s">
        <v>122</v>
      </c>
      <c r="G3158" t="s">
        <v>145</v>
      </c>
      <c r="H3158" t="s">
        <v>24</v>
      </c>
      <c r="I3158" t="e">
        <f t="shared" ca="1" si="246"/>
        <v>#REF!</v>
      </c>
      <c r="J3158" t="str">
        <f>VLOOKUP($G3158,DefinitionArrays!$I$6:$J$12,2,FALSE)</f>
        <v>Weekend</v>
      </c>
    </row>
    <row r="3159" spans="1:10">
      <c r="A3159" s="159" t="str">
        <f t="shared" si="247"/>
        <v>$N$1:$N$92</v>
      </c>
      <c r="B3159" s="159" t="str">
        <f t="shared" si="248"/>
        <v>$O$1:$O$92</v>
      </c>
      <c r="C3159" s="159" t="str">
        <f t="shared" si="249"/>
        <v>March!$N$1:$N$92</v>
      </c>
      <c r="D3159" s="159" t="str">
        <f t="shared" si="250"/>
        <v>March!$O$1:$O$92</v>
      </c>
      <c r="E3159" t="s">
        <v>7</v>
      </c>
      <c r="F3159" t="s">
        <v>122</v>
      </c>
      <c r="G3159" t="s">
        <v>145</v>
      </c>
      <c r="H3159" t="s">
        <v>179</v>
      </c>
      <c r="I3159" t="e">
        <f t="shared" ca="1" si="246"/>
        <v>#REF!</v>
      </c>
      <c r="J3159" t="str">
        <f>VLOOKUP($G3159,DefinitionArrays!$I$6:$J$12,2,FALSE)</f>
        <v>Weekend</v>
      </c>
    </row>
    <row r="3160" spans="1:10">
      <c r="A3160" s="159" t="str">
        <f t="shared" si="247"/>
        <v>$N$1:$N$92</v>
      </c>
      <c r="B3160" s="159" t="str">
        <f t="shared" si="248"/>
        <v>$O$1:$O$92</v>
      </c>
      <c r="C3160" s="159" t="str">
        <f t="shared" si="249"/>
        <v>March!$N$1:$N$92</v>
      </c>
      <c r="D3160" s="159" t="str">
        <f t="shared" si="250"/>
        <v>March!$O$1:$O$92</v>
      </c>
      <c r="E3160" t="s">
        <v>7</v>
      </c>
      <c r="F3160" t="s">
        <v>122</v>
      </c>
      <c r="G3160" t="s">
        <v>145</v>
      </c>
      <c r="H3160" t="s">
        <v>180</v>
      </c>
      <c r="I3160" t="e">
        <f t="shared" ca="1" si="246"/>
        <v>#REF!</v>
      </c>
      <c r="J3160" t="str">
        <f>VLOOKUP($G3160,DefinitionArrays!$I$6:$J$12,2,FALSE)</f>
        <v>Weekend</v>
      </c>
    </row>
    <row r="3161" spans="1:10">
      <c r="A3161" s="159" t="str">
        <f t="shared" si="247"/>
        <v>$N$1:$N$92</v>
      </c>
      <c r="B3161" s="159" t="str">
        <f t="shared" si="248"/>
        <v>$O$1:$O$92</v>
      </c>
      <c r="C3161" s="159" t="str">
        <f t="shared" si="249"/>
        <v>March!$N$1:$N$92</v>
      </c>
      <c r="D3161" s="159" t="str">
        <f t="shared" si="250"/>
        <v>March!$O$1:$O$92</v>
      </c>
      <c r="E3161" t="s">
        <v>7</v>
      </c>
      <c r="F3161" t="s">
        <v>122</v>
      </c>
      <c r="G3161" t="s">
        <v>145</v>
      </c>
      <c r="H3161" t="s">
        <v>44</v>
      </c>
      <c r="I3161" t="e">
        <f t="shared" ca="1" si="246"/>
        <v>#REF!</v>
      </c>
      <c r="J3161" t="str">
        <f>VLOOKUP($G3161,DefinitionArrays!$I$6:$J$12,2,FALSE)</f>
        <v>Weekend</v>
      </c>
    </row>
    <row r="3162" spans="1:10">
      <c r="A3162" s="159" t="str">
        <f t="shared" si="247"/>
        <v>$Q$1:$Q$92</v>
      </c>
      <c r="B3162" s="159" t="str">
        <f t="shared" si="248"/>
        <v>$R$1:$R$92</v>
      </c>
      <c r="C3162" s="159" t="str">
        <f t="shared" si="249"/>
        <v>March!$Q$1:$Q$92</v>
      </c>
      <c r="D3162" s="159" t="str">
        <f t="shared" si="250"/>
        <v>March!$R$1:$R$92</v>
      </c>
      <c r="E3162" t="s">
        <v>7</v>
      </c>
      <c r="F3162" t="s">
        <v>122</v>
      </c>
      <c r="G3162" t="s">
        <v>146</v>
      </c>
      <c r="H3162" t="s">
        <v>159</v>
      </c>
      <c r="I3162" t="e">
        <f t="shared" ca="1" si="246"/>
        <v>#REF!</v>
      </c>
      <c r="J3162" t="str">
        <f>VLOOKUP($G3162,DefinitionArrays!$I$6:$J$12,2,FALSE)</f>
        <v>Weekend</v>
      </c>
    </row>
    <row r="3163" spans="1:10">
      <c r="A3163" s="159" t="str">
        <f t="shared" si="247"/>
        <v>$T$1:$T$92</v>
      </c>
      <c r="B3163" s="159" t="str">
        <f t="shared" si="248"/>
        <v>$U$1:$U$92</v>
      </c>
      <c r="C3163" s="159" t="str">
        <f t="shared" si="249"/>
        <v>March!$T$1:$T$92</v>
      </c>
      <c r="D3163" s="159" t="str">
        <f t="shared" si="250"/>
        <v>March!$U$1:$U$92</v>
      </c>
      <c r="E3163" t="s">
        <v>7</v>
      </c>
      <c r="F3163" t="s">
        <v>122</v>
      </c>
      <c r="G3163" t="s">
        <v>141</v>
      </c>
      <c r="H3163" t="s">
        <v>159</v>
      </c>
      <c r="I3163" t="e">
        <f t="shared" ca="1" si="246"/>
        <v>#REF!</v>
      </c>
      <c r="J3163" t="str">
        <f>VLOOKUP($G3163,DefinitionArrays!$I$6:$J$12,2,FALSE)</f>
        <v>Weekend</v>
      </c>
    </row>
    <row r="3164" spans="1:10">
      <c r="A3164" s="159" t="str">
        <f t="shared" si="247"/>
        <v>$B$1:$B$92</v>
      </c>
      <c r="B3164" s="159" t="str">
        <f t="shared" si="248"/>
        <v>$C$1:$C$92</v>
      </c>
      <c r="C3164" s="159" t="str">
        <f t="shared" si="249"/>
        <v>April!$B$1:$B$92</v>
      </c>
      <c r="D3164" s="159" t="str">
        <f t="shared" si="250"/>
        <v>April!$C$1:$C$92</v>
      </c>
      <c r="E3164" t="s">
        <v>7</v>
      </c>
      <c r="F3164" t="s">
        <v>123</v>
      </c>
      <c r="G3164" t="s">
        <v>13</v>
      </c>
      <c r="H3164" t="s">
        <v>159</v>
      </c>
      <c r="I3164" t="e">
        <f ca="1">COUNTIFS(INDIRECT($C3164),$E3164,INDIRECT($D3164),$H3164)</f>
        <v>#REF!</v>
      </c>
      <c r="J3164" t="str">
        <f>VLOOKUP($G3164,DefinitionArrays!$I$6:$J$12,2,FALSE)</f>
        <v>Workweek</v>
      </c>
    </row>
    <row r="3165" spans="1:10">
      <c r="A3165" s="159" t="str">
        <f t="shared" si="247"/>
        <v>$B$1:$B$92</v>
      </c>
      <c r="B3165" s="159" t="str">
        <f t="shared" si="248"/>
        <v>$C$1:$C$92</v>
      </c>
      <c r="C3165" s="159" t="str">
        <f t="shared" si="249"/>
        <v>April!$B$1:$B$92</v>
      </c>
      <c r="D3165" s="159" t="str">
        <f t="shared" si="250"/>
        <v>April!$C$1:$C$92</v>
      </c>
      <c r="E3165" t="s">
        <v>7</v>
      </c>
      <c r="F3165" t="s">
        <v>123</v>
      </c>
      <c r="G3165" t="s">
        <v>13</v>
      </c>
      <c r="H3165" t="s">
        <v>18</v>
      </c>
      <c r="I3165" t="e">
        <f t="shared" ref="I3165:I3225" ca="1" si="251">COUNTIFS(INDIRECT($C3165),$E3165,INDIRECT($D3165),$H3165)</f>
        <v>#REF!</v>
      </c>
      <c r="J3165" t="str">
        <f>VLOOKUP($G3165,DefinitionArrays!$I$6:$J$12,2,FALSE)</f>
        <v>Workweek</v>
      </c>
    </row>
    <row r="3166" spans="1:10">
      <c r="A3166" s="159" t="str">
        <f t="shared" si="247"/>
        <v>$B$1:$B$92</v>
      </c>
      <c r="B3166" s="159" t="str">
        <f t="shared" si="248"/>
        <v>$C$1:$C$92</v>
      </c>
      <c r="C3166" s="159" t="str">
        <f t="shared" si="249"/>
        <v>April!$B$1:$B$92</v>
      </c>
      <c r="D3166" s="159" t="str">
        <f t="shared" si="250"/>
        <v>April!$C$1:$C$92</v>
      </c>
      <c r="E3166" t="s">
        <v>7</v>
      </c>
      <c r="F3166" t="s">
        <v>123</v>
      </c>
      <c r="G3166" t="s">
        <v>13</v>
      </c>
      <c r="H3166" t="s">
        <v>153</v>
      </c>
      <c r="I3166" t="e">
        <f t="shared" ca="1" si="251"/>
        <v>#REF!</v>
      </c>
      <c r="J3166" t="str">
        <f>VLOOKUP($G3166,DefinitionArrays!$I$6:$J$12,2,FALSE)</f>
        <v>Workweek</v>
      </c>
    </row>
    <row r="3167" spans="1:10">
      <c r="A3167" s="159" t="str">
        <f t="shared" si="247"/>
        <v>$B$1:$B$92</v>
      </c>
      <c r="B3167" s="159" t="str">
        <f t="shared" si="248"/>
        <v>$C$1:$C$92</v>
      </c>
      <c r="C3167" s="159" t="str">
        <f t="shared" si="249"/>
        <v>April!$B$1:$B$92</v>
      </c>
      <c r="D3167" s="159" t="str">
        <f t="shared" si="250"/>
        <v>April!$C$1:$C$92</v>
      </c>
      <c r="E3167" t="s">
        <v>7</v>
      </c>
      <c r="F3167" t="s">
        <v>123</v>
      </c>
      <c r="G3167" t="s">
        <v>13</v>
      </c>
      <c r="H3167" t="s">
        <v>19</v>
      </c>
      <c r="I3167" t="e">
        <f t="shared" ca="1" si="251"/>
        <v>#REF!</v>
      </c>
      <c r="J3167" t="str">
        <f>VLOOKUP($G3167,DefinitionArrays!$I$6:$J$12,2,FALSE)</f>
        <v>Workweek</v>
      </c>
    </row>
    <row r="3168" spans="1:10">
      <c r="A3168" s="159" t="str">
        <f t="shared" si="247"/>
        <v>$B$1:$B$92</v>
      </c>
      <c r="B3168" s="159" t="str">
        <f t="shared" si="248"/>
        <v>$C$1:$C$92</v>
      </c>
      <c r="C3168" s="159" t="str">
        <f t="shared" si="249"/>
        <v>April!$B$1:$B$92</v>
      </c>
      <c r="D3168" s="159" t="str">
        <f t="shared" si="250"/>
        <v>April!$C$1:$C$92</v>
      </c>
      <c r="E3168" t="s">
        <v>7</v>
      </c>
      <c r="F3168" t="s">
        <v>123</v>
      </c>
      <c r="G3168" t="s">
        <v>13</v>
      </c>
      <c r="H3168" t="s">
        <v>20</v>
      </c>
      <c r="I3168" t="e">
        <f t="shared" ca="1" si="251"/>
        <v>#REF!</v>
      </c>
      <c r="J3168" t="str">
        <f>VLOOKUP($G3168,DefinitionArrays!$I$6:$J$12,2,FALSE)</f>
        <v>Workweek</v>
      </c>
    </row>
    <row r="3169" spans="1:10">
      <c r="A3169" s="159" t="str">
        <f t="shared" si="247"/>
        <v>$B$1:$B$92</v>
      </c>
      <c r="B3169" s="159" t="str">
        <f t="shared" si="248"/>
        <v>$C$1:$C$92</v>
      </c>
      <c r="C3169" s="159" t="str">
        <f t="shared" si="249"/>
        <v>April!$B$1:$B$92</v>
      </c>
      <c r="D3169" s="159" t="str">
        <f t="shared" si="250"/>
        <v>April!$C$1:$C$92</v>
      </c>
      <c r="E3169" t="s">
        <v>7</v>
      </c>
      <c r="F3169" t="s">
        <v>123</v>
      </c>
      <c r="G3169" t="s">
        <v>13</v>
      </c>
      <c r="H3169" t="s">
        <v>21</v>
      </c>
      <c r="I3169" t="e">
        <f t="shared" ca="1" si="251"/>
        <v>#REF!</v>
      </c>
      <c r="J3169" t="str">
        <f>VLOOKUP($G3169,DefinitionArrays!$I$6:$J$12,2,FALSE)</f>
        <v>Workweek</v>
      </c>
    </row>
    <row r="3170" spans="1:10">
      <c r="A3170" s="159" t="str">
        <f t="shared" si="247"/>
        <v>$B$1:$B$92</v>
      </c>
      <c r="B3170" s="159" t="str">
        <f t="shared" si="248"/>
        <v>$C$1:$C$92</v>
      </c>
      <c r="C3170" s="159" t="str">
        <f t="shared" si="249"/>
        <v>April!$B$1:$B$92</v>
      </c>
      <c r="D3170" s="159" t="str">
        <f t="shared" si="250"/>
        <v>April!$C$1:$C$92</v>
      </c>
      <c r="E3170" t="s">
        <v>7</v>
      </c>
      <c r="F3170" t="s">
        <v>123</v>
      </c>
      <c r="G3170" t="s">
        <v>13</v>
      </c>
      <c r="H3170" t="s">
        <v>22</v>
      </c>
      <c r="I3170" t="e">
        <f t="shared" ca="1" si="251"/>
        <v>#REF!</v>
      </c>
      <c r="J3170" t="str">
        <f>VLOOKUP($G3170,DefinitionArrays!$I$6:$J$12,2,FALSE)</f>
        <v>Workweek</v>
      </c>
    </row>
    <row r="3171" spans="1:10">
      <c r="A3171" s="159" t="str">
        <f t="shared" si="247"/>
        <v>$B$1:$B$92</v>
      </c>
      <c r="B3171" s="159" t="str">
        <f t="shared" si="248"/>
        <v>$C$1:$C$92</v>
      </c>
      <c r="C3171" s="159" t="str">
        <f t="shared" si="249"/>
        <v>April!$B$1:$B$92</v>
      </c>
      <c r="D3171" s="159" t="str">
        <f t="shared" si="250"/>
        <v>April!$C$1:$C$92</v>
      </c>
      <c r="E3171" t="s">
        <v>7</v>
      </c>
      <c r="F3171" t="s">
        <v>123</v>
      </c>
      <c r="G3171" t="s">
        <v>13</v>
      </c>
      <c r="H3171" t="s">
        <v>23</v>
      </c>
      <c r="I3171" t="e">
        <f t="shared" ca="1" si="251"/>
        <v>#REF!</v>
      </c>
      <c r="J3171" t="str">
        <f>VLOOKUP($G3171,DefinitionArrays!$I$6:$J$12,2,FALSE)</f>
        <v>Workweek</v>
      </c>
    </row>
    <row r="3172" spans="1:10">
      <c r="A3172" s="159" t="str">
        <f t="shared" si="247"/>
        <v>$B$1:$B$92</v>
      </c>
      <c r="B3172" s="159" t="str">
        <f t="shared" si="248"/>
        <v>$C$1:$C$92</v>
      </c>
      <c r="C3172" s="159" t="str">
        <f t="shared" si="249"/>
        <v>April!$B$1:$B$92</v>
      </c>
      <c r="D3172" s="159" t="str">
        <f t="shared" si="250"/>
        <v>April!$C$1:$C$92</v>
      </c>
      <c r="E3172" t="s">
        <v>7</v>
      </c>
      <c r="F3172" t="s">
        <v>123</v>
      </c>
      <c r="G3172" t="s">
        <v>13</v>
      </c>
      <c r="H3172" t="s">
        <v>24</v>
      </c>
      <c r="I3172" t="e">
        <f t="shared" ca="1" si="251"/>
        <v>#REF!</v>
      </c>
      <c r="J3172" t="str">
        <f>VLOOKUP($G3172,DefinitionArrays!$I$6:$J$12,2,FALSE)</f>
        <v>Workweek</v>
      </c>
    </row>
    <row r="3173" spans="1:10">
      <c r="A3173" s="159" t="str">
        <f t="shared" si="247"/>
        <v>$B$1:$B$92</v>
      </c>
      <c r="B3173" s="159" t="str">
        <f t="shared" si="248"/>
        <v>$C$1:$C$92</v>
      </c>
      <c r="C3173" s="159" t="str">
        <f t="shared" si="249"/>
        <v>April!$B$1:$B$92</v>
      </c>
      <c r="D3173" s="159" t="str">
        <f t="shared" si="250"/>
        <v>April!$C$1:$C$92</v>
      </c>
      <c r="E3173" t="s">
        <v>7</v>
      </c>
      <c r="F3173" t="s">
        <v>123</v>
      </c>
      <c r="G3173" t="s">
        <v>13</v>
      </c>
      <c r="H3173" t="s">
        <v>179</v>
      </c>
      <c r="I3173" t="e">
        <f t="shared" ca="1" si="251"/>
        <v>#REF!</v>
      </c>
      <c r="J3173" t="str">
        <f>VLOOKUP($G3173,DefinitionArrays!$I$6:$J$12,2,FALSE)</f>
        <v>Workweek</v>
      </c>
    </row>
    <row r="3174" spans="1:10">
      <c r="A3174" s="159" t="str">
        <f t="shared" si="247"/>
        <v>$B$1:$B$92</v>
      </c>
      <c r="B3174" s="159" t="str">
        <f t="shared" si="248"/>
        <v>$C$1:$C$92</v>
      </c>
      <c r="C3174" s="159" t="str">
        <f t="shared" si="249"/>
        <v>April!$B$1:$B$92</v>
      </c>
      <c r="D3174" s="159" t="str">
        <f t="shared" si="250"/>
        <v>April!$C$1:$C$92</v>
      </c>
      <c r="E3174" t="s">
        <v>7</v>
      </c>
      <c r="F3174" t="s">
        <v>123</v>
      </c>
      <c r="G3174" t="s">
        <v>13</v>
      </c>
      <c r="H3174" t="s">
        <v>180</v>
      </c>
      <c r="I3174" t="e">
        <f t="shared" ca="1" si="251"/>
        <v>#REF!</v>
      </c>
      <c r="J3174" t="str">
        <f>VLOOKUP($G3174,DefinitionArrays!$I$6:$J$12,2,FALSE)</f>
        <v>Workweek</v>
      </c>
    </row>
    <row r="3175" spans="1:10">
      <c r="A3175" s="159" t="str">
        <f t="shared" si="247"/>
        <v>$B$1:$B$92</v>
      </c>
      <c r="B3175" s="159" t="str">
        <f t="shared" si="248"/>
        <v>$C$1:$C$92</v>
      </c>
      <c r="C3175" s="159" t="str">
        <f t="shared" si="249"/>
        <v>April!$B$1:$B$92</v>
      </c>
      <c r="D3175" s="159" t="str">
        <f t="shared" si="250"/>
        <v>April!$C$1:$C$92</v>
      </c>
      <c r="E3175" t="s">
        <v>7</v>
      </c>
      <c r="F3175" t="s">
        <v>123</v>
      </c>
      <c r="G3175" t="s">
        <v>13</v>
      </c>
      <c r="H3175" t="s">
        <v>44</v>
      </c>
      <c r="I3175" t="e">
        <f t="shared" ca="1" si="251"/>
        <v>#REF!</v>
      </c>
      <c r="J3175" t="str">
        <f>VLOOKUP($G3175,DefinitionArrays!$I$6:$J$12,2,FALSE)</f>
        <v>Workweek</v>
      </c>
    </row>
    <row r="3176" spans="1:10">
      <c r="A3176" s="159" t="str">
        <f t="shared" si="247"/>
        <v>$E$1:$E$92</v>
      </c>
      <c r="B3176" s="159" t="str">
        <f t="shared" si="248"/>
        <v>$F$1:$F$92</v>
      </c>
      <c r="C3176" s="159" t="str">
        <f t="shared" si="249"/>
        <v>April!$E$1:$E$92</v>
      </c>
      <c r="D3176" s="159" t="str">
        <f t="shared" si="250"/>
        <v>April!$F$1:$F$92</v>
      </c>
      <c r="E3176" t="s">
        <v>7</v>
      </c>
      <c r="F3176" t="s">
        <v>123</v>
      </c>
      <c r="G3176" t="s">
        <v>142</v>
      </c>
      <c r="H3176" t="s">
        <v>159</v>
      </c>
      <c r="I3176" t="e">
        <f t="shared" ca="1" si="251"/>
        <v>#REF!</v>
      </c>
      <c r="J3176" t="str">
        <f>VLOOKUP($G3176,DefinitionArrays!$I$6:$J$12,2,FALSE)</f>
        <v>Workweek</v>
      </c>
    </row>
    <row r="3177" spans="1:10">
      <c r="A3177" s="159" t="str">
        <f t="shared" si="247"/>
        <v>$E$1:$E$92</v>
      </c>
      <c r="B3177" s="159" t="str">
        <f t="shared" si="248"/>
        <v>$F$1:$F$92</v>
      </c>
      <c r="C3177" s="159" t="str">
        <f t="shared" si="249"/>
        <v>April!$E$1:$E$92</v>
      </c>
      <c r="D3177" s="159" t="str">
        <f t="shared" si="250"/>
        <v>April!$F$1:$F$92</v>
      </c>
      <c r="E3177" t="s">
        <v>7</v>
      </c>
      <c r="F3177" t="s">
        <v>123</v>
      </c>
      <c r="G3177" t="s">
        <v>142</v>
      </c>
      <c r="H3177" t="s">
        <v>18</v>
      </c>
      <c r="I3177" t="e">
        <f t="shared" ca="1" si="251"/>
        <v>#REF!</v>
      </c>
      <c r="J3177" t="str">
        <f>VLOOKUP($G3177,DefinitionArrays!$I$6:$J$12,2,FALSE)</f>
        <v>Workweek</v>
      </c>
    </row>
    <row r="3178" spans="1:10">
      <c r="A3178" s="159" t="str">
        <f t="shared" si="247"/>
        <v>$E$1:$E$92</v>
      </c>
      <c r="B3178" s="159" t="str">
        <f t="shared" si="248"/>
        <v>$F$1:$F$92</v>
      </c>
      <c r="C3178" s="159" t="str">
        <f t="shared" si="249"/>
        <v>April!$E$1:$E$92</v>
      </c>
      <c r="D3178" s="159" t="str">
        <f t="shared" si="250"/>
        <v>April!$F$1:$F$92</v>
      </c>
      <c r="E3178" t="s">
        <v>7</v>
      </c>
      <c r="F3178" t="s">
        <v>123</v>
      </c>
      <c r="G3178" t="s">
        <v>142</v>
      </c>
      <c r="H3178" t="s">
        <v>153</v>
      </c>
      <c r="I3178" t="e">
        <f t="shared" ca="1" si="251"/>
        <v>#REF!</v>
      </c>
      <c r="J3178" t="str">
        <f>VLOOKUP($G3178,DefinitionArrays!$I$6:$J$12,2,FALSE)</f>
        <v>Workweek</v>
      </c>
    </row>
    <row r="3179" spans="1:10">
      <c r="A3179" s="159" t="str">
        <f t="shared" si="247"/>
        <v>$E$1:$E$92</v>
      </c>
      <c r="B3179" s="159" t="str">
        <f t="shared" si="248"/>
        <v>$F$1:$F$92</v>
      </c>
      <c r="C3179" s="159" t="str">
        <f t="shared" si="249"/>
        <v>April!$E$1:$E$92</v>
      </c>
      <c r="D3179" s="159" t="str">
        <f t="shared" si="250"/>
        <v>April!$F$1:$F$92</v>
      </c>
      <c r="E3179" t="s">
        <v>7</v>
      </c>
      <c r="F3179" t="s">
        <v>123</v>
      </c>
      <c r="G3179" t="s">
        <v>142</v>
      </c>
      <c r="H3179" t="s">
        <v>19</v>
      </c>
      <c r="I3179" t="e">
        <f t="shared" ca="1" si="251"/>
        <v>#REF!</v>
      </c>
      <c r="J3179" t="str">
        <f>VLOOKUP($G3179,DefinitionArrays!$I$6:$J$12,2,FALSE)</f>
        <v>Workweek</v>
      </c>
    </row>
    <row r="3180" spans="1:10">
      <c r="A3180" s="159" t="str">
        <f t="shared" si="247"/>
        <v>$E$1:$E$92</v>
      </c>
      <c r="B3180" s="159" t="str">
        <f t="shared" si="248"/>
        <v>$F$1:$F$92</v>
      </c>
      <c r="C3180" s="159" t="str">
        <f t="shared" si="249"/>
        <v>April!$E$1:$E$92</v>
      </c>
      <c r="D3180" s="159" t="str">
        <f t="shared" si="250"/>
        <v>April!$F$1:$F$92</v>
      </c>
      <c r="E3180" t="s">
        <v>7</v>
      </c>
      <c r="F3180" t="s">
        <v>123</v>
      </c>
      <c r="G3180" t="s">
        <v>142</v>
      </c>
      <c r="H3180" t="s">
        <v>20</v>
      </c>
      <c r="I3180" t="e">
        <f t="shared" ca="1" si="251"/>
        <v>#REF!</v>
      </c>
      <c r="J3180" t="str">
        <f>VLOOKUP($G3180,DefinitionArrays!$I$6:$J$12,2,FALSE)</f>
        <v>Workweek</v>
      </c>
    </row>
    <row r="3181" spans="1:10">
      <c r="A3181" s="159" t="str">
        <f t="shared" si="247"/>
        <v>$E$1:$E$92</v>
      </c>
      <c r="B3181" s="159" t="str">
        <f t="shared" si="248"/>
        <v>$F$1:$F$92</v>
      </c>
      <c r="C3181" s="159" t="str">
        <f t="shared" si="249"/>
        <v>April!$E$1:$E$92</v>
      </c>
      <c r="D3181" s="159" t="str">
        <f t="shared" si="250"/>
        <v>April!$F$1:$F$92</v>
      </c>
      <c r="E3181" t="s">
        <v>7</v>
      </c>
      <c r="F3181" t="s">
        <v>123</v>
      </c>
      <c r="G3181" t="s">
        <v>142</v>
      </c>
      <c r="H3181" t="s">
        <v>21</v>
      </c>
      <c r="I3181" t="e">
        <f t="shared" ca="1" si="251"/>
        <v>#REF!</v>
      </c>
      <c r="J3181" t="str">
        <f>VLOOKUP($G3181,DefinitionArrays!$I$6:$J$12,2,FALSE)</f>
        <v>Workweek</v>
      </c>
    </row>
    <row r="3182" spans="1:10">
      <c r="A3182" s="159" t="str">
        <f t="shared" si="247"/>
        <v>$E$1:$E$92</v>
      </c>
      <c r="B3182" s="159" t="str">
        <f t="shared" si="248"/>
        <v>$F$1:$F$92</v>
      </c>
      <c r="C3182" s="159" t="str">
        <f t="shared" si="249"/>
        <v>April!$E$1:$E$92</v>
      </c>
      <c r="D3182" s="159" t="str">
        <f t="shared" si="250"/>
        <v>April!$F$1:$F$92</v>
      </c>
      <c r="E3182" t="s">
        <v>7</v>
      </c>
      <c r="F3182" t="s">
        <v>123</v>
      </c>
      <c r="G3182" t="s">
        <v>142</v>
      </c>
      <c r="H3182" t="s">
        <v>22</v>
      </c>
      <c r="I3182" t="e">
        <f t="shared" ca="1" si="251"/>
        <v>#REF!</v>
      </c>
      <c r="J3182" t="str">
        <f>VLOOKUP($G3182,DefinitionArrays!$I$6:$J$12,2,FALSE)</f>
        <v>Workweek</v>
      </c>
    </row>
    <row r="3183" spans="1:10">
      <c r="A3183" s="159" t="str">
        <f t="shared" si="247"/>
        <v>$E$1:$E$92</v>
      </c>
      <c r="B3183" s="159" t="str">
        <f t="shared" si="248"/>
        <v>$F$1:$F$92</v>
      </c>
      <c r="C3183" s="159" t="str">
        <f t="shared" si="249"/>
        <v>April!$E$1:$E$92</v>
      </c>
      <c r="D3183" s="159" t="str">
        <f t="shared" si="250"/>
        <v>April!$F$1:$F$92</v>
      </c>
      <c r="E3183" t="s">
        <v>7</v>
      </c>
      <c r="F3183" t="s">
        <v>123</v>
      </c>
      <c r="G3183" t="s">
        <v>142</v>
      </c>
      <c r="H3183" t="s">
        <v>23</v>
      </c>
      <c r="I3183" t="e">
        <f t="shared" ca="1" si="251"/>
        <v>#REF!</v>
      </c>
      <c r="J3183" t="str">
        <f>VLOOKUP($G3183,DefinitionArrays!$I$6:$J$12,2,FALSE)</f>
        <v>Workweek</v>
      </c>
    </row>
    <row r="3184" spans="1:10">
      <c r="A3184" s="159" t="str">
        <f t="shared" si="247"/>
        <v>$E$1:$E$92</v>
      </c>
      <c r="B3184" s="159" t="str">
        <f t="shared" si="248"/>
        <v>$F$1:$F$92</v>
      </c>
      <c r="C3184" s="159" t="str">
        <f t="shared" si="249"/>
        <v>April!$E$1:$E$92</v>
      </c>
      <c r="D3184" s="159" t="str">
        <f t="shared" si="250"/>
        <v>April!$F$1:$F$92</v>
      </c>
      <c r="E3184" t="s">
        <v>7</v>
      </c>
      <c r="F3184" t="s">
        <v>123</v>
      </c>
      <c r="G3184" t="s">
        <v>142</v>
      </c>
      <c r="H3184" t="s">
        <v>24</v>
      </c>
      <c r="I3184" t="e">
        <f t="shared" ca="1" si="251"/>
        <v>#REF!</v>
      </c>
      <c r="J3184" t="str">
        <f>VLOOKUP($G3184,DefinitionArrays!$I$6:$J$12,2,FALSE)</f>
        <v>Workweek</v>
      </c>
    </row>
    <row r="3185" spans="1:10">
      <c r="A3185" s="159" t="str">
        <f t="shared" si="247"/>
        <v>$E$1:$E$92</v>
      </c>
      <c r="B3185" s="159" t="str">
        <f t="shared" si="248"/>
        <v>$F$1:$F$92</v>
      </c>
      <c r="C3185" s="159" t="str">
        <f t="shared" si="249"/>
        <v>April!$E$1:$E$92</v>
      </c>
      <c r="D3185" s="159" t="str">
        <f t="shared" si="250"/>
        <v>April!$F$1:$F$92</v>
      </c>
      <c r="E3185" t="s">
        <v>7</v>
      </c>
      <c r="F3185" t="s">
        <v>123</v>
      </c>
      <c r="G3185" t="s">
        <v>142</v>
      </c>
      <c r="H3185" t="s">
        <v>179</v>
      </c>
      <c r="I3185" t="e">
        <f t="shared" ca="1" si="251"/>
        <v>#REF!</v>
      </c>
      <c r="J3185" t="str">
        <f>VLOOKUP($G3185,DefinitionArrays!$I$6:$J$12,2,FALSE)</f>
        <v>Workweek</v>
      </c>
    </row>
    <row r="3186" spans="1:10">
      <c r="A3186" s="159" t="str">
        <f t="shared" si="247"/>
        <v>$E$1:$E$92</v>
      </c>
      <c r="B3186" s="159" t="str">
        <f t="shared" si="248"/>
        <v>$F$1:$F$92</v>
      </c>
      <c r="C3186" s="159" t="str">
        <f t="shared" si="249"/>
        <v>April!$E$1:$E$92</v>
      </c>
      <c r="D3186" s="159" t="str">
        <f t="shared" si="250"/>
        <v>April!$F$1:$F$92</v>
      </c>
      <c r="E3186" t="s">
        <v>7</v>
      </c>
      <c r="F3186" t="s">
        <v>123</v>
      </c>
      <c r="G3186" t="s">
        <v>142</v>
      </c>
      <c r="H3186" t="s">
        <v>180</v>
      </c>
      <c r="I3186" t="e">
        <f t="shared" ca="1" si="251"/>
        <v>#REF!</v>
      </c>
      <c r="J3186" t="str">
        <f>VLOOKUP($G3186,DefinitionArrays!$I$6:$J$12,2,FALSE)</f>
        <v>Workweek</v>
      </c>
    </row>
    <row r="3187" spans="1:10">
      <c r="A3187" s="159" t="str">
        <f t="shared" si="247"/>
        <v>$E$1:$E$92</v>
      </c>
      <c r="B3187" s="159" t="str">
        <f t="shared" si="248"/>
        <v>$F$1:$F$92</v>
      </c>
      <c r="C3187" s="159" t="str">
        <f t="shared" si="249"/>
        <v>April!$E$1:$E$92</v>
      </c>
      <c r="D3187" s="159" t="str">
        <f t="shared" si="250"/>
        <v>April!$F$1:$F$92</v>
      </c>
      <c r="E3187" t="s">
        <v>7</v>
      </c>
      <c r="F3187" t="s">
        <v>123</v>
      </c>
      <c r="G3187" t="s">
        <v>142</v>
      </c>
      <c r="H3187" t="s">
        <v>44</v>
      </c>
      <c r="I3187" t="e">
        <f t="shared" ca="1" si="251"/>
        <v>#REF!</v>
      </c>
      <c r="J3187" t="str">
        <f>VLOOKUP($G3187,DefinitionArrays!$I$6:$J$12,2,FALSE)</f>
        <v>Workweek</v>
      </c>
    </row>
    <row r="3188" spans="1:10">
      <c r="A3188" s="159" t="str">
        <f t="shared" si="247"/>
        <v>$H$1:$H$92</v>
      </c>
      <c r="B3188" s="159" t="str">
        <f t="shared" si="248"/>
        <v>$I$1:$I$92</v>
      </c>
      <c r="C3188" s="159" t="str">
        <f t="shared" si="249"/>
        <v>April!$H$1:$H$92</v>
      </c>
      <c r="D3188" s="159" t="str">
        <f t="shared" si="250"/>
        <v>April!$I$1:$I$92</v>
      </c>
      <c r="E3188" t="s">
        <v>7</v>
      </c>
      <c r="F3188" t="s">
        <v>123</v>
      </c>
      <c r="G3188" t="s">
        <v>143</v>
      </c>
      <c r="H3188" t="s">
        <v>159</v>
      </c>
      <c r="I3188" t="e">
        <f t="shared" ca="1" si="251"/>
        <v>#REF!</v>
      </c>
      <c r="J3188" t="str">
        <f>VLOOKUP($G3188,DefinitionArrays!$I$6:$J$12,2,FALSE)</f>
        <v>Workweek</v>
      </c>
    </row>
    <row r="3189" spans="1:10">
      <c r="A3189" s="159" t="str">
        <f t="shared" si="247"/>
        <v>$H$1:$H$92</v>
      </c>
      <c r="B3189" s="159" t="str">
        <f t="shared" si="248"/>
        <v>$I$1:$I$92</v>
      </c>
      <c r="C3189" s="159" t="str">
        <f t="shared" si="249"/>
        <v>April!$H$1:$H$92</v>
      </c>
      <c r="D3189" s="159" t="str">
        <f t="shared" si="250"/>
        <v>April!$I$1:$I$92</v>
      </c>
      <c r="E3189" t="s">
        <v>7</v>
      </c>
      <c r="F3189" t="s">
        <v>123</v>
      </c>
      <c r="G3189" t="s">
        <v>143</v>
      </c>
      <c r="H3189" t="s">
        <v>18</v>
      </c>
      <c r="I3189" t="e">
        <f t="shared" ca="1" si="251"/>
        <v>#REF!</v>
      </c>
      <c r="J3189" t="str">
        <f>VLOOKUP($G3189,DefinitionArrays!$I$6:$J$12,2,FALSE)</f>
        <v>Workweek</v>
      </c>
    </row>
    <row r="3190" spans="1:10">
      <c r="A3190" s="159" t="str">
        <f t="shared" si="247"/>
        <v>$H$1:$H$92</v>
      </c>
      <c r="B3190" s="159" t="str">
        <f t="shared" si="248"/>
        <v>$I$1:$I$92</v>
      </c>
      <c r="C3190" s="159" t="str">
        <f t="shared" si="249"/>
        <v>April!$H$1:$H$92</v>
      </c>
      <c r="D3190" s="159" t="str">
        <f t="shared" si="250"/>
        <v>April!$I$1:$I$92</v>
      </c>
      <c r="E3190" t="s">
        <v>7</v>
      </c>
      <c r="F3190" t="s">
        <v>123</v>
      </c>
      <c r="G3190" t="s">
        <v>143</v>
      </c>
      <c r="H3190" t="s">
        <v>153</v>
      </c>
      <c r="I3190" t="e">
        <f t="shared" ca="1" si="251"/>
        <v>#REF!</v>
      </c>
      <c r="J3190" t="str">
        <f>VLOOKUP($G3190,DefinitionArrays!$I$6:$J$12,2,FALSE)</f>
        <v>Workweek</v>
      </c>
    </row>
    <row r="3191" spans="1:10">
      <c r="A3191" s="159" t="str">
        <f t="shared" si="247"/>
        <v>$H$1:$H$92</v>
      </c>
      <c r="B3191" s="159" t="str">
        <f t="shared" si="248"/>
        <v>$I$1:$I$92</v>
      </c>
      <c r="C3191" s="159" t="str">
        <f t="shared" si="249"/>
        <v>April!$H$1:$H$92</v>
      </c>
      <c r="D3191" s="159" t="str">
        <f t="shared" si="250"/>
        <v>April!$I$1:$I$92</v>
      </c>
      <c r="E3191" t="s">
        <v>7</v>
      </c>
      <c r="F3191" t="s">
        <v>123</v>
      </c>
      <c r="G3191" t="s">
        <v>143</v>
      </c>
      <c r="H3191" t="s">
        <v>19</v>
      </c>
      <c r="I3191" t="e">
        <f t="shared" ca="1" si="251"/>
        <v>#REF!</v>
      </c>
      <c r="J3191" t="str">
        <f>VLOOKUP($G3191,DefinitionArrays!$I$6:$J$12,2,FALSE)</f>
        <v>Workweek</v>
      </c>
    </row>
    <row r="3192" spans="1:10">
      <c r="A3192" s="159" t="str">
        <f t="shared" si="247"/>
        <v>$H$1:$H$92</v>
      </c>
      <c r="B3192" s="159" t="str">
        <f t="shared" si="248"/>
        <v>$I$1:$I$92</v>
      </c>
      <c r="C3192" s="159" t="str">
        <f t="shared" si="249"/>
        <v>April!$H$1:$H$92</v>
      </c>
      <c r="D3192" s="159" t="str">
        <f t="shared" si="250"/>
        <v>April!$I$1:$I$92</v>
      </c>
      <c r="E3192" t="s">
        <v>7</v>
      </c>
      <c r="F3192" t="s">
        <v>123</v>
      </c>
      <c r="G3192" t="s">
        <v>143</v>
      </c>
      <c r="H3192" t="s">
        <v>20</v>
      </c>
      <c r="I3192" t="e">
        <f t="shared" ca="1" si="251"/>
        <v>#REF!</v>
      </c>
      <c r="J3192" t="str">
        <f>VLOOKUP($G3192,DefinitionArrays!$I$6:$J$12,2,FALSE)</f>
        <v>Workweek</v>
      </c>
    </row>
    <row r="3193" spans="1:10">
      <c r="A3193" s="159" t="str">
        <f t="shared" si="247"/>
        <v>$H$1:$H$92</v>
      </c>
      <c r="B3193" s="159" t="str">
        <f t="shared" si="248"/>
        <v>$I$1:$I$92</v>
      </c>
      <c r="C3193" s="159" t="str">
        <f t="shared" si="249"/>
        <v>April!$H$1:$H$92</v>
      </c>
      <c r="D3193" s="159" t="str">
        <f t="shared" si="250"/>
        <v>April!$I$1:$I$92</v>
      </c>
      <c r="E3193" t="s">
        <v>7</v>
      </c>
      <c r="F3193" t="s">
        <v>123</v>
      </c>
      <c r="G3193" t="s">
        <v>143</v>
      </c>
      <c r="H3193" t="s">
        <v>21</v>
      </c>
      <c r="I3193" t="e">
        <f t="shared" ca="1" si="251"/>
        <v>#REF!</v>
      </c>
      <c r="J3193" t="str">
        <f>VLOOKUP($G3193,DefinitionArrays!$I$6:$J$12,2,FALSE)</f>
        <v>Workweek</v>
      </c>
    </row>
    <row r="3194" spans="1:10">
      <c r="A3194" s="159" t="str">
        <f t="shared" si="247"/>
        <v>$H$1:$H$92</v>
      </c>
      <c r="B3194" s="159" t="str">
        <f t="shared" si="248"/>
        <v>$I$1:$I$92</v>
      </c>
      <c r="C3194" s="159" t="str">
        <f t="shared" si="249"/>
        <v>April!$H$1:$H$92</v>
      </c>
      <c r="D3194" s="159" t="str">
        <f t="shared" si="250"/>
        <v>April!$I$1:$I$92</v>
      </c>
      <c r="E3194" t="s">
        <v>7</v>
      </c>
      <c r="F3194" t="s">
        <v>123</v>
      </c>
      <c r="G3194" t="s">
        <v>143</v>
      </c>
      <c r="H3194" t="s">
        <v>22</v>
      </c>
      <c r="I3194" t="e">
        <f t="shared" ca="1" si="251"/>
        <v>#REF!</v>
      </c>
      <c r="J3194" t="str">
        <f>VLOOKUP($G3194,DefinitionArrays!$I$6:$J$12,2,FALSE)</f>
        <v>Workweek</v>
      </c>
    </row>
    <row r="3195" spans="1:10">
      <c r="A3195" s="159" t="str">
        <f t="shared" si="247"/>
        <v>$H$1:$H$92</v>
      </c>
      <c r="B3195" s="159" t="str">
        <f t="shared" si="248"/>
        <v>$I$1:$I$92</v>
      </c>
      <c r="C3195" s="159" t="str">
        <f t="shared" si="249"/>
        <v>April!$H$1:$H$92</v>
      </c>
      <c r="D3195" s="159" t="str">
        <f t="shared" si="250"/>
        <v>April!$I$1:$I$92</v>
      </c>
      <c r="E3195" t="s">
        <v>7</v>
      </c>
      <c r="F3195" t="s">
        <v>123</v>
      </c>
      <c r="G3195" t="s">
        <v>143</v>
      </c>
      <c r="H3195" t="s">
        <v>23</v>
      </c>
      <c r="I3195" t="e">
        <f t="shared" ca="1" si="251"/>
        <v>#REF!</v>
      </c>
      <c r="J3195" t="str">
        <f>VLOOKUP($G3195,DefinitionArrays!$I$6:$J$12,2,FALSE)</f>
        <v>Workweek</v>
      </c>
    </row>
    <row r="3196" spans="1:10">
      <c r="A3196" s="159" t="str">
        <f t="shared" si="247"/>
        <v>$H$1:$H$92</v>
      </c>
      <c r="B3196" s="159" t="str">
        <f t="shared" si="248"/>
        <v>$I$1:$I$92</v>
      </c>
      <c r="C3196" s="159" t="str">
        <f t="shared" si="249"/>
        <v>April!$H$1:$H$92</v>
      </c>
      <c r="D3196" s="159" t="str">
        <f t="shared" si="250"/>
        <v>April!$I$1:$I$92</v>
      </c>
      <c r="E3196" t="s">
        <v>7</v>
      </c>
      <c r="F3196" t="s">
        <v>123</v>
      </c>
      <c r="G3196" t="s">
        <v>143</v>
      </c>
      <c r="H3196" t="s">
        <v>24</v>
      </c>
      <c r="I3196" t="e">
        <f t="shared" ca="1" si="251"/>
        <v>#REF!</v>
      </c>
      <c r="J3196" t="str">
        <f>VLOOKUP($G3196,DefinitionArrays!$I$6:$J$12,2,FALSE)</f>
        <v>Workweek</v>
      </c>
    </row>
    <row r="3197" spans="1:10">
      <c r="A3197" s="159" t="str">
        <f t="shared" si="247"/>
        <v>$H$1:$H$92</v>
      </c>
      <c r="B3197" s="159" t="str">
        <f t="shared" si="248"/>
        <v>$I$1:$I$92</v>
      </c>
      <c r="C3197" s="159" t="str">
        <f t="shared" si="249"/>
        <v>April!$H$1:$H$92</v>
      </c>
      <c r="D3197" s="159" t="str">
        <f t="shared" si="250"/>
        <v>April!$I$1:$I$92</v>
      </c>
      <c r="E3197" t="s">
        <v>7</v>
      </c>
      <c r="F3197" t="s">
        <v>123</v>
      </c>
      <c r="G3197" t="s">
        <v>143</v>
      </c>
      <c r="H3197" t="s">
        <v>179</v>
      </c>
      <c r="I3197" t="e">
        <f t="shared" ca="1" si="251"/>
        <v>#REF!</v>
      </c>
      <c r="J3197" t="str">
        <f>VLOOKUP($G3197,DefinitionArrays!$I$6:$J$12,2,FALSE)</f>
        <v>Workweek</v>
      </c>
    </row>
    <row r="3198" spans="1:10">
      <c r="A3198" s="159" t="str">
        <f t="shared" si="247"/>
        <v>$H$1:$H$92</v>
      </c>
      <c r="B3198" s="159" t="str">
        <f t="shared" si="248"/>
        <v>$I$1:$I$92</v>
      </c>
      <c r="C3198" s="159" t="str">
        <f t="shared" si="249"/>
        <v>April!$H$1:$H$92</v>
      </c>
      <c r="D3198" s="159" t="str">
        <f t="shared" si="250"/>
        <v>April!$I$1:$I$92</v>
      </c>
      <c r="E3198" t="s">
        <v>7</v>
      </c>
      <c r="F3198" t="s">
        <v>123</v>
      </c>
      <c r="G3198" t="s">
        <v>143</v>
      </c>
      <c r="H3198" t="s">
        <v>180</v>
      </c>
      <c r="I3198" t="e">
        <f t="shared" ca="1" si="251"/>
        <v>#REF!</v>
      </c>
      <c r="J3198" t="str">
        <f>VLOOKUP($G3198,DefinitionArrays!$I$6:$J$12,2,FALSE)</f>
        <v>Workweek</v>
      </c>
    </row>
    <row r="3199" spans="1:10">
      <c r="A3199" s="159" t="str">
        <f t="shared" si="247"/>
        <v>$H$1:$H$92</v>
      </c>
      <c r="B3199" s="159" t="str">
        <f t="shared" si="248"/>
        <v>$I$1:$I$92</v>
      </c>
      <c r="C3199" s="159" t="str">
        <f t="shared" si="249"/>
        <v>April!$H$1:$H$92</v>
      </c>
      <c r="D3199" s="159" t="str">
        <f t="shared" si="250"/>
        <v>April!$I$1:$I$92</v>
      </c>
      <c r="E3199" t="s">
        <v>7</v>
      </c>
      <c r="F3199" t="s">
        <v>123</v>
      </c>
      <c r="G3199" t="s">
        <v>143</v>
      </c>
      <c r="H3199" t="s">
        <v>44</v>
      </c>
      <c r="I3199" t="e">
        <f t="shared" ca="1" si="251"/>
        <v>#REF!</v>
      </c>
      <c r="J3199" t="str">
        <f>VLOOKUP($G3199,DefinitionArrays!$I$6:$J$12,2,FALSE)</f>
        <v>Workweek</v>
      </c>
    </row>
    <row r="3200" spans="1:10">
      <c r="A3200" s="159" t="str">
        <f t="shared" si="247"/>
        <v>$K$1:$K$92</v>
      </c>
      <c r="B3200" s="159" t="str">
        <f t="shared" si="248"/>
        <v>$L$1:$L$92</v>
      </c>
      <c r="C3200" s="159" t="str">
        <f t="shared" si="249"/>
        <v>April!$K$1:$K$92</v>
      </c>
      <c r="D3200" s="159" t="str">
        <f t="shared" si="250"/>
        <v>April!$L$1:$L$92</v>
      </c>
      <c r="E3200" t="s">
        <v>7</v>
      </c>
      <c r="F3200" t="s">
        <v>123</v>
      </c>
      <c r="G3200" t="s">
        <v>144</v>
      </c>
      <c r="H3200" t="s">
        <v>159</v>
      </c>
      <c r="I3200" t="e">
        <f t="shared" ca="1" si="251"/>
        <v>#REF!</v>
      </c>
      <c r="J3200" t="str">
        <f>VLOOKUP($G3200,DefinitionArrays!$I$6:$J$12,2,FALSE)</f>
        <v>Workweek</v>
      </c>
    </row>
    <row r="3201" spans="1:10">
      <c r="A3201" s="159" t="str">
        <f t="shared" si="247"/>
        <v>$K$1:$K$92</v>
      </c>
      <c r="B3201" s="159" t="str">
        <f t="shared" si="248"/>
        <v>$L$1:$L$92</v>
      </c>
      <c r="C3201" s="159" t="str">
        <f t="shared" si="249"/>
        <v>April!$K$1:$K$92</v>
      </c>
      <c r="D3201" s="159" t="str">
        <f t="shared" si="250"/>
        <v>April!$L$1:$L$92</v>
      </c>
      <c r="E3201" t="s">
        <v>7</v>
      </c>
      <c r="F3201" t="s">
        <v>123</v>
      </c>
      <c r="G3201" t="s">
        <v>144</v>
      </c>
      <c r="H3201" t="s">
        <v>18</v>
      </c>
      <c r="I3201" t="e">
        <f t="shared" ca="1" si="251"/>
        <v>#REF!</v>
      </c>
      <c r="J3201" t="str">
        <f>VLOOKUP($G3201,DefinitionArrays!$I$6:$J$12,2,FALSE)</f>
        <v>Workweek</v>
      </c>
    </row>
    <row r="3202" spans="1:10">
      <c r="A3202" s="159" t="str">
        <f t="shared" ref="A3202:A3265" si="252">VLOOKUP($G3202,Fx_Code,2,FALSE)</f>
        <v>$K$1:$K$92</v>
      </c>
      <c r="B3202" s="159" t="str">
        <f t="shared" ref="B3202:B3265" si="253">VLOOKUP($G3202,Fx_Code,3,FALSE)</f>
        <v>$L$1:$L$92</v>
      </c>
      <c r="C3202" s="159" t="str">
        <f t="shared" ref="C3202:C3265" si="254">CONCATENATE($F3202,$K$1,A3202)</f>
        <v>April!$K$1:$K$92</v>
      </c>
      <c r="D3202" s="159" t="str">
        <f t="shared" ref="D3202:D3265" si="255">CONCATENATE($F3202,$K$1,B3202)</f>
        <v>April!$L$1:$L$92</v>
      </c>
      <c r="E3202" t="s">
        <v>7</v>
      </c>
      <c r="F3202" t="s">
        <v>123</v>
      </c>
      <c r="G3202" t="s">
        <v>144</v>
      </c>
      <c r="H3202" t="s">
        <v>153</v>
      </c>
      <c r="I3202" t="e">
        <f t="shared" ca="1" si="251"/>
        <v>#REF!</v>
      </c>
      <c r="J3202" t="str">
        <f>VLOOKUP($G3202,DefinitionArrays!$I$6:$J$12,2,FALSE)</f>
        <v>Workweek</v>
      </c>
    </row>
    <row r="3203" spans="1:10">
      <c r="A3203" s="159" t="str">
        <f t="shared" si="252"/>
        <v>$K$1:$K$92</v>
      </c>
      <c r="B3203" s="159" t="str">
        <f t="shared" si="253"/>
        <v>$L$1:$L$92</v>
      </c>
      <c r="C3203" s="159" t="str">
        <f t="shared" si="254"/>
        <v>April!$K$1:$K$92</v>
      </c>
      <c r="D3203" s="159" t="str">
        <f t="shared" si="255"/>
        <v>April!$L$1:$L$92</v>
      </c>
      <c r="E3203" t="s">
        <v>7</v>
      </c>
      <c r="F3203" t="s">
        <v>123</v>
      </c>
      <c r="G3203" t="s">
        <v>144</v>
      </c>
      <c r="H3203" t="s">
        <v>19</v>
      </c>
      <c r="I3203" t="e">
        <f t="shared" ca="1" si="251"/>
        <v>#REF!</v>
      </c>
      <c r="J3203" t="str">
        <f>VLOOKUP($G3203,DefinitionArrays!$I$6:$J$12,2,FALSE)</f>
        <v>Workweek</v>
      </c>
    </row>
    <row r="3204" spans="1:10">
      <c r="A3204" s="159" t="str">
        <f t="shared" si="252"/>
        <v>$K$1:$K$92</v>
      </c>
      <c r="B3204" s="159" t="str">
        <f t="shared" si="253"/>
        <v>$L$1:$L$92</v>
      </c>
      <c r="C3204" s="159" t="str">
        <f t="shared" si="254"/>
        <v>April!$K$1:$K$92</v>
      </c>
      <c r="D3204" s="159" t="str">
        <f t="shared" si="255"/>
        <v>April!$L$1:$L$92</v>
      </c>
      <c r="E3204" t="s">
        <v>7</v>
      </c>
      <c r="F3204" t="s">
        <v>123</v>
      </c>
      <c r="G3204" t="s">
        <v>144</v>
      </c>
      <c r="H3204" t="s">
        <v>20</v>
      </c>
      <c r="I3204" t="e">
        <f t="shared" ca="1" si="251"/>
        <v>#REF!</v>
      </c>
      <c r="J3204" t="str">
        <f>VLOOKUP($G3204,DefinitionArrays!$I$6:$J$12,2,FALSE)</f>
        <v>Workweek</v>
      </c>
    </row>
    <row r="3205" spans="1:10">
      <c r="A3205" s="159" t="str">
        <f t="shared" si="252"/>
        <v>$K$1:$K$92</v>
      </c>
      <c r="B3205" s="159" t="str">
        <f t="shared" si="253"/>
        <v>$L$1:$L$92</v>
      </c>
      <c r="C3205" s="159" t="str">
        <f t="shared" si="254"/>
        <v>April!$K$1:$K$92</v>
      </c>
      <c r="D3205" s="159" t="str">
        <f t="shared" si="255"/>
        <v>April!$L$1:$L$92</v>
      </c>
      <c r="E3205" t="s">
        <v>7</v>
      </c>
      <c r="F3205" t="s">
        <v>123</v>
      </c>
      <c r="G3205" t="s">
        <v>144</v>
      </c>
      <c r="H3205" t="s">
        <v>21</v>
      </c>
      <c r="I3205" t="e">
        <f t="shared" ca="1" si="251"/>
        <v>#REF!</v>
      </c>
      <c r="J3205" t="str">
        <f>VLOOKUP($G3205,DefinitionArrays!$I$6:$J$12,2,FALSE)</f>
        <v>Workweek</v>
      </c>
    </row>
    <row r="3206" spans="1:10">
      <c r="A3206" s="159" t="str">
        <f t="shared" si="252"/>
        <v>$K$1:$K$92</v>
      </c>
      <c r="B3206" s="159" t="str">
        <f t="shared" si="253"/>
        <v>$L$1:$L$92</v>
      </c>
      <c r="C3206" s="159" t="str">
        <f t="shared" si="254"/>
        <v>April!$K$1:$K$92</v>
      </c>
      <c r="D3206" s="159" t="str">
        <f t="shared" si="255"/>
        <v>April!$L$1:$L$92</v>
      </c>
      <c r="E3206" t="s">
        <v>7</v>
      </c>
      <c r="F3206" t="s">
        <v>123</v>
      </c>
      <c r="G3206" t="s">
        <v>144</v>
      </c>
      <c r="H3206" t="s">
        <v>22</v>
      </c>
      <c r="I3206" t="e">
        <f t="shared" ca="1" si="251"/>
        <v>#REF!</v>
      </c>
      <c r="J3206" t="str">
        <f>VLOOKUP($G3206,DefinitionArrays!$I$6:$J$12,2,FALSE)</f>
        <v>Workweek</v>
      </c>
    </row>
    <row r="3207" spans="1:10">
      <c r="A3207" s="159" t="str">
        <f t="shared" si="252"/>
        <v>$K$1:$K$92</v>
      </c>
      <c r="B3207" s="159" t="str">
        <f t="shared" si="253"/>
        <v>$L$1:$L$92</v>
      </c>
      <c r="C3207" s="159" t="str">
        <f t="shared" si="254"/>
        <v>April!$K$1:$K$92</v>
      </c>
      <c r="D3207" s="159" t="str">
        <f t="shared" si="255"/>
        <v>April!$L$1:$L$92</v>
      </c>
      <c r="E3207" t="s">
        <v>7</v>
      </c>
      <c r="F3207" t="s">
        <v>123</v>
      </c>
      <c r="G3207" t="s">
        <v>144</v>
      </c>
      <c r="H3207" t="s">
        <v>23</v>
      </c>
      <c r="I3207" t="e">
        <f t="shared" ca="1" si="251"/>
        <v>#REF!</v>
      </c>
      <c r="J3207" t="str">
        <f>VLOOKUP($G3207,DefinitionArrays!$I$6:$J$12,2,FALSE)</f>
        <v>Workweek</v>
      </c>
    </row>
    <row r="3208" spans="1:10">
      <c r="A3208" s="159" t="str">
        <f t="shared" si="252"/>
        <v>$K$1:$K$92</v>
      </c>
      <c r="B3208" s="159" t="str">
        <f t="shared" si="253"/>
        <v>$L$1:$L$92</v>
      </c>
      <c r="C3208" s="159" t="str">
        <f t="shared" si="254"/>
        <v>April!$K$1:$K$92</v>
      </c>
      <c r="D3208" s="159" t="str">
        <f t="shared" si="255"/>
        <v>April!$L$1:$L$92</v>
      </c>
      <c r="E3208" t="s">
        <v>7</v>
      </c>
      <c r="F3208" t="s">
        <v>123</v>
      </c>
      <c r="G3208" t="s">
        <v>144</v>
      </c>
      <c r="H3208" t="s">
        <v>24</v>
      </c>
      <c r="I3208" t="e">
        <f t="shared" ca="1" si="251"/>
        <v>#REF!</v>
      </c>
      <c r="J3208" t="str">
        <f>VLOOKUP($G3208,DefinitionArrays!$I$6:$J$12,2,FALSE)</f>
        <v>Workweek</v>
      </c>
    </row>
    <row r="3209" spans="1:10">
      <c r="A3209" s="159" t="str">
        <f t="shared" si="252"/>
        <v>$K$1:$K$92</v>
      </c>
      <c r="B3209" s="159" t="str">
        <f t="shared" si="253"/>
        <v>$L$1:$L$92</v>
      </c>
      <c r="C3209" s="159" t="str">
        <f t="shared" si="254"/>
        <v>April!$K$1:$K$92</v>
      </c>
      <c r="D3209" s="159" t="str">
        <f t="shared" si="255"/>
        <v>April!$L$1:$L$92</v>
      </c>
      <c r="E3209" t="s">
        <v>7</v>
      </c>
      <c r="F3209" t="s">
        <v>123</v>
      </c>
      <c r="G3209" t="s">
        <v>144</v>
      </c>
      <c r="H3209" t="s">
        <v>179</v>
      </c>
      <c r="I3209" t="e">
        <f t="shared" ca="1" si="251"/>
        <v>#REF!</v>
      </c>
      <c r="J3209" t="str">
        <f>VLOOKUP($G3209,DefinitionArrays!$I$6:$J$12,2,FALSE)</f>
        <v>Workweek</v>
      </c>
    </row>
    <row r="3210" spans="1:10">
      <c r="A3210" s="159" t="str">
        <f t="shared" si="252"/>
        <v>$K$1:$K$92</v>
      </c>
      <c r="B3210" s="159" t="str">
        <f t="shared" si="253"/>
        <v>$L$1:$L$92</v>
      </c>
      <c r="C3210" s="159" t="str">
        <f t="shared" si="254"/>
        <v>April!$K$1:$K$92</v>
      </c>
      <c r="D3210" s="159" t="str">
        <f t="shared" si="255"/>
        <v>April!$L$1:$L$92</v>
      </c>
      <c r="E3210" t="s">
        <v>7</v>
      </c>
      <c r="F3210" t="s">
        <v>123</v>
      </c>
      <c r="G3210" t="s">
        <v>144</v>
      </c>
      <c r="H3210" t="s">
        <v>180</v>
      </c>
      <c r="I3210" t="e">
        <f t="shared" ca="1" si="251"/>
        <v>#REF!</v>
      </c>
      <c r="J3210" t="str">
        <f>VLOOKUP($G3210,DefinitionArrays!$I$6:$J$12,2,FALSE)</f>
        <v>Workweek</v>
      </c>
    </row>
    <row r="3211" spans="1:10">
      <c r="A3211" s="159" t="str">
        <f t="shared" si="252"/>
        <v>$K$1:$K$92</v>
      </c>
      <c r="B3211" s="159" t="str">
        <f t="shared" si="253"/>
        <v>$L$1:$L$92</v>
      </c>
      <c r="C3211" s="159" t="str">
        <f t="shared" si="254"/>
        <v>April!$K$1:$K$92</v>
      </c>
      <c r="D3211" s="159" t="str">
        <f t="shared" si="255"/>
        <v>April!$L$1:$L$92</v>
      </c>
      <c r="E3211" t="s">
        <v>7</v>
      </c>
      <c r="F3211" t="s">
        <v>123</v>
      </c>
      <c r="G3211" t="s">
        <v>144</v>
      </c>
      <c r="H3211" t="s">
        <v>44</v>
      </c>
      <c r="I3211" t="e">
        <f t="shared" ca="1" si="251"/>
        <v>#REF!</v>
      </c>
      <c r="J3211" t="str">
        <f>VLOOKUP($G3211,DefinitionArrays!$I$6:$J$12,2,FALSE)</f>
        <v>Workweek</v>
      </c>
    </row>
    <row r="3212" spans="1:10">
      <c r="A3212" s="159" t="str">
        <f t="shared" si="252"/>
        <v>$N$1:$N$92</v>
      </c>
      <c r="B3212" s="159" t="str">
        <f t="shared" si="253"/>
        <v>$O$1:$O$92</v>
      </c>
      <c r="C3212" s="159" t="str">
        <f t="shared" si="254"/>
        <v>April!$N$1:$N$92</v>
      </c>
      <c r="D3212" s="159" t="str">
        <f t="shared" si="255"/>
        <v>April!$O$1:$O$92</v>
      </c>
      <c r="E3212" t="s">
        <v>7</v>
      </c>
      <c r="F3212" t="s">
        <v>123</v>
      </c>
      <c r="G3212" t="s">
        <v>145</v>
      </c>
      <c r="H3212" t="s">
        <v>159</v>
      </c>
      <c r="I3212" t="e">
        <f t="shared" ca="1" si="251"/>
        <v>#REF!</v>
      </c>
      <c r="J3212" t="str">
        <f>VLOOKUP($G3212,DefinitionArrays!$I$6:$J$12,2,FALSE)</f>
        <v>Weekend</v>
      </c>
    </row>
    <row r="3213" spans="1:10">
      <c r="A3213" s="159" t="str">
        <f t="shared" si="252"/>
        <v>$N$1:$N$92</v>
      </c>
      <c r="B3213" s="159" t="str">
        <f t="shared" si="253"/>
        <v>$O$1:$O$92</v>
      </c>
      <c r="C3213" s="159" t="str">
        <f t="shared" si="254"/>
        <v>April!$N$1:$N$92</v>
      </c>
      <c r="D3213" s="159" t="str">
        <f t="shared" si="255"/>
        <v>April!$O$1:$O$92</v>
      </c>
      <c r="E3213" t="s">
        <v>7</v>
      </c>
      <c r="F3213" t="s">
        <v>123</v>
      </c>
      <c r="G3213" t="s">
        <v>145</v>
      </c>
      <c r="H3213" t="s">
        <v>18</v>
      </c>
      <c r="I3213" t="e">
        <f t="shared" ca="1" si="251"/>
        <v>#REF!</v>
      </c>
      <c r="J3213" t="str">
        <f>VLOOKUP($G3213,DefinitionArrays!$I$6:$J$12,2,FALSE)</f>
        <v>Weekend</v>
      </c>
    </row>
    <row r="3214" spans="1:10">
      <c r="A3214" s="159" t="str">
        <f t="shared" si="252"/>
        <v>$N$1:$N$92</v>
      </c>
      <c r="B3214" s="159" t="str">
        <f t="shared" si="253"/>
        <v>$O$1:$O$92</v>
      </c>
      <c r="C3214" s="159" t="str">
        <f t="shared" si="254"/>
        <v>April!$N$1:$N$92</v>
      </c>
      <c r="D3214" s="159" t="str">
        <f t="shared" si="255"/>
        <v>April!$O$1:$O$92</v>
      </c>
      <c r="E3214" t="s">
        <v>7</v>
      </c>
      <c r="F3214" t="s">
        <v>123</v>
      </c>
      <c r="G3214" t="s">
        <v>145</v>
      </c>
      <c r="H3214" t="s">
        <v>153</v>
      </c>
      <c r="I3214" t="e">
        <f t="shared" ca="1" si="251"/>
        <v>#REF!</v>
      </c>
      <c r="J3214" t="str">
        <f>VLOOKUP($G3214,DefinitionArrays!$I$6:$J$12,2,FALSE)</f>
        <v>Weekend</v>
      </c>
    </row>
    <row r="3215" spans="1:10">
      <c r="A3215" s="159" t="str">
        <f t="shared" si="252"/>
        <v>$N$1:$N$92</v>
      </c>
      <c r="B3215" s="159" t="str">
        <f t="shared" si="253"/>
        <v>$O$1:$O$92</v>
      </c>
      <c r="C3215" s="159" t="str">
        <f t="shared" si="254"/>
        <v>April!$N$1:$N$92</v>
      </c>
      <c r="D3215" s="159" t="str">
        <f t="shared" si="255"/>
        <v>April!$O$1:$O$92</v>
      </c>
      <c r="E3215" t="s">
        <v>7</v>
      </c>
      <c r="F3215" t="s">
        <v>123</v>
      </c>
      <c r="G3215" t="s">
        <v>145</v>
      </c>
      <c r="H3215" t="s">
        <v>19</v>
      </c>
      <c r="I3215" t="e">
        <f t="shared" ca="1" si="251"/>
        <v>#REF!</v>
      </c>
      <c r="J3215" t="str">
        <f>VLOOKUP($G3215,DefinitionArrays!$I$6:$J$12,2,FALSE)</f>
        <v>Weekend</v>
      </c>
    </row>
    <row r="3216" spans="1:10">
      <c r="A3216" s="159" t="str">
        <f t="shared" si="252"/>
        <v>$N$1:$N$92</v>
      </c>
      <c r="B3216" s="159" t="str">
        <f t="shared" si="253"/>
        <v>$O$1:$O$92</v>
      </c>
      <c r="C3216" s="159" t="str">
        <f t="shared" si="254"/>
        <v>April!$N$1:$N$92</v>
      </c>
      <c r="D3216" s="159" t="str">
        <f t="shared" si="255"/>
        <v>April!$O$1:$O$92</v>
      </c>
      <c r="E3216" t="s">
        <v>7</v>
      </c>
      <c r="F3216" t="s">
        <v>123</v>
      </c>
      <c r="G3216" t="s">
        <v>145</v>
      </c>
      <c r="H3216" t="s">
        <v>20</v>
      </c>
      <c r="I3216" t="e">
        <f t="shared" ca="1" si="251"/>
        <v>#REF!</v>
      </c>
      <c r="J3216" t="str">
        <f>VLOOKUP($G3216,DefinitionArrays!$I$6:$J$12,2,FALSE)</f>
        <v>Weekend</v>
      </c>
    </row>
    <row r="3217" spans="1:10">
      <c r="A3217" s="159" t="str">
        <f t="shared" si="252"/>
        <v>$N$1:$N$92</v>
      </c>
      <c r="B3217" s="159" t="str">
        <f t="shared" si="253"/>
        <v>$O$1:$O$92</v>
      </c>
      <c r="C3217" s="159" t="str">
        <f t="shared" si="254"/>
        <v>April!$N$1:$N$92</v>
      </c>
      <c r="D3217" s="159" t="str">
        <f t="shared" si="255"/>
        <v>April!$O$1:$O$92</v>
      </c>
      <c r="E3217" t="s">
        <v>7</v>
      </c>
      <c r="F3217" t="s">
        <v>123</v>
      </c>
      <c r="G3217" t="s">
        <v>145</v>
      </c>
      <c r="H3217" t="s">
        <v>21</v>
      </c>
      <c r="I3217" t="e">
        <f t="shared" ca="1" si="251"/>
        <v>#REF!</v>
      </c>
      <c r="J3217" t="str">
        <f>VLOOKUP($G3217,DefinitionArrays!$I$6:$J$12,2,FALSE)</f>
        <v>Weekend</v>
      </c>
    </row>
    <row r="3218" spans="1:10">
      <c r="A3218" s="159" t="str">
        <f t="shared" si="252"/>
        <v>$N$1:$N$92</v>
      </c>
      <c r="B3218" s="159" t="str">
        <f t="shared" si="253"/>
        <v>$O$1:$O$92</v>
      </c>
      <c r="C3218" s="159" t="str">
        <f t="shared" si="254"/>
        <v>April!$N$1:$N$92</v>
      </c>
      <c r="D3218" s="159" t="str">
        <f t="shared" si="255"/>
        <v>April!$O$1:$O$92</v>
      </c>
      <c r="E3218" t="s">
        <v>7</v>
      </c>
      <c r="F3218" t="s">
        <v>123</v>
      </c>
      <c r="G3218" t="s">
        <v>145</v>
      </c>
      <c r="H3218" t="s">
        <v>22</v>
      </c>
      <c r="I3218" t="e">
        <f t="shared" ca="1" si="251"/>
        <v>#REF!</v>
      </c>
      <c r="J3218" t="str">
        <f>VLOOKUP($G3218,DefinitionArrays!$I$6:$J$12,2,FALSE)</f>
        <v>Weekend</v>
      </c>
    </row>
    <row r="3219" spans="1:10">
      <c r="A3219" s="159" t="str">
        <f t="shared" si="252"/>
        <v>$N$1:$N$92</v>
      </c>
      <c r="B3219" s="159" t="str">
        <f t="shared" si="253"/>
        <v>$O$1:$O$92</v>
      </c>
      <c r="C3219" s="159" t="str">
        <f t="shared" si="254"/>
        <v>April!$N$1:$N$92</v>
      </c>
      <c r="D3219" s="159" t="str">
        <f t="shared" si="255"/>
        <v>April!$O$1:$O$92</v>
      </c>
      <c r="E3219" t="s">
        <v>7</v>
      </c>
      <c r="F3219" t="s">
        <v>123</v>
      </c>
      <c r="G3219" t="s">
        <v>145</v>
      </c>
      <c r="H3219" t="s">
        <v>23</v>
      </c>
      <c r="I3219" t="e">
        <f t="shared" ca="1" si="251"/>
        <v>#REF!</v>
      </c>
      <c r="J3219" t="str">
        <f>VLOOKUP($G3219,DefinitionArrays!$I$6:$J$12,2,FALSE)</f>
        <v>Weekend</v>
      </c>
    </row>
    <row r="3220" spans="1:10">
      <c r="A3220" s="159" t="str">
        <f t="shared" si="252"/>
        <v>$N$1:$N$92</v>
      </c>
      <c r="B3220" s="159" t="str">
        <f t="shared" si="253"/>
        <v>$O$1:$O$92</v>
      </c>
      <c r="C3220" s="159" t="str">
        <f t="shared" si="254"/>
        <v>April!$N$1:$N$92</v>
      </c>
      <c r="D3220" s="159" t="str">
        <f t="shared" si="255"/>
        <v>April!$O$1:$O$92</v>
      </c>
      <c r="E3220" t="s">
        <v>7</v>
      </c>
      <c r="F3220" t="s">
        <v>123</v>
      </c>
      <c r="G3220" t="s">
        <v>145</v>
      </c>
      <c r="H3220" t="s">
        <v>24</v>
      </c>
      <c r="I3220" t="e">
        <f t="shared" ca="1" si="251"/>
        <v>#REF!</v>
      </c>
      <c r="J3220" t="str">
        <f>VLOOKUP($G3220,DefinitionArrays!$I$6:$J$12,2,FALSE)</f>
        <v>Weekend</v>
      </c>
    </row>
    <row r="3221" spans="1:10">
      <c r="A3221" s="159" t="str">
        <f t="shared" si="252"/>
        <v>$N$1:$N$92</v>
      </c>
      <c r="B3221" s="159" t="str">
        <f t="shared" si="253"/>
        <v>$O$1:$O$92</v>
      </c>
      <c r="C3221" s="159" t="str">
        <f t="shared" si="254"/>
        <v>April!$N$1:$N$92</v>
      </c>
      <c r="D3221" s="159" t="str">
        <f t="shared" si="255"/>
        <v>April!$O$1:$O$92</v>
      </c>
      <c r="E3221" t="s">
        <v>7</v>
      </c>
      <c r="F3221" t="s">
        <v>123</v>
      </c>
      <c r="G3221" t="s">
        <v>145</v>
      </c>
      <c r="H3221" t="s">
        <v>179</v>
      </c>
      <c r="I3221" t="e">
        <f t="shared" ca="1" si="251"/>
        <v>#REF!</v>
      </c>
      <c r="J3221" t="str">
        <f>VLOOKUP($G3221,DefinitionArrays!$I$6:$J$12,2,FALSE)</f>
        <v>Weekend</v>
      </c>
    </row>
    <row r="3222" spans="1:10">
      <c r="A3222" s="159" t="str">
        <f t="shared" si="252"/>
        <v>$N$1:$N$92</v>
      </c>
      <c r="B3222" s="159" t="str">
        <f t="shared" si="253"/>
        <v>$O$1:$O$92</v>
      </c>
      <c r="C3222" s="159" t="str">
        <f t="shared" si="254"/>
        <v>April!$N$1:$N$92</v>
      </c>
      <c r="D3222" s="159" t="str">
        <f t="shared" si="255"/>
        <v>April!$O$1:$O$92</v>
      </c>
      <c r="E3222" t="s">
        <v>7</v>
      </c>
      <c r="F3222" t="s">
        <v>123</v>
      </c>
      <c r="G3222" t="s">
        <v>145</v>
      </c>
      <c r="H3222" t="s">
        <v>180</v>
      </c>
      <c r="I3222" t="e">
        <f t="shared" ca="1" si="251"/>
        <v>#REF!</v>
      </c>
      <c r="J3222" t="str">
        <f>VLOOKUP($G3222,DefinitionArrays!$I$6:$J$12,2,FALSE)</f>
        <v>Weekend</v>
      </c>
    </row>
    <row r="3223" spans="1:10">
      <c r="A3223" s="159" t="str">
        <f t="shared" si="252"/>
        <v>$N$1:$N$92</v>
      </c>
      <c r="B3223" s="159" t="str">
        <f t="shared" si="253"/>
        <v>$O$1:$O$92</v>
      </c>
      <c r="C3223" s="159" t="str">
        <f t="shared" si="254"/>
        <v>April!$N$1:$N$92</v>
      </c>
      <c r="D3223" s="159" t="str">
        <f t="shared" si="255"/>
        <v>April!$O$1:$O$92</v>
      </c>
      <c r="E3223" t="s">
        <v>7</v>
      </c>
      <c r="F3223" t="s">
        <v>123</v>
      </c>
      <c r="G3223" t="s">
        <v>145</v>
      </c>
      <c r="H3223" t="s">
        <v>44</v>
      </c>
      <c r="I3223" t="e">
        <f t="shared" ca="1" si="251"/>
        <v>#REF!</v>
      </c>
      <c r="J3223" t="str">
        <f>VLOOKUP($G3223,DefinitionArrays!$I$6:$J$12,2,FALSE)</f>
        <v>Weekend</v>
      </c>
    </row>
    <row r="3224" spans="1:10">
      <c r="A3224" s="159" t="str">
        <f t="shared" si="252"/>
        <v>$Q$1:$Q$92</v>
      </c>
      <c r="B3224" s="159" t="str">
        <f t="shared" si="253"/>
        <v>$R$1:$R$92</v>
      </c>
      <c r="C3224" s="159" t="str">
        <f t="shared" si="254"/>
        <v>April!$Q$1:$Q$92</v>
      </c>
      <c r="D3224" s="159" t="str">
        <f t="shared" si="255"/>
        <v>April!$R$1:$R$92</v>
      </c>
      <c r="E3224" t="s">
        <v>7</v>
      </c>
      <c r="F3224" t="s">
        <v>123</v>
      </c>
      <c r="G3224" t="s">
        <v>146</v>
      </c>
      <c r="H3224" t="s">
        <v>159</v>
      </c>
      <c r="I3224" t="e">
        <f t="shared" ca="1" si="251"/>
        <v>#REF!</v>
      </c>
      <c r="J3224" t="str">
        <f>VLOOKUP($G3224,DefinitionArrays!$I$6:$J$12,2,FALSE)</f>
        <v>Weekend</v>
      </c>
    </row>
    <row r="3225" spans="1:10">
      <c r="A3225" s="159" t="str">
        <f t="shared" si="252"/>
        <v>$T$1:$T$92</v>
      </c>
      <c r="B3225" s="159" t="str">
        <f t="shared" si="253"/>
        <v>$U$1:$U$92</v>
      </c>
      <c r="C3225" s="159" t="str">
        <f t="shared" si="254"/>
        <v>April!$T$1:$T$92</v>
      </c>
      <c r="D3225" s="159" t="str">
        <f t="shared" si="255"/>
        <v>April!$U$1:$U$92</v>
      </c>
      <c r="E3225" t="s">
        <v>7</v>
      </c>
      <c r="F3225" t="s">
        <v>123</v>
      </c>
      <c r="G3225" t="s">
        <v>141</v>
      </c>
      <c r="H3225" t="s">
        <v>159</v>
      </c>
      <c r="I3225" t="e">
        <f t="shared" ca="1" si="251"/>
        <v>#REF!</v>
      </c>
      <c r="J3225" t="str">
        <f>VLOOKUP($G3225,DefinitionArrays!$I$6:$J$12,2,FALSE)</f>
        <v>Weekend</v>
      </c>
    </row>
    <row r="3226" spans="1:10">
      <c r="A3226" s="159" t="str">
        <f t="shared" si="252"/>
        <v>$B$1:$B$92</v>
      </c>
      <c r="B3226" s="159" t="str">
        <f t="shared" si="253"/>
        <v>$C$1:$C$92</v>
      </c>
      <c r="C3226" s="159" t="str">
        <f t="shared" si="254"/>
        <v>May!$B$1:$B$92</v>
      </c>
      <c r="D3226" s="159" t="str">
        <f t="shared" si="255"/>
        <v>May!$C$1:$C$92</v>
      </c>
      <c r="E3226" t="s">
        <v>7</v>
      </c>
      <c r="F3226" t="s">
        <v>124</v>
      </c>
      <c r="G3226" t="s">
        <v>13</v>
      </c>
      <c r="H3226" t="s">
        <v>159</v>
      </c>
      <c r="I3226" t="e">
        <f ca="1">COUNTIFS(INDIRECT($C3226),$E3226,INDIRECT($D3226),$H3226)</f>
        <v>#REF!</v>
      </c>
      <c r="J3226" t="str">
        <f>VLOOKUP($G3226,DefinitionArrays!$I$6:$J$12,2,FALSE)</f>
        <v>Workweek</v>
      </c>
    </row>
    <row r="3227" spans="1:10">
      <c r="A3227" s="159" t="str">
        <f t="shared" si="252"/>
        <v>$B$1:$B$92</v>
      </c>
      <c r="B3227" s="159" t="str">
        <f t="shared" si="253"/>
        <v>$C$1:$C$92</v>
      </c>
      <c r="C3227" s="159" t="str">
        <f t="shared" si="254"/>
        <v>May!$B$1:$B$92</v>
      </c>
      <c r="D3227" s="159" t="str">
        <f t="shared" si="255"/>
        <v>May!$C$1:$C$92</v>
      </c>
      <c r="E3227" t="s">
        <v>7</v>
      </c>
      <c r="F3227" t="s">
        <v>124</v>
      </c>
      <c r="G3227" t="s">
        <v>13</v>
      </c>
      <c r="H3227" t="s">
        <v>18</v>
      </c>
      <c r="I3227" t="e">
        <f t="shared" ref="I3227:I3287" ca="1" si="256">COUNTIFS(INDIRECT($C3227),$E3227,INDIRECT($D3227),$H3227)</f>
        <v>#REF!</v>
      </c>
      <c r="J3227" t="str">
        <f>VLOOKUP($G3227,DefinitionArrays!$I$6:$J$12,2,FALSE)</f>
        <v>Workweek</v>
      </c>
    </row>
    <row r="3228" spans="1:10">
      <c r="A3228" s="159" t="str">
        <f t="shared" si="252"/>
        <v>$B$1:$B$92</v>
      </c>
      <c r="B3228" s="159" t="str">
        <f t="shared" si="253"/>
        <v>$C$1:$C$92</v>
      </c>
      <c r="C3228" s="159" t="str">
        <f t="shared" si="254"/>
        <v>May!$B$1:$B$92</v>
      </c>
      <c r="D3228" s="159" t="str">
        <f t="shared" si="255"/>
        <v>May!$C$1:$C$92</v>
      </c>
      <c r="E3228" t="s">
        <v>7</v>
      </c>
      <c r="F3228" t="s">
        <v>124</v>
      </c>
      <c r="G3228" t="s">
        <v>13</v>
      </c>
      <c r="H3228" t="s">
        <v>153</v>
      </c>
      <c r="I3228" t="e">
        <f t="shared" ca="1" si="256"/>
        <v>#REF!</v>
      </c>
      <c r="J3228" t="str">
        <f>VLOOKUP($G3228,DefinitionArrays!$I$6:$J$12,2,FALSE)</f>
        <v>Workweek</v>
      </c>
    </row>
    <row r="3229" spans="1:10">
      <c r="A3229" s="159" t="str">
        <f t="shared" si="252"/>
        <v>$B$1:$B$92</v>
      </c>
      <c r="B3229" s="159" t="str">
        <f t="shared" si="253"/>
        <v>$C$1:$C$92</v>
      </c>
      <c r="C3229" s="159" t="str">
        <f t="shared" si="254"/>
        <v>May!$B$1:$B$92</v>
      </c>
      <c r="D3229" s="159" t="str">
        <f t="shared" si="255"/>
        <v>May!$C$1:$C$92</v>
      </c>
      <c r="E3229" t="s">
        <v>7</v>
      </c>
      <c r="F3229" t="s">
        <v>124</v>
      </c>
      <c r="G3229" t="s">
        <v>13</v>
      </c>
      <c r="H3229" t="s">
        <v>19</v>
      </c>
      <c r="I3229" t="e">
        <f t="shared" ca="1" si="256"/>
        <v>#REF!</v>
      </c>
      <c r="J3229" t="str">
        <f>VLOOKUP($G3229,DefinitionArrays!$I$6:$J$12,2,FALSE)</f>
        <v>Workweek</v>
      </c>
    </row>
    <row r="3230" spans="1:10">
      <c r="A3230" s="159" t="str">
        <f t="shared" si="252"/>
        <v>$B$1:$B$92</v>
      </c>
      <c r="B3230" s="159" t="str">
        <f t="shared" si="253"/>
        <v>$C$1:$C$92</v>
      </c>
      <c r="C3230" s="159" t="str">
        <f t="shared" si="254"/>
        <v>May!$B$1:$B$92</v>
      </c>
      <c r="D3230" s="159" t="str">
        <f t="shared" si="255"/>
        <v>May!$C$1:$C$92</v>
      </c>
      <c r="E3230" t="s">
        <v>7</v>
      </c>
      <c r="F3230" t="s">
        <v>124</v>
      </c>
      <c r="G3230" t="s">
        <v>13</v>
      </c>
      <c r="H3230" t="s">
        <v>20</v>
      </c>
      <c r="I3230" t="e">
        <f t="shared" ca="1" si="256"/>
        <v>#REF!</v>
      </c>
      <c r="J3230" t="str">
        <f>VLOOKUP($G3230,DefinitionArrays!$I$6:$J$12,2,FALSE)</f>
        <v>Workweek</v>
      </c>
    </row>
    <row r="3231" spans="1:10">
      <c r="A3231" s="159" t="str">
        <f t="shared" si="252"/>
        <v>$B$1:$B$92</v>
      </c>
      <c r="B3231" s="159" t="str">
        <f t="shared" si="253"/>
        <v>$C$1:$C$92</v>
      </c>
      <c r="C3231" s="159" t="str">
        <f t="shared" si="254"/>
        <v>May!$B$1:$B$92</v>
      </c>
      <c r="D3231" s="159" t="str">
        <f t="shared" si="255"/>
        <v>May!$C$1:$C$92</v>
      </c>
      <c r="E3231" t="s">
        <v>7</v>
      </c>
      <c r="F3231" t="s">
        <v>124</v>
      </c>
      <c r="G3231" t="s">
        <v>13</v>
      </c>
      <c r="H3231" t="s">
        <v>21</v>
      </c>
      <c r="I3231" t="e">
        <f t="shared" ca="1" si="256"/>
        <v>#REF!</v>
      </c>
      <c r="J3231" t="str">
        <f>VLOOKUP($G3231,DefinitionArrays!$I$6:$J$12,2,FALSE)</f>
        <v>Workweek</v>
      </c>
    </row>
    <row r="3232" spans="1:10">
      <c r="A3232" s="159" t="str">
        <f t="shared" si="252"/>
        <v>$B$1:$B$92</v>
      </c>
      <c r="B3232" s="159" t="str">
        <f t="shared" si="253"/>
        <v>$C$1:$C$92</v>
      </c>
      <c r="C3232" s="159" t="str">
        <f t="shared" si="254"/>
        <v>May!$B$1:$B$92</v>
      </c>
      <c r="D3232" s="159" t="str">
        <f t="shared" si="255"/>
        <v>May!$C$1:$C$92</v>
      </c>
      <c r="E3232" t="s">
        <v>7</v>
      </c>
      <c r="F3232" t="s">
        <v>124</v>
      </c>
      <c r="G3232" t="s">
        <v>13</v>
      </c>
      <c r="H3232" t="s">
        <v>22</v>
      </c>
      <c r="I3232" t="e">
        <f t="shared" ca="1" si="256"/>
        <v>#REF!</v>
      </c>
      <c r="J3232" t="str">
        <f>VLOOKUP($G3232,DefinitionArrays!$I$6:$J$12,2,FALSE)</f>
        <v>Workweek</v>
      </c>
    </row>
    <row r="3233" spans="1:10">
      <c r="A3233" s="159" t="str">
        <f t="shared" si="252"/>
        <v>$B$1:$B$92</v>
      </c>
      <c r="B3233" s="159" t="str">
        <f t="shared" si="253"/>
        <v>$C$1:$C$92</v>
      </c>
      <c r="C3233" s="159" t="str">
        <f t="shared" si="254"/>
        <v>May!$B$1:$B$92</v>
      </c>
      <c r="D3233" s="159" t="str">
        <f t="shared" si="255"/>
        <v>May!$C$1:$C$92</v>
      </c>
      <c r="E3233" t="s">
        <v>7</v>
      </c>
      <c r="F3233" t="s">
        <v>124</v>
      </c>
      <c r="G3233" t="s">
        <v>13</v>
      </c>
      <c r="H3233" t="s">
        <v>23</v>
      </c>
      <c r="I3233" t="e">
        <f t="shared" ca="1" si="256"/>
        <v>#REF!</v>
      </c>
      <c r="J3233" t="str">
        <f>VLOOKUP($G3233,DefinitionArrays!$I$6:$J$12,2,FALSE)</f>
        <v>Workweek</v>
      </c>
    </row>
    <row r="3234" spans="1:10">
      <c r="A3234" s="159" t="str">
        <f t="shared" si="252"/>
        <v>$B$1:$B$92</v>
      </c>
      <c r="B3234" s="159" t="str">
        <f t="shared" si="253"/>
        <v>$C$1:$C$92</v>
      </c>
      <c r="C3234" s="159" t="str">
        <f t="shared" si="254"/>
        <v>May!$B$1:$B$92</v>
      </c>
      <c r="D3234" s="159" t="str">
        <f t="shared" si="255"/>
        <v>May!$C$1:$C$92</v>
      </c>
      <c r="E3234" t="s">
        <v>7</v>
      </c>
      <c r="F3234" t="s">
        <v>124</v>
      </c>
      <c r="G3234" t="s">
        <v>13</v>
      </c>
      <c r="H3234" t="s">
        <v>24</v>
      </c>
      <c r="I3234" t="e">
        <f t="shared" ca="1" si="256"/>
        <v>#REF!</v>
      </c>
      <c r="J3234" t="str">
        <f>VLOOKUP($G3234,DefinitionArrays!$I$6:$J$12,2,FALSE)</f>
        <v>Workweek</v>
      </c>
    </row>
    <row r="3235" spans="1:10">
      <c r="A3235" s="159" t="str">
        <f t="shared" si="252"/>
        <v>$B$1:$B$92</v>
      </c>
      <c r="B3235" s="159" t="str">
        <f t="shared" si="253"/>
        <v>$C$1:$C$92</v>
      </c>
      <c r="C3235" s="159" t="str">
        <f t="shared" si="254"/>
        <v>May!$B$1:$B$92</v>
      </c>
      <c r="D3235" s="159" t="str">
        <f t="shared" si="255"/>
        <v>May!$C$1:$C$92</v>
      </c>
      <c r="E3235" t="s">
        <v>7</v>
      </c>
      <c r="F3235" t="s">
        <v>124</v>
      </c>
      <c r="G3235" t="s">
        <v>13</v>
      </c>
      <c r="H3235" t="s">
        <v>179</v>
      </c>
      <c r="I3235" t="e">
        <f t="shared" ca="1" si="256"/>
        <v>#REF!</v>
      </c>
      <c r="J3235" t="str">
        <f>VLOOKUP($G3235,DefinitionArrays!$I$6:$J$12,2,FALSE)</f>
        <v>Workweek</v>
      </c>
    </row>
    <row r="3236" spans="1:10">
      <c r="A3236" s="159" t="str">
        <f t="shared" si="252"/>
        <v>$B$1:$B$92</v>
      </c>
      <c r="B3236" s="159" t="str">
        <f t="shared" si="253"/>
        <v>$C$1:$C$92</v>
      </c>
      <c r="C3236" s="159" t="str">
        <f t="shared" si="254"/>
        <v>May!$B$1:$B$92</v>
      </c>
      <c r="D3236" s="159" t="str">
        <f t="shared" si="255"/>
        <v>May!$C$1:$C$92</v>
      </c>
      <c r="E3236" t="s">
        <v>7</v>
      </c>
      <c r="F3236" t="s">
        <v>124</v>
      </c>
      <c r="G3236" t="s">
        <v>13</v>
      </c>
      <c r="H3236" t="s">
        <v>180</v>
      </c>
      <c r="I3236" t="e">
        <f t="shared" ca="1" si="256"/>
        <v>#REF!</v>
      </c>
      <c r="J3236" t="str">
        <f>VLOOKUP($G3236,DefinitionArrays!$I$6:$J$12,2,FALSE)</f>
        <v>Workweek</v>
      </c>
    </row>
    <row r="3237" spans="1:10">
      <c r="A3237" s="159" t="str">
        <f t="shared" si="252"/>
        <v>$B$1:$B$92</v>
      </c>
      <c r="B3237" s="159" t="str">
        <f t="shared" si="253"/>
        <v>$C$1:$C$92</v>
      </c>
      <c r="C3237" s="159" t="str">
        <f t="shared" si="254"/>
        <v>May!$B$1:$B$92</v>
      </c>
      <c r="D3237" s="159" t="str">
        <f t="shared" si="255"/>
        <v>May!$C$1:$C$92</v>
      </c>
      <c r="E3237" t="s">
        <v>7</v>
      </c>
      <c r="F3237" t="s">
        <v>124</v>
      </c>
      <c r="G3237" t="s">
        <v>13</v>
      </c>
      <c r="H3237" t="s">
        <v>44</v>
      </c>
      <c r="I3237" t="e">
        <f t="shared" ca="1" si="256"/>
        <v>#REF!</v>
      </c>
      <c r="J3237" t="str">
        <f>VLOOKUP($G3237,DefinitionArrays!$I$6:$J$12,2,FALSE)</f>
        <v>Workweek</v>
      </c>
    </row>
    <row r="3238" spans="1:10">
      <c r="A3238" s="159" t="str">
        <f t="shared" si="252"/>
        <v>$E$1:$E$92</v>
      </c>
      <c r="B3238" s="159" t="str">
        <f t="shared" si="253"/>
        <v>$F$1:$F$92</v>
      </c>
      <c r="C3238" s="159" t="str">
        <f t="shared" si="254"/>
        <v>May!$E$1:$E$92</v>
      </c>
      <c r="D3238" s="159" t="str">
        <f t="shared" si="255"/>
        <v>May!$F$1:$F$92</v>
      </c>
      <c r="E3238" t="s">
        <v>7</v>
      </c>
      <c r="F3238" t="s">
        <v>124</v>
      </c>
      <c r="G3238" t="s">
        <v>142</v>
      </c>
      <c r="H3238" t="s">
        <v>159</v>
      </c>
      <c r="I3238" t="e">
        <f t="shared" ca="1" si="256"/>
        <v>#REF!</v>
      </c>
      <c r="J3238" t="str">
        <f>VLOOKUP($G3238,DefinitionArrays!$I$6:$J$12,2,FALSE)</f>
        <v>Workweek</v>
      </c>
    </row>
    <row r="3239" spans="1:10">
      <c r="A3239" s="159" t="str">
        <f t="shared" si="252"/>
        <v>$E$1:$E$92</v>
      </c>
      <c r="B3239" s="159" t="str">
        <f t="shared" si="253"/>
        <v>$F$1:$F$92</v>
      </c>
      <c r="C3239" s="159" t="str">
        <f t="shared" si="254"/>
        <v>May!$E$1:$E$92</v>
      </c>
      <c r="D3239" s="159" t="str">
        <f t="shared" si="255"/>
        <v>May!$F$1:$F$92</v>
      </c>
      <c r="E3239" t="s">
        <v>7</v>
      </c>
      <c r="F3239" t="s">
        <v>124</v>
      </c>
      <c r="G3239" t="s">
        <v>142</v>
      </c>
      <c r="H3239" t="s">
        <v>18</v>
      </c>
      <c r="I3239" t="e">
        <f t="shared" ca="1" si="256"/>
        <v>#REF!</v>
      </c>
      <c r="J3239" t="str">
        <f>VLOOKUP($G3239,DefinitionArrays!$I$6:$J$12,2,FALSE)</f>
        <v>Workweek</v>
      </c>
    </row>
    <row r="3240" spans="1:10">
      <c r="A3240" s="159" t="str">
        <f t="shared" si="252"/>
        <v>$E$1:$E$92</v>
      </c>
      <c r="B3240" s="159" t="str">
        <f t="shared" si="253"/>
        <v>$F$1:$F$92</v>
      </c>
      <c r="C3240" s="159" t="str">
        <f t="shared" si="254"/>
        <v>May!$E$1:$E$92</v>
      </c>
      <c r="D3240" s="159" t="str">
        <f t="shared" si="255"/>
        <v>May!$F$1:$F$92</v>
      </c>
      <c r="E3240" t="s">
        <v>7</v>
      </c>
      <c r="F3240" t="s">
        <v>124</v>
      </c>
      <c r="G3240" t="s">
        <v>142</v>
      </c>
      <c r="H3240" t="s">
        <v>153</v>
      </c>
      <c r="I3240" t="e">
        <f t="shared" ca="1" si="256"/>
        <v>#REF!</v>
      </c>
      <c r="J3240" t="str">
        <f>VLOOKUP($G3240,DefinitionArrays!$I$6:$J$12,2,FALSE)</f>
        <v>Workweek</v>
      </c>
    </row>
    <row r="3241" spans="1:10">
      <c r="A3241" s="159" t="str">
        <f t="shared" si="252"/>
        <v>$E$1:$E$92</v>
      </c>
      <c r="B3241" s="159" t="str">
        <f t="shared" si="253"/>
        <v>$F$1:$F$92</v>
      </c>
      <c r="C3241" s="159" t="str">
        <f t="shared" si="254"/>
        <v>May!$E$1:$E$92</v>
      </c>
      <c r="D3241" s="159" t="str">
        <f t="shared" si="255"/>
        <v>May!$F$1:$F$92</v>
      </c>
      <c r="E3241" t="s">
        <v>7</v>
      </c>
      <c r="F3241" t="s">
        <v>124</v>
      </c>
      <c r="G3241" t="s">
        <v>142</v>
      </c>
      <c r="H3241" t="s">
        <v>19</v>
      </c>
      <c r="I3241" t="e">
        <f t="shared" ca="1" si="256"/>
        <v>#REF!</v>
      </c>
      <c r="J3241" t="str">
        <f>VLOOKUP($G3241,DefinitionArrays!$I$6:$J$12,2,FALSE)</f>
        <v>Workweek</v>
      </c>
    </row>
    <row r="3242" spans="1:10">
      <c r="A3242" s="159" t="str">
        <f t="shared" si="252"/>
        <v>$E$1:$E$92</v>
      </c>
      <c r="B3242" s="159" t="str">
        <f t="shared" si="253"/>
        <v>$F$1:$F$92</v>
      </c>
      <c r="C3242" s="159" t="str">
        <f t="shared" si="254"/>
        <v>May!$E$1:$E$92</v>
      </c>
      <c r="D3242" s="159" t="str">
        <f t="shared" si="255"/>
        <v>May!$F$1:$F$92</v>
      </c>
      <c r="E3242" t="s">
        <v>7</v>
      </c>
      <c r="F3242" t="s">
        <v>124</v>
      </c>
      <c r="G3242" t="s">
        <v>142</v>
      </c>
      <c r="H3242" t="s">
        <v>20</v>
      </c>
      <c r="I3242" t="e">
        <f t="shared" ca="1" si="256"/>
        <v>#REF!</v>
      </c>
      <c r="J3242" t="str">
        <f>VLOOKUP($G3242,DefinitionArrays!$I$6:$J$12,2,FALSE)</f>
        <v>Workweek</v>
      </c>
    </row>
    <row r="3243" spans="1:10">
      <c r="A3243" s="159" t="str">
        <f t="shared" si="252"/>
        <v>$E$1:$E$92</v>
      </c>
      <c r="B3243" s="159" t="str">
        <f t="shared" si="253"/>
        <v>$F$1:$F$92</v>
      </c>
      <c r="C3243" s="159" t="str">
        <f t="shared" si="254"/>
        <v>May!$E$1:$E$92</v>
      </c>
      <c r="D3243" s="159" t="str">
        <f t="shared" si="255"/>
        <v>May!$F$1:$F$92</v>
      </c>
      <c r="E3243" t="s">
        <v>7</v>
      </c>
      <c r="F3243" t="s">
        <v>124</v>
      </c>
      <c r="G3243" t="s">
        <v>142</v>
      </c>
      <c r="H3243" t="s">
        <v>21</v>
      </c>
      <c r="I3243" t="e">
        <f t="shared" ca="1" si="256"/>
        <v>#REF!</v>
      </c>
      <c r="J3243" t="str">
        <f>VLOOKUP($G3243,DefinitionArrays!$I$6:$J$12,2,FALSE)</f>
        <v>Workweek</v>
      </c>
    </row>
    <row r="3244" spans="1:10">
      <c r="A3244" s="159" t="str">
        <f t="shared" si="252"/>
        <v>$E$1:$E$92</v>
      </c>
      <c r="B3244" s="159" t="str">
        <f t="shared" si="253"/>
        <v>$F$1:$F$92</v>
      </c>
      <c r="C3244" s="159" t="str">
        <f t="shared" si="254"/>
        <v>May!$E$1:$E$92</v>
      </c>
      <c r="D3244" s="159" t="str">
        <f t="shared" si="255"/>
        <v>May!$F$1:$F$92</v>
      </c>
      <c r="E3244" t="s">
        <v>7</v>
      </c>
      <c r="F3244" t="s">
        <v>124</v>
      </c>
      <c r="G3244" t="s">
        <v>142</v>
      </c>
      <c r="H3244" t="s">
        <v>22</v>
      </c>
      <c r="I3244" t="e">
        <f t="shared" ca="1" si="256"/>
        <v>#REF!</v>
      </c>
      <c r="J3244" t="str">
        <f>VLOOKUP($G3244,DefinitionArrays!$I$6:$J$12,2,FALSE)</f>
        <v>Workweek</v>
      </c>
    </row>
    <row r="3245" spans="1:10">
      <c r="A3245" s="159" t="str">
        <f t="shared" si="252"/>
        <v>$E$1:$E$92</v>
      </c>
      <c r="B3245" s="159" t="str">
        <f t="shared" si="253"/>
        <v>$F$1:$F$92</v>
      </c>
      <c r="C3245" s="159" t="str">
        <f t="shared" si="254"/>
        <v>May!$E$1:$E$92</v>
      </c>
      <c r="D3245" s="159" t="str">
        <f t="shared" si="255"/>
        <v>May!$F$1:$F$92</v>
      </c>
      <c r="E3245" t="s">
        <v>7</v>
      </c>
      <c r="F3245" t="s">
        <v>124</v>
      </c>
      <c r="G3245" t="s">
        <v>142</v>
      </c>
      <c r="H3245" t="s">
        <v>23</v>
      </c>
      <c r="I3245" t="e">
        <f t="shared" ca="1" si="256"/>
        <v>#REF!</v>
      </c>
      <c r="J3245" t="str">
        <f>VLOOKUP($G3245,DefinitionArrays!$I$6:$J$12,2,FALSE)</f>
        <v>Workweek</v>
      </c>
    </row>
    <row r="3246" spans="1:10">
      <c r="A3246" s="159" t="str">
        <f t="shared" si="252"/>
        <v>$E$1:$E$92</v>
      </c>
      <c r="B3246" s="159" t="str">
        <f t="shared" si="253"/>
        <v>$F$1:$F$92</v>
      </c>
      <c r="C3246" s="159" t="str">
        <f t="shared" si="254"/>
        <v>May!$E$1:$E$92</v>
      </c>
      <c r="D3246" s="159" t="str">
        <f t="shared" si="255"/>
        <v>May!$F$1:$F$92</v>
      </c>
      <c r="E3246" t="s">
        <v>7</v>
      </c>
      <c r="F3246" t="s">
        <v>124</v>
      </c>
      <c r="G3246" t="s">
        <v>142</v>
      </c>
      <c r="H3246" t="s">
        <v>24</v>
      </c>
      <c r="I3246" t="e">
        <f t="shared" ca="1" si="256"/>
        <v>#REF!</v>
      </c>
      <c r="J3246" t="str">
        <f>VLOOKUP($G3246,DefinitionArrays!$I$6:$J$12,2,FALSE)</f>
        <v>Workweek</v>
      </c>
    </row>
    <row r="3247" spans="1:10">
      <c r="A3247" s="159" t="str">
        <f t="shared" si="252"/>
        <v>$E$1:$E$92</v>
      </c>
      <c r="B3247" s="159" t="str">
        <f t="shared" si="253"/>
        <v>$F$1:$F$92</v>
      </c>
      <c r="C3247" s="159" t="str">
        <f t="shared" si="254"/>
        <v>May!$E$1:$E$92</v>
      </c>
      <c r="D3247" s="159" t="str">
        <f t="shared" si="255"/>
        <v>May!$F$1:$F$92</v>
      </c>
      <c r="E3247" t="s">
        <v>7</v>
      </c>
      <c r="F3247" t="s">
        <v>124</v>
      </c>
      <c r="G3247" t="s">
        <v>142</v>
      </c>
      <c r="H3247" t="s">
        <v>179</v>
      </c>
      <c r="I3247" t="e">
        <f t="shared" ca="1" si="256"/>
        <v>#REF!</v>
      </c>
      <c r="J3247" t="str">
        <f>VLOOKUP($G3247,DefinitionArrays!$I$6:$J$12,2,FALSE)</f>
        <v>Workweek</v>
      </c>
    </row>
    <row r="3248" spans="1:10">
      <c r="A3248" s="159" t="str">
        <f t="shared" si="252"/>
        <v>$E$1:$E$92</v>
      </c>
      <c r="B3248" s="159" t="str">
        <f t="shared" si="253"/>
        <v>$F$1:$F$92</v>
      </c>
      <c r="C3248" s="159" t="str">
        <f t="shared" si="254"/>
        <v>May!$E$1:$E$92</v>
      </c>
      <c r="D3248" s="159" t="str">
        <f t="shared" si="255"/>
        <v>May!$F$1:$F$92</v>
      </c>
      <c r="E3248" t="s">
        <v>7</v>
      </c>
      <c r="F3248" t="s">
        <v>124</v>
      </c>
      <c r="G3248" t="s">
        <v>142</v>
      </c>
      <c r="H3248" t="s">
        <v>180</v>
      </c>
      <c r="I3248" t="e">
        <f t="shared" ca="1" si="256"/>
        <v>#REF!</v>
      </c>
      <c r="J3248" t="str">
        <f>VLOOKUP($G3248,DefinitionArrays!$I$6:$J$12,2,FALSE)</f>
        <v>Workweek</v>
      </c>
    </row>
    <row r="3249" spans="1:10">
      <c r="A3249" s="159" t="str">
        <f t="shared" si="252"/>
        <v>$E$1:$E$92</v>
      </c>
      <c r="B3249" s="159" t="str">
        <f t="shared" si="253"/>
        <v>$F$1:$F$92</v>
      </c>
      <c r="C3249" s="159" t="str">
        <f t="shared" si="254"/>
        <v>May!$E$1:$E$92</v>
      </c>
      <c r="D3249" s="159" t="str">
        <f t="shared" si="255"/>
        <v>May!$F$1:$F$92</v>
      </c>
      <c r="E3249" t="s">
        <v>7</v>
      </c>
      <c r="F3249" t="s">
        <v>124</v>
      </c>
      <c r="G3249" t="s">
        <v>142</v>
      </c>
      <c r="H3249" t="s">
        <v>44</v>
      </c>
      <c r="I3249" t="e">
        <f t="shared" ca="1" si="256"/>
        <v>#REF!</v>
      </c>
      <c r="J3249" t="str">
        <f>VLOOKUP($G3249,DefinitionArrays!$I$6:$J$12,2,FALSE)</f>
        <v>Workweek</v>
      </c>
    </row>
    <row r="3250" spans="1:10">
      <c r="A3250" s="159" t="str">
        <f t="shared" si="252"/>
        <v>$H$1:$H$92</v>
      </c>
      <c r="B3250" s="159" t="str">
        <f t="shared" si="253"/>
        <v>$I$1:$I$92</v>
      </c>
      <c r="C3250" s="159" t="str">
        <f t="shared" si="254"/>
        <v>May!$H$1:$H$92</v>
      </c>
      <c r="D3250" s="159" t="str">
        <f t="shared" si="255"/>
        <v>May!$I$1:$I$92</v>
      </c>
      <c r="E3250" t="s">
        <v>7</v>
      </c>
      <c r="F3250" t="s">
        <v>124</v>
      </c>
      <c r="G3250" t="s">
        <v>143</v>
      </c>
      <c r="H3250" t="s">
        <v>159</v>
      </c>
      <c r="I3250" t="e">
        <f t="shared" ca="1" si="256"/>
        <v>#REF!</v>
      </c>
      <c r="J3250" t="str">
        <f>VLOOKUP($G3250,DefinitionArrays!$I$6:$J$12,2,FALSE)</f>
        <v>Workweek</v>
      </c>
    </row>
    <row r="3251" spans="1:10">
      <c r="A3251" s="159" t="str">
        <f t="shared" si="252"/>
        <v>$H$1:$H$92</v>
      </c>
      <c r="B3251" s="159" t="str">
        <f t="shared" si="253"/>
        <v>$I$1:$I$92</v>
      </c>
      <c r="C3251" s="159" t="str">
        <f t="shared" si="254"/>
        <v>May!$H$1:$H$92</v>
      </c>
      <c r="D3251" s="159" t="str">
        <f t="shared" si="255"/>
        <v>May!$I$1:$I$92</v>
      </c>
      <c r="E3251" t="s">
        <v>7</v>
      </c>
      <c r="F3251" t="s">
        <v>124</v>
      </c>
      <c r="G3251" t="s">
        <v>143</v>
      </c>
      <c r="H3251" t="s">
        <v>18</v>
      </c>
      <c r="I3251" t="e">
        <f t="shared" ca="1" si="256"/>
        <v>#REF!</v>
      </c>
      <c r="J3251" t="str">
        <f>VLOOKUP($G3251,DefinitionArrays!$I$6:$J$12,2,FALSE)</f>
        <v>Workweek</v>
      </c>
    </row>
    <row r="3252" spans="1:10">
      <c r="A3252" s="159" t="str">
        <f t="shared" si="252"/>
        <v>$H$1:$H$92</v>
      </c>
      <c r="B3252" s="159" t="str">
        <f t="shared" si="253"/>
        <v>$I$1:$I$92</v>
      </c>
      <c r="C3252" s="159" t="str">
        <f t="shared" si="254"/>
        <v>May!$H$1:$H$92</v>
      </c>
      <c r="D3252" s="159" t="str">
        <f t="shared" si="255"/>
        <v>May!$I$1:$I$92</v>
      </c>
      <c r="E3252" t="s">
        <v>7</v>
      </c>
      <c r="F3252" t="s">
        <v>124</v>
      </c>
      <c r="G3252" t="s">
        <v>143</v>
      </c>
      <c r="H3252" t="s">
        <v>153</v>
      </c>
      <c r="I3252" t="e">
        <f t="shared" ca="1" si="256"/>
        <v>#REF!</v>
      </c>
      <c r="J3252" t="str">
        <f>VLOOKUP($G3252,DefinitionArrays!$I$6:$J$12,2,FALSE)</f>
        <v>Workweek</v>
      </c>
    </row>
    <row r="3253" spans="1:10">
      <c r="A3253" s="159" t="str">
        <f t="shared" si="252"/>
        <v>$H$1:$H$92</v>
      </c>
      <c r="B3253" s="159" t="str">
        <f t="shared" si="253"/>
        <v>$I$1:$I$92</v>
      </c>
      <c r="C3253" s="159" t="str">
        <f t="shared" si="254"/>
        <v>May!$H$1:$H$92</v>
      </c>
      <c r="D3253" s="159" t="str">
        <f t="shared" si="255"/>
        <v>May!$I$1:$I$92</v>
      </c>
      <c r="E3253" t="s">
        <v>7</v>
      </c>
      <c r="F3253" t="s">
        <v>124</v>
      </c>
      <c r="G3253" t="s">
        <v>143</v>
      </c>
      <c r="H3253" t="s">
        <v>19</v>
      </c>
      <c r="I3253" t="e">
        <f t="shared" ca="1" si="256"/>
        <v>#REF!</v>
      </c>
      <c r="J3253" t="str">
        <f>VLOOKUP($G3253,DefinitionArrays!$I$6:$J$12,2,FALSE)</f>
        <v>Workweek</v>
      </c>
    </row>
    <row r="3254" spans="1:10">
      <c r="A3254" s="159" t="str">
        <f t="shared" si="252"/>
        <v>$H$1:$H$92</v>
      </c>
      <c r="B3254" s="159" t="str">
        <f t="shared" si="253"/>
        <v>$I$1:$I$92</v>
      </c>
      <c r="C3254" s="159" t="str">
        <f t="shared" si="254"/>
        <v>May!$H$1:$H$92</v>
      </c>
      <c r="D3254" s="159" t="str">
        <f t="shared" si="255"/>
        <v>May!$I$1:$I$92</v>
      </c>
      <c r="E3254" t="s">
        <v>7</v>
      </c>
      <c r="F3254" t="s">
        <v>124</v>
      </c>
      <c r="G3254" t="s">
        <v>143</v>
      </c>
      <c r="H3254" t="s">
        <v>20</v>
      </c>
      <c r="I3254" t="e">
        <f t="shared" ca="1" si="256"/>
        <v>#REF!</v>
      </c>
      <c r="J3254" t="str">
        <f>VLOOKUP($G3254,DefinitionArrays!$I$6:$J$12,2,FALSE)</f>
        <v>Workweek</v>
      </c>
    </row>
    <row r="3255" spans="1:10">
      <c r="A3255" s="159" t="str">
        <f t="shared" si="252"/>
        <v>$H$1:$H$92</v>
      </c>
      <c r="B3255" s="159" t="str">
        <f t="shared" si="253"/>
        <v>$I$1:$I$92</v>
      </c>
      <c r="C3255" s="159" t="str">
        <f t="shared" si="254"/>
        <v>May!$H$1:$H$92</v>
      </c>
      <c r="D3255" s="159" t="str">
        <f t="shared" si="255"/>
        <v>May!$I$1:$I$92</v>
      </c>
      <c r="E3255" t="s">
        <v>7</v>
      </c>
      <c r="F3255" t="s">
        <v>124</v>
      </c>
      <c r="G3255" t="s">
        <v>143</v>
      </c>
      <c r="H3255" t="s">
        <v>21</v>
      </c>
      <c r="I3255" t="e">
        <f t="shared" ca="1" si="256"/>
        <v>#REF!</v>
      </c>
      <c r="J3255" t="str">
        <f>VLOOKUP($G3255,DefinitionArrays!$I$6:$J$12,2,FALSE)</f>
        <v>Workweek</v>
      </c>
    </row>
    <row r="3256" spans="1:10">
      <c r="A3256" s="159" t="str">
        <f t="shared" si="252"/>
        <v>$H$1:$H$92</v>
      </c>
      <c r="B3256" s="159" t="str">
        <f t="shared" si="253"/>
        <v>$I$1:$I$92</v>
      </c>
      <c r="C3256" s="159" t="str">
        <f t="shared" si="254"/>
        <v>May!$H$1:$H$92</v>
      </c>
      <c r="D3256" s="159" t="str">
        <f t="shared" si="255"/>
        <v>May!$I$1:$I$92</v>
      </c>
      <c r="E3256" t="s">
        <v>7</v>
      </c>
      <c r="F3256" t="s">
        <v>124</v>
      </c>
      <c r="G3256" t="s">
        <v>143</v>
      </c>
      <c r="H3256" t="s">
        <v>22</v>
      </c>
      <c r="I3256" t="e">
        <f t="shared" ca="1" si="256"/>
        <v>#REF!</v>
      </c>
      <c r="J3256" t="str">
        <f>VLOOKUP($G3256,DefinitionArrays!$I$6:$J$12,2,FALSE)</f>
        <v>Workweek</v>
      </c>
    </row>
    <row r="3257" spans="1:10">
      <c r="A3257" s="159" t="str">
        <f t="shared" si="252"/>
        <v>$H$1:$H$92</v>
      </c>
      <c r="B3257" s="159" t="str">
        <f t="shared" si="253"/>
        <v>$I$1:$I$92</v>
      </c>
      <c r="C3257" s="159" t="str">
        <f t="shared" si="254"/>
        <v>May!$H$1:$H$92</v>
      </c>
      <c r="D3257" s="159" t="str">
        <f t="shared" si="255"/>
        <v>May!$I$1:$I$92</v>
      </c>
      <c r="E3257" t="s">
        <v>7</v>
      </c>
      <c r="F3257" t="s">
        <v>124</v>
      </c>
      <c r="G3257" t="s">
        <v>143</v>
      </c>
      <c r="H3257" t="s">
        <v>23</v>
      </c>
      <c r="I3257" t="e">
        <f t="shared" ca="1" si="256"/>
        <v>#REF!</v>
      </c>
      <c r="J3257" t="str">
        <f>VLOOKUP($G3257,DefinitionArrays!$I$6:$J$12,2,FALSE)</f>
        <v>Workweek</v>
      </c>
    </row>
    <row r="3258" spans="1:10">
      <c r="A3258" s="159" t="str">
        <f t="shared" si="252"/>
        <v>$H$1:$H$92</v>
      </c>
      <c r="B3258" s="159" t="str">
        <f t="shared" si="253"/>
        <v>$I$1:$I$92</v>
      </c>
      <c r="C3258" s="159" t="str">
        <f t="shared" si="254"/>
        <v>May!$H$1:$H$92</v>
      </c>
      <c r="D3258" s="159" t="str">
        <f t="shared" si="255"/>
        <v>May!$I$1:$I$92</v>
      </c>
      <c r="E3258" t="s">
        <v>7</v>
      </c>
      <c r="F3258" t="s">
        <v>124</v>
      </c>
      <c r="G3258" t="s">
        <v>143</v>
      </c>
      <c r="H3258" t="s">
        <v>24</v>
      </c>
      <c r="I3258" t="e">
        <f t="shared" ca="1" si="256"/>
        <v>#REF!</v>
      </c>
      <c r="J3258" t="str">
        <f>VLOOKUP($G3258,DefinitionArrays!$I$6:$J$12,2,FALSE)</f>
        <v>Workweek</v>
      </c>
    </row>
    <row r="3259" spans="1:10">
      <c r="A3259" s="159" t="str">
        <f t="shared" si="252"/>
        <v>$H$1:$H$92</v>
      </c>
      <c r="B3259" s="159" t="str">
        <f t="shared" si="253"/>
        <v>$I$1:$I$92</v>
      </c>
      <c r="C3259" s="159" t="str">
        <f t="shared" si="254"/>
        <v>May!$H$1:$H$92</v>
      </c>
      <c r="D3259" s="159" t="str">
        <f t="shared" si="255"/>
        <v>May!$I$1:$I$92</v>
      </c>
      <c r="E3259" t="s">
        <v>7</v>
      </c>
      <c r="F3259" t="s">
        <v>124</v>
      </c>
      <c r="G3259" t="s">
        <v>143</v>
      </c>
      <c r="H3259" t="s">
        <v>179</v>
      </c>
      <c r="I3259" t="e">
        <f t="shared" ca="1" si="256"/>
        <v>#REF!</v>
      </c>
      <c r="J3259" t="str">
        <f>VLOOKUP($G3259,DefinitionArrays!$I$6:$J$12,2,FALSE)</f>
        <v>Workweek</v>
      </c>
    </row>
    <row r="3260" spans="1:10">
      <c r="A3260" s="159" t="str">
        <f t="shared" si="252"/>
        <v>$H$1:$H$92</v>
      </c>
      <c r="B3260" s="159" t="str">
        <f t="shared" si="253"/>
        <v>$I$1:$I$92</v>
      </c>
      <c r="C3260" s="159" t="str">
        <f t="shared" si="254"/>
        <v>May!$H$1:$H$92</v>
      </c>
      <c r="D3260" s="159" t="str">
        <f t="shared" si="255"/>
        <v>May!$I$1:$I$92</v>
      </c>
      <c r="E3260" t="s">
        <v>7</v>
      </c>
      <c r="F3260" t="s">
        <v>124</v>
      </c>
      <c r="G3260" t="s">
        <v>143</v>
      </c>
      <c r="H3260" t="s">
        <v>180</v>
      </c>
      <c r="I3260" t="e">
        <f t="shared" ca="1" si="256"/>
        <v>#REF!</v>
      </c>
      <c r="J3260" t="str">
        <f>VLOOKUP($G3260,DefinitionArrays!$I$6:$J$12,2,FALSE)</f>
        <v>Workweek</v>
      </c>
    </row>
    <row r="3261" spans="1:10">
      <c r="A3261" s="159" t="str">
        <f t="shared" si="252"/>
        <v>$H$1:$H$92</v>
      </c>
      <c r="B3261" s="159" t="str">
        <f t="shared" si="253"/>
        <v>$I$1:$I$92</v>
      </c>
      <c r="C3261" s="159" t="str">
        <f t="shared" si="254"/>
        <v>May!$H$1:$H$92</v>
      </c>
      <c r="D3261" s="159" t="str">
        <f t="shared" si="255"/>
        <v>May!$I$1:$I$92</v>
      </c>
      <c r="E3261" t="s">
        <v>7</v>
      </c>
      <c r="F3261" t="s">
        <v>124</v>
      </c>
      <c r="G3261" t="s">
        <v>143</v>
      </c>
      <c r="H3261" t="s">
        <v>44</v>
      </c>
      <c r="I3261" t="e">
        <f t="shared" ca="1" si="256"/>
        <v>#REF!</v>
      </c>
      <c r="J3261" t="str">
        <f>VLOOKUP($G3261,DefinitionArrays!$I$6:$J$12,2,FALSE)</f>
        <v>Workweek</v>
      </c>
    </row>
    <row r="3262" spans="1:10">
      <c r="A3262" s="159" t="str">
        <f t="shared" si="252"/>
        <v>$K$1:$K$92</v>
      </c>
      <c r="B3262" s="159" t="str">
        <f t="shared" si="253"/>
        <v>$L$1:$L$92</v>
      </c>
      <c r="C3262" s="159" t="str">
        <f t="shared" si="254"/>
        <v>May!$K$1:$K$92</v>
      </c>
      <c r="D3262" s="159" t="str">
        <f t="shared" si="255"/>
        <v>May!$L$1:$L$92</v>
      </c>
      <c r="E3262" t="s">
        <v>7</v>
      </c>
      <c r="F3262" t="s">
        <v>124</v>
      </c>
      <c r="G3262" t="s">
        <v>144</v>
      </c>
      <c r="H3262" t="s">
        <v>159</v>
      </c>
      <c r="I3262" t="e">
        <f t="shared" ca="1" si="256"/>
        <v>#REF!</v>
      </c>
      <c r="J3262" t="str">
        <f>VLOOKUP($G3262,DefinitionArrays!$I$6:$J$12,2,FALSE)</f>
        <v>Workweek</v>
      </c>
    </row>
    <row r="3263" spans="1:10">
      <c r="A3263" s="159" t="str">
        <f t="shared" si="252"/>
        <v>$K$1:$K$92</v>
      </c>
      <c r="B3263" s="159" t="str">
        <f t="shared" si="253"/>
        <v>$L$1:$L$92</v>
      </c>
      <c r="C3263" s="159" t="str">
        <f t="shared" si="254"/>
        <v>May!$K$1:$K$92</v>
      </c>
      <c r="D3263" s="159" t="str">
        <f t="shared" si="255"/>
        <v>May!$L$1:$L$92</v>
      </c>
      <c r="E3263" t="s">
        <v>7</v>
      </c>
      <c r="F3263" t="s">
        <v>124</v>
      </c>
      <c r="G3263" t="s">
        <v>144</v>
      </c>
      <c r="H3263" t="s">
        <v>18</v>
      </c>
      <c r="I3263" t="e">
        <f t="shared" ca="1" si="256"/>
        <v>#REF!</v>
      </c>
      <c r="J3263" t="str">
        <f>VLOOKUP($G3263,DefinitionArrays!$I$6:$J$12,2,FALSE)</f>
        <v>Workweek</v>
      </c>
    </row>
    <row r="3264" spans="1:10">
      <c r="A3264" s="159" t="str">
        <f t="shared" si="252"/>
        <v>$K$1:$K$92</v>
      </c>
      <c r="B3264" s="159" t="str">
        <f t="shared" si="253"/>
        <v>$L$1:$L$92</v>
      </c>
      <c r="C3264" s="159" t="str">
        <f t="shared" si="254"/>
        <v>May!$K$1:$K$92</v>
      </c>
      <c r="D3264" s="159" t="str">
        <f t="shared" si="255"/>
        <v>May!$L$1:$L$92</v>
      </c>
      <c r="E3264" t="s">
        <v>7</v>
      </c>
      <c r="F3264" t="s">
        <v>124</v>
      </c>
      <c r="G3264" t="s">
        <v>144</v>
      </c>
      <c r="H3264" t="s">
        <v>153</v>
      </c>
      <c r="I3264" t="e">
        <f t="shared" ca="1" si="256"/>
        <v>#REF!</v>
      </c>
      <c r="J3264" t="str">
        <f>VLOOKUP($G3264,DefinitionArrays!$I$6:$J$12,2,FALSE)</f>
        <v>Workweek</v>
      </c>
    </row>
    <row r="3265" spans="1:10">
      <c r="A3265" s="159" t="str">
        <f t="shared" si="252"/>
        <v>$K$1:$K$92</v>
      </c>
      <c r="B3265" s="159" t="str">
        <f t="shared" si="253"/>
        <v>$L$1:$L$92</v>
      </c>
      <c r="C3265" s="159" t="str">
        <f t="shared" si="254"/>
        <v>May!$K$1:$K$92</v>
      </c>
      <c r="D3265" s="159" t="str">
        <f t="shared" si="255"/>
        <v>May!$L$1:$L$92</v>
      </c>
      <c r="E3265" t="s">
        <v>7</v>
      </c>
      <c r="F3265" t="s">
        <v>124</v>
      </c>
      <c r="G3265" t="s">
        <v>144</v>
      </c>
      <c r="H3265" t="s">
        <v>19</v>
      </c>
      <c r="I3265" t="e">
        <f t="shared" ca="1" si="256"/>
        <v>#REF!</v>
      </c>
      <c r="J3265" t="str">
        <f>VLOOKUP($G3265,DefinitionArrays!$I$6:$J$12,2,FALSE)</f>
        <v>Workweek</v>
      </c>
    </row>
    <row r="3266" spans="1:10">
      <c r="A3266" s="159" t="str">
        <f t="shared" ref="A3266:A3329" si="257">VLOOKUP($G3266,Fx_Code,2,FALSE)</f>
        <v>$K$1:$K$92</v>
      </c>
      <c r="B3266" s="159" t="str">
        <f t="shared" ref="B3266:B3329" si="258">VLOOKUP($G3266,Fx_Code,3,FALSE)</f>
        <v>$L$1:$L$92</v>
      </c>
      <c r="C3266" s="159" t="str">
        <f t="shared" ref="C3266:C3329" si="259">CONCATENATE($F3266,$K$1,A3266)</f>
        <v>May!$K$1:$K$92</v>
      </c>
      <c r="D3266" s="159" t="str">
        <f t="shared" ref="D3266:D3329" si="260">CONCATENATE($F3266,$K$1,B3266)</f>
        <v>May!$L$1:$L$92</v>
      </c>
      <c r="E3266" t="s">
        <v>7</v>
      </c>
      <c r="F3266" t="s">
        <v>124</v>
      </c>
      <c r="G3266" t="s">
        <v>144</v>
      </c>
      <c r="H3266" t="s">
        <v>20</v>
      </c>
      <c r="I3266" t="e">
        <f t="shared" ca="1" si="256"/>
        <v>#REF!</v>
      </c>
      <c r="J3266" t="str">
        <f>VLOOKUP($G3266,DefinitionArrays!$I$6:$J$12,2,FALSE)</f>
        <v>Workweek</v>
      </c>
    </row>
    <row r="3267" spans="1:10">
      <c r="A3267" s="159" t="str">
        <f t="shared" si="257"/>
        <v>$K$1:$K$92</v>
      </c>
      <c r="B3267" s="159" t="str">
        <f t="shared" si="258"/>
        <v>$L$1:$L$92</v>
      </c>
      <c r="C3267" s="159" t="str">
        <f t="shared" si="259"/>
        <v>May!$K$1:$K$92</v>
      </c>
      <c r="D3267" s="159" t="str">
        <f t="shared" si="260"/>
        <v>May!$L$1:$L$92</v>
      </c>
      <c r="E3267" t="s">
        <v>7</v>
      </c>
      <c r="F3267" t="s">
        <v>124</v>
      </c>
      <c r="G3267" t="s">
        <v>144</v>
      </c>
      <c r="H3267" t="s">
        <v>21</v>
      </c>
      <c r="I3267" t="e">
        <f t="shared" ca="1" si="256"/>
        <v>#REF!</v>
      </c>
      <c r="J3267" t="str">
        <f>VLOOKUP($G3267,DefinitionArrays!$I$6:$J$12,2,FALSE)</f>
        <v>Workweek</v>
      </c>
    </row>
    <row r="3268" spans="1:10">
      <c r="A3268" s="159" t="str">
        <f t="shared" si="257"/>
        <v>$K$1:$K$92</v>
      </c>
      <c r="B3268" s="159" t="str">
        <f t="shared" si="258"/>
        <v>$L$1:$L$92</v>
      </c>
      <c r="C3268" s="159" t="str">
        <f t="shared" si="259"/>
        <v>May!$K$1:$K$92</v>
      </c>
      <c r="D3268" s="159" t="str">
        <f t="shared" si="260"/>
        <v>May!$L$1:$L$92</v>
      </c>
      <c r="E3268" t="s">
        <v>7</v>
      </c>
      <c r="F3268" t="s">
        <v>124</v>
      </c>
      <c r="G3268" t="s">
        <v>144</v>
      </c>
      <c r="H3268" t="s">
        <v>22</v>
      </c>
      <c r="I3268" t="e">
        <f t="shared" ca="1" si="256"/>
        <v>#REF!</v>
      </c>
      <c r="J3268" t="str">
        <f>VLOOKUP($G3268,DefinitionArrays!$I$6:$J$12,2,FALSE)</f>
        <v>Workweek</v>
      </c>
    </row>
    <row r="3269" spans="1:10">
      <c r="A3269" s="159" t="str">
        <f t="shared" si="257"/>
        <v>$K$1:$K$92</v>
      </c>
      <c r="B3269" s="159" t="str">
        <f t="shared" si="258"/>
        <v>$L$1:$L$92</v>
      </c>
      <c r="C3269" s="159" t="str">
        <f t="shared" si="259"/>
        <v>May!$K$1:$K$92</v>
      </c>
      <c r="D3269" s="159" t="str">
        <f t="shared" si="260"/>
        <v>May!$L$1:$L$92</v>
      </c>
      <c r="E3269" t="s">
        <v>7</v>
      </c>
      <c r="F3269" t="s">
        <v>124</v>
      </c>
      <c r="G3269" t="s">
        <v>144</v>
      </c>
      <c r="H3269" t="s">
        <v>23</v>
      </c>
      <c r="I3269" t="e">
        <f t="shared" ca="1" si="256"/>
        <v>#REF!</v>
      </c>
      <c r="J3269" t="str">
        <f>VLOOKUP($G3269,DefinitionArrays!$I$6:$J$12,2,FALSE)</f>
        <v>Workweek</v>
      </c>
    </row>
    <row r="3270" spans="1:10">
      <c r="A3270" s="159" t="str">
        <f t="shared" si="257"/>
        <v>$K$1:$K$92</v>
      </c>
      <c r="B3270" s="159" t="str">
        <f t="shared" si="258"/>
        <v>$L$1:$L$92</v>
      </c>
      <c r="C3270" s="159" t="str">
        <f t="shared" si="259"/>
        <v>May!$K$1:$K$92</v>
      </c>
      <c r="D3270" s="159" t="str">
        <f t="shared" si="260"/>
        <v>May!$L$1:$L$92</v>
      </c>
      <c r="E3270" t="s">
        <v>7</v>
      </c>
      <c r="F3270" t="s">
        <v>124</v>
      </c>
      <c r="G3270" t="s">
        <v>144</v>
      </c>
      <c r="H3270" t="s">
        <v>24</v>
      </c>
      <c r="I3270" t="e">
        <f t="shared" ca="1" si="256"/>
        <v>#REF!</v>
      </c>
      <c r="J3270" t="str">
        <f>VLOOKUP($G3270,DefinitionArrays!$I$6:$J$12,2,FALSE)</f>
        <v>Workweek</v>
      </c>
    </row>
    <row r="3271" spans="1:10">
      <c r="A3271" s="159" t="str">
        <f t="shared" si="257"/>
        <v>$K$1:$K$92</v>
      </c>
      <c r="B3271" s="159" t="str">
        <f t="shared" si="258"/>
        <v>$L$1:$L$92</v>
      </c>
      <c r="C3271" s="159" t="str">
        <f t="shared" si="259"/>
        <v>May!$K$1:$K$92</v>
      </c>
      <c r="D3271" s="159" t="str">
        <f t="shared" si="260"/>
        <v>May!$L$1:$L$92</v>
      </c>
      <c r="E3271" t="s">
        <v>7</v>
      </c>
      <c r="F3271" t="s">
        <v>124</v>
      </c>
      <c r="G3271" t="s">
        <v>144</v>
      </c>
      <c r="H3271" t="s">
        <v>179</v>
      </c>
      <c r="I3271" t="e">
        <f t="shared" ca="1" si="256"/>
        <v>#REF!</v>
      </c>
      <c r="J3271" t="str">
        <f>VLOOKUP($G3271,DefinitionArrays!$I$6:$J$12,2,FALSE)</f>
        <v>Workweek</v>
      </c>
    </row>
    <row r="3272" spans="1:10">
      <c r="A3272" s="159" t="str">
        <f t="shared" si="257"/>
        <v>$K$1:$K$92</v>
      </c>
      <c r="B3272" s="159" t="str">
        <f t="shared" si="258"/>
        <v>$L$1:$L$92</v>
      </c>
      <c r="C3272" s="159" t="str">
        <f t="shared" si="259"/>
        <v>May!$K$1:$K$92</v>
      </c>
      <c r="D3272" s="159" t="str">
        <f t="shared" si="260"/>
        <v>May!$L$1:$L$92</v>
      </c>
      <c r="E3272" t="s">
        <v>7</v>
      </c>
      <c r="F3272" t="s">
        <v>124</v>
      </c>
      <c r="G3272" t="s">
        <v>144</v>
      </c>
      <c r="H3272" t="s">
        <v>180</v>
      </c>
      <c r="I3272" t="e">
        <f t="shared" ca="1" si="256"/>
        <v>#REF!</v>
      </c>
      <c r="J3272" t="str">
        <f>VLOOKUP($G3272,DefinitionArrays!$I$6:$J$12,2,FALSE)</f>
        <v>Workweek</v>
      </c>
    </row>
    <row r="3273" spans="1:10">
      <c r="A3273" s="159" t="str">
        <f t="shared" si="257"/>
        <v>$K$1:$K$92</v>
      </c>
      <c r="B3273" s="159" t="str">
        <f t="shared" si="258"/>
        <v>$L$1:$L$92</v>
      </c>
      <c r="C3273" s="159" t="str">
        <f t="shared" si="259"/>
        <v>May!$K$1:$K$92</v>
      </c>
      <c r="D3273" s="159" t="str">
        <f t="shared" si="260"/>
        <v>May!$L$1:$L$92</v>
      </c>
      <c r="E3273" t="s">
        <v>7</v>
      </c>
      <c r="F3273" t="s">
        <v>124</v>
      </c>
      <c r="G3273" t="s">
        <v>144</v>
      </c>
      <c r="H3273" t="s">
        <v>44</v>
      </c>
      <c r="I3273" t="e">
        <f t="shared" ca="1" si="256"/>
        <v>#REF!</v>
      </c>
      <c r="J3273" t="str">
        <f>VLOOKUP($G3273,DefinitionArrays!$I$6:$J$12,2,FALSE)</f>
        <v>Workweek</v>
      </c>
    </row>
    <row r="3274" spans="1:10">
      <c r="A3274" s="159" t="str">
        <f t="shared" si="257"/>
        <v>$N$1:$N$92</v>
      </c>
      <c r="B3274" s="159" t="str">
        <f t="shared" si="258"/>
        <v>$O$1:$O$92</v>
      </c>
      <c r="C3274" s="159" t="str">
        <f t="shared" si="259"/>
        <v>May!$N$1:$N$92</v>
      </c>
      <c r="D3274" s="159" t="str">
        <f t="shared" si="260"/>
        <v>May!$O$1:$O$92</v>
      </c>
      <c r="E3274" t="s">
        <v>7</v>
      </c>
      <c r="F3274" t="s">
        <v>124</v>
      </c>
      <c r="G3274" t="s">
        <v>145</v>
      </c>
      <c r="H3274" t="s">
        <v>159</v>
      </c>
      <c r="I3274" t="e">
        <f t="shared" ca="1" si="256"/>
        <v>#REF!</v>
      </c>
      <c r="J3274" t="str">
        <f>VLOOKUP($G3274,DefinitionArrays!$I$6:$J$12,2,FALSE)</f>
        <v>Weekend</v>
      </c>
    </row>
    <row r="3275" spans="1:10">
      <c r="A3275" s="159" t="str">
        <f t="shared" si="257"/>
        <v>$N$1:$N$92</v>
      </c>
      <c r="B3275" s="159" t="str">
        <f t="shared" si="258"/>
        <v>$O$1:$O$92</v>
      </c>
      <c r="C3275" s="159" t="str">
        <f t="shared" si="259"/>
        <v>May!$N$1:$N$92</v>
      </c>
      <c r="D3275" s="159" t="str">
        <f t="shared" si="260"/>
        <v>May!$O$1:$O$92</v>
      </c>
      <c r="E3275" t="s">
        <v>7</v>
      </c>
      <c r="F3275" t="s">
        <v>124</v>
      </c>
      <c r="G3275" t="s">
        <v>145</v>
      </c>
      <c r="H3275" t="s">
        <v>18</v>
      </c>
      <c r="I3275" t="e">
        <f t="shared" ca="1" si="256"/>
        <v>#REF!</v>
      </c>
      <c r="J3275" t="str">
        <f>VLOOKUP($G3275,DefinitionArrays!$I$6:$J$12,2,FALSE)</f>
        <v>Weekend</v>
      </c>
    </row>
    <row r="3276" spans="1:10">
      <c r="A3276" s="159" t="str">
        <f t="shared" si="257"/>
        <v>$N$1:$N$92</v>
      </c>
      <c r="B3276" s="159" t="str">
        <f t="shared" si="258"/>
        <v>$O$1:$O$92</v>
      </c>
      <c r="C3276" s="159" t="str">
        <f t="shared" si="259"/>
        <v>May!$N$1:$N$92</v>
      </c>
      <c r="D3276" s="159" t="str">
        <f t="shared" si="260"/>
        <v>May!$O$1:$O$92</v>
      </c>
      <c r="E3276" t="s">
        <v>7</v>
      </c>
      <c r="F3276" t="s">
        <v>124</v>
      </c>
      <c r="G3276" t="s">
        <v>145</v>
      </c>
      <c r="H3276" t="s">
        <v>153</v>
      </c>
      <c r="I3276" t="e">
        <f t="shared" ca="1" si="256"/>
        <v>#REF!</v>
      </c>
      <c r="J3276" t="str">
        <f>VLOOKUP($G3276,DefinitionArrays!$I$6:$J$12,2,FALSE)</f>
        <v>Weekend</v>
      </c>
    </row>
    <row r="3277" spans="1:10">
      <c r="A3277" s="159" t="str">
        <f t="shared" si="257"/>
        <v>$N$1:$N$92</v>
      </c>
      <c r="B3277" s="159" t="str">
        <f t="shared" si="258"/>
        <v>$O$1:$O$92</v>
      </c>
      <c r="C3277" s="159" t="str">
        <f t="shared" si="259"/>
        <v>May!$N$1:$N$92</v>
      </c>
      <c r="D3277" s="159" t="str">
        <f t="shared" si="260"/>
        <v>May!$O$1:$O$92</v>
      </c>
      <c r="E3277" t="s">
        <v>7</v>
      </c>
      <c r="F3277" t="s">
        <v>124</v>
      </c>
      <c r="G3277" t="s">
        <v>145</v>
      </c>
      <c r="H3277" t="s">
        <v>19</v>
      </c>
      <c r="I3277" t="e">
        <f t="shared" ca="1" si="256"/>
        <v>#REF!</v>
      </c>
      <c r="J3277" t="str">
        <f>VLOOKUP($G3277,DefinitionArrays!$I$6:$J$12,2,FALSE)</f>
        <v>Weekend</v>
      </c>
    </row>
    <row r="3278" spans="1:10">
      <c r="A3278" s="159" t="str">
        <f t="shared" si="257"/>
        <v>$N$1:$N$92</v>
      </c>
      <c r="B3278" s="159" t="str">
        <f t="shared" si="258"/>
        <v>$O$1:$O$92</v>
      </c>
      <c r="C3278" s="159" t="str">
        <f t="shared" si="259"/>
        <v>May!$N$1:$N$92</v>
      </c>
      <c r="D3278" s="159" t="str">
        <f t="shared" si="260"/>
        <v>May!$O$1:$O$92</v>
      </c>
      <c r="E3278" t="s">
        <v>7</v>
      </c>
      <c r="F3278" t="s">
        <v>124</v>
      </c>
      <c r="G3278" t="s">
        <v>145</v>
      </c>
      <c r="H3278" t="s">
        <v>20</v>
      </c>
      <c r="I3278" t="e">
        <f t="shared" ca="1" si="256"/>
        <v>#REF!</v>
      </c>
      <c r="J3278" t="str">
        <f>VLOOKUP($G3278,DefinitionArrays!$I$6:$J$12,2,FALSE)</f>
        <v>Weekend</v>
      </c>
    </row>
    <row r="3279" spans="1:10">
      <c r="A3279" s="159" t="str">
        <f t="shared" si="257"/>
        <v>$N$1:$N$92</v>
      </c>
      <c r="B3279" s="159" t="str">
        <f t="shared" si="258"/>
        <v>$O$1:$O$92</v>
      </c>
      <c r="C3279" s="159" t="str">
        <f t="shared" si="259"/>
        <v>May!$N$1:$N$92</v>
      </c>
      <c r="D3279" s="159" t="str">
        <f t="shared" si="260"/>
        <v>May!$O$1:$O$92</v>
      </c>
      <c r="E3279" t="s">
        <v>7</v>
      </c>
      <c r="F3279" t="s">
        <v>124</v>
      </c>
      <c r="G3279" t="s">
        <v>145</v>
      </c>
      <c r="H3279" t="s">
        <v>21</v>
      </c>
      <c r="I3279" t="e">
        <f t="shared" ca="1" si="256"/>
        <v>#REF!</v>
      </c>
      <c r="J3279" t="str">
        <f>VLOOKUP($G3279,DefinitionArrays!$I$6:$J$12,2,FALSE)</f>
        <v>Weekend</v>
      </c>
    </row>
    <row r="3280" spans="1:10">
      <c r="A3280" s="159" t="str">
        <f t="shared" si="257"/>
        <v>$N$1:$N$92</v>
      </c>
      <c r="B3280" s="159" t="str">
        <f t="shared" si="258"/>
        <v>$O$1:$O$92</v>
      </c>
      <c r="C3280" s="159" t="str">
        <f t="shared" si="259"/>
        <v>May!$N$1:$N$92</v>
      </c>
      <c r="D3280" s="159" t="str">
        <f t="shared" si="260"/>
        <v>May!$O$1:$O$92</v>
      </c>
      <c r="E3280" t="s">
        <v>7</v>
      </c>
      <c r="F3280" t="s">
        <v>124</v>
      </c>
      <c r="G3280" t="s">
        <v>145</v>
      </c>
      <c r="H3280" t="s">
        <v>22</v>
      </c>
      <c r="I3280" t="e">
        <f t="shared" ca="1" si="256"/>
        <v>#REF!</v>
      </c>
      <c r="J3280" t="str">
        <f>VLOOKUP($G3280,DefinitionArrays!$I$6:$J$12,2,FALSE)</f>
        <v>Weekend</v>
      </c>
    </row>
    <row r="3281" spans="1:10">
      <c r="A3281" s="159" t="str">
        <f t="shared" si="257"/>
        <v>$N$1:$N$92</v>
      </c>
      <c r="B3281" s="159" t="str">
        <f t="shared" si="258"/>
        <v>$O$1:$O$92</v>
      </c>
      <c r="C3281" s="159" t="str">
        <f t="shared" si="259"/>
        <v>May!$N$1:$N$92</v>
      </c>
      <c r="D3281" s="159" t="str">
        <f t="shared" si="260"/>
        <v>May!$O$1:$O$92</v>
      </c>
      <c r="E3281" t="s">
        <v>7</v>
      </c>
      <c r="F3281" t="s">
        <v>124</v>
      </c>
      <c r="G3281" t="s">
        <v>145</v>
      </c>
      <c r="H3281" t="s">
        <v>23</v>
      </c>
      <c r="I3281" t="e">
        <f t="shared" ca="1" si="256"/>
        <v>#REF!</v>
      </c>
      <c r="J3281" t="str">
        <f>VLOOKUP($G3281,DefinitionArrays!$I$6:$J$12,2,FALSE)</f>
        <v>Weekend</v>
      </c>
    </row>
    <row r="3282" spans="1:10">
      <c r="A3282" s="159" t="str">
        <f t="shared" si="257"/>
        <v>$N$1:$N$92</v>
      </c>
      <c r="B3282" s="159" t="str">
        <f t="shared" si="258"/>
        <v>$O$1:$O$92</v>
      </c>
      <c r="C3282" s="159" t="str">
        <f t="shared" si="259"/>
        <v>May!$N$1:$N$92</v>
      </c>
      <c r="D3282" s="159" t="str">
        <f t="shared" si="260"/>
        <v>May!$O$1:$O$92</v>
      </c>
      <c r="E3282" t="s">
        <v>7</v>
      </c>
      <c r="F3282" t="s">
        <v>124</v>
      </c>
      <c r="G3282" t="s">
        <v>145</v>
      </c>
      <c r="H3282" t="s">
        <v>24</v>
      </c>
      <c r="I3282" t="e">
        <f t="shared" ca="1" si="256"/>
        <v>#REF!</v>
      </c>
      <c r="J3282" t="str">
        <f>VLOOKUP($G3282,DefinitionArrays!$I$6:$J$12,2,FALSE)</f>
        <v>Weekend</v>
      </c>
    </row>
    <row r="3283" spans="1:10">
      <c r="A3283" s="159" t="str">
        <f t="shared" si="257"/>
        <v>$N$1:$N$92</v>
      </c>
      <c r="B3283" s="159" t="str">
        <f t="shared" si="258"/>
        <v>$O$1:$O$92</v>
      </c>
      <c r="C3283" s="159" t="str">
        <f t="shared" si="259"/>
        <v>May!$N$1:$N$92</v>
      </c>
      <c r="D3283" s="159" t="str">
        <f t="shared" si="260"/>
        <v>May!$O$1:$O$92</v>
      </c>
      <c r="E3283" t="s">
        <v>7</v>
      </c>
      <c r="F3283" t="s">
        <v>124</v>
      </c>
      <c r="G3283" t="s">
        <v>145</v>
      </c>
      <c r="H3283" t="s">
        <v>179</v>
      </c>
      <c r="I3283" t="e">
        <f t="shared" ca="1" si="256"/>
        <v>#REF!</v>
      </c>
      <c r="J3283" t="str">
        <f>VLOOKUP($G3283,DefinitionArrays!$I$6:$J$12,2,FALSE)</f>
        <v>Weekend</v>
      </c>
    </row>
    <row r="3284" spans="1:10">
      <c r="A3284" s="159" t="str">
        <f t="shared" si="257"/>
        <v>$N$1:$N$92</v>
      </c>
      <c r="B3284" s="159" t="str">
        <f t="shared" si="258"/>
        <v>$O$1:$O$92</v>
      </c>
      <c r="C3284" s="159" t="str">
        <f t="shared" si="259"/>
        <v>May!$N$1:$N$92</v>
      </c>
      <c r="D3284" s="159" t="str">
        <f t="shared" si="260"/>
        <v>May!$O$1:$O$92</v>
      </c>
      <c r="E3284" t="s">
        <v>7</v>
      </c>
      <c r="F3284" t="s">
        <v>124</v>
      </c>
      <c r="G3284" t="s">
        <v>145</v>
      </c>
      <c r="H3284" t="s">
        <v>180</v>
      </c>
      <c r="I3284" t="e">
        <f t="shared" ca="1" si="256"/>
        <v>#REF!</v>
      </c>
      <c r="J3284" t="str">
        <f>VLOOKUP($G3284,DefinitionArrays!$I$6:$J$12,2,FALSE)</f>
        <v>Weekend</v>
      </c>
    </row>
    <row r="3285" spans="1:10">
      <c r="A3285" s="159" t="str">
        <f t="shared" si="257"/>
        <v>$N$1:$N$92</v>
      </c>
      <c r="B3285" s="159" t="str">
        <f t="shared" si="258"/>
        <v>$O$1:$O$92</v>
      </c>
      <c r="C3285" s="159" t="str">
        <f t="shared" si="259"/>
        <v>May!$N$1:$N$92</v>
      </c>
      <c r="D3285" s="159" t="str">
        <f t="shared" si="260"/>
        <v>May!$O$1:$O$92</v>
      </c>
      <c r="E3285" t="s">
        <v>7</v>
      </c>
      <c r="F3285" t="s">
        <v>124</v>
      </c>
      <c r="G3285" t="s">
        <v>145</v>
      </c>
      <c r="H3285" t="s">
        <v>44</v>
      </c>
      <c r="I3285" t="e">
        <f t="shared" ca="1" si="256"/>
        <v>#REF!</v>
      </c>
      <c r="J3285" t="str">
        <f>VLOOKUP($G3285,DefinitionArrays!$I$6:$J$12,2,FALSE)</f>
        <v>Weekend</v>
      </c>
    </row>
    <row r="3286" spans="1:10">
      <c r="A3286" s="159" t="str">
        <f t="shared" si="257"/>
        <v>$Q$1:$Q$92</v>
      </c>
      <c r="B3286" s="159" t="str">
        <f t="shared" si="258"/>
        <v>$R$1:$R$92</v>
      </c>
      <c r="C3286" s="159" t="str">
        <f t="shared" si="259"/>
        <v>May!$Q$1:$Q$92</v>
      </c>
      <c r="D3286" s="159" t="str">
        <f t="shared" si="260"/>
        <v>May!$R$1:$R$92</v>
      </c>
      <c r="E3286" t="s">
        <v>7</v>
      </c>
      <c r="F3286" t="s">
        <v>124</v>
      </c>
      <c r="G3286" t="s">
        <v>146</v>
      </c>
      <c r="H3286" t="s">
        <v>159</v>
      </c>
      <c r="I3286" t="e">
        <f t="shared" ca="1" si="256"/>
        <v>#REF!</v>
      </c>
      <c r="J3286" t="str">
        <f>VLOOKUP($G3286,DefinitionArrays!$I$6:$J$12,2,FALSE)</f>
        <v>Weekend</v>
      </c>
    </row>
    <row r="3287" spans="1:10">
      <c r="A3287" s="159" t="str">
        <f t="shared" si="257"/>
        <v>$T$1:$T$92</v>
      </c>
      <c r="B3287" s="159" t="str">
        <f t="shared" si="258"/>
        <v>$U$1:$U$92</v>
      </c>
      <c r="C3287" s="159" t="str">
        <f t="shared" si="259"/>
        <v>May!$T$1:$T$92</v>
      </c>
      <c r="D3287" s="159" t="str">
        <f t="shared" si="260"/>
        <v>May!$U$1:$U$92</v>
      </c>
      <c r="E3287" t="s">
        <v>7</v>
      </c>
      <c r="F3287" t="s">
        <v>124</v>
      </c>
      <c r="G3287" t="s">
        <v>141</v>
      </c>
      <c r="H3287" t="s">
        <v>159</v>
      </c>
      <c r="I3287" t="e">
        <f t="shared" ca="1" si="256"/>
        <v>#REF!</v>
      </c>
      <c r="J3287" t="str">
        <f>VLOOKUP($G3287,DefinitionArrays!$I$6:$J$12,2,FALSE)</f>
        <v>Weekend</v>
      </c>
    </row>
    <row r="3288" spans="1:10">
      <c r="A3288" s="159" t="str">
        <f t="shared" si="257"/>
        <v>$B$1:$B$92</v>
      </c>
      <c r="B3288" s="159" t="str">
        <f t="shared" si="258"/>
        <v>$C$1:$C$92</v>
      </c>
      <c r="C3288" s="159" t="str">
        <f t="shared" si="259"/>
        <v>June!$B$1:$B$92</v>
      </c>
      <c r="D3288" s="159" t="str">
        <f t="shared" si="260"/>
        <v>June!$C$1:$C$92</v>
      </c>
      <c r="E3288" t="s">
        <v>7</v>
      </c>
      <c r="F3288" t="s">
        <v>125</v>
      </c>
      <c r="G3288" t="s">
        <v>13</v>
      </c>
      <c r="H3288" t="s">
        <v>159</v>
      </c>
      <c r="I3288" t="e">
        <f ca="1">COUNTIFS(INDIRECT($C3288),$E3288,INDIRECT($D3288),$H3288)</f>
        <v>#REF!</v>
      </c>
      <c r="J3288" t="str">
        <f>VLOOKUP($G3288,DefinitionArrays!$I$6:$J$12,2,FALSE)</f>
        <v>Workweek</v>
      </c>
    </row>
    <row r="3289" spans="1:10">
      <c r="A3289" s="159" t="str">
        <f t="shared" si="257"/>
        <v>$B$1:$B$92</v>
      </c>
      <c r="B3289" s="159" t="str">
        <f t="shared" si="258"/>
        <v>$C$1:$C$92</v>
      </c>
      <c r="C3289" s="159" t="str">
        <f t="shared" si="259"/>
        <v>June!$B$1:$B$92</v>
      </c>
      <c r="D3289" s="159" t="str">
        <f t="shared" si="260"/>
        <v>June!$C$1:$C$92</v>
      </c>
      <c r="E3289" t="s">
        <v>7</v>
      </c>
      <c r="F3289" t="s">
        <v>125</v>
      </c>
      <c r="G3289" t="s">
        <v>13</v>
      </c>
      <c r="H3289" t="s">
        <v>18</v>
      </c>
      <c r="I3289" t="e">
        <f t="shared" ref="I3289:I3349" ca="1" si="261">COUNTIFS(INDIRECT($C3289),$E3289,INDIRECT($D3289),$H3289)</f>
        <v>#REF!</v>
      </c>
      <c r="J3289" t="str">
        <f>VLOOKUP($G3289,DefinitionArrays!$I$6:$J$12,2,FALSE)</f>
        <v>Workweek</v>
      </c>
    </row>
    <row r="3290" spans="1:10">
      <c r="A3290" s="159" t="str">
        <f t="shared" si="257"/>
        <v>$B$1:$B$92</v>
      </c>
      <c r="B3290" s="159" t="str">
        <f t="shared" si="258"/>
        <v>$C$1:$C$92</v>
      </c>
      <c r="C3290" s="159" t="str">
        <f t="shared" si="259"/>
        <v>June!$B$1:$B$92</v>
      </c>
      <c r="D3290" s="159" t="str">
        <f t="shared" si="260"/>
        <v>June!$C$1:$C$92</v>
      </c>
      <c r="E3290" t="s">
        <v>7</v>
      </c>
      <c r="F3290" t="s">
        <v>125</v>
      </c>
      <c r="G3290" t="s">
        <v>13</v>
      </c>
      <c r="H3290" t="s">
        <v>153</v>
      </c>
      <c r="I3290" t="e">
        <f t="shared" ca="1" si="261"/>
        <v>#REF!</v>
      </c>
      <c r="J3290" t="str">
        <f>VLOOKUP($G3290,DefinitionArrays!$I$6:$J$12,2,FALSE)</f>
        <v>Workweek</v>
      </c>
    </row>
    <row r="3291" spans="1:10">
      <c r="A3291" s="159" t="str">
        <f t="shared" si="257"/>
        <v>$B$1:$B$92</v>
      </c>
      <c r="B3291" s="159" t="str">
        <f t="shared" si="258"/>
        <v>$C$1:$C$92</v>
      </c>
      <c r="C3291" s="159" t="str">
        <f t="shared" si="259"/>
        <v>June!$B$1:$B$92</v>
      </c>
      <c r="D3291" s="159" t="str">
        <f t="shared" si="260"/>
        <v>June!$C$1:$C$92</v>
      </c>
      <c r="E3291" t="s">
        <v>7</v>
      </c>
      <c r="F3291" t="s">
        <v>125</v>
      </c>
      <c r="G3291" t="s">
        <v>13</v>
      </c>
      <c r="H3291" t="s">
        <v>19</v>
      </c>
      <c r="I3291" t="e">
        <f t="shared" ca="1" si="261"/>
        <v>#REF!</v>
      </c>
      <c r="J3291" t="str">
        <f>VLOOKUP($G3291,DefinitionArrays!$I$6:$J$12,2,FALSE)</f>
        <v>Workweek</v>
      </c>
    </row>
    <row r="3292" spans="1:10">
      <c r="A3292" s="159" t="str">
        <f t="shared" si="257"/>
        <v>$B$1:$B$92</v>
      </c>
      <c r="B3292" s="159" t="str">
        <f t="shared" si="258"/>
        <v>$C$1:$C$92</v>
      </c>
      <c r="C3292" s="159" t="str">
        <f t="shared" si="259"/>
        <v>June!$B$1:$B$92</v>
      </c>
      <c r="D3292" s="159" t="str">
        <f t="shared" si="260"/>
        <v>June!$C$1:$C$92</v>
      </c>
      <c r="E3292" t="s">
        <v>7</v>
      </c>
      <c r="F3292" t="s">
        <v>125</v>
      </c>
      <c r="G3292" t="s">
        <v>13</v>
      </c>
      <c r="H3292" t="s">
        <v>20</v>
      </c>
      <c r="I3292" t="e">
        <f t="shared" ca="1" si="261"/>
        <v>#REF!</v>
      </c>
      <c r="J3292" t="str">
        <f>VLOOKUP($G3292,DefinitionArrays!$I$6:$J$12,2,FALSE)</f>
        <v>Workweek</v>
      </c>
    </row>
    <row r="3293" spans="1:10">
      <c r="A3293" s="159" t="str">
        <f t="shared" si="257"/>
        <v>$B$1:$B$92</v>
      </c>
      <c r="B3293" s="159" t="str">
        <f t="shared" si="258"/>
        <v>$C$1:$C$92</v>
      </c>
      <c r="C3293" s="159" t="str">
        <f t="shared" si="259"/>
        <v>June!$B$1:$B$92</v>
      </c>
      <c r="D3293" s="159" t="str">
        <f t="shared" si="260"/>
        <v>June!$C$1:$C$92</v>
      </c>
      <c r="E3293" t="s">
        <v>7</v>
      </c>
      <c r="F3293" t="s">
        <v>125</v>
      </c>
      <c r="G3293" t="s">
        <v>13</v>
      </c>
      <c r="H3293" t="s">
        <v>21</v>
      </c>
      <c r="I3293" t="e">
        <f t="shared" ca="1" si="261"/>
        <v>#REF!</v>
      </c>
      <c r="J3293" t="str">
        <f>VLOOKUP($G3293,DefinitionArrays!$I$6:$J$12,2,FALSE)</f>
        <v>Workweek</v>
      </c>
    </row>
    <row r="3294" spans="1:10">
      <c r="A3294" s="159" t="str">
        <f t="shared" si="257"/>
        <v>$B$1:$B$92</v>
      </c>
      <c r="B3294" s="159" t="str">
        <f t="shared" si="258"/>
        <v>$C$1:$C$92</v>
      </c>
      <c r="C3294" s="159" t="str">
        <f t="shared" si="259"/>
        <v>June!$B$1:$B$92</v>
      </c>
      <c r="D3294" s="159" t="str">
        <f t="shared" si="260"/>
        <v>June!$C$1:$C$92</v>
      </c>
      <c r="E3294" t="s">
        <v>7</v>
      </c>
      <c r="F3294" t="s">
        <v>125</v>
      </c>
      <c r="G3294" t="s">
        <v>13</v>
      </c>
      <c r="H3294" t="s">
        <v>22</v>
      </c>
      <c r="I3294" t="e">
        <f t="shared" ca="1" si="261"/>
        <v>#REF!</v>
      </c>
      <c r="J3294" t="str">
        <f>VLOOKUP($G3294,DefinitionArrays!$I$6:$J$12,2,FALSE)</f>
        <v>Workweek</v>
      </c>
    </row>
    <row r="3295" spans="1:10">
      <c r="A3295" s="159" t="str">
        <f t="shared" si="257"/>
        <v>$B$1:$B$92</v>
      </c>
      <c r="B3295" s="159" t="str">
        <f t="shared" si="258"/>
        <v>$C$1:$C$92</v>
      </c>
      <c r="C3295" s="159" t="str">
        <f t="shared" si="259"/>
        <v>June!$B$1:$B$92</v>
      </c>
      <c r="D3295" s="159" t="str">
        <f t="shared" si="260"/>
        <v>June!$C$1:$C$92</v>
      </c>
      <c r="E3295" t="s">
        <v>7</v>
      </c>
      <c r="F3295" t="s">
        <v>125</v>
      </c>
      <c r="G3295" t="s">
        <v>13</v>
      </c>
      <c r="H3295" t="s">
        <v>23</v>
      </c>
      <c r="I3295" t="e">
        <f t="shared" ca="1" si="261"/>
        <v>#REF!</v>
      </c>
      <c r="J3295" t="str">
        <f>VLOOKUP($G3295,DefinitionArrays!$I$6:$J$12,2,FALSE)</f>
        <v>Workweek</v>
      </c>
    </row>
    <row r="3296" spans="1:10">
      <c r="A3296" s="159" t="str">
        <f t="shared" si="257"/>
        <v>$B$1:$B$92</v>
      </c>
      <c r="B3296" s="159" t="str">
        <f t="shared" si="258"/>
        <v>$C$1:$C$92</v>
      </c>
      <c r="C3296" s="159" t="str">
        <f t="shared" si="259"/>
        <v>June!$B$1:$B$92</v>
      </c>
      <c r="D3296" s="159" t="str">
        <f t="shared" si="260"/>
        <v>June!$C$1:$C$92</v>
      </c>
      <c r="E3296" t="s">
        <v>7</v>
      </c>
      <c r="F3296" t="s">
        <v>125</v>
      </c>
      <c r="G3296" t="s">
        <v>13</v>
      </c>
      <c r="H3296" t="s">
        <v>24</v>
      </c>
      <c r="I3296" t="e">
        <f t="shared" ca="1" si="261"/>
        <v>#REF!</v>
      </c>
      <c r="J3296" t="str">
        <f>VLOOKUP($G3296,DefinitionArrays!$I$6:$J$12,2,FALSE)</f>
        <v>Workweek</v>
      </c>
    </row>
    <row r="3297" spans="1:10">
      <c r="A3297" s="159" t="str">
        <f t="shared" si="257"/>
        <v>$B$1:$B$92</v>
      </c>
      <c r="B3297" s="159" t="str">
        <f t="shared" si="258"/>
        <v>$C$1:$C$92</v>
      </c>
      <c r="C3297" s="159" t="str">
        <f t="shared" si="259"/>
        <v>June!$B$1:$B$92</v>
      </c>
      <c r="D3297" s="159" t="str">
        <f t="shared" si="260"/>
        <v>June!$C$1:$C$92</v>
      </c>
      <c r="E3297" t="s">
        <v>7</v>
      </c>
      <c r="F3297" t="s">
        <v>125</v>
      </c>
      <c r="G3297" t="s">
        <v>13</v>
      </c>
      <c r="H3297" t="s">
        <v>179</v>
      </c>
      <c r="I3297" t="e">
        <f t="shared" ca="1" si="261"/>
        <v>#REF!</v>
      </c>
      <c r="J3297" t="str">
        <f>VLOOKUP($G3297,DefinitionArrays!$I$6:$J$12,2,FALSE)</f>
        <v>Workweek</v>
      </c>
    </row>
    <row r="3298" spans="1:10">
      <c r="A3298" s="159" t="str">
        <f t="shared" si="257"/>
        <v>$B$1:$B$92</v>
      </c>
      <c r="B3298" s="159" t="str">
        <f t="shared" si="258"/>
        <v>$C$1:$C$92</v>
      </c>
      <c r="C3298" s="159" t="str">
        <f t="shared" si="259"/>
        <v>June!$B$1:$B$92</v>
      </c>
      <c r="D3298" s="159" t="str">
        <f t="shared" si="260"/>
        <v>June!$C$1:$C$92</v>
      </c>
      <c r="E3298" t="s">
        <v>7</v>
      </c>
      <c r="F3298" t="s">
        <v>125</v>
      </c>
      <c r="G3298" t="s">
        <v>13</v>
      </c>
      <c r="H3298" t="s">
        <v>180</v>
      </c>
      <c r="I3298" t="e">
        <f t="shared" ca="1" si="261"/>
        <v>#REF!</v>
      </c>
      <c r="J3298" t="str">
        <f>VLOOKUP($G3298,DefinitionArrays!$I$6:$J$12,2,FALSE)</f>
        <v>Workweek</v>
      </c>
    </row>
    <row r="3299" spans="1:10">
      <c r="A3299" s="159" t="str">
        <f t="shared" si="257"/>
        <v>$B$1:$B$92</v>
      </c>
      <c r="B3299" s="159" t="str">
        <f t="shared" si="258"/>
        <v>$C$1:$C$92</v>
      </c>
      <c r="C3299" s="159" t="str">
        <f t="shared" si="259"/>
        <v>June!$B$1:$B$92</v>
      </c>
      <c r="D3299" s="159" t="str">
        <f t="shared" si="260"/>
        <v>June!$C$1:$C$92</v>
      </c>
      <c r="E3299" t="s">
        <v>7</v>
      </c>
      <c r="F3299" t="s">
        <v>125</v>
      </c>
      <c r="G3299" t="s">
        <v>13</v>
      </c>
      <c r="H3299" t="s">
        <v>44</v>
      </c>
      <c r="I3299" t="e">
        <f t="shared" ca="1" si="261"/>
        <v>#REF!</v>
      </c>
      <c r="J3299" t="str">
        <f>VLOOKUP($G3299,DefinitionArrays!$I$6:$J$12,2,FALSE)</f>
        <v>Workweek</v>
      </c>
    </row>
    <row r="3300" spans="1:10">
      <c r="A3300" s="159" t="str">
        <f t="shared" si="257"/>
        <v>$E$1:$E$92</v>
      </c>
      <c r="B3300" s="159" t="str">
        <f t="shared" si="258"/>
        <v>$F$1:$F$92</v>
      </c>
      <c r="C3300" s="159" t="str">
        <f t="shared" si="259"/>
        <v>June!$E$1:$E$92</v>
      </c>
      <c r="D3300" s="159" t="str">
        <f t="shared" si="260"/>
        <v>June!$F$1:$F$92</v>
      </c>
      <c r="E3300" t="s">
        <v>7</v>
      </c>
      <c r="F3300" t="s">
        <v>125</v>
      </c>
      <c r="G3300" t="s">
        <v>142</v>
      </c>
      <c r="H3300" t="s">
        <v>159</v>
      </c>
      <c r="I3300" t="e">
        <f t="shared" ca="1" si="261"/>
        <v>#REF!</v>
      </c>
      <c r="J3300" t="str">
        <f>VLOOKUP($G3300,DefinitionArrays!$I$6:$J$12,2,FALSE)</f>
        <v>Workweek</v>
      </c>
    </row>
    <row r="3301" spans="1:10">
      <c r="A3301" s="159" t="str">
        <f t="shared" si="257"/>
        <v>$E$1:$E$92</v>
      </c>
      <c r="B3301" s="159" t="str">
        <f t="shared" si="258"/>
        <v>$F$1:$F$92</v>
      </c>
      <c r="C3301" s="159" t="str">
        <f t="shared" si="259"/>
        <v>June!$E$1:$E$92</v>
      </c>
      <c r="D3301" s="159" t="str">
        <f t="shared" si="260"/>
        <v>June!$F$1:$F$92</v>
      </c>
      <c r="E3301" t="s">
        <v>7</v>
      </c>
      <c r="F3301" t="s">
        <v>125</v>
      </c>
      <c r="G3301" t="s">
        <v>142</v>
      </c>
      <c r="H3301" t="s">
        <v>18</v>
      </c>
      <c r="I3301" t="e">
        <f t="shared" ca="1" si="261"/>
        <v>#REF!</v>
      </c>
      <c r="J3301" t="str">
        <f>VLOOKUP($G3301,DefinitionArrays!$I$6:$J$12,2,FALSE)</f>
        <v>Workweek</v>
      </c>
    </row>
    <row r="3302" spans="1:10">
      <c r="A3302" s="159" t="str">
        <f t="shared" si="257"/>
        <v>$E$1:$E$92</v>
      </c>
      <c r="B3302" s="159" t="str">
        <f t="shared" si="258"/>
        <v>$F$1:$F$92</v>
      </c>
      <c r="C3302" s="159" t="str">
        <f t="shared" si="259"/>
        <v>June!$E$1:$E$92</v>
      </c>
      <c r="D3302" s="159" t="str">
        <f t="shared" si="260"/>
        <v>June!$F$1:$F$92</v>
      </c>
      <c r="E3302" t="s">
        <v>7</v>
      </c>
      <c r="F3302" t="s">
        <v>125</v>
      </c>
      <c r="G3302" t="s">
        <v>142</v>
      </c>
      <c r="H3302" t="s">
        <v>153</v>
      </c>
      <c r="I3302" t="e">
        <f t="shared" ca="1" si="261"/>
        <v>#REF!</v>
      </c>
      <c r="J3302" t="str">
        <f>VLOOKUP($G3302,DefinitionArrays!$I$6:$J$12,2,FALSE)</f>
        <v>Workweek</v>
      </c>
    </row>
    <row r="3303" spans="1:10">
      <c r="A3303" s="159" t="str">
        <f t="shared" si="257"/>
        <v>$E$1:$E$92</v>
      </c>
      <c r="B3303" s="159" t="str">
        <f t="shared" si="258"/>
        <v>$F$1:$F$92</v>
      </c>
      <c r="C3303" s="159" t="str">
        <f t="shared" si="259"/>
        <v>June!$E$1:$E$92</v>
      </c>
      <c r="D3303" s="159" t="str">
        <f t="shared" si="260"/>
        <v>June!$F$1:$F$92</v>
      </c>
      <c r="E3303" t="s">
        <v>7</v>
      </c>
      <c r="F3303" t="s">
        <v>125</v>
      </c>
      <c r="G3303" t="s">
        <v>142</v>
      </c>
      <c r="H3303" t="s">
        <v>19</v>
      </c>
      <c r="I3303" t="e">
        <f t="shared" ca="1" si="261"/>
        <v>#REF!</v>
      </c>
      <c r="J3303" t="str">
        <f>VLOOKUP($G3303,DefinitionArrays!$I$6:$J$12,2,FALSE)</f>
        <v>Workweek</v>
      </c>
    </row>
    <row r="3304" spans="1:10">
      <c r="A3304" s="159" t="str">
        <f t="shared" si="257"/>
        <v>$E$1:$E$92</v>
      </c>
      <c r="B3304" s="159" t="str">
        <f t="shared" si="258"/>
        <v>$F$1:$F$92</v>
      </c>
      <c r="C3304" s="159" t="str">
        <f t="shared" si="259"/>
        <v>June!$E$1:$E$92</v>
      </c>
      <c r="D3304" s="159" t="str">
        <f t="shared" si="260"/>
        <v>June!$F$1:$F$92</v>
      </c>
      <c r="E3304" t="s">
        <v>7</v>
      </c>
      <c r="F3304" t="s">
        <v>125</v>
      </c>
      <c r="G3304" t="s">
        <v>142</v>
      </c>
      <c r="H3304" t="s">
        <v>20</v>
      </c>
      <c r="I3304" t="e">
        <f t="shared" ca="1" si="261"/>
        <v>#REF!</v>
      </c>
      <c r="J3304" t="str">
        <f>VLOOKUP($G3304,DefinitionArrays!$I$6:$J$12,2,FALSE)</f>
        <v>Workweek</v>
      </c>
    </row>
    <row r="3305" spans="1:10">
      <c r="A3305" s="159" t="str">
        <f t="shared" si="257"/>
        <v>$E$1:$E$92</v>
      </c>
      <c r="B3305" s="159" t="str">
        <f t="shared" si="258"/>
        <v>$F$1:$F$92</v>
      </c>
      <c r="C3305" s="159" t="str">
        <f t="shared" si="259"/>
        <v>June!$E$1:$E$92</v>
      </c>
      <c r="D3305" s="159" t="str">
        <f t="shared" si="260"/>
        <v>June!$F$1:$F$92</v>
      </c>
      <c r="E3305" t="s">
        <v>7</v>
      </c>
      <c r="F3305" t="s">
        <v>125</v>
      </c>
      <c r="G3305" t="s">
        <v>142</v>
      </c>
      <c r="H3305" t="s">
        <v>21</v>
      </c>
      <c r="I3305" t="e">
        <f t="shared" ca="1" si="261"/>
        <v>#REF!</v>
      </c>
      <c r="J3305" t="str">
        <f>VLOOKUP($G3305,DefinitionArrays!$I$6:$J$12,2,FALSE)</f>
        <v>Workweek</v>
      </c>
    </row>
    <row r="3306" spans="1:10">
      <c r="A3306" s="159" t="str">
        <f t="shared" si="257"/>
        <v>$E$1:$E$92</v>
      </c>
      <c r="B3306" s="159" t="str">
        <f t="shared" si="258"/>
        <v>$F$1:$F$92</v>
      </c>
      <c r="C3306" s="159" t="str">
        <f t="shared" si="259"/>
        <v>June!$E$1:$E$92</v>
      </c>
      <c r="D3306" s="159" t="str">
        <f t="shared" si="260"/>
        <v>June!$F$1:$F$92</v>
      </c>
      <c r="E3306" t="s">
        <v>7</v>
      </c>
      <c r="F3306" t="s">
        <v>125</v>
      </c>
      <c r="G3306" t="s">
        <v>142</v>
      </c>
      <c r="H3306" t="s">
        <v>22</v>
      </c>
      <c r="I3306" t="e">
        <f t="shared" ca="1" si="261"/>
        <v>#REF!</v>
      </c>
      <c r="J3306" t="str">
        <f>VLOOKUP($G3306,DefinitionArrays!$I$6:$J$12,2,FALSE)</f>
        <v>Workweek</v>
      </c>
    </row>
    <row r="3307" spans="1:10">
      <c r="A3307" s="159" t="str">
        <f t="shared" si="257"/>
        <v>$E$1:$E$92</v>
      </c>
      <c r="B3307" s="159" t="str">
        <f t="shared" si="258"/>
        <v>$F$1:$F$92</v>
      </c>
      <c r="C3307" s="159" t="str">
        <f t="shared" si="259"/>
        <v>June!$E$1:$E$92</v>
      </c>
      <c r="D3307" s="159" t="str">
        <f t="shared" si="260"/>
        <v>June!$F$1:$F$92</v>
      </c>
      <c r="E3307" t="s">
        <v>7</v>
      </c>
      <c r="F3307" t="s">
        <v>125</v>
      </c>
      <c r="G3307" t="s">
        <v>142</v>
      </c>
      <c r="H3307" t="s">
        <v>23</v>
      </c>
      <c r="I3307" t="e">
        <f t="shared" ca="1" si="261"/>
        <v>#REF!</v>
      </c>
      <c r="J3307" t="str">
        <f>VLOOKUP($G3307,DefinitionArrays!$I$6:$J$12,2,FALSE)</f>
        <v>Workweek</v>
      </c>
    </row>
    <row r="3308" spans="1:10">
      <c r="A3308" s="159" t="str">
        <f t="shared" si="257"/>
        <v>$E$1:$E$92</v>
      </c>
      <c r="B3308" s="159" t="str">
        <f t="shared" si="258"/>
        <v>$F$1:$F$92</v>
      </c>
      <c r="C3308" s="159" t="str">
        <f t="shared" si="259"/>
        <v>June!$E$1:$E$92</v>
      </c>
      <c r="D3308" s="159" t="str">
        <f t="shared" si="260"/>
        <v>June!$F$1:$F$92</v>
      </c>
      <c r="E3308" t="s">
        <v>7</v>
      </c>
      <c r="F3308" t="s">
        <v>125</v>
      </c>
      <c r="G3308" t="s">
        <v>142</v>
      </c>
      <c r="H3308" t="s">
        <v>24</v>
      </c>
      <c r="I3308" t="e">
        <f t="shared" ca="1" si="261"/>
        <v>#REF!</v>
      </c>
      <c r="J3308" t="str">
        <f>VLOOKUP($G3308,DefinitionArrays!$I$6:$J$12,2,FALSE)</f>
        <v>Workweek</v>
      </c>
    </row>
    <row r="3309" spans="1:10">
      <c r="A3309" s="159" t="str">
        <f t="shared" si="257"/>
        <v>$E$1:$E$92</v>
      </c>
      <c r="B3309" s="159" t="str">
        <f t="shared" si="258"/>
        <v>$F$1:$F$92</v>
      </c>
      <c r="C3309" s="159" t="str">
        <f t="shared" si="259"/>
        <v>June!$E$1:$E$92</v>
      </c>
      <c r="D3309" s="159" t="str">
        <f t="shared" si="260"/>
        <v>June!$F$1:$F$92</v>
      </c>
      <c r="E3309" t="s">
        <v>7</v>
      </c>
      <c r="F3309" t="s">
        <v>125</v>
      </c>
      <c r="G3309" t="s">
        <v>142</v>
      </c>
      <c r="H3309" t="s">
        <v>179</v>
      </c>
      <c r="I3309" t="e">
        <f t="shared" ca="1" si="261"/>
        <v>#REF!</v>
      </c>
      <c r="J3309" t="str">
        <f>VLOOKUP($G3309,DefinitionArrays!$I$6:$J$12,2,FALSE)</f>
        <v>Workweek</v>
      </c>
    </row>
    <row r="3310" spans="1:10">
      <c r="A3310" s="159" t="str">
        <f t="shared" si="257"/>
        <v>$E$1:$E$92</v>
      </c>
      <c r="B3310" s="159" t="str">
        <f t="shared" si="258"/>
        <v>$F$1:$F$92</v>
      </c>
      <c r="C3310" s="159" t="str">
        <f t="shared" si="259"/>
        <v>June!$E$1:$E$92</v>
      </c>
      <c r="D3310" s="159" t="str">
        <f t="shared" si="260"/>
        <v>June!$F$1:$F$92</v>
      </c>
      <c r="E3310" t="s">
        <v>7</v>
      </c>
      <c r="F3310" t="s">
        <v>125</v>
      </c>
      <c r="G3310" t="s">
        <v>142</v>
      </c>
      <c r="H3310" t="s">
        <v>180</v>
      </c>
      <c r="I3310" t="e">
        <f t="shared" ca="1" si="261"/>
        <v>#REF!</v>
      </c>
      <c r="J3310" t="str">
        <f>VLOOKUP($G3310,DefinitionArrays!$I$6:$J$12,2,FALSE)</f>
        <v>Workweek</v>
      </c>
    </row>
    <row r="3311" spans="1:10">
      <c r="A3311" s="159" t="str">
        <f t="shared" si="257"/>
        <v>$E$1:$E$92</v>
      </c>
      <c r="B3311" s="159" t="str">
        <f t="shared" si="258"/>
        <v>$F$1:$F$92</v>
      </c>
      <c r="C3311" s="159" t="str">
        <f t="shared" si="259"/>
        <v>June!$E$1:$E$92</v>
      </c>
      <c r="D3311" s="159" t="str">
        <f t="shared" si="260"/>
        <v>June!$F$1:$F$92</v>
      </c>
      <c r="E3311" t="s">
        <v>7</v>
      </c>
      <c r="F3311" t="s">
        <v>125</v>
      </c>
      <c r="G3311" t="s">
        <v>142</v>
      </c>
      <c r="H3311" t="s">
        <v>44</v>
      </c>
      <c r="I3311" t="e">
        <f t="shared" ca="1" si="261"/>
        <v>#REF!</v>
      </c>
      <c r="J3311" t="str">
        <f>VLOOKUP($G3311,DefinitionArrays!$I$6:$J$12,2,FALSE)</f>
        <v>Workweek</v>
      </c>
    </row>
    <row r="3312" spans="1:10">
      <c r="A3312" s="159" t="str">
        <f t="shared" si="257"/>
        <v>$H$1:$H$92</v>
      </c>
      <c r="B3312" s="159" t="str">
        <f t="shared" si="258"/>
        <v>$I$1:$I$92</v>
      </c>
      <c r="C3312" s="159" t="str">
        <f t="shared" si="259"/>
        <v>June!$H$1:$H$92</v>
      </c>
      <c r="D3312" s="159" t="str">
        <f t="shared" si="260"/>
        <v>June!$I$1:$I$92</v>
      </c>
      <c r="E3312" t="s">
        <v>7</v>
      </c>
      <c r="F3312" t="s">
        <v>125</v>
      </c>
      <c r="G3312" t="s">
        <v>143</v>
      </c>
      <c r="H3312" t="s">
        <v>159</v>
      </c>
      <c r="I3312" t="e">
        <f t="shared" ca="1" si="261"/>
        <v>#REF!</v>
      </c>
      <c r="J3312" t="str">
        <f>VLOOKUP($G3312,DefinitionArrays!$I$6:$J$12,2,FALSE)</f>
        <v>Workweek</v>
      </c>
    </row>
    <row r="3313" spans="1:10">
      <c r="A3313" s="159" t="str">
        <f t="shared" si="257"/>
        <v>$H$1:$H$92</v>
      </c>
      <c r="B3313" s="159" t="str">
        <f t="shared" si="258"/>
        <v>$I$1:$I$92</v>
      </c>
      <c r="C3313" s="159" t="str">
        <f t="shared" si="259"/>
        <v>June!$H$1:$H$92</v>
      </c>
      <c r="D3313" s="159" t="str">
        <f t="shared" si="260"/>
        <v>June!$I$1:$I$92</v>
      </c>
      <c r="E3313" t="s">
        <v>7</v>
      </c>
      <c r="F3313" t="s">
        <v>125</v>
      </c>
      <c r="G3313" t="s">
        <v>143</v>
      </c>
      <c r="H3313" t="s">
        <v>18</v>
      </c>
      <c r="I3313" t="e">
        <f t="shared" ca="1" si="261"/>
        <v>#REF!</v>
      </c>
      <c r="J3313" t="str">
        <f>VLOOKUP($G3313,DefinitionArrays!$I$6:$J$12,2,FALSE)</f>
        <v>Workweek</v>
      </c>
    </row>
    <row r="3314" spans="1:10">
      <c r="A3314" s="159" t="str">
        <f t="shared" si="257"/>
        <v>$H$1:$H$92</v>
      </c>
      <c r="B3314" s="159" t="str">
        <f t="shared" si="258"/>
        <v>$I$1:$I$92</v>
      </c>
      <c r="C3314" s="159" t="str">
        <f t="shared" si="259"/>
        <v>June!$H$1:$H$92</v>
      </c>
      <c r="D3314" s="159" t="str">
        <f t="shared" si="260"/>
        <v>June!$I$1:$I$92</v>
      </c>
      <c r="E3314" t="s">
        <v>7</v>
      </c>
      <c r="F3314" t="s">
        <v>125</v>
      </c>
      <c r="G3314" t="s">
        <v>143</v>
      </c>
      <c r="H3314" t="s">
        <v>153</v>
      </c>
      <c r="I3314" t="e">
        <f t="shared" ca="1" si="261"/>
        <v>#REF!</v>
      </c>
      <c r="J3314" t="str">
        <f>VLOOKUP($G3314,DefinitionArrays!$I$6:$J$12,2,FALSE)</f>
        <v>Workweek</v>
      </c>
    </row>
    <row r="3315" spans="1:10">
      <c r="A3315" s="159" t="str">
        <f t="shared" si="257"/>
        <v>$H$1:$H$92</v>
      </c>
      <c r="B3315" s="159" t="str">
        <f t="shared" si="258"/>
        <v>$I$1:$I$92</v>
      </c>
      <c r="C3315" s="159" t="str">
        <f t="shared" si="259"/>
        <v>June!$H$1:$H$92</v>
      </c>
      <c r="D3315" s="159" t="str">
        <f t="shared" si="260"/>
        <v>June!$I$1:$I$92</v>
      </c>
      <c r="E3315" t="s">
        <v>7</v>
      </c>
      <c r="F3315" t="s">
        <v>125</v>
      </c>
      <c r="G3315" t="s">
        <v>143</v>
      </c>
      <c r="H3315" t="s">
        <v>19</v>
      </c>
      <c r="I3315" t="e">
        <f t="shared" ca="1" si="261"/>
        <v>#REF!</v>
      </c>
      <c r="J3315" t="str">
        <f>VLOOKUP($G3315,DefinitionArrays!$I$6:$J$12,2,FALSE)</f>
        <v>Workweek</v>
      </c>
    </row>
    <row r="3316" spans="1:10">
      <c r="A3316" s="159" t="str">
        <f t="shared" si="257"/>
        <v>$H$1:$H$92</v>
      </c>
      <c r="B3316" s="159" t="str">
        <f t="shared" si="258"/>
        <v>$I$1:$I$92</v>
      </c>
      <c r="C3316" s="159" t="str">
        <f t="shared" si="259"/>
        <v>June!$H$1:$H$92</v>
      </c>
      <c r="D3316" s="159" t="str">
        <f t="shared" si="260"/>
        <v>June!$I$1:$I$92</v>
      </c>
      <c r="E3316" t="s">
        <v>7</v>
      </c>
      <c r="F3316" t="s">
        <v>125</v>
      </c>
      <c r="G3316" t="s">
        <v>143</v>
      </c>
      <c r="H3316" t="s">
        <v>20</v>
      </c>
      <c r="I3316" t="e">
        <f t="shared" ca="1" si="261"/>
        <v>#REF!</v>
      </c>
      <c r="J3316" t="str">
        <f>VLOOKUP($G3316,DefinitionArrays!$I$6:$J$12,2,FALSE)</f>
        <v>Workweek</v>
      </c>
    </row>
    <row r="3317" spans="1:10">
      <c r="A3317" s="159" t="str">
        <f t="shared" si="257"/>
        <v>$H$1:$H$92</v>
      </c>
      <c r="B3317" s="159" t="str">
        <f t="shared" si="258"/>
        <v>$I$1:$I$92</v>
      </c>
      <c r="C3317" s="159" t="str">
        <f t="shared" si="259"/>
        <v>June!$H$1:$H$92</v>
      </c>
      <c r="D3317" s="159" t="str">
        <f t="shared" si="260"/>
        <v>June!$I$1:$I$92</v>
      </c>
      <c r="E3317" t="s">
        <v>7</v>
      </c>
      <c r="F3317" t="s">
        <v>125</v>
      </c>
      <c r="G3317" t="s">
        <v>143</v>
      </c>
      <c r="H3317" t="s">
        <v>21</v>
      </c>
      <c r="I3317" t="e">
        <f t="shared" ca="1" si="261"/>
        <v>#REF!</v>
      </c>
      <c r="J3317" t="str">
        <f>VLOOKUP($G3317,DefinitionArrays!$I$6:$J$12,2,FALSE)</f>
        <v>Workweek</v>
      </c>
    </row>
    <row r="3318" spans="1:10">
      <c r="A3318" s="159" t="str">
        <f t="shared" si="257"/>
        <v>$H$1:$H$92</v>
      </c>
      <c r="B3318" s="159" t="str">
        <f t="shared" si="258"/>
        <v>$I$1:$I$92</v>
      </c>
      <c r="C3318" s="159" t="str">
        <f t="shared" si="259"/>
        <v>June!$H$1:$H$92</v>
      </c>
      <c r="D3318" s="159" t="str">
        <f t="shared" si="260"/>
        <v>June!$I$1:$I$92</v>
      </c>
      <c r="E3318" t="s">
        <v>7</v>
      </c>
      <c r="F3318" t="s">
        <v>125</v>
      </c>
      <c r="G3318" t="s">
        <v>143</v>
      </c>
      <c r="H3318" t="s">
        <v>22</v>
      </c>
      <c r="I3318" t="e">
        <f t="shared" ca="1" si="261"/>
        <v>#REF!</v>
      </c>
      <c r="J3318" t="str">
        <f>VLOOKUP($G3318,DefinitionArrays!$I$6:$J$12,2,FALSE)</f>
        <v>Workweek</v>
      </c>
    </row>
    <row r="3319" spans="1:10">
      <c r="A3319" s="159" t="str">
        <f t="shared" si="257"/>
        <v>$H$1:$H$92</v>
      </c>
      <c r="B3319" s="159" t="str">
        <f t="shared" si="258"/>
        <v>$I$1:$I$92</v>
      </c>
      <c r="C3319" s="159" t="str">
        <f t="shared" si="259"/>
        <v>June!$H$1:$H$92</v>
      </c>
      <c r="D3319" s="159" t="str">
        <f t="shared" si="260"/>
        <v>June!$I$1:$I$92</v>
      </c>
      <c r="E3319" t="s">
        <v>7</v>
      </c>
      <c r="F3319" t="s">
        <v>125</v>
      </c>
      <c r="G3319" t="s">
        <v>143</v>
      </c>
      <c r="H3319" t="s">
        <v>23</v>
      </c>
      <c r="I3319" t="e">
        <f t="shared" ca="1" si="261"/>
        <v>#REF!</v>
      </c>
      <c r="J3319" t="str">
        <f>VLOOKUP($G3319,DefinitionArrays!$I$6:$J$12,2,FALSE)</f>
        <v>Workweek</v>
      </c>
    </row>
    <row r="3320" spans="1:10">
      <c r="A3320" s="159" t="str">
        <f t="shared" si="257"/>
        <v>$H$1:$H$92</v>
      </c>
      <c r="B3320" s="159" t="str">
        <f t="shared" si="258"/>
        <v>$I$1:$I$92</v>
      </c>
      <c r="C3320" s="159" t="str">
        <f t="shared" si="259"/>
        <v>June!$H$1:$H$92</v>
      </c>
      <c r="D3320" s="159" t="str">
        <f t="shared" si="260"/>
        <v>June!$I$1:$I$92</v>
      </c>
      <c r="E3320" t="s">
        <v>7</v>
      </c>
      <c r="F3320" t="s">
        <v>125</v>
      </c>
      <c r="G3320" t="s">
        <v>143</v>
      </c>
      <c r="H3320" t="s">
        <v>24</v>
      </c>
      <c r="I3320" t="e">
        <f t="shared" ca="1" si="261"/>
        <v>#REF!</v>
      </c>
      <c r="J3320" t="str">
        <f>VLOOKUP($G3320,DefinitionArrays!$I$6:$J$12,2,FALSE)</f>
        <v>Workweek</v>
      </c>
    </row>
    <row r="3321" spans="1:10">
      <c r="A3321" s="159" t="str">
        <f t="shared" si="257"/>
        <v>$H$1:$H$92</v>
      </c>
      <c r="B3321" s="159" t="str">
        <f t="shared" si="258"/>
        <v>$I$1:$I$92</v>
      </c>
      <c r="C3321" s="159" t="str">
        <f t="shared" si="259"/>
        <v>June!$H$1:$H$92</v>
      </c>
      <c r="D3321" s="159" t="str">
        <f t="shared" si="260"/>
        <v>June!$I$1:$I$92</v>
      </c>
      <c r="E3321" t="s">
        <v>7</v>
      </c>
      <c r="F3321" t="s">
        <v>125</v>
      </c>
      <c r="G3321" t="s">
        <v>143</v>
      </c>
      <c r="H3321" t="s">
        <v>179</v>
      </c>
      <c r="I3321" t="e">
        <f t="shared" ca="1" si="261"/>
        <v>#REF!</v>
      </c>
      <c r="J3321" t="str">
        <f>VLOOKUP($G3321,DefinitionArrays!$I$6:$J$12,2,FALSE)</f>
        <v>Workweek</v>
      </c>
    </row>
    <row r="3322" spans="1:10">
      <c r="A3322" s="159" t="str">
        <f t="shared" si="257"/>
        <v>$H$1:$H$92</v>
      </c>
      <c r="B3322" s="159" t="str">
        <f t="shared" si="258"/>
        <v>$I$1:$I$92</v>
      </c>
      <c r="C3322" s="159" t="str">
        <f t="shared" si="259"/>
        <v>June!$H$1:$H$92</v>
      </c>
      <c r="D3322" s="159" t="str">
        <f t="shared" si="260"/>
        <v>June!$I$1:$I$92</v>
      </c>
      <c r="E3322" t="s">
        <v>7</v>
      </c>
      <c r="F3322" t="s">
        <v>125</v>
      </c>
      <c r="G3322" t="s">
        <v>143</v>
      </c>
      <c r="H3322" t="s">
        <v>180</v>
      </c>
      <c r="I3322" t="e">
        <f t="shared" ca="1" si="261"/>
        <v>#REF!</v>
      </c>
      <c r="J3322" t="str">
        <f>VLOOKUP($G3322,DefinitionArrays!$I$6:$J$12,2,FALSE)</f>
        <v>Workweek</v>
      </c>
    </row>
    <row r="3323" spans="1:10">
      <c r="A3323" s="159" t="str">
        <f t="shared" si="257"/>
        <v>$H$1:$H$92</v>
      </c>
      <c r="B3323" s="159" t="str">
        <f t="shared" si="258"/>
        <v>$I$1:$I$92</v>
      </c>
      <c r="C3323" s="159" t="str">
        <f t="shared" si="259"/>
        <v>June!$H$1:$H$92</v>
      </c>
      <c r="D3323" s="159" t="str">
        <f t="shared" si="260"/>
        <v>June!$I$1:$I$92</v>
      </c>
      <c r="E3323" t="s">
        <v>7</v>
      </c>
      <c r="F3323" t="s">
        <v>125</v>
      </c>
      <c r="G3323" t="s">
        <v>143</v>
      </c>
      <c r="H3323" t="s">
        <v>44</v>
      </c>
      <c r="I3323" t="e">
        <f t="shared" ca="1" si="261"/>
        <v>#REF!</v>
      </c>
      <c r="J3323" t="str">
        <f>VLOOKUP($G3323,DefinitionArrays!$I$6:$J$12,2,FALSE)</f>
        <v>Workweek</v>
      </c>
    </row>
    <row r="3324" spans="1:10">
      <c r="A3324" s="159" t="str">
        <f t="shared" si="257"/>
        <v>$K$1:$K$92</v>
      </c>
      <c r="B3324" s="159" t="str">
        <f t="shared" si="258"/>
        <v>$L$1:$L$92</v>
      </c>
      <c r="C3324" s="159" t="str">
        <f t="shared" si="259"/>
        <v>June!$K$1:$K$92</v>
      </c>
      <c r="D3324" s="159" t="str">
        <f t="shared" si="260"/>
        <v>June!$L$1:$L$92</v>
      </c>
      <c r="E3324" t="s">
        <v>7</v>
      </c>
      <c r="F3324" t="s">
        <v>125</v>
      </c>
      <c r="G3324" t="s">
        <v>144</v>
      </c>
      <c r="H3324" t="s">
        <v>159</v>
      </c>
      <c r="I3324" t="e">
        <f t="shared" ca="1" si="261"/>
        <v>#REF!</v>
      </c>
      <c r="J3324" t="str">
        <f>VLOOKUP($G3324,DefinitionArrays!$I$6:$J$12,2,FALSE)</f>
        <v>Workweek</v>
      </c>
    </row>
    <row r="3325" spans="1:10">
      <c r="A3325" s="159" t="str">
        <f t="shared" si="257"/>
        <v>$K$1:$K$92</v>
      </c>
      <c r="B3325" s="159" t="str">
        <f t="shared" si="258"/>
        <v>$L$1:$L$92</v>
      </c>
      <c r="C3325" s="159" t="str">
        <f t="shared" si="259"/>
        <v>June!$K$1:$K$92</v>
      </c>
      <c r="D3325" s="159" t="str">
        <f t="shared" si="260"/>
        <v>June!$L$1:$L$92</v>
      </c>
      <c r="E3325" t="s">
        <v>7</v>
      </c>
      <c r="F3325" t="s">
        <v>125</v>
      </c>
      <c r="G3325" t="s">
        <v>144</v>
      </c>
      <c r="H3325" t="s">
        <v>18</v>
      </c>
      <c r="I3325" t="e">
        <f t="shared" ca="1" si="261"/>
        <v>#REF!</v>
      </c>
      <c r="J3325" t="str">
        <f>VLOOKUP($G3325,DefinitionArrays!$I$6:$J$12,2,FALSE)</f>
        <v>Workweek</v>
      </c>
    </row>
    <row r="3326" spans="1:10">
      <c r="A3326" s="159" t="str">
        <f t="shared" si="257"/>
        <v>$K$1:$K$92</v>
      </c>
      <c r="B3326" s="159" t="str">
        <f t="shared" si="258"/>
        <v>$L$1:$L$92</v>
      </c>
      <c r="C3326" s="159" t="str">
        <f t="shared" si="259"/>
        <v>June!$K$1:$K$92</v>
      </c>
      <c r="D3326" s="159" t="str">
        <f t="shared" si="260"/>
        <v>June!$L$1:$L$92</v>
      </c>
      <c r="E3326" t="s">
        <v>7</v>
      </c>
      <c r="F3326" t="s">
        <v>125</v>
      </c>
      <c r="G3326" t="s">
        <v>144</v>
      </c>
      <c r="H3326" t="s">
        <v>153</v>
      </c>
      <c r="I3326" t="e">
        <f t="shared" ca="1" si="261"/>
        <v>#REF!</v>
      </c>
      <c r="J3326" t="str">
        <f>VLOOKUP($G3326,DefinitionArrays!$I$6:$J$12,2,FALSE)</f>
        <v>Workweek</v>
      </c>
    </row>
    <row r="3327" spans="1:10">
      <c r="A3327" s="159" t="str">
        <f t="shared" si="257"/>
        <v>$K$1:$K$92</v>
      </c>
      <c r="B3327" s="159" t="str">
        <f t="shared" si="258"/>
        <v>$L$1:$L$92</v>
      </c>
      <c r="C3327" s="159" t="str">
        <f t="shared" si="259"/>
        <v>June!$K$1:$K$92</v>
      </c>
      <c r="D3327" s="159" t="str">
        <f t="shared" si="260"/>
        <v>June!$L$1:$L$92</v>
      </c>
      <c r="E3327" t="s">
        <v>7</v>
      </c>
      <c r="F3327" t="s">
        <v>125</v>
      </c>
      <c r="G3327" t="s">
        <v>144</v>
      </c>
      <c r="H3327" t="s">
        <v>19</v>
      </c>
      <c r="I3327" t="e">
        <f t="shared" ca="1" si="261"/>
        <v>#REF!</v>
      </c>
      <c r="J3327" t="str">
        <f>VLOOKUP($G3327,DefinitionArrays!$I$6:$J$12,2,FALSE)</f>
        <v>Workweek</v>
      </c>
    </row>
    <row r="3328" spans="1:10">
      <c r="A3328" s="159" t="str">
        <f t="shared" si="257"/>
        <v>$K$1:$K$92</v>
      </c>
      <c r="B3328" s="159" t="str">
        <f t="shared" si="258"/>
        <v>$L$1:$L$92</v>
      </c>
      <c r="C3328" s="159" t="str">
        <f t="shared" si="259"/>
        <v>June!$K$1:$K$92</v>
      </c>
      <c r="D3328" s="159" t="str">
        <f t="shared" si="260"/>
        <v>June!$L$1:$L$92</v>
      </c>
      <c r="E3328" t="s">
        <v>7</v>
      </c>
      <c r="F3328" t="s">
        <v>125</v>
      </c>
      <c r="G3328" t="s">
        <v>144</v>
      </c>
      <c r="H3328" t="s">
        <v>20</v>
      </c>
      <c r="I3328" t="e">
        <f t="shared" ca="1" si="261"/>
        <v>#REF!</v>
      </c>
      <c r="J3328" t="str">
        <f>VLOOKUP($G3328,DefinitionArrays!$I$6:$J$12,2,FALSE)</f>
        <v>Workweek</v>
      </c>
    </row>
    <row r="3329" spans="1:10">
      <c r="A3329" s="159" t="str">
        <f t="shared" si="257"/>
        <v>$K$1:$K$92</v>
      </c>
      <c r="B3329" s="159" t="str">
        <f t="shared" si="258"/>
        <v>$L$1:$L$92</v>
      </c>
      <c r="C3329" s="159" t="str">
        <f t="shared" si="259"/>
        <v>June!$K$1:$K$92</v>
      </c>
      <c r="D3329" s="159" t="str">
        <f t="shared" si="260"/>
        <v>June!$L$1:$L$92</v>
      </c>
      <c r="E3329" t="s">
        <v>7</v>
      </c>
      <c r="F3329" t="s">
        <v>125</v>
      </c>
      <c r="G3329" t="s">
        <v>144</v>
      </c>
      <c r="H3329" t="s">
        <v>21</v>
      </c>
      <c r="I3329" t="e">
        <f t="shared" ca="1" si="261"/>
        <v>#REF!</v>
      </c>
      <c r="J3329" t="str">
        <f>VLOOKUP($G3329,DefinitionArrays!$I$6:$J$12,2,FALSE)</f>
        <v>Workweek</v>
      </c>
    </row>
    <row r="3330" spans="1:10">
      <c r="A3330" s="159" t="str">
        <f t="shared" ref="A3330:A3393" si="262">VLOOKUP($G3330,Fx_Code,2,FALSE)</f>
        <v>$K$1:$K$92</v>
      </c>
      <c r="B3330" s="159" t="str">
        <f t="shared" ref="B3330:B3393" si="263">VLOOKUP($G3330,Fx_Code,3,FALSE)</f>
        <v>$L$1:$L$92</v>
      </c>
      <c r="C3330" s="159" t="str">
        <f t="shared" ref="C3330:C3393" si="264">CONCATENATE($F3330,$K$1,A3330)</f>
        <v>June!$K$1:$K$92</v>
      </c>
      <c r="D3330" s="159" t="str">
        <f t="shared" ref="D3330:D3393" si="265">CONCATENATE($F3330,$K$1,B3330)</f>
        <v>June!$L$1:$L$92</v>
      </c>
      <c r="E3330" t="s">
        <v>7</v>
      </c>
      <c r="F3330" t="s">
        <v>125</v>
      </c>
      <c r="G3330" t="s">
        <v>144</v>
      </c>
      <c r="H3330" t="s">
        <v>22</v>
      </c>
      <c r="I3330" t="e">
        <f t="shared" ca="1" si="261"/>
        <v>#REF!</v>
      </c>
      <c r="J3330" t="str">
        <f>VLOOKUP($G3330,DefinitionArrays!$I$6:$J$12,2,FALSE)</f>
        <v>Workweek</v>
      </c>
    </row>
    <row r="3331" spans="1:10">
      <c r="A3331" s="159" t="str">
        <f t="shared" si="262"/>
        <v>$K$1:$K$92</v>
      </c>
      <c r="B3331" s="159" t="str">
        <f t="shared" si="263"/>
        <v>$L$1:$L$92</v>
      </c>
      <c r="C3331" s="159" t="str">
        <f t="shared" si="264"/>
        <v>June!$K$1:$K$92</v>
      </c>
      <c r="D3331" s="159" t="str">
        <f t="shared" si="265"/>
        <v>June!$L$1:$L$92</v>
      </c>
      <c r="E3331" t="s">
        <v>7</v>
      </c>
      <c r="F3331" t="s">
        <v>125</v>
      </c>
      <c r="G3331" t="s">
        <v>144</v>
      </c>
      <c r="H3331" t="s">
        <v>23</v>
      </c>
      <c r="I3331" t="e">
        <f t="shared" ca="1" si="261"/>
        <v>#REF!</v>
      </c>
      <c r="J3331" t="str">
        <f>VLOOKUP($G3331,DefinitionArrays!$I$6:$J$12,2,FALSE)</f>
        <v>Workweek</v>
      </c>
    </row>
    <row r="3332" spans="1:10">
      <c r="A3332" s="159" t="str">
        <f t="shared" si="262"/>
        <v>$K$1:$K$92</v>
      </c>
      <c r="B3332" s="159" t="str">
        <f t="shared" si="263"/>
        <v>$L$1:$L$92</v>
      </c>
      <c r="C3332" s="159" t="str">
        <f t="shared" si="264"/>
        <v>June!$K$1:$K$92</v>
      </c>
      <c r="D3332" s="159" t="str">
        <f t="shared" si="265"/>
        <v>June!$L$1:$L$92</v>
      </c>
      <c r="E3332" t="s">
        <v>7</v>
      </c>
      <c r="F3332" t="s">
        <v>125</v>
      </c>
      <c r="G3332" t="s">
        <v>144</v>
      </c>
      <c r="H3332" t="s">
        <v>24</v>
      </c>
      <c r="I3332" t="e">
        <f t="shared" ca="1" si="261"/>
        <v>#REF!</v>
      </c>
      <c r="J3332" t="str">
        <f>VLOOKUP($G3332,DefinitionArrays!$I$6:$J$12,2,FALSE)</f>
        <v>Workweek</v>
      </c>
    </row>
    <row r="3333" spans="1:10">
      <c r="A3333" s="159" t="str">
        <f t="shared" si="262"/>
        <v>$K$1:$K$92</v>
      </c>
      <c r="B3333" s="159" t="str">
        <f t="shared" si="263"/>
        <v>$L$1:$L$92</v>
      </c>
      <c r="C3333" s="159" t="str">
        <f t="shared" si="264"/>
        <v>June!$K$1:$K$92</v>
      </c>
      <c r="D3333" s="159" t="str">
        <f t="shared" si="265"/>
        <v>June!$L$1:$L$92</v>
      </c>
      <c r="E3333" t="s">
        <v>7</v>
      </c>
      <c r="F3333" t="s">
        <v>125</v>
      </c>
      <c r="G3333" t="s">
        <v>144</v>
      </c>
      <c r="H3333" t="s">
        <v>179</v>
      </c>
      <c r="I3333" t="e">
        <f t="shared" ca="1" si="261"/>
        <v>#REF!</v>
      </c>
      <c r="J3333" t="str">
        <f>VLOOKUP($G3333,DefinitionArrays!$I$6:$J$12,2,FALSE)</f>
        <v>Workweek</v>
      </c>
    </row>
    <row r="3334" spans="1:10">
      <c r="A3334" s="159" t="str">
        <f t="shared" si="262"/>
        <v>$K$1:$K$92</v>
      </c>
      <c r="B3334" s="159" t="str">
        <f t="shared" si="263"/>
        <v>$L$1:$L$92</v>
      </c>
      <c r="C3334" s="159" t="str">
        <f t="shared" si="264"/>
        <v>June!$K$1:$K$92</v>
      </c>
      <c r="D3334" s="159" t="str">
        <f t="shared" si="265"/>
        <v>June!$L$1:$L$92</v>
      </c>
      <c r="E3334" t="s">
        <v>7</v>
      </c>
      <c r="F3334" t="s">
        <v>125</v>
      </c>
      <c r="G3334" t="s">
        <v>144</v>
      </c>
      <c r="H3334" t="s">
        <v>180</v>
      </c>
      <c r="I3334" t="e">
        <f t="shared" ca="1" si="261"/>
        <v>#REF!</v>
      </c>
      <c r="J3334" t="str">
        <f>VLOOKUP($G3334,DefinitionArrays!$I$6:$J$12,2,FALSE)</f>
        <v>Workweek</v>
      </c>
    </row>
    <row r="3335" spans="1:10">
      <c r="A3335" s="159" t="str">
        <f t="shared" si="262"/>
        <v>$K$1:$K$92</v>
      </c>
      <c r="B3335" s="159" t="str">
        <f t="shared" si="263"/>
        <v>$L$1:$L$92</v>
      </c>
      <c r="C3335" s="159" t="str">
        <f t="shared" si="264"/>
        <v>June!$K$1:$K$92</v>
      </c>
      <c r="D3335" s="159" t="str">
        <f t="shared" si="265"/>
        <v>June!$L$1:$L$92</v>
      </c>
      <c r="E3335" t="s">
        <v>7</v>
      </c>
      <c r="F3335" t="s">
        <v>125</v>
      </c>
      <c r="G3335" t="s">
        <v>144</v>
      </c>
      <c r="H3335" t="s">
        <v>44</v>
      </c>
      <c r="I3335" t="e">
        <f t="shared" ca="1" si="261"/>
        <v>#REF!</v>
      </c>
      <c r="J3335" t="str">
        <f>VLOOKUP($G3335,DefinitionArrays!$I$6:$J$12,2,FALSE)</f>
        <v>Workweek</v>
      </c>
    </row>
    <row r="3336" spans="1:10">
      <c r="A3336" s="159" t="str">
        <f t="shared" si="262"/>
        <v>$N$1:$N$92</v>
      </c>
      <c r="B3336" s="159" t="str">
        <f t="shared" si="263"/>
        <v>$O$1:$O$92</v>
      </c>
      <c r="C3336" s="159" t="str">
        <f t="shared" si="264"/>
        <v>June!$N$1:$N$92</v>
      </c>
      <c r="D3336" s="159" t="str">
        <f t="shared" si="265"/>
        <v>June!$O$1:$O$92</v>
      </c>
      <c r="E3336" t="s">
        <v>7</v>
      </c>
      <c r="F3336" t="s">
        <v>125</v>
      </c>
      <c r="G3336" t="s">
        <v>145</v>
      </c>
      <c r="H3336" t="s">
        <v>159</v>
      </c>
      <c r="I3336" t="e">
        <f t="shared" ca="1" si="261"/>
        <v>#REF!</v>
      </c>
      <c r="J3336" t="str">
        <f>VLOOKUP($G3336,DefinitionArrays!$I$6:$J$12,2,FALSE)</f>
        <v>Weekend</v>
      </c>
    </row>
    <row r="3337" spans="1:10">
      <c r="A3337" s="159" t="str">
        <f t="shared" si="262"/>
        <v>$N$1:$N$92</v>
      </c>
      <c r="B3337" s="159" t="str">
        <f t="shared" si="263"/>
        <v>$O$1:$O$92</v>
      </c>
      <c r="C3337" s="159" t="str">
        <f t="shared" si="264"/>
        <v>June!$N$1:$N$92</v>
      </c>
      <c r="D3337" s="159" t="str">
        <f t="shared" si="265"/>
        <v>June!$O$1:$O$92</v>
      </c>
      <c r="E3337" t="s">
        <v>7</v>
      </c>
      <c r="F3337" t="s">
        <v>125</v>
      </c>
      <c r="G3337" t="s">
        <v>145</v>
      </c>
      <c r="H3337" t="s">
        <v>18</v>
      </c>
      <c r="I3337" t="e">
        <f t="shared" ca="1" si="261"/>
        <v>#REF!</v>
      </c>
      <c r="J3337" t="str">
        <f>VLOOKUP($G3337,DefinitionArrays!$I$6:$J$12,2,FALSE)</f>
        <v>Weekend</v>
      </c>
    </row>
    <row r="3338" spans="1:10">
      <c r="A3338" s="159" t="str">
        <f t="shared" si="262"/>
        <v>$N$1:$N$92</v>
      </c>
      <c r="B3338" s="159" t="str">
        <f t="shared" si="263"/>
        <v>$O$1:$O$92</v>
      </c>
      <c r="C3338" s="159" t="str">
        <f t="shared" si="264"/>
        <v>June!$N$1:$N$92</v>
      </c>
      <c r="D3338" s="159" t="str">
        <f t="shared" si="265"/>
        <v>June!$O$1:$O$92</v>
      </c>
      <c r="E3338" t="s">
        <v>7</v>
      </c>
      <c r="F3338" t="s">
        <v>125</v>
      </c>
      <c r="G3338" t="s">
        <v>145</v>
      </c>
      <c r="H3338" t="s">
        <v>153</v>
      </c>
      <c r="I3338" t="e">
        <f t="shared" ca="1" si="261"/>
        <v>#REF!</v>
      </c>
      <c r="J3338" t="str">
        <f>VLOOKUP($G3338,DefinitionArrays!$I$6:$J$12,2,FALSE)</f>
        <v>Weekend</v>
      </c>
    </row>
    <row r="3339" spans="1:10">
      <c r="A3339" s="159" t="str">
        <f t="shared" si="262"/>
        <v>$N$1:$N$92</v>
      </c>
      <c r="B3339" s="159" t="str">
        <f t="shared" si="263"/>
        <v>$O$1:$O$92</v>
      </c>
      <c r="C3339" s="159" t="str">
        <f t="shared" si="264"/>
        <v>June!$N$1:$N$92</v>
      </c>
      <c r="D3339" s="159" t="str">
        <f t="shared" si="265"/>
        <v>June!$O$1:$O$92</v>
      </c>
      <c r="E3339" t="s">
        <v>7</v>
      </c>
      <c r="F3339" t="s">
        <v>125</v>
      </c>
      <c r="G3339" t="s">
        <v>145</v>
      </c>
      <c r="H3339" t="s">
        <v>19</v>
      </c>
      <c r="I3339" t="e">
        <f t="shared" ca="1" si="261"/>
        <v>#REF!</v>
      </c>
      <c r="J3339" t="str">
        <f>VLOOKUP($G3339,DefinitionArrays!$I$6:$J$12,2,FALSE)</f>
        <v>Weekend</v>
      </c>
    </row>
    <row r="3340" spans="1:10">
      <c r="A3340" s="159" t="str">
        <f t="shared" si="262"/>
        <v>$N$1:$N$92</v>
      </c>
      <c r="B3340" s="159" t="str">
        <f t="shared" si="263"/>
        <v>$O$1:$O$92</v>
      </c>
      <c r="C3340" s="159" t="str">
        <f t="shared" si="264"/>
        <v>June!$N$1:$N$92</v>
      </c>
      <c r="D3340" s="159" t="str">
        <f t="shared" si="265"/>
        <v>June!$O$1:$O$92</v>
      </c>
      <c r="E3340" t="s">
        <v>7</v>
      </c>
      <c r="F3340" t="s">
        <v>125</v>
      </c>
      <c r="G3340" t="s">
        <v>145</v>
      </c>
      <c r="H3340" t="s">
        <v>20</v>
      </c>
      <c r="I3340" t="e">
        <f t="shared" ca="1" si="261"/>
        <v>#REF!</v>
      </c>
      <c r="J3340" t="str">
        <f>VLOOKUP($G3340,DefinitionArrays!$I$6:$J$12,2,FALSE)</f>
        <v>Weekend</v>
      </c>
    </row>
    <row r="3341" spans="1:10">
      <c r="A3341" s="159" t="str">
        <f t="shared" si="262"/>
        <v>$N$1:$N$92</v>
      </c>
      <c r="B3341" s="159" t="str">
        <f t="shared" si="263"/>
        <v>$O$1:$O$92</v>
      </c>
      <c r="C3341" s="159" t="str">
        <f t="shared" si="264"/>
        <v>June!$N$1:$N$92</v>
      </c>
      <c r="D3341" s="159" t="str">
        <f t="shared" si="265"/>
        <v>June!$O$1:$O$92</v>
      </c>
      <c r="E3341" t="s">
        <v>7</v>
      </c>
      <c r="F3341" t="s">
        <v>125</v>
      </c>
      <c r="G3341" t="s">
        <v>145</v>
      </c>
      <c r="H3341" t="s">
        <v>21</v>
      </c>
      <c r="I3341" t="e">
        <f t="shared" ca="1" si="261"/>
        <v>#REF!</v>
      </c>
      <c r="J3341" t="str">
        <f>VLOOKUP($G3341,DefinitionArrays!$I$6:$J$12,2,FALSE)</f>
        <v>Weekend</v>
      </c>
    </row>
    <row r="3342" spans="1:10">
      <c r="A3342" s="159" t="str">
        <f t="shared" si="262"/>
        <v>$N$1:$N$92</v>
      </c>
      <c r="B3342" s="159" t="str">
        <f t="shared" si="263"/>
        <v>$O$1:$O$92</v>
      </c>
      <c r="C3342" s="159" t="str">
        <f t="shared" si="264"/>
        <v>June!$N$1:$N$92</v>
      </c>
      <c r="D3342" s="159" t="str">
        <f t="shared" si="265"/>
        <v>June!$O$1:$O$92</v>
      </c>
      <c r="E3342" t="s">
        <v>7</v>
      </c>
      <c r="F3342" t="s">
        <v>125</v>
      </c>
      <c r="G3342" t="s">
        <v>145</v>
      </c>
      <c r="H3342" t="s">
        <v>22</v>
      </c>
      <c r="I3342" t="e">
        <f t="shared" ca="1" si="261"/>
        <v>#REF!</v>
      </c>
      <c r="J3342" t="str">
        <f>VLOOKUP($G3342,DefinitionArrays!$I$6:$J$12,2,FALSE)</f>
        <v>Weekend</v>
      </c>
    </row>
    <row r="3343" spans="1:10">
      <c r="A3343" s="159" t="str">
        <f t="shared" si="262"/>
        <v>$N$1:$N$92</v>
      </c>
      <c r="B3343" s="159" t="str">
        <f t="shared" si="263"/>
        <v>$O$1:$O$92</v>
      </c>
      <c r="C3343" s="159" t="str">
        <f t="shared" si="264"/>
        <v>June!$N$1:$N$92</v>
      </c>
      <c r="D3343" s="159" t="str">
        <f t="shared" si="265"/>
        <v>June!$O$1:$O$92</v>
      </c>
      <c r="E3343" t="s">
        <v>7</v>
      </c>
      <c r="F3343" t="s">
        <v>125</v>
      </c>
      <c r="G3343" t="s">
        <v>145</v>
      </c>
      <c r="H3343" t="s">
        <v>23</v>
      </c>
      <c r="I3343" t="e">
        <f t="shared" ca="1" si="261"/>
        <v>#REF!</v>
      </c>
      <c r="J3343" t="str">
        <f>VLOOKUP($G3343,DefinitionArrays!$I$6:$J$12,2,FALSE)</f>
        <v>Weekend</v>
      </c>
    </row>
    <row r="3344" spans="1:10">
      <c r="A3344" s="159" t="str">
        <f t="shared" si="262"/>
        <v>$N$1:$N$92</v>
      </c>
      <c r="B3344" s="159" t="str">
        <f t="shared" si="263"/>
        <v>$O$1:$O$92</v>
      </c>
      <c r="C3344" s="159" t="str">
        <f t="shared" si="264"/>
        <v>June!$N$1:$N$92</v>
      </c>
      <c r="D3344" s="159" t="str">
        <f t="shared" si="265"/>
        <v>June!$O$1:$O$92</v>
      </c>
      <c r="E3344" t="s">
        <v>7</v>
      </c>
      <c r="F3344" t="s">
        <v>125</v>
      </c>
      <c r="G3344" t="s">
        <v>145</v>
      </c>
      <c r="H3344" t="s">
        <v>24</v>
      </c>
      <c r="I3344" t="e">
        <f t="shared" ca="1" si="261"/>
        <v>#REF!</v>
      </c>
      <c r="J3344" t="str">
        <f>VLOOKUP($G3344,DefinitionArrays!$I$6:$J$12,2,FALSE)</f>
        <v>Weekend</v>
      </c>
    </row>
    <row r="3345" spans="1:10">
      <c r="A3345" s="159" t="str">
        <f t="shared" si="262"/>
        <v>$N$1:$N$92</v>
      </c>
      <c r="B3345" s="159" t="str">
        <f t="shared" si="263"/>
        <v>$O$1:$O$92</v>
      </c>
      <c r="C3345" s="159" t="str">
        <f t="shared" si="264"/>
        <v>June!$N$1:$N$92</v>
      </c>
      <c r="D3345" s="159" t="str">
        <f t="shared" si="265"/>
        <v>June!$O$1:$O$92</v>
      </c>
      <c r="E3345" t="s">
        <v>7</v>
      </c>
      <c r="F3345" t="s">
        <v>125</v>
      </c>
      <c r="G3345" t="s">
        <v>145</v>
      </c>
      <c r="H3345" t="s">
        <v>179</v>
      </c>
      <c r="I3345" t="e">
        <f t="shared" ca="1" si="261"/>
        <v>#REF!</v>
      </c>
      <c r="J3345" t="str">
        <f>VLOOKUP($G3345,DefinitionArrays!$I$6:$J$12,2,FALSE)</f>
        <v>Weekend</v>
      </c>
    </row>
    <row r="3346" spans="1:10">
      <c r="A3346" s="159" t="str">
        <f t="shared" si="262"/>
        <v>$N$1:$N$92</v>
      </c>
      <c r="B3346" s="159" t="str">
        <f t="shared" si="263"/>
        <v>$O$1:$O$92</v>
      </c>
      <c r="C3346" s="159" t="str">
        <f t="shared" si="264"/>
        <v>June!$N$1:$N$92</v>
      </c>
      <c r="D3346" s="159" t="str">
        <f t="shared" si="265"/>
        <v>June!$O$1:$O$92</v>
      </c>
      <c r="E3346" t="s">
        <v>7</v>
      </c>
      <c r="F3346" t="s">
        <v>125</v>
      </c>
      <c r="G3346" t="s">
        <v>145</v>
      </c>
      <c r="H3346" t="s">
        <v>180</v>
      </c>
      <c r="I3346" t="e">
        <f t="shared" ca="1" si="261"/>
        <v>#REF!</v>
      </c>
      <c r="J3346" t="str">
        <f>VLOOKUP($G3346,DefinitionArrays!$I$6:$J$12,2,FALSE)</f>
        <v>Weekend</v>
      </c>
    </row>
    <row r="3347" spans="1:10">
      <c r="A3347" s="159" t="str">
        <f t="shared" si="262"/>
        <v>$N$1:$N$92</v>
      </c>
      <c r="B3347" s="159" t="str">
        <f t="shared" si="263"/>
        <v>$O$1:$O$92</v>
      </c>
      <c r="C3347" s="159" t="str">
        <f t="shared" si="264"/>
        <v>June!$N$1:$N$92</v>
      </c>
      <c r="D3347" s="159" t="str">
        <f t="shared" si="265"/>
        <v>June!$O$1:$O$92</v>
      </c>
      <c r="E3347" t="s">
        <v>7</v>
      </c>
      <c r="F3347" t="s">
        <v>125</v>
      </c>
      <c r="G3347" t="s">
        <v>145</v>
      </c>
      <c r="H3347" t="s">
        <v>44</v>
      </c>
      <c r="I3347" t="e">
        <f t="shared" ca="1" si="261"/>
        <v>#REF!</v>
      </c>
      <c r="J3347" t="str">
        <f>VLOOKUP($G3347,DefinitionArrays!$I$6:$J$12,2,FALSE)</f>
        <v>Weekend</v>
      </c>
    </row>
    <row r="3348" spans="1:10">
      <c r="A3348" s="159" t="str">
        <f t="shared" si="262"/>
        <v>$Q$1:$Q$92</v>
      </c>
      <c r="B3348" s="159" t="str">
        <f t="shared" si="263"/>
        <v>$R$1:$R$92</v>
      </c>
      <c r="C3348" s="159" t="str">
        <f t="shared" si="264"/>
        <v>June!$Q$1:$Q$92</v>
      </c>
      <c r="D3348" s="159" t="str">
        <f t="shared" si="265"/>
        <v>June!$R$1:$R$92</v>
      </c>
      <c r="E3348" t="s">
        <v>7</v>
      </c>
      <c r="F3348" t="s">
        <v>125</v>
      </c>
      <c r="G3348" t="s">
        <v>146</v>
      </c>
      <c r="H3348" t="s">
        <v>159</v>
      </c>
      <c r="I3348" t="e">
        <f t="shared" ca="1" si="261"/>
        <v>#REF!</v>
      </c>
      <c r="J3348" t="str">
        <f>VLOOKUP($G3348,DefinitionArrays!$I$6:$J$12,2,FALSE)</f>
        <v>Weekend</v>
      </c>
    </row>
    <row r="3349" spans="1:10">
      <c r="A3349" s="159" t="str">
        <f t="shared" si="262"/>
        <v>$T$1:$T$92</v>
      </c>
      <c r="B3349" s="159" t="str">
        <f t="shared" si="263"/>
        <v>$U$1:$U$92</v>
      </c>
      <c r="C3349" s="159" t="str">
        <f t="shared" si="264"/>
        <v>June!$T$1:$T$92</v>
      </c>
      <c r="D3349" s="159" t="str">
        <f t="shared" si="265"/>
        <v>June!$U$1:$U$92</v>
      </c>
      <c r="E3349" t="s">
        <v>7</v>
      </c>
      <c r="F3349" t="s">
        <v>125</v>
      </c>
      <c r="G3349" t="s">
        <v>141</v>
      </c>
      <c r="H3349" t="s">
        <v>159</v>
      </c>
      <c r="I3349" t="e">
        <f t="shared" ca="1" si="261"/>
        <v>#REF!</v>
      </c>
      <c r="J3349" t="str">
        <f>VLOOKUP($G3349,DefinitionArrays!$I$6:$J$12,2,FALSE)</f>
        <v>Weekend</v>
      </c>
    </row>
    <row r="3350" spans="1:10">
      <c r="A3350" s="159" t="str">
        <f t="shared" si="262"/>
        <v>$B$1:$B$92</v>
      </c>
      <c r="B3350" s="159" t="str">
        <f t="shared" si="263"/>
        <v>$C$1:$C$92</v>
      </c>
      <c r="C3350" s="159" t="str">
        <f t="shared" si="264"/>
        <v>July!$B$1:$B$92</v>
      </c>
      <c r="D3350" s="159" t="str">
        <f t="shared" si="265"/>
        <v>July!$C$1:$C$92</v>
      </c>
      <c r="E3350" t="s">
        <v>7</v>
      </c>
      <c r="F3350" t="s">
        <v>126</v>
      </c>
      <c r="G3350" t="s">
        <v>13</v>
      </c>
      <c r="H3350" t="s">
        <v>159</v>
      </c>
      <c r="I3350" t="e">
        <f ca="1">COUNTIFS(INDIRECT($C3350),$E3350,INDIRECT($D3350),$H3350)</f>
        <v>#REF!</v>
      </c>
      <c r="J3350" t="str">
        <f>VLOOKUP($G3350,DefinitionArrays!$I$6:$J$12,2,FALSE)</f>
        <v>Workweek</v>
      </c>
    </row>
    <row r="3351" spans="1:10">
      <c r="A3351" s="159" t="str">
        <f t="shared" si="262"/>
        <v>$B$1:$B$92</v>
      </c>
      <c r="B3351" s="159" t="str">
        <f t="shared" si="263"/>
        <v>$C$1:$C$92</v>
      </c>
      <c r="C3351" s="159" t="str">
        <f t="shared" si="264"/>
        <v>July!$B$1:$B$92</v>
      </c>
      <c r="D3351" s="159" t="str">
        <f t="shared" si="265"/>
        <v>July!$C$1:$C$92</v>
      </c>
      <c r="E3351" t="s">
        <v>7</v>
      </c>
      <c r="F3351" t="s">
        <v>126</v>
      </c>
      <c r="G3351" t="s">
        <v>13</v>
      </c>
      <c r="H3351" t="s">
        <v>18</v>
      </c>
      <c r="I3351" t="e">
        <f t="shared" ref="I3351:I3411" ca="1" si="266">COUNTIFS(INDIRECT($C3351),$E3351,INDIRECT($D3351),$H3351)</f>
        <v>#REF!</v>
      </c>
      <c r="J3351" t="str">
        <f>VLOOKUP($G3351,DefinitionArrays!$I$6:$J$12,2,FALSE)</f>
        <v>Workweek</v>
      </c>
    </row>
    <row r="3352" spans="1:10">
      <c r="A3352" s="159" t="str">
        <f t="shared" si="262"/>
        <v>$B$1:$B$92</v>
      </c>
      <c r="B3352" s="159" t="str">
        <f t="shared" si="263"/>
        <v>$C$1:$C$92</v>
      </c>
      <c r="C3352" s="159" t="str">
        <f t="shared" si="264"/>
        <v>July!$B$1:$B$92</v>
      </c>
      <c r="D3352" s="159" t="str">
        <f t="shared" si="265"/>
        <v>July!$C$1:$C$92</v>
      </c>
      <c r="E3352" t="s">
        <v>7</v>
      </c>
      <c r="F3352" t="s">
        <v>126</v>
      </c>
      <c r="G3352" t="s">
        <v>13</v>
      </c>
      <c r="H3352" t="s">
        <v>153</v>
      </c>
      <c r="I3352" t="e">
        <f t="shared" ca="1" si="266"/>
        <v>#REF!</v>
      </c>
      <c r="J3352" t="str">
        <f>VLOOKUP($G3352,DefinitionArrays!$I$6:$J$12,2,FALSE)</f>
        <v>Workweek</v>
      </c>
    </row>
    <row r="3353" spans="1:10">
      <c r="A3353" s="159" t="str">
        <f t="shared" si="262"/>
        <v>$B$1:$B$92</v>
      </c>
      <c r="B3353" s="159" t="str">
        <f t="shared" si="263"/>
        <v>$C$1:$C$92</v>
      </c>
      <c r="C3353" s="159" t="str">
        <f t="shared" si="264"/>
        <v>July!$B$1:$B$92</v>
      </c>
      <c r="D3353" s="159" t="str">
        <f t="shared" si="265"/>
        <v>July!$C$1:$C$92</v>
      </c>
      <c r="E3353" t="s">
        <v>7</v>
      </c>
      <c r="F3353" t="s">
        <v>126</v>
      </c>
      <c r="G3353" t="s">
        <v>13</v>
      </c>
      <c r="H3353" t="s">
        <v>19</v>
      </c>
      <c r="I3353" t="e">
        <f t="shared" ca="1" si="266"/>
        <v>#REF!</v>
      </c>
      <c r="J3353" t="str">
        <f>VLOOKUP($G3353,DefinitionArrays!$I$6:$J$12,2,FALSE)</f>
        <v>Workweek</v>
      </c>
    </row>
    <row r="3354" spans="1:10">
      <c r="A3354" s="159" t="str">
        <f t="shared" si="262"/>
        <v>$B$1:$B$92</v>
      </c>
      <c r="B3354" s="159" t="str">
        <f t="shared" si="263"/>
        <v>$C$1:$C$92</v>
      </c>
      <c r="C3354" s="159" t="str">
        <f t="shared" si="264"/>
        <v>July!$B$1:$B$92</v>
      </c>
      <c r="D3354" s="159" t="str">
        <f t="shared" si="265"/>
        <v>July!$C$1:$C$92</v>
      </c>
      <c r="E3354" t="s">
        <v>7</v>
      </c>
      <c r="F3354" t="s">
        <v>126</v>
      </c>
      <c r="G3354" t="s">
        <v>13</v>
      </c>
      <c r="H3354" t="s">
        <v>20</v>
      </c>
      <c r="I3354" t="e">
        <f t="shared" ca="1" si="266"/>
        <v>#REF!</v>
      </c>
      <c r="J3354" t="str">
        <f>VLOOKUP($G3354,DefinitionArrays!$I$6:$J$12,2,FALSE)</f>
        <v>Workweek</v>
      </c>
    </row>
    <row r="3355" spans="1:10">
      <c r="A3355" s="159" t="str">
        <f t="shared" si="262"/>
        <v>$B$1:$B$92</v>
      </c>
      <c r="B3355" s="159" t="str">
        <f t="shared" si="263"/>
        <v>$C$1:$C$92</v>
      </c>
      <c r="C3355" s="159" t="str">
        <f t="shared" si="264"/>
        <v>July!$B$1:$B$92</v>
      </c>
      <c r="D3355" s="159" t="str">
        <f t="shared" si="265"/>
        <v>July!$C$1:$C$92</v>
      </c>
      <c r="E3355" t="s">
        <v>7</v>
      </c>
      <c r="F3355" t="s">
        <v>126</v>
      </c>
      <c r="G3355" t="s">
        <v>13</v>
      </c>
      <c r="H3355" t="s">
        <v>21</v>
      </c>
      <c r="I3355" t="e">
        <f t="shared" ca="1" si="266"/>
        <v>#REF!</v>
      </c>
      <c r="J3355" t="str">
        <f>VLOOKUP($G3355,DefinitionArrays!$I$6:$J$12,2,FALSE)</f>
        <v>Workweek</v>
      </c>
    </row>
    <row r="3356" spans="1:10">
      <c r="A3356" s="159" t="str">
        <f t="shared" si="262"/>
        <v>$B$1:$B$92</v>
      </c>
      <c r="B3356" s="159" t="str">
        <f t="shared" si="263"/>
        <v>$C$1:$C$92</v>
      </c>
      <c r="C3356" s="159" t="str">
        <f t="shared" si="264"/>
        <v>July!$B$1:$B$92</v>
      </c>
      <c r="D3356" s="159" t="str">
        <f t="shared" si="265"/>
        <v>July!$C$1:$C$92</v>
      </c>
      <c r="E3356" t="s">
        <v>7</v>
      </c>
      <c r="F3356" t="s">
        <v>126</v>
      </c>
      <c r="G3356" t="s">
        <v>13</v>
      </c>
      <c r="H3356" t="s">
        <v>22</v>
      </c>
      <c r="I3356" t="e">
        <f t="shared" ca="1" si="266"/>
        <v>#REF!</v>
      </c>
      <c r="J3356" t="str">
        <f>VLOOKUP($G3356,DefinitionArrays!$I$6:$J$12,2,FALSE)</f>
        <v>Workweek</v>
      </c>
    </row>
    <row r="3357" spans="1:10">
      <c r="A3357" s="159" t="str">
        <f t="shared" si="262"/>
        <v>$B$1:$B$92</v>
      </c>
      <c r="B3357" s="159" t="str">
        <f t="shared" si="263"/>
        <v>$C$1:$C$92</v>
      </c>
      <c r="C3357" s="159" t="str">
        <f t="shared" si="264"/>
        <v>July!$B$1:$B$92</v>
      </c>
      <c r="D3357" s="159" t="str">
        <f t="shared" si="265"/>
        <v>July!$C$1:$C$92</v>
      </c>
      <c r="E3357" t="s">
        <v>7</v>
      </c>
      <c r="F3357" t="s">
        <v>126</v>
      </c>
      <c r="G3357" t="s">
        <v>13</v>
      </c>
      <c r="H3357" t="s">
        <v>23</v>
      </c>
      <c r="I3357" t="e">
        <f t="shared" ca="1" si="266"/>
        <v>#REF!</v>
      </c>
      <c r="J3357" t="str">
        <f>VLOOKUP($G3357,DefinitionArrays!$I$6:$J$12,2,FALSE)</f>
        <v>Workweek</v>
      </c>
    </row>
    <row r="3358" spans="1:10">
      <c r="A3358" s="159" t="str">
        <f t="shared" si="262"/>
        <v>$B$1:$B$92</v>
      </c>
      <c r="B3358" s="159" t="str">
        <f t="shared" si="263"/>
        <v>$C$1:$C$92</v>
      </c>
      <c r="C3358" s="159" t="str">
        <f t="shared" si="264"/>
        <v>July!$B$1:$B$92</v>
      </c>
      <c r="D3358" s="159" t="str">
        <f t="shared" si="265"/>
        <v>July!$C$1:$C$92</v>
      </c>
      <c r="E3358" t="s">
        <v>7</v>
      </c>
      <c r="F3358" t="s">
        <v>126</v>
      </c>
      <c r="G3358" t="s">
        <v>13</v>
      </c>
      <c r="H3358" t="s">
        <v>24</v>
      </c>
      <c r="I3358" t="e">
        <f t="shared" ca="1" si="266"/>
        <v>#REF!</v>
      </c>
      <c r="J3358" t="str">
        <f>VLOOKUP($G3358,DefinitionArrays!$I$6:$J$12,2,FALSE)</f>
        <v>Workweek</v>
      </c>
    </row>
    <row r="3359" spans="1:10">
      <c r="A3359" s="159" t="str">
        <f t="shared" si="262"/>
        <v>$B$1:$B$92</v>
      </c>
      <c r="B3359" s="159" t="str">
        <f t="shared" si="263"/>
        <v>$C$1:$C$92</v>
      </c>
      <c r="C3359" s="159" t="str">
        <f t="shared" si="264"/>
        <v>July!$B$1:$B$92</v>
      </c>
      <c r="D3359" s="159" t="str">
        <f t="shared" si="265"/>
        <v>July!$C$1:$C$92</v>
      </c>
      <c r="E3359" t="s">
        <v>7</v>
      </c>
      <c r="F3359" t="s">
        <v>126</v>
      </c>
      <c r="G3359" t="s">
        <v>13</v>
      </c>
      <c r="H3359" t="s">
        <v>179</v>
      </c>
      <c r="I3359" t="e">
        <f t="shared" ca="1" si="266"/>
        <v>#REF!</v>
      </c>
      <c r="J3359" t="str">
        <f>VLOOKUP($G3359,DefinitionArrays!$I$6:$J$12,2,FALSE)</f>
        <v>Workweek</v>
      </c>
    </row>
    <row r="3360" spans="1:10">
      <c r="A3360" s="159" t="str">
        <f t="shared" si="262"/>
        <v>$B$1:$B$92</v>
      </c>
      <c r="B3360" s="159" t="str">
        <f t="shared" si="263"/>
        <v>$C$1:$C$92</v>
      </c>
      <c r="C3360" s="159" t="str">
        <f t="shared" si="264"/>
        <v>July!$B$1:$B$92</v>
      </c>
      <c r="D3360" s="159" t="str">
        <f t="shared" si="265"/>
        <v>July!$C$1:$C$92</v>
      </c>
      <c r="E3360" t="s">
        <v>7</v>
      </c>
      <c r="F3360" t="s">
        <v>126</v>
      </c>
      <c r="G3360" t="s">
        <v>13</v>
      </c>
      <c r="H3360" t="s">
        <v>180</v>
      </c>
      <c r="I3360" t="e">
        <f t="shared" ca="1" si="266"/>
        <v>#REF!</v>
      </c>
      <c r="J3360" t="str">
        <f>VLOOKUP($G3360,DefinitionArrays!$I$6:$J$12,2,FALSE)</f>
        <v>Workweek</v>
      </c>
    </row>
    <row r="3361" spans="1:10">
      <c r="A3361" s="159" t="str">
        <f t="shared" si="262"/>
        <v>$B$1:$B$92</v>
      </c>
      <c r="B3361" s="159" t="str">
        <f t="shared" si="263"/>
        <v>$C$1:$C$92</v>
      </c>
      <c r="C3361" s="159" t="str">
        <f t="shared" si="264"/>
        <v>July!$B$1:$B$92</v>
      </c>
      <c r="D3361" s="159" t="str">
        <f t="shared" si="265"/>
        <v>July!$C$1:$C$92</v>
      </c>
      <c r="E3361" t="s">
        <v>7</v>
      </c>
      <c r="F3361" t="s">
        <v>126</v>
      </c>
      <c r="G3361" t="s">
        <v>13</v>
      </c>
      <c r="H3361" t="s">
        <v>44</v>
      </c>
      <c r="I3361" t="e">
        <f t="shared" ca="1" si="266"/>
        <v>#REF!</v>
      </c>
      <c r="J3361" t="str">
        <f>VLOOKUP($G3361,DefinitionArrays!$I$6:$J$12,2,FALSE)</f>
        <v>Workweek</v>
      </c>
    </row>
    <row r="3362" spans="1:10">
      <c r="A3362" s="159" t="str">
        <f t="shared" si="262"/>
        <v>$E$1:$E$92</v>
      </c>
      <c r="B3362" s="159" t="str">
        <f t="shared" si="263"/>
        <v>$F$1:$F$92</v>
      </c>
      <c r="C3362" s="159" t="str">
        <f t="shared" si="264"/>
        <v>July!$E$1:$E$92</v>
      </c>
      <c r="D3362" s="159" t="str">
        <f t="shared" si="265"/>
        <v>July!$F$1:$F$92</v>
      </c>
      <c r="E3362" t="s">
        <v>7</v>
      </c>
      <c r="F3362" t="s">
        <v>126</v>
      </c>
      <c r="G3362" t="s">
        <v>142</v>
      </c>
      <c r="H3362" t="s">
        <v>159</v>
      </c>
      <c r="I3362" t="e">
        <f t="shared" ca="1" si="266"/>
        <v>#REF!</v>
      </c>
      <c r="J3362" t="str">
        <f>VLOOKUP($G3362,DefinitionArrays!$I$6:$J$12,2,FALSE)</f>
        <v>Workweek</v>
      </c>
    </row>
    <row r="3363" spans="1:10">
      <c r="A3363" s="159" t="str">
        <f t="shared" si="262"/>
        <v>$E$1:$E$92</v>
      </c>
      <c r="B3363" s="159" t="str">
        <f t="shared" si="263"/>
        <v>$F$1:$F$92</v>
      </c>
      <c r="C3363" s="159" t="str">
        <f t="shared" si="264"/>
        <v>July!$E$1:$E$92</v>
      </c>
      <c r="D3363" s="159" t="str">
        <f t="shared" si="265"/>
        <v>July!$F$1:$F$92</v>
      </c>
      <c r="E3363" t="s">
        <v>7</v>
      </c>
      <c r="F3363" t="s">
        <v>126</v>
      </c>
      <c r="G3363" t="s">
        <v>142</v>
      </c>
      <c r="H3363" t="s">
        <v>18</v>
      </c>
      <c r="I3363" t="e">
        <f t="shared" ca="1" si="266"/>
        <v>#REF!</v>
      </c>
      <c r="J3363" t="str">
        <f>VLOOKUP($G3363,DefinitionArrays!$I$6:$J$12,2,FALSE)</f>
        <v>Workweek</v>
      </c>
    </row>
    <row r="3364" spans="1:10">
      <c r="A3364" s="159" t="str">
        <f t="shared" si="262"/>
        <v>$E$1:$E$92</v>
      </c>
      <c r="B3364" s="159" t="str">
        <f t="shared" si="263"/>
        <v>$F$1:$F$92</v>
      </c>
      <c r="C3364" s="159" t="str">
        <f t="shared" si="264"/>
        <v>July!$E$1:$E$92</v>
      </c>
      <c r="D3364" s="159" t="str">
        <f t="shared" si="265"/>
        <v>July!$F$1:$F$92</v>
      </c>
      <c r="E3364" t="s">
        <v>7</v>
      </c>
      <c r="F3364" t="s">
        <v>126</v>
      </c>
      <c r="G3364" t="s">
        <v>142</v>
      </c>
      <c r="H3364" t="s">
        <v>153</v>
      </c>
      <c r="I3364" t="e">
        <f t="shared" ca="1" si="266"/>
        <v>#REF!</v>
      </c>
      <c r="J3364" t="str">
        <f>VLOOKUP($G3364,DefinitionArrays!$I$6:$J$12,2,FALSE)</f>
        <v>Workweek</v>
      </c>
    </row>
    <row r="3365" spans="1:10">
      <c r="A3365" s="159" t="str">
        <f t="shared" si="262"/>
        <v>$E$1:$E$92</v>
      </c>
      <c r="B3365" s="159" t="str">
        <f t="shared" si="263"/>
        <v>$F$1:$F$92</v>
      </c>
      <c r="C3365" s="159" t="str">
        <f t="shared" si="264"/>
        <v>July!$E$1:$E$92</v>
      </c>
      <c r="D3365" s="159" t="str">
        <f t="shared" si="265"/>
        <v>July!$F$1:$F$92</v>
      </c>
      <c r="E3365" t="s">
        <v>7</v>
      </c>
      <c r="F3365" t="s">
        <v>126</v>
      </c>
      <c r="G3365" t="s">
        <v>142</v>
      </c>
      <c r="H3365" t="s">
        <v>19</v>
      </c>
      <c r="I3365" t="e">
        <f t="shared" ca="1" si="266"/>
        <v>#REF!</v>
      </c>
      <c r="J3365" t="str">
        <f>VLOOKUP($G3365,DefinitionArrays!$I$6:$J$12,2,FALSE)</f>
        <v>Workweek</v>
      </c>
    </row>
    <row r="3366" spans="1:10">
      <c r="A3366" s="159" t="str">
        <f t="shared" si="262"/>
        <v>$E$1:$E$92</v>
      </c>
      <c r="B3366" s="159" t="str">
        <f t="shared" si="263"/>
        <v>$F$1:$F$92</v>
      </c>
      <c r="C3366" s="159" t="str">
        <f t="shared" si="264"/>
        <v>July!$E$1:$E$92</v>
      </c>
      <c r="D3366" s="159" t="str">
        <f t="shared" si="265"/>
        <v>July!$F$1:$F$92</v>
      </c>
      <c r="E3366" t="s">
        <v>7</v>
      </c>
      <c r="F3366" t="s">
        <v>126</v>
      </c>
      <c r="G3366" t="s">
        <v>142</v>
      </c>
      <c r="H3366" t="s">
        <v>20</v>
      </c>
      <c r="I3366" t="e">
        <f t="shared" ca="1" si="266"/>
        <v>#REF!</v>
      </c>
      <c r="J3366" t="str">
        <f>VLOOKUP($G3366,DefinitionArrays!$I$6:$J$12,2,FALSE)</f>
        <v>Workweek</v>
      </c>
    </row>
    <row r="3367" spans="1:10">
      <c r="A3367" s="159" t="str">
        <f t="shared" si="262"/>
        <v>$E$1:$E$92</v>
      </c>
      <c r="B3367" s="159" t="str">
        <f t="shared" si="263"/>
        <v>$F$1:$F$92</v>
      </c>
      <c r="C3367" s="159" t="str">
        <f t="shared" si="264"/>
        <v>July!$E$1:$E$92</v>
      </c>
      <c r="D3367" s="159" t="str">
        <f t="shared" si="265"/>
        <v>July!$F$1:$F$92</v>
      </c>
      <c r="E3367" t="s">
        <v>7</v>
      </c>
      <c r="F3367" t="s">
        <v>126</v>
      </c>
      <c r="G3367" t="s">
        <v>142</v>
      </c>
      <c r="H3367" t="s">
        <v>21</v>
      </c>
      <c r="I3367" t="e">
        <f t="shared" ca="1" si="266"/>
        <v>#REF!</v>
      </c>
      <c r="J3367" t="str">
        <f>VLOOKUP($G3367,DefinitionArrays!$I$6:$J$12,2,FALSE)</f>
        <v>Workweek</v>
      </c>
    </row>
    <row r="3368" spans="1:10">
      <c r="A3368" s="159" t="str">
        <f t="shared" si="262"/>
        <v>$E$1:$E$92</v>
      </c>
      <c r="B3368" s="159" t="str">
        <f t="shared" si="263"/>
        <v>$F$1:$F$92</v>
      </c>
      <c r="C3368" s="159" t="str">
        <f t="shared" si="264"/>
        <v>July!$E$1:$E$92</v>
      </c>
      <c r="D3368" s="159" t="str">
        <f t="shared" si="265"/>
        <v>July!$F$1:$F$92</v>
      </c>
      <c r="E3368" t="s">
        <v>7</v>
      </c>
      <c r="F3368" t="s">
        <v>126</v>
      </c>
      <c r="G3368" t="s">
        <v>142</v>
      </c>
      <c r="H3368" t="s">
        <v>22</v>
      </c>
      <c r="I3368" t="e">
        <f t="shared" ca="1" si="266"/>
        <v>#REF!</v>
      </c>
      <c r="J3368" t="str">
        <f>VLOOKUP($G3368,DefinitionArrays!$I$6:$J$12,2,FALSE)</f>
        <v>Workweek</v>
      </c>
    </row>
    <row r="3369" spans="1:10">
      <c r="A3369" s="159" t="str">
        <f t="shared" si="262"/>
        <v>$E$1:$E$92</v>
      </c>
      <c r="B3369" s="159" t="str">
        <f t="shared" si="263"/>
        <v>$F$1:$F$92</v>
      </c>
      <c r="C3369" s="159" t="str">
        <f t="shared" si="264"/>
        <v>July!$E$1:$E$92</v>
      </c>
      <c r="D3369" s="159" t="str">
        <f t="shared" si="265"/>
        <v>July!$F$1:$F$92</v>
      </c>
      <c r="E3369" t="s">
        <v>7</v>
      </c>
      <c r="F3369" t="s">
        <v>126</v>
      </c>
      <c r="G3369" t="s">
        <v>142</v>
      </c>
      <c r="H3369" t="s">
        <v>23</v>
      </c>
      <c r="I3369" t="e">
        <f t="shared" ca="1" si="266"/>
        <v>#REF!</v>
      </c>
      <c r="J3369" t="str">
        <f>VLOOKUP($G3369,DefinitionArrays!$I$6:$J$12,2,FALSE)</f>
        <v>Workweek</v>
      </c>
    </row>
    <row r="3370" spans="1:10">
      <c r="A3370" s="159" t="str">
        <f t="shared" si="262"/>
        <v>$E$1:$E$92</v>
      </c>
      <c r="B3370" s="159" t="str">
        <f t="shared" si="263"/>
        <v>$F$1:$F$92</v>
      </c>
      <c r="C3370" s="159" t="str">
        <f t="shared" si="264"/>
        <v>July!$E$1:$E$92</v>
      </c>
      <c r="D3370" s="159" t="str">
        <f t="shared" si="265"/>
        <v>July!$F$1:$F$92</v>
      </c>
      <c r="E3370" t="s">
        <v>7</v>
      </c>
      <c r="F3370" t="s">
        <v>126</v>
      </c>
      <c r="G3370" t="s">
        <v>142</v>
      </c>
      <c r="H3370" t="s">
        <v>24</v>
      </c>
      <c r="I3370" t="e">
        <f t="shared" ca="1" si="266"/>
        <v>#REF!</v>
      </c>
      <c r="J3370" t="str">
        <f>VLOOKUP($G3370,DefinitionArrays!$I$6:$J$12,2,FALSE)</f>
        <v>Workweek</v>
      </c>
    </row>
    <row r="3371" spans="1:10">
      <c r="A3371" s="159" t="str">
        <f t="shared" si="262"/>
        <v>$E$1:$E$92</v>
      </c>
      <c r="B3371" s="159" t="str">
        <f t="shared" si="263"/>
        <v>$F$1:$F$92</v>
      </c>
      <c r="C3371" s="159" t="str">
        <f t="shared" si="264"/>
        <v>July!$E$1:$E$92</v>
      </c>
      <c r="D3371" s="159" t="str">
        <f t="shared" si="265"/>
        <v>July!$F$1:$F$92</v>
      </c>
      <c r="E3371" t="s">
        <v>7</v>
      </c>
      <c r="F3371" t="s">
        <v>126</v>
      </c>
      <c r="G3371" t="s">
        <v>142</v>
      </c>
      <c r="H3371" t="s">
        <v>179</v>
      </c>
      <c r="I3371" t="e">
        <f t="shared" ca="1" si="266"/>
        <v>#REF!</v>
      </c>
      <c r="J3371" t="str">
        <f>VLOOKUP($G3371,DefinitionArrays!$I$6:$J$12,2,FALSE)</f>
        <v>Workweek</v>
      </c>
    </row>
    <row r="3372" spans="1:10">
      <c r="A3372" s="159" t="str">
        <f t="shared" si="262"/>
        <v>$E$1:$E$92</v>
      </c>
      <c r="B3372" s="159" t="str">
        <f t="shared" si="263"/>
        <v>$F$1:$F$92</v>
      </c>
      <c r="C3372" s="159" t="str">
        <f t="shared" si="264"/>
        <v>July!$E$1:$E$92</v>
      </c>
      <c r="D3372" s="159" t="str">
        <f t="shared" si="265"/>
        <v>July!$F$1:$F$92</v>
      </c>
      <c r="E3372" t="s">
        <v>7</v>
      </c>
      <c r="F3372" t="s">
        <v>126</v>
      </c>
      <c r="G3372" t="s">
        <v>142</v>
      </c>
      <c r="H3372" t="s">
        <v>180</v>
      </c>
      <c r="I3372" t="e">
        <f t="shared" ca="1" si="266"/>
        <v>#REF!</v>
      </c>
      <c r="J3372" t="str">
        <f>VLOOKUP($G3372,DefinitionArrays!$I$6:$J$12,2,FALSE)</f>
        <v>Workweek</v>
      </c>
    </row>
    <row r="3373" spans="1:10">
      <c r="A3373" s="159" t="str">
        <f t="shared" si="262"/>
        <v>$E$1:$E$92</v>
      </c>
      <c r="B3373" s="159" t="str">
        <f t="shared" si="263"/>
        <v>$F$1:$F$92</v>
      </c>
      <c r="C3373" s="159" t="str">
        <f t="shared" si="264"/>
        <v>July!$E$1:$E$92</v>
      </c>
      <c r="D3373" s="159" t="str">
        <f t="shared" si="265"/>
        <v>July!$F$1:$F$92</v>
      </c>
      <c r="E3373" t="s">
        <v>7</v>
      </c>
      <c r="F3373" t="s">
        <v>126</v>
      </c>
      <c r="G3373" t="s">
        <v>142</v>
      </c>
      <c r="H3373" t="s">
        <v>44</v>
      </c>
      <c r="I3373" t="e">
        <f t="shared" ca="1" si="266"/>
        <v>#REF!</v>
      </c>
      <c r="J3373" t="str">
        <f>VLOOKUP($G3373,DefinitionArrays!$I$6:$J$12,2,FALSE)</f>
        <v>Workweek</v>
      </c>
    </row>
    <row r="3374" spans="1:10">
      <c r="A3374" s="159" t="str">
        <f t="shared" si="262"/>
        <v>$H$1:$H$92</v>
      </c>
      <c r="B3374" s="159" t="str">
        <f t="shared" si="263"/>
        <v>$I$1:$I$92</v>
      </c>
      <c r="C3374" s="159" t="str">
        <f t="shared" si="264"/>
        <v>July!$H$1:$H$92</v>
      </c>
      <c r="D3374" s="159" t="str">
        <f t="shared" si="265"/>
        <v>July!$I$1:$I$92</v>
      </c>
      <c r="E3374" t="s">
        <v>7</v>
      </c>
      <c r="F3374" t="s">
        <v>126</v>
      </c>
      <c r="G3374" t="s">
        <v>143</v>
      </c>
      <c r="H3374" t="s">
        <v>159</v>
      </c>
      <c r="I3374" t="e">
        <f t="shared" ca="1" si="266"/>
        <v>#REF!</v>
      </c>
      <c r="J3374" t="str">
        <f>VLOOKUP($G3374,DefinitionArrays!$I$6:$J$12,2,FALSE)</f>
        <v>Workweek</v>
      </c>
    </row>
    <row r="3375" spans="1:10">
      <c r="A3375" s="159" t="str">
        <f t="shared" si="262"/>
        <v>$H$1:$H$92</v>
      </c>
      <c r="B3375" s="159" t="str">
        <f t="shared" si="263"/>
        <v>$I$1:$I$92</v>
      </c>
      <c r="C3375" s="159" t="str">
        <f t="shared" si="264"/>
        <v>July!$H$1:$H$92</v>
      </c>
      <c r="D3375" s="159" t="str">
        <f t="shared" si="265"/>
        <v>July!$I$1:$I$92</v>
      </c>
      <c r="E3375" t="s">
        <v>7</v>
      </c>
      <c r="F3375" t="s">
        <v>126</v>
      </c>
      <c r="G3375" t="s">
        <v>143</v>
      </c>
      <c r="H3375" t="s">
        <v>18</v>
      </c>
      <c r="I3375" t="e">
        <f t="shared" ca="1" si="266"/>
        <v>#REF!</v>
      </c>
      <c r="J3375" t="str">
        <f>VLOOKUP($G3375,DefinitionArrays!$I$6:$J$12,2,FALSE)</f>
        <v>Workweek</v>
      </c>
    </row>
    <row r="3376" spans="1:10">
      <c r="A3376" s="159" t="str">
        <f t="shared" si="262"/>
        <v>$H$1:$H$92</v>
      </c>
      <c r="B3376" s="159" t="str">
        <f t="shared" si="263"/>
        <v>$I$1:$I$92</v>
      </c>
      <c r="C3376" s="159" t="str">
        <f t="shared" si="264"/>
        <v>July!$H$1:$H$92</v>
      </c>
      <c r="D3376" s="159" t="str">
        <f t="shared" si="265"/>
        <v>July!$I$1:$I$92</v>
      </c>
      <c r="E3376" t="s">
        <v>7</v>
      </c>
      <c r="F3376" t="s">
        <v>126</v>
      </c>
      <c r="G3376" t="s">
        <v>143</v>
      </c>
      <c r="H3376" t="s">
        <v>153</v>
      </c>
      <c r="I3376" t="e">
        <f t="shared" ca="1" si="266"/>
        <v>#REF!</v>
      </c>
      <c r="J3376" t="str">
        <f>VLOOKUP($G3376,DefinitionArrays!$I$6:$J$12,2,FALSE)</f>
        <v>Workweek</v>
      </c>
    </row>
    <row r="3377" spans="1:10">
      <c r="A3377" s="159" t="str">
        <f t="shared" si="262"/>
        <v>$H$1:$H$92</v>
      </c>
      <c r="B3377" s="159" t="str">
        <f t="shared" si="263"/>
        <v>$I$1:$I$92</v>
      </c>
      <c r="C3377" s="159" t="str">
        <f t="shared" si="264"/>
        <v>July!$H$1:$H$92</v>
      </c>
      <c r="D3377" s="159" t="str">
        <f t="shared" si="265"/>
        <v>July!$I$1:$I$92</v>
      </c>
      <c r="E3377" t="s">
        <v>7</v>
      </c>
      <c r="F3377" t="s">
        <v>126</v>
      </c>
      <c r="G3377" t="s">
        <v>143</v>
      </c>
      <c r="H3377" t="s">
        <v>19</v>
      </c>
      <c r="I3377" t="e">
        <f t="shared" ca="1" si="266"/>
        <v>#REF!</v>
      </c>
      <c r="J3377" t="str">
        <f>VLOOKUP($G3377,DefinitionArrays!$I$6:$J$12,2,FALSE)</f>
        <v>Workweek</v>
      </c>
    </row>
    <row r="3378" spans="1:10">
      <c r="A3378" s="159" t="str">
        <f t="shared" si="262"/>
        <v>$H$1:$H$92</v>
      </c>
      <c r="B3378" s="159" t="str">
        <f t="shared" si="263"/>
        <v>$I$1:$I$92</v>
      </c>
      <c r="C3378" s="159" t="str">
        <f t="shared" si="264"/>
        <v>July!$H$1:$H$92</v>
      </c>
      <c r="D3378" s="159" t="str">
        <f t="shared" si="265"/>
        <v>July!$I$1:$I$92</v>
      </c>
      <c r="E3378" t="s">
        <v>7</v>
      </c>
      <c r="F3378" t="s">
        <v>126</v>
      </c>
      <c r="G3378" t="s">
        <v>143</v>
      </c>
      <c r="H3378" t="s">
        <v>20</v>
      </c>
      <c r="I3378" t="e">
        <f t="shared" ca="1" si="266"/>
        <v>#REF!</v>
      </c>
      <c r="J3378" t="str">
        <f>VLOOKUP($G3378,DefinitionArrays!$I$6:$J$12,2,FALSE)</f>
        <v>Workweek</v>
      </c>
    </row>
    <row r="3379" spans="1:10">
      <c r="A3379" s="159" t="str">
        <f t="shared" si="262"/>
        <v>$H$1:$H$92</v>
      </c>
      <c r="B3379" s="159" t="str">
        <f t="shared" si="263"/>
        <v>$I$1:$I$92</v>
      </c>
      <c r="C3379" s="159" t="str">
        <f t="shared" si="264"/>
        <v>July!$H$1:$H$92</v>
      </c>
      <c r="D3379" s="159" t="str">
        <f t="shared" si="265"/>
        <v>July!$I$1:$I$92</v>
      </c>
      <c r="E3379" t="s">
        <v>7</v>
      </c>
      <c r="F3379" t="s">
        <v>126</v>
      </c>
      <c r="G3379" t="s">
        <v>143</v>
      </c>
      <c r="H3379" t="s">
        <v>21</v>
      </c>
      <c r="I3379" t="e">
        <f t="shared" ca="1" si="266"/>
        <v>#REF!</v>
      </c>
      <c r="J3379" t="str">
        <f>VLOOKUP($G3379,DefinitionArrays!$I$6:$J$12,2,FALSE)</f>
        <v>Workweek</v>
      </c>
    </row>
    <row r="3380" spans="1:10">
      <c r="A3380" s="159" t="str">
        <f t="shared" si="262"/>
        <v>$H$1:$H$92</v>
      </c>
      <c r="B3380" s="159" t="str">
        <f t="shared" si="263"/>
        <v>$I$1:$I$92</v>
      </c>
      <c r="C3380" s="159" t="str">
        <f t="shared" si="264"/>
        <v>July!$H$1:$H$92</v>
      </c>
      <c r="D3380" s="159" t="str">
        <f t="shared" si="265"/>
        <v>July!$I$1:$I$92</v>
      </c>
      <c r="E3380" t="s">
        <v>7</v>
      </c>
      <c r="F3380" t="s">
        <v>126</v>
      </c>
      <c r="G3380" t="s">
        <v>143</v>
      </c>
      <c r="H3380" t="s">
        <v>22</v>
      </c>
      <c r="I3380" t="e">
        <f t="shared" ca="1" si="266"/>
        <v>#REF!</v>
      </c>
      <c r="J3380" t="str">
        <f>VLOOKUP($G3380,DefinitionArrays!$I$6:$J$12,2,FALSE)</f>
        <v>Workweek</v>
      </c>
    </row>
    <row r="3381" spans="1:10">
      <c r="A3381" s="159" t="str">
        <f t="shared" si="262"/>
        <v>$H$1:$H$92</v>
      </c>
      <c r="B3381" s="159" t="str">
        <f t="shared" si="263"/>
        <v>$I$1:$I$92</v>
      </c>
      <c r="C3381" s="159" t="str">
        <f t="shared" si="264"/>
        <v>July!$H$1:$H$92</v>
      </c>
      <c r="D3381" s="159" t="str">
        <f t="shared" si="265"/>
        <v>July!$I$1:$I$92</v>
      </c>
      <c r="E3381" t="s">
        <v>7</v>
      </c>
      <c r="F3381" t="s">
        <v>126</v>
      </c>
      <c r="G3381" t="s">
        <v>143</v>
      </c>
      <c r="H3381" t="s">
        <v>23</v>
      </c>
      <c r="I3381" t="e">
        <f t="shared" ca="1" si="266"/>
        <v>#REF!</v>
      </c>
      <c r="J3381" t="str">
        <f>VLOOKUP($G3381,DefinitionArrays!$I$6:$J$12,2,FALSE)</f>
        <v>Workweek</v>
      </c>
    </row>
    <row r="3382" spans="1:10">
      <c r="A3382" s="159" t="str">
        <f t="shared" si="262"/>
        <v>$H$1:$H$92</v>
      </c>
      <c r="B3382" s="159" t="str">
        <f t="shared" si="263"/>
        <v>$I$1:$I$92</v>
      </c>
      <c r="C3382" s="159" t="str">
        <f t="shared" si="264"/>
        <v>July!$H$1:$H$92</v>
      </c>
      <c r="D3382" s="159" t="str">
        <f t="shared" si="265"/>
        <v>July!$I$1:$I$92</v>
      </c>
      <c r="E3382" t="s">
        <v>7</v>
      </c>
      <c r="F3382" t="s">
        <v>126</v>
      </c>
      <c r="G3382" t="s">
        <v>143</v>
      </c>
      <c r="H3382" t="s">
        <v>24</v>
      </c>
      <c r="I3382" t="e">
        <f t="shared" ca="1" si="266"/>
        <v>#REF!</v>
      </c>
      <c r="J3382" t="str">
        <f>VLOOKUP($G3382,DefinitionArrays!$I$6:$J$12,2,FALSE)</f>
        <v>Workweek</v>
      </c>
    </row>
    <row r="3383" spans="1:10">
      <c r="A3383" s="159" t="str">
        <f t="shared" si="262"/>
        <v>$H$1:$H$92</v>
      </c>
      <c r="B3383" s="159" t="str">
        <f t="shared" si="263"/>
        <v>$I$1:$I$92</v>
      </c>
      <c r="C3383" s="159" t="str">
        <f t="shared" si="264"/>
        <v>July!$H$1:$H$92</v>
      </c>
      <c r="D3383" s="159" t="str">
        <f t="shared" si="265"/>
        <v>July!$I$1:$I$92</v>
      </c>
      <c r="E3383" t="s">
        <v>7</v>
      </c>
      <c r="F3383" t="s">
        <v>126</v>
      </c>
      <c r="G3383" t="s">
        <v>143</v>
      </c>
      <c r="H3383" t="s">
        <v>179</v>
      </c>
      <c r="I3383" t="e">
        <f t="shared" ca="1" si="266"/>
        <v>#REF!</v>
      </c>
      <c r="J3383" t="str">
        <f>VLOOKUP($G3383,DefinitionArrays!$I$6:$J$12,2,FALSE)</f>
        <v>Workweek</v>
      </c>
    </row>
    <row r="3384" spans="1:10">
      <c r="A3384" s="159" t="str">
        <f t="shared" si="262"/>
        <v>$H$1:$H$92</v>
      </c>
      <c r="B3384" s="159" t="str">
        <f t="shared" si="263"/>
        <v>$I$1:$I$92</v>
      </c>
      <c r="C3384" s="159" t="str">
        <f t="shared" si="264"/>
        <v>July!$H$1:$H$92</v>
      </c>
      <c r="D3384" s="159" t="str">
        <f t="shared" si="265"/>
        <v>July!$I$1:$I$92</v>
      </c>
      <c r="E3384" t="s">
        <v>7</v>
      </c>
      <c r="F3384" t="s">
        <v>126</v>
      </c>
      <c r="G3384" t="s">
        <v>143</v>
      </c>
      <c r="H3384" t="s">
        <v>180</v>
      </c>
      <c r="I3384" t="e">
        <f t="shared" ca="1" si="266"/>
        <v>#REF!</v>
      </c>
      <c r="J3384" t="str">
        <f>VLOOKUP($G3384,DefinitionArrays!$I$6:$J$12,2,FALSE)</f>
        <v>Workweek</v>
      </c>
    </row>
    <row r="3385" spans="1:10">
      <c r="A3385" s="159" t="str">
        <f t="shared" si="262"/>
        <v>$H$1:$H$92</v>
      </c>
      <c r="B3385" s="159" t="str">
        <f t="shared" si="263"/>
        <v>$I$1:$I$92</v>
      </c>
      <c r="C3385" s="159" t="str">
        <f t="shared" si="264"/>
        <v>July!$H$1:$H$92</v>
      </c>
      <c r="D3385" s="159" t="str">
        <f t="shared" si="265"/>
        <v>July!$I$1:$I$92</v>
      </c>
      <c r="E3385" t="s">
        <v>7</v>
      </c>
      <c r="F3385" t="s">
        <v>126</v>
      </c>
      <c r="G3385" t="s">
        <v>143</v>
      </c>
      <c r="H3385" t="s">
        <v>44</v>
      </c>
      <c r="I3385" t="e">
        <f t="shared" ca="1" si="266"/>
        <v>#REF!</v>
      </c>
      <c r="J3385" t="str">
        <f>VLOOKUP($G3385,DefinitionArrays!$I$6:$J$12,2,FALSE)</f>
        <v>Workweek</v>
      </c>
    </row>
    <row r="3386" spans="1:10">
      <c r="A3386" s="159" t="str">
        <f t="shared" si="262"/>
        <v>$K$1:$K$92</v>
      </c>
      <c r="B3386" s="159" t="str">
        <f t="shared" si="263"/>
        <v>$L$1:$L$92</v>
      </c>
      <c r="C3386" s="159" t="str">
        <f t="shared" si="264"/>
        <v>July!$K$1:$K$92</v>
      </c>
      <c r="D3386" s="159" t="str">
        <f t="shared" si="265"/>
        <v>July!$L$1:$L$92</v>
      </c>
      <c r="E3386" t="s">
        <v>7</v>
      </c>
      <c r="F3386" t="s">
        <v>126</v>
      </c>
      <c r="G3386" t="s">
        <v>144</v>
      </c>
      <c r="H3386" t="s">
        <v>159</v>
      </c>
      <c r="I3386" t="e">
        <f t="shared" ca="1" si="266"/>
        <v>#REF!</v>
      </c>
      <c r="J3386" t="str">
        <f>VLOOKUP($G3386,DefinitionArrays!$I$6:$J$12,2,FALSE)</f>
        <v>Workweek</v>
      </c>
    </row>
    <row r="3387" spans="1:10">
      <c r="A3387" s="159" t="str">
        <f t="shared" si="262"/>
        <v>$K$1:$K$92</v>
      </c>
      <c r="B3387" s="159" t="str">
        <f t="shared" si="263"/>
        <v>$L$1:$L$92</v>
      </c>
      <c r="C3387" s="159" t="str">
        <f t="shared" si="264"/>
        <v>July!$K$1:$K$92</v>
      </c>
      <c r="D3387" s="159" t="str">
        <f t="shared" si="265"/>
        <v>July!$L$1:$L$92</v>
      </c>
      <c r="E3387" t="s">
        <v>7</v>
      </c>
      <c r="F3387" t="s">
        <v>126</v>
      </c>
      <c r="G3387" t="s">
        <v>144</v>
      </c>
      <c r="H3387" t="s">
        <v>18</v>
      </c>
      <c r="I3387" t="e">
        <f t="shared" ca="1" si="266"/>
        <v>#REF!</v>
      </c>
      <c r="J3387" t="str">
        <f>VLOOKUP($G3387,DefinitionArrays!$I$6:$J$12,2,FALSE)</f>
        <v>Workweek</v>
      </c>
    </row>
    <row r="3388" spans="1:10">
      <c r="A3388" s="159" t="str">
        <f t="shared" si="262"/>
        <v>$K$1:$K$92</v>
      </c>
      <c r="B3388" s="159" t="str">
        <f t="shared" si="263"/>
        <v>$L$1:$L$92</v>
      </c>
      <c r="C3388" s="159" t="str">
        <f t="shared" si="264"/>
        <v>July!$K$1:$K$92</v>
      </c>
      <c r="D3388" s="159" t="str">
        <f t="shared" si="265"/>
        <v>July!$L$1:$L$92</v>
      </c>
      <c r="E3388" t="s">
        <v>7</v>
      </c>
      <c r="F3388" t="s">
        <v>126</v>
      </c>
      <c r="G3388" t="s">
        <v>144</v>
      </c>
      <c r="H3388" t="s">
        <v>153</v>
      </c>
      <c r="I3388" t="e">
        <f t="shared" ca="1" si="266"/>
        <v>#REF!</v>
      </c>
      <c r="J3388" t="str">
        <f>VLOOKUP($G3388,DefinitionArrays!$I$6:$J$12,2,FALSE)</f>
        <v>Workweek</v>
      </c>
    </row>
    <row r="3389" spans="1:10">
      <c r="A3389" s="159" t="str">
        <f t="shared" si="262"/>
        <v>$K$1:$K$92</v>
      </c>
      <c r="B3389" s="159" t="str">
        <f t="shared" si="263"/>
        <v>$L$1:$L$92</v>
      </c>
      <c r="C3389" s="159" t="str">
        <f t="shared" si="264"/>
        <v>July!$K$1:$K$92</v>
      </c>
      <c r="D3389" s="159" t="str">
        <f t="shared" si="265"/>
        <v>July!$L$1:$L$92</v>
      </c>
      <c r="E3389" t="s">
        <v>7</v>
      </c>
      <c r="F3389" t="s">
        <v>126</v>
      </c>
      <c r="G3389" t="s">
        <v>144</v>
      </c>
      <c r="H3389" t="s">
        <v>19</v>
      </c>
      <c r="I3389" t="e">
        <f t="shared" ca="1" si="266"/>
        <v>#REF!</v>
      </c>
      <c r="J3389" t="str">
        <f>VLOOKUP($G3389,DefinitionArrays!$I$6:$J$12,2,FALSE)</f>
        <v>Workweek</v>
      </c>
    </row>
    <row r="3390" spans="1:10">
      <c r="A3390" s="159" t="str">
        <f t="shared" si="262"/>
        <v>$K$1:$K$92</v>
      </c>
      <c r="B3390" s="159" t="str">
        <f t="shared" si="263"/>
        <v>$L$1:$L$92</v>
      </c>
      <c r="C3390" s="159" t="str">
        <f t="shared" si="264"/>
        <v>July!$K$1:$K$92</v>
      </c>
      <c r="D3390" s="159" t="str">
        <f t="shared" si="265"/>
        <v>July!$L$1:$L$92</v>
      </c>
      <c r="E3390" t="s">
        <v>7</v>
      </c>
      <c r="F3390" t="s">
        <v>126</v>
      </c>
      <c r="G3390" t="s">
        <v>144</v>
      </c>
      <c r="H3390" t="s">
        <v>20</v>
      </c>
      <c r="I3390" t="e">
        <f t="shared" ca="1" si="266"/>
        <v>#REF!</v>
      </c>
      <c r="J3390" t="str">
        <f>VLOOKUP($G3390,DefinitionArrays!$I$6:$J$12,2,FALSE)</f>
        <v>Workweek</v>
      </c>
    </row>
    <row r="3391" spans="1:10">
      <c r="A3391" s="159" t="str">
        <f t="shared" si="262"/>
        <v>$K$1:$K$92</v>
      </c>
      <c r="B3391" s="159" t="str">
        <f t="shared" si="263"/>
        <v>$L$1:$L$92</v>
      </c>
      <c r="C3391" s="159" t="str">
        <f t="shared" si="264"/>
        <v>July!$K$1:$K$92</v>
      </c>
      <c r="D3391" s="159" t="str">
        <f t="shared" si="265"/>
        <v>July!$L$1:$L$92</v>
      </c>
      <c r="E3391" t="s">
        <v>7</v>
      </c>
      <c r="F3391" t="s">
        <v>126</v>
      </c>
      <c r="G3391" t="s">
        <v>144</v>
      </c>
      <c r="H3391" t="s">
        <v>21</v>
      </c>
      <c r="I3391" t="e">
        <f t="shared" ca="1" si="266"/>
        <v>#REF!</v>
      </c>
      <c r="J3391" t="str">
        <f>VLOOKUP($G3391,DefinitionArrays!$I$6:$J$12,2,FALSE)</f>
        <v>Workweek</v>
      </c>
    </row>
    <row r="3392" spans="1:10">
      <c r="A3392" s="159" t="str">
        <f t="shared" si="262"/>
        <v>$K$1:$K$92</v>
      </c>
      <c r="B3392" s="159" t="str">
        <f t="shared" si="263"/>
        <v>$L$1:$L$92</v>
      </c>
      <c r="C3392" s="159" t="str">
        <f t="shared" si="264"/>
        <v>July!$K$1:$K$92</v>
      </c>
      <c r="D3392" s="159" t="str">
        <f t="shared" si="265"/>
        <v>July!$L$1:$L$92</v>
      </c>
      <c r="E3392" t="s">
        <v>7</v>
      </c>
      <c r="F3392" t="s">
        <v>126</v>
      </c>
      <c r="G3392" t="s">
        <v>144</v>
      </c>
      <c r="H3392" t="s">
        <v>22</v>
      </c>
      <c r="I3392" t="e">
        <f t="shared" ca="1" si="266"/>
        <v>#REF!</v>
      </c>
      <c r="J3392" t="str">
        <f>VLOOKUP($G3392,DefinitionArrays!$I$6:$J$12,2,FALSE)</f>
        <v>Workweek</v>
      </c>
    </row>
    <row r="3393" spans="1:10">
      <c r="A3393" s="159" t="str">
        <f t="shared" si="262"/>
        <v>$K$1:$K$92</v>
      </c>
      <c r="B3393" s="159" t="str">
        <f t="shared" si="263"/>
        <v>$L$1:$L$92</v>
      </c>
      <c r="C3393" s="159" t="str">
        <f t="shared" si="264"/>
        <v>July!$K$1:$K$92</v>
      </c>
      <c r="D3393" s="159" t="str">
        <f t="shared" si="265"/>
        <v>July!$L$1:$L$92</v>
      </c>
      <c r="E3393" t="s">
        <v>7</v>
      </c>
      <c r="F3393" t="s">
        <v>126</v>
      </c>
      <c r="G3393" t="s">
        <v>144</v>
      </c>
      <c r="H3393" t="s">
        <v>23</v>
      </c>
      <c r="I3393" t="e">
        <f t="shared" ca="1" si="266"/>
        <v>#REF!</v>
      </c>
      <c r="J3393" t="str">
        <f>VLOOKUP($G3393,DefinitionArrays!$I$6:$J$12,2,FALSE)</f>
        <v>Workweek</v>
      </c>
    </row>
    <row r="3394" spans="1:10">
      <c r="A3394" s="159" t="str">
        <f t="shared" ref="A3394:A3457" si="267">VLOOKUP($G3394,Fx_Code,2,FALSE)</f>
        <v>$K$1:$K$92</v>
      </c>
      <c r="B3394" s="159" t="str">
        <f t="shared" ref="B3394:B3457" si="268">VLOOKUP($G3394,Fx_Code,3,FALSE)</f>
        <v>$L$1:$L$92</v>
      </c>
      <c r="C3394" s="159" t="str">
        <f t="shared" ref="C3394:C3457" si="269">CONCATENATE($F3394,$K$1,A3394)</f>
        <v>July!$K$1:$K$92</v>
      </c>
      <c r="D3394" s="159" t="str">
        <f t="shared" ref="D3394:D3457" si="270">CONCATENATE($F3394,$K$1,B3394)</f>
        <v>July!$L$1:$L$92</v>
      </c>
      <c r="E3394" t="s">
        <v>7</v>
      </c>
      <c r="F3394" t="s">
        <v>126</v>
      </c>
      <c r="G3394" t="s">
        <v>144</v>
      </c>
      <c r="H3394" t="s">
        <v>24</v>
      </c>
      <c r="I3394" t="e">
        <f t="shared" ca="1" si="266"/>
        <v>#REF!</v>
      </c>
      <c r="J3394" t="str">
        <f>VLOOKUP($G3394,DefinitionArrays!$I$6:$J$12,2,FALSE)</f>
        <v>Workweek</v>
      </c>
    </row>
    <row r="3395" spans="1:10">
      <c r="A3395" s="159" t="str">
        <f t="shared" si="267"/>
        <v>$K$1:$K$92</v>
      </c>
      <c r="B3395" s="159" t="str">
        <f t="shared" si="268"/>
        <v>$L$1:$L$92</v>
      </c>
      <c r="C3395" s="159" t="str">
        <f t="shared" si="269"/>
        <v>July!$K$1:$K$92</v>
      </c>
      <c r="D3395" s="159" t="str">
        <f t="shared" si="270"/>
        <v>July!$L$1:$L$92</v>
      </c>
      <c r="E3395" t="s">
        <v>7</v>
      </c>
      <c r="F3395" t="s">
        <v>126</v>
      </c>
      <c r="G3395" t="s">
        <v>144</v>
      </c>
      <c r="H3395" t="s">
        <v>179</v>
      </c>
      <c r="I3395" t="e">
        <f t="shared" ca="1" si="266"/>
        <v>#REF!</v>
      </c>
      <c r="J3395" t="str">
        <f>VLOOKUP($G3395,DefinitionArrays!$I$6:$J$12,2,FALSE)</f>
        <v>Workweek</v>
      </c>
    </row>
    <row r="3396" spans="1:10">
      <c r="A3396" s="159" t="str">
        <f t="shared" si="267"/>
        <v>$K$1:$K$92</v>
      </c>
      <c r="B3396" s="159" t="str">
        <f t="shared" si="268"/>
        <v>$L$1:$L$92</v>
      </c>
      <c r="C3396" s="159" t="str">
        <f t="shared" si="269"/>
        <v>July!$K$1:$K$92</v>
      </c>
      <c r="D3396" s="159" t="str">
        <f t="shared" si="270"/>
        <v>July!$L$1:$L$92</v>
      </c>
      <c r="E3396" t="s">
        <v>7</v>
      </c>
      <c r="F3396" t="s">
        <v>126</v>
      </c>
      <c r="G3396" t="s">
        <v>144</v>
      </c>
      <c r="H3396" t="s">
        <v>180</v>
      </c>
      <c r="I3396" t="e">
        <f t="shared" ca="1" si="266"/>
        <v>#REF!</v>
      </c>
      <c r="J3396" t="str">
        <f>VLOOKUP($G3396,DefinitionArrays!$I$6:$J$12,2,FALSE)</f>
        <v>Workweek</v>
      </c>
    </row>
    <row r="3397" spans="1:10">
      <c r="A3397" s="159" t="str">
        <f t="shared" si="267"/>
        <v>$K$1:$K$92</v>
      </c>
      <c r="B3397" s="159" t="str">
        <f t="shared" si="268"/>
        <v>$L$1:$L$92</v>
      </c>
      <c r="C3397" s="159" t="str">
        <f t="shared" si="269"/>
        <v>July!$K$1:$K$92</v>
      </c>
      <c r="D3397" s="159" t="str">
        <f t="shared" si="270"/>
        <v>July!$L$1:$L$92</v>
      </c>
      <c r="E3397" t="s">
        <v>7</v>
      </c>
      <c r="F3397" t="s">
        <v>126</v>
      </c>
      <c r="G3397" t="s">
        <v>144</v>
      </c>
      <c r="H3397" t="s">
        <v>44</v>
      </c>
      <c r="I3397" t="e">
        <f t="shared" ca="1" si="266"/>
        <v>#REF!</v>
      </c>
      <c r="J3397" t="str">
        <f>VLOOKUP($G3397,DefinitionArrays!$I$6:$J$12,2,FALSE)</f>
        <v>Workweek</v>
      </c>
    </row>
    <row r="3398" spans="1:10">
      <c r="A3398" s="159" t="str">
        <f t="shared" si="267"/>
        <v>$N$1:$N$92</v>
      </c>
      <c r="B3398" s="159" t="str">
        <f t="shared" si="268"/>
        <v>$O$1:$O$92</v>
      </c>
      <c r="C3398" s="159" t="str">
        <f t="shared" si="269"/>
        <v>July!$N$1:$N$92</v>
      </c>
      <c r="D3398" s="159" t="str">
        <f t="shared" si="270"/>
        <v>July!$O$1:$O$92</v>
      </c>
      <c r="E3398" t="s">
        <v>7</v>
      </c>
      <c r="F3398" t="s">
        <v>126</v>
      </c>
      <c r="G3398" t="s">
        <v>145</v>
      </c>
      <c r="H3398" t="s">
        <v>159</v>
      </c>
      <c r="I3398" t="e">
        <f t="shared" ca="1" si="266"/>
        <v>#REF!</v>
      </c>
      <c r="J3398" t="str">
        <f>VLOOKUP($G3398,DefinitionArrays!$I$6:$J$12,2,FALSE)</f>
        <v>Weekend</v>
      </c>
    </row>
    <row r="3399" spans="1:10">
      <c r="A3399" s="159" t="str">
        <f t="shared" si="267"/>
        <v>$N$1:$N$92</v>
      </c>
      <c r="B3399" s="159" t="str">
        <f t="shared" si="268"/>
        <v>$O$1:$O$92</v>
      </c>
      <c r="C3399" s="159" t="str">
        <f t="shared" si="269"/>
        <v>July!$N$1:$N$92</v>
      </c>
      <c r="D3399" s="159" t="str">
        <f t="shared" si="270"/>
        <v>July!$O$1:$O$92</v>
      </c>
      <c r="E3399" t="s">
        <v>7</v>
      </c>
      <c r="F3399" t="s">
        <v>126</v>
      </c>
      <c r="G3399" t="s">
        <v>145</v>
      </c>
      <c r="H3399" t="s">
        <v>18</v>
      </c>
      <c r="I3399" t="e">
        <f t="shared" ca="1" si="266"/>
        <v>#REF!</v>
      </c>
      <c r="J3399" t="str">
        <f>VLOOKUP($G3399,DefinitionArrays!$I$6:$J$12,2,FALSE)</f>
        <v>Weekend</v>
      </c>
    </row>
    <row r="3400" spans="1:10">
      <c r="A3400" s="159" t="str">
        <f t="shared" si="267"/>
        <v>$N$1:$N$92</v>
      </c>
      <c r="B3400" s="159" t="str">
        <f t="shared" si="268"/>
        <v>$O$1:$O$92</v>
      </c>
      <c r="C3400" s="159" t="str">
        <f t="shared" si="269"/>
        <v>July!$N$1:$N$92</v>
      </c>
      <c r="D3400" s="159" t="str">
        <f t="shared" si="270"/>
        <v>July!$O$1:$O$92</v>
      </c>
      <c r="E3400" t="s">
        <v>7</v>
      </c>
      <c r="F3400" t="s">
        <v>126</v>
      </c>
      <c r="G3400" t="s">
        <v>145</v>
      </c>
      <c r="H3400" t="s">
        <v>153</v>
      </c>
      <c r="I3400" t="e">
        <f t="shared" ca="1" si="266"/>
        <v>#REF!</v>
      </c>
      <c r="J3400" t="str">
        <f>VLOOKUP($G3400,DefinitionArrays!$I$6:$J$12,2,FALSE)</f>
        <v>Weekend</v>
      </c>
    </row>
    <row r="3401" spans="1:10">
      <c r="A3401" s="159" t="str">
        <f t="shared" si="267"/>
        <v>$N$1:$N$92</v>
      </c>
      <c r="B3401" s="159" t="str">
        <f t="shared" si="268"/>
        <v>$O$1:$O$92</v>
      </c>
      <c r="C3401" s="159" t="str">
        <f t="shared" si="269"/>
        <v>July!$N$1:$N$92</v>
      </c>
      <c r="D3401" s="159" t="str">
        <f t="shared" si="270"/>
        <v>July!$O$1:$O$92</v>
      </c>
      <c r="E3401" t="s">
        <v>7</v>
      </c>
      <c r="F3401" t="s">
        <v>126</v>
      </c>
      <c r="G3401" t="s">
        <v>145</v>
      </c>
      <c r="H3401" t="s">
        <v>19</v>
      </c>
      <c r="I3401" t="e">
        <f t="shared" ca="1" si="266"/>
        <v>#REF!</v>
      </c>
      <c r="J3401" t="str">
        <f>VLOOKUP($G3401,DefinitionArrays!$I$6:$J$12,2,FALSE)</f>
        <v>Weekend</v>
      </c>
    </row>
    <row r="3402" spans="1:10">
      <c r="A3402" s="159" t="str">
        <f t="shared" si="267"/>
        <v>$N$1:$N$92</v>
      </c>
      <c r="B3402" s="159" t="str">
        <f t="shared" si="268"/>
        <v>$O$1:$O$92</v>
      </c>
      <c r="C3402" s="159" t="str">
        <f t="shared" si="269"/>
        <v>July!$N$1:$N$92</v>
      </c>
      <c r="D3402" s="159" t="str">
        <f t="shared" si="270"/>
        <v>July!$O$1:$O$92</v>
      </c>
      <c r="E3402" t="s">
        <v>7</v>
      </c>
      <c r="F3402" t="s">
        <v>126</v>
      </c>
      <c r="G3402" t="s">
        <v>145</v>
      </c>
      <c r="H3402" t="s">
        <v>20</v>
      </c>
      <c r="I3402" t="e">
        <f t="shared" ca="1" si="266"/>
        <v>#REF!</v>
      </c>
      <c r="J3402" t="str">
        <f>VLOOKUP($G3402,DefinitionArrays!$I$6:$J$12,2,FALSE)</f>
        <v>Weekend</v>
      </c>
    </row>
    <row r="3403" spans="1:10">
      <c r="A3403" s="159" t="str">
        <f t="shared" si="267"/>
        <v>$N$1:$N$92</v>
      </c>
      <c r="B3403" s="159" t="str">
        <f t="shared" si="268"/>
        <v>$O$1:$O$92</v>
      </c>
      <c r="C3403" s="159" t="str">
        <f t="shared" si="269"/>
        <v>July!$N$1:$N$92</v>
      </c>
      <c r="D3403" s="159" t="str">
        <f t="shared" si="270"/>
        <v>July!$O$1:$O$92</v>
      </c>
      <c r="E3403" t="s">
        <v>7</v>
      </c>
      <c r="F3403" t="s">
        <v>126</v>
      </c>
      <c r="G3403" t="s">
        <v>145</v>
      </c>
      <c r="H3403" t="s">
        <v>21</v>
      </c>
      <c r="I3403" t="e">
        <f t="shared" ca="1" si="266"/>
        <v>#REF!</v>
      </c>
      <c r="J3403" t="str">
        <f>VLOOKUP($G3403,DefinitionArrays!$I$6:$J$12,2,FALSE)</f>
        <v>Weekend</v>
      </c>
    </row>
    <row r="3404" spans="1:10">
      <c r="A3404" s="159" t="str">
        <f t="shared" si="267"/>
        <v>$N$1:$N$92</v>
      </c>
      <c r="B3404" s="159" t="str">
        <f t="shared" si="268"/>
        <v>$O$1:$O$92</v>
      </c>
      <c r="C3404" s="159" t="str">
        <f t="shared" si="269"/>
        <v>July!$N$1:$N$92</v>
      </c>
      <c r="D3404" s="159" t="str">
        <f t="shared" si="270"/>
        <v>July!$O$1:$O$92</v>
      </c>
      <c r="E3404" t="s">
        <v>7</v>
      </c>
      <c r="F3404" t="s">
        <v>126</v>
      </c>
      <c r="G3404" t="s">
        <v>145</v>
      </c>
      <c r="H3404" t="s">
        <v>22</v>
      </c>
      <c r="I3404" t="e">
        <f t="shared" ca="1" si="266"/>
        <v>#REF!</v>
      </c>
      <c r="J3404" t="str">
        <f>VLOOKUP($G3404,DefinitionArrays!$I$6:$J$12,2,FALSE)</f>
        <v>Weekend</v>
      </c>
    </row>
    <row r="3405" spans="1:10">
      <c r="A3405" s="159" t="str">
        <f t="shared" si="267"/>
        <v>$N$1:$N$92</v>
      </c>
      <c r="B3405" s="159" t="str">
        <f t="shared" si="268"/>
        <v>$O$1:$O$92</v>
      </c>
      <c r="C3405" s="159" t="str">
        <f t="shared" si="269"/>
        <v>July!$N$1:$N$92</v>
      </c>
      <c r="D3405" s="159" t="str">
        <f t="shared" si="270"/>
        <v>July!$O$1:$O$92</v>
      </c>
      <c r="E3405" t="s">
        <v>7</v>
      </c>
      <c r="F3405" t="s">
        <v>126</v>
      </c>
      <c r="G3405" t="s">
        <v>145</v>
      </c>
      <c r="H3405" t="s">
        <v>23</v>
      </c>
      <c r="I3405" t="e">
        <f t="shared" ca="1" si="266"/>
        <v>#REF!</v>
      </c>
      <c r="J3405" t="str">
        <f>VLOOKUP($G3405,DefinitionArrays!$I$6:$J$12,2,FALSE)</f>
        <v>Weekend</v>
      </c>
    </row>
    <row r="3406" spans="1:10">
      <c r="A3406" s="159" t="str">
        <f t="shared" si="267"/>
        <v>$N$1:$N$92</v>
      </c>
      <c r="B3406" s="159" t="str">
        <f t="shared" si="268"/>
        <v>$O$1:$O$92</v>
      </c>
      <c r="C3406" s="159" t="str">
        <f t="shared" si="269"/>
        <v>July!$N$1:$N$92</v>
      </c>
      <c r="D3406" s="159" t="str">
        <f t="shared" si="270"/>
        <v>July!$O$1:$O$92</v>
      </c>
      <c r="E3406" t="s">
        <v>7</v>
      </c>
      <c r="F3406" t="s">
        <v>126</v>
      </c>
      <c r="G3406" t="s">
        <v>145</v>
      </c>
      <c r="H3406" t="s">
        <v>24</v>
      </c>
      <c r="I3406" t="e">
        <f t="shared" ca="1" si="266"/>
        <v>#REF!</v>
      </c>
      <c r="J3406" t="str">
        <f>VLOOKUP($G3406,DefinitionArrays!$I$6:$J$12,2,FALSE)</f>
        <v>Weekend</v>
      </c>
    </row>
    <row r="3407" spans="1:10">
      <c r="A3407" s="159" t="str">
        <f t="shared" si="267"/>
        <v>$N$1:$N$92</v>
      </c>
      <c r="B3407" s="159" t="str">
        <f t="shared" si="268"/>
        <v>$O$1:$O$92</v>
      </c>
      <c r="C3407" s="159" t="str">
        <f t="shared" si="269"/>
        <v>July!$N$1:$N$92</v>
      </c>
      <c r="D3407" s="159" t="str">
        <f t="shared" si="270"/>
        <v>July!$O$1:$O$92</v>
      </c>
      <c r="E3407" t="s">
        <v>7</v>
      </c>
      <c r="F3407" t="s">
        <v>126</v>
      </c>
      <c r="G3407" t="s">
        <v>145</v>
      </c>
      <c r="H3407" t="s">
        <v>179</v>
      </c>
      <c r="I3407" t="e">
        <f t="shared" ca="1" si="266"/>
        <v>#REF!</v>
      </c>
      <c r="J3407" t="str">
        <f>VLOOKUP($G3407,DefinitionArrays!$I$6:$J$12,2,FALSE)</f>
        <v>Weekend</v>
      </c>
    </row>
    <row r="3408" spans="1:10">
      <c r="A3408" s="159" t="str">
        <f t="shared" si="267"/>
        <v>$N$1:$N$92</v>
      </c>
      <c r="B3408" s="159" t="str">
        <f t="shared" si="268"/>
        <v>$O$1:$O$92</v>
      </c>
      <c r="C3408" s="159" t="str">
        <f t="shared" si="269"/>
        <v>July!$N$1:$N$92</v>
      </c>
      <c r="D3408" s="159" t="str">
        <f t="shared" si="270"/>
        <v>July!$O$1:$O$92</v>
      </c>
      <c r="E3408" t="s">
        <v>7</v>
      </c>
      <c r="F3408" t="s">
        <v>126</v>
      </c>
      <c r="G3408" t="s">
        <v>145</v>
      </c>
      <c r="H3408" t="s">
        <v>180</v>
      </c>
      <c r="I3408" t="e">
        <f t="shared" ca="1" si="266"/>
        <v>#REF!</v>
      </c>
      <c r="J3408" t="str">
        <f>VLOOKUP($G3408,DefinitionArrays!$I$6:$J$12,2,FALSE)</f>
        <v>Weekend</v>
      </c>
    </row>
    <row r="3409" spans="1:10">
      <c r="A3409" s="159" t="str">
        <f t="shared" si="267"/>
        <v>$N$1:$N$92</v>
      </c>
      <c r="B3409" s="159" t="str">
        <f t="shared" si="268"/>
        <v>$O$1:$O$92</v>
      </c>
      <c r="C3409" s="159" t="str">
        <f t="shared" si="269"/>
        <v>July!$N$1:$N$92</v>
      </c>
      <c r="D3409" s="159" t="str">
        <f t="shared" si="270"/>
        <v>July!$O$1:$O$92</v>
      </c>
      <c r="E3409" t="s">
        <v>7</v>
      </c>
      <c r="F3409" t="s">
        <v>126</v>
      </c>
      <c r="G3409" t="s">
        <v>145</v>
      </c>
      <c r="H3409" t="s">
        <v>44</v>
      </c>
      <c r="I3409" t="e">
        <f t="shared" ca="1" si="266"/>
        <v>#REF!</v>
      </c>
      <c r="J3409" t="str">
        <f>VLOOKUP($G3409,DefinitionArrays!$I$6:$J$12,2,FALSE)</f>
        <v>Weekend</v>
      </c>
    </row>
    <row r="3410" spans="1:10">
      <c r="A3410" s="159" t="str">
        <f t="shared" si="267"/>
        <v>$Q$1:$Q$92</v>
      </c>
      <c r="B3410" s="159" t="str">
        <f t="shared" si="268"/>
        <v>$R$1:$R$92</v>
      </c>
      <c r="C3410" s="159" t="str">
        <f t="shared" si="269"/>
        <v>July!$Q$1:$Q$92</v>
      </c>
      <c r="D3410" s="159" t="str">
        <f t="shared" si="270"/>
        <v>July!$R$1:$R$92</v>
      </c>
      <c r="E3410" t="s">
        <v>7</v>
      </c>
      <c r="F3410" t="s">
        <v>126</v>
      </c>
      <c r="G3410" t="s">
        <v>146</v>
      </c>
      <c r="H3410" t="s">
        <v>159</v>
      </c>
      <c r="I3410" t="e">
        <f t="shared" ca="1" si="266"/>
        <v>#REF!</v>
      </c>
      <c r="J3410" t="str">
        <f>VLOOKUP($G3410,DefinitionArrays!$I$6:$J$12,2,FALSE)</f>
        <v>Weekend</v>
      </c>
    </row>
    <row r="3411" spans="1:10">
      <c r="A3411" s="159" t="str">
        <f t="shared" si="267"/>
        <v>$T$1:$T$92</v>
      </c>
      <c r="B3411" s="159" t="str">
        <f t="shared" si="268"/>
        <v>$U$1:$U$92</v>
      </c>
      <c r="C3411" s="159" t="str">
        <f t="shared" si="269"/>
        <v>July!$T$1:$T$92</v>
      </c>
      <c r="D3411" s="159" t="str">
        <f t="shared" si="270"/>
        <v>July!$U$1:$U$92</v>
      </c>
      <c r="E3411" t="s">
        <v>7</v>
      </c>
      <c r="F3411" t="s">
        <v>126</v>
      </c>
      <c r="G3411" t="s">
        <v>141</v>
      </c>
      <c r="H3411" t="s">
        <v>159</v>
      </c>
      <c r="I3411" t="e">
        <f t="shared" ca="1" si="266"/>
        <v>#REF!</v>
      </c>
      <c r="J3411" t="str">
        <f>VLOOKUP($G3411,DefinitionArrays!$I$6:$J$12,2,FALSE)</f>
        <v>Weekend</v>
      </c>
    </row>
    <row r="3412" spans="1:10">
      <c r="A3412" s="159" t="str">
        <f t="shared" si="267"/>
        <v>$B$1:$B$92</v>
      </c>
      <c r="B3412" s="159" t="str">
        <f t="shared" si="268"/>
        <v>$C$1:$C$92</v>
      </c>
      <c r="C3412" s="159" t="str">
        <f t="shared" si="269"/>
        <v>August!$B$1:$B$92</v>
      </c>
      <c r="D3412" s="159" t="str">
        <f t="shared" si="270"/>
        <v>August!$C$1:$C$92</v>
      </c>
      <c r="E3412" t="s">
        <v>7</v>
      </c>
      <c r="F3412" t="s">
        <v>127</v>
      </c>
      <c r="G3412" t="s">
        <v>13</v>
      </c>
      <c r="H3412" t="s">
        <v>159</v>
      </c>
      <c r="I3412" t="e">
        <f ca="1">COUNTIFS(INDIRECT($C3412),$E3412,INDIRECT($D3412),$H3412)</f>
        <v>#REF!</v>
      </c>
      <c r="J3412" t="str">
        <f>VLOOKUP($G3412,DefinitionArrays!$I$6:$J$12,2,FALSE)</f>
        <v>Workweek</v>
      </c>
    </row>
    <row r="3413" spans="1:10">
      <c r="A3413" s="159" t="str">
        <f t="shared" si="267"/>
        <v>$B$1:$B$92</v>
      </c>
      <c r="B3413" s="159" t="str">
        <f t="shared" si="268"/>
        <v>$C$1:$C$92</v>
      </c>
      <c r="C3413" s="159" t="str">
        <f t="shared" si="269"/>
        <v>August!$B$1:$B$92</v>
      </c>
      <c r="D3413" s="159" t="str">
        <f t="shared" si="270"/>
        <v>August!$C$1:$C$92</v>
      </c>
      <c r="E3413" t="s">
        <v>7</v>
      </c>
      <c r="F3413" t="s">
        <v>127</v>
      </c>
      <c r="G3413" t="s">
        <v>13</v>
      </c>
      <c r="H3413" t="s">
        <v>18</v>
      </c>
      <c r="I3413" t="e">
        <f t="shared" ref="I3413:I3473" ca="1" si="271">COUNTIFS(INDIRECT($C3413),$E3413,INDIRECT($D3413),$H3413)</f>
        <v>#REF!</v>
      </c>
      <c r="J3413" t="str">
        <f>VLOOKUP($G3413,DefinitionArrays!$I$6:$J$12,2,FALSE)</f>
        <v>Workweek</v>
      </c>
    </row>
    <row r="3414" spans="1:10">
      <c r="A3414" s="159" t="str">
        <f t="shared" si="267"/>
        <v>$B$1:$B$92</v>
      </c>
      <c r="B3414" s="159" t="str">
        <f t="shared" si="268"/>
        <v>$C$1:$C$92</v>
      </c>
      <c r="C3414" s="159" t="str">
        <f t="shared" si="269"/>
        <v>August!$B$1:$B$92</v>
      </c>
      <c r="D3414" s="159" t="str">
        <f t="shared" si="270"/>
        <v>August!$C$1:$C$92</v>
      </c>
      <c r="E3414" t="s">
        <v>7</v>
      </c>
      <c r="F3414" t="s">
        <v>127</v>
      </c>
      <c r="G3414" t="s">
        <v>13</v>
      </c>
      <c r="H3414" t="s">
        <v>153</v>
      </c>
      <c r="I3414" t="e">
        <f t="shared" ca="1" si="271"/>
        <v>#REF!</v>
      </c>
      <c r="J3414" t="str">
        <f>VLOOKUP($G3414,DefinitionArrays!$I$6:$J$12,2,FALSE)</f>
        <v>Workweek</v>
      </c>
    </row>
    <row r="3415" spans="1:10">
      <c r="A3415" s="159" t="str">
        <f t="shared" si="267"/>
        <v>$B$1:$B$92</v>
      </c>
      <c r="B3415" s="159" t="str">
        <f t="shared" si="268"/>
        <v>$C$1:$C$92</v>
      </c>
      <c r="C3415" s="159" t="str">
        <f t="shared" si="269"/>
        <v>August!$B$1:$B$92</v>
      </c>
      <c r="D3415" s="159" t="str">
        <f t="shared" si="270"/>
        <v>August!$C$1:$C$92</v>
      </c>
      <c r="E3415" t="s">
        <v>7</v>
      </c>
      <c r="F3415" t="s">
        <v>127</v>
      </c>
      <c r="G3415" t="s">
        <v>13</v>
      </c>
      <c r="H3415" t="s">
        <v>19</v>
      </c>
      <c r="I3415" t="e">
        <f t="shared" ca="1" si="271"/>
        <v>#REF!</v>
      </c>
      <c r="J3415" t="str">
        <f>VLOOKUP($G3415,DefinitionArrays!$I$6:$J$12,2,FALSE)</f>
        <v>Workweek</v>
      </c>
    </row>
    <row r="3416" spans="1:10">
      <c r="A3416" s="159" t="str">
        <f t="shared" si="267"/>
        <v>$B$1:$B$92</v>
      </c>
      <c r="B3416" s="159" t="str">
        <f t="shared" si="268"/>
        <v>$C$1:$C$92</v>
      </c>
      <c r="C3416" s="159" t="str">
        <f t="shared" si="269"/>
        <v>August!$B$1:$B$92</v>
      </c>
      <c r="D3416" s="159" t="str">
        <f t="shared" si="270"/>
        <v>August!$C$1:$C$92</v>
      </c>
      <c r="E3416" t="s">
        <v>7</v>
      </c>
      <c r="F3416" t="s">
        <v>127</v>
      </c>
      <c r="G3416" t="s">
        <v>13</v>
      </c>
      <c r="H3416" t="s">
        <v>20</v>
      </c>
      <c r="I3416" t="e">
        <f t="shared" ca="1" si="271"/>
        <v>#REF!</v>
      </c>
      <c r="J3416" t="str">
        <f>VLOOKUP($G3416,DefinitionArrays!$I$6:$J$12,2,FALSE)</f>
        <v>Workweek</v>
      </c>
    </row>
    <row r="3417" spans="1:10">
      <c r="A3417" s="159" t="str">
        <f t="shared" si="267"/>
        <v>$B$1:$B$92</v>
      </c>
      <c r="B3417" s="159" t="str">
        <f t="shared" si="268"/>
        <v>$C$1:$C$92</v>
      </c>
      <c r="C3417" s="159" t="str">
        <f t="shared" si="269"/>
        <v>August!$B$1:$B$92</v>
      </c>
      <c r="D3417" s="159" t="str">
        <f t="shared" si="270"/>
        <v>August!$C$1:$C$92</v>
      </c>
      <c r="E3417" t="s">
        <v>7</v>
      </c>
      <c r="F3417" t="s">
        <v>127</v>
      </c>
      <c r="G3417" t="s">
        <v>13</v>
      </c>
      <c r="H3417" t="s">
        <v>21</v>
      </c>
      <c r="I3417" t="e">
        <f t="shared" ca="1" si="271"/>
        <v>#REF!</v>
      </c>
      <c r="J3417" t="str">
        <f>VLOOKUP($G3417,DefinitionArrays!$I$6:$J$12,2,FALSE)</f>
        <v>Workweek</v>
      </c>
    </row>
    <row r="3418" spans="1:10">
      <c r="A3418" s="159" t="str">
        <f t="shared" si="267"/>
        <v>$B$1:$B$92</v>
      </c>
      <c r="B3418" s="159" t="str">
        <f t="shared" si="268"/>
        <v>$C$1:$C$92</v>
      </c>
      <c r="C3418" s="159" t="str">
        <f t="shared" si="269"/>
        <v>August!$B$1:$B$92</v>
      </c>
      <c r="D3418" s="159" t="str">
        <f t="shared" si="270"/>
        <v>August!$C$1:$C$92</v>
      </c>
      <c r="E3418" t="s">
        <v>7</v>
      </c>
      <c r="F3418" t="s">
        <v>127</v>
      </c>
      <c r="G3418" t="s">
        <v>13</v>
      </c>
      <c r="H3418" t="s">
        <v>22</v>
      </c>
      <c r="I3418" t="e">
        <f t="shared" ca="1" si="271"/>
        <v>#REF!</v>
      </c>
      <c r="J3418" t="str">
        <f>VLOOKUP($G3418,DefinitionArrays!$I$6:$J$12,2,FALSE)</f>
        <v>Workweek</v>
      </c>
    </row>
    <row r="3419" spans="1:10">
      <c r="A3419" s="159" t="str">
        <f t="shared" si="267"/>
        <v>$B$1:$B$92</v>
      </c>
      <c r="B3419" s="159" t="str">
        <f t="shared" si="268"/>
        <v>$C$1:$C$92</v>
      </c>
      <c r="C3419" s="159" t="str">
        <f t="shared" si="269"/>
        <v>August!$B$1:$B$92</v>
      </c>
      <c r="D3419" s="159" t="str">
        <f t="shared" si="270"/>
        <v>August!$C$1:$C$92</v>
      </c>
      <c r="E3419" t="s">
        <v>7</v>
      </c>
      <c r="F3419" t="s">
        <v>127</v>
      </c>
      <c r="G3419" t="s">
        <v>13</v>
      </c>
      <c r="H3419" t="s">
        <v>23</v>
      </c>
      <c r="I3419" t="e">
        <f t="shared" ca="1" si="271"/>
        <v>#REF!</v>
      </c>
      <c r="J3419" t="str">
        <f>VLOOKUP($G3419,DefinitionArrays!$I$6:$J$12,2,FALSE)</f>
        <v>Workweek</v>
      </c>
    </row>
    <row r="3420" spans="1:10">
      <c r="A3420" s="159" t="str">
        <f t="shared" si="267"/>
        <v>$B$1:$B$92</v>
      </c>
      <c r="B3420" s="159" t="str">
        <f t="shared" si="268"/>
        <v>$C$1:$C$92</v>
      </c>
      <c r="C3420" s="159" t="str">
        <f t="shared" si="269"/>
        <v>August!$B$1:$B$92</v>
      </c>
      <c r="D3420" s="159" t="str">
        <f t="shared" si="270"/>
        <v>August!$C$1:$C$92</v>
      </c>
      <c r="E3420" t="s">
        <v>7</v>
      </c>
      <c r="F3420" t="s">
        <v>127</v>
      </c>
      <c r="G3420" t="s">
        <v>13</v>
      </c>
      <c r="H3420" t="s">
        <v>24</v>
      </c>
      <c r="I3420" t="e">
        <f t="shared" ca="1" si="271"/>
        <v>#REF!</v>
      </c>
      <c r="J3420" t="str">
        <f>VLOOKUP($G3420,DefinitionArrays!$I$6:$J$12,2,FALSE)</f>
        <v>Workweek</v>
      </c>
    </row>
    <row r="3421" spans="1:10">
      <c r="A3421" s="159" t="str">
        <f t="shared" si="267"/>
        <v>$B$1:$B$92</v>
      </c>
      <c r="B3421" s="159" t="str">
        <f t="shared" si="268"/>
        <v>$C$1:$C$92</v>
      </c>
      <c r="C3421" s="159" t="str">
        <f t="shared" si="269"/>
        <v>August!$B$1:$B$92</v>
      </c>
      <c r="D3421" s="159" t="str">
        <f t="shared" si="270"/>
        <v>August!$C$1:$C$92</v>
      </c>
      <c r="E3421" t="s">
        <v>7</v>
      </c>
      <c r="F3421" t="s">
        <v>127</v>
      </c>
      <c r="G3421" t="s">
        <v>13</v>
      </c>
      <c r="H3421" t="s">
        <v>179</v>
      </c>
      <c r="I3421" t="e">
        <f t="shared" ca="1" si="271"/>
        <v>#REF!</v>
      </c>
      <c r="J3421" t="str">
        <f>VLOOKUP($G3421,DefinitionArrays!$I$6:$J$12,2,FALSE)</f>
        <v>Workweek</v>
      </c>
    </row>
    <row r="3422" spans="1:10">
      <c r="A3422" s="159" t="str">
        <f t="shared" si="267"/>
        <v>$B$1:$B$92</v>
      </c>
      <c r="B3422" s="159" t="str">
        <f t="shared" si="268"/>
        <v>$C$1:$C$92</v>
      </c>
      <c r="C3422" s="159" t="str">
        <f t="shared" si="269"/>
        <v>August!$B$1:$B$92</v>
      </c>
      <c r="D3422" s="159" t="str">
        <f t="shared" si="270"/>
        <v>August!$C$1:$C$92</v>
      </c>
      <c r="E3422" t="s">
        <v>7</v>
      </c>
      <c r="F3422" t="s">
        <v>127</v>
      </c>
      <c r="G3422" t="s">
        <v>13</v>
      </c>
      <c r="H3422" t="s">
        <v>180</v>
      </c>
      <c r="I3422" t="e">
        <f t="shared" ca="1" si="271"/>
        <v>#REF!</v>
      </c>
      <c r="J3422" t="str">
        <f>VLOOKUP($G3422,DefinitionArrays!$I$6:$J$12,2,FALSE)</f>
        <v>Workweek</v>
      </c>
    </row>
    <row r="3423" spans="1:10">
      <c r="A3423" s="159" t="str">
        <f t="shared" si="267"/>
        <v>$B$1:$B$92</v>
      </c>
      <c r="B3423" s="159" t="str">
        <f t="shared" si="268"/>
        <v>$C$1:$C$92</v>
      </c>
      <c r="C3423" s="159" t="str">
        <f t="shared" si="269"/>
        <v>August!$B$1:$B$92</v>
      </c>
      <c r="D3423" s="159" t="str">
        <f t="shared" si="270"/>
        <v>August!$C$1:$C$92</v>
      </c>
      <c r="E3423" t="s">
        <v>7</v>
      </c>
      <c r="F3423" t="s">
        <v>127</v>
      </c>
      <c r="G3423" t="s">
        <v>13</v>
      </c>
      <c r="H3423" t="s">
        <v>44</v>
      </c>
      <c r="I3423" t="e">
        <f t="shared" ca="1" si="271"/>
        <v>#REF!</v>
      </c>
      <c r="J3423" t="str">
        <f>VLOOKUP($G3423,DefinitionArrays!$I$6:$J$12,2,FALSE)</f>
        <v>Workweek</v>
      </c>
    </row>
    <row r="3424" spans="1:10">
      <c r="A3424" s="159" t="str">
        <f t="shared" si="267"/>
        <v>$E$1:$E$92</v>
      </c>
      <c r="B3424" s="159" t="str">
        <f t="shared" si="268"/>
        <v>$F$1:$F$92</v>
      </c>
      <c r="C3424" s="159" t="str">
        <f t="shared" si="269"/>
        <v>August!$E$1:$E$92</v>
      </c>
      <c r="D3424" s="159" t="str">
        <f t="shared" si="270"/>
        <v>August!$F$1:$F$92</v>
      </c>
      <c r="E3424" t="s">
        <v>7</v>
      </c>
      <c r="F3424" t="s">
        <v>127</v>
      </c>
      <c r="G3424" t="s">
        <v>142</v>
      </c>
      <c r="H3424" t="s">
        <v>159</v>
      </c>
      <c r="I3424" t="e">
        <f t="shared" ca="1" si="271"/>
        <v>#REF!</v>
      </c>
      <c r="J3424" t="str">
        <f>VLOOKUP($G3424,DefinitionArrays!$I$6:$J$12,2,FALSE)</f>
        <v>Workweek</v>
      </c>
    </row>
    <row r="3425" spans="1:10">
      <c r="A3425" s="159" t="str">
        <f t="shared" si="267"/>
        <v>$E$1:$E$92</v>
      </c>
      <c r="B3425" s="159" t="str">
        <f t="shared" si="268"/>
        <v>$F$1:$F$92</v>
      </c>
      <c r="C3425" s="159" t="str">
        <f t="shared" si="269"/>
        <v>August!$E$1:$E$92</v>
      </c>
      <c r="D3425" s="159" t="str">
        <f t="shared" si="270"/>
        <v>August!$F$1:$F$92</v>
      </c>
      <c r="E3425" t="s">
        <v>7</v>
      </c>
      <c r="F3425" t="s">
        <v>127</v>
      </c>
      <c r="G3425" t="s">
        <v>142</v>
      </c>
      <c r="H3425" t="s">
        <v>18</v>
      </c>
      <c r="I3425" t="e">
        <f t="shared" ca="1" si="271"/>
        <v>#REF!</v>
      </c>
      <c r="J3425" t="str">
        <f>VLOOKUP($G3425,DefinitionArrays!$I$6:$J$12,2,FALSE)</f>
        <v>Workweek</v>
      </c>
    </row>
    <row r="3426" spans="1:10">
      <c r="A3426" s="159" t="str">
        <f t="shared" si="267"/>
        <v>$E$1:$E$92</v>
      </c>
      <c r="B3426" s="159" t="str">
        <f t="shared" si="268"/>
        <v>$F$1:$F$92</v>
      </c>
      <c r="C3426" s="159" t="str">
        <f t="shared" si="269"/>
        <v>August!$E$1:$E$92</v>
      </c>
      <c r="D3426" s="159" t="str">
        <f t="shared" si="270"/>
        <v>August!$F$1:$F$92</v>
      </c>
      <c r="E3426" t="s">
        <v>7</v>
      </c>
      <c r="F3426" t="s">
        <v>127</v>
      </c>
      <c r="G3426" t="s">
        <v>142</v>
      </c>
      <c r="H3426" t="s">
        <v>153</v>
      </c>
      <c r="I3426" t="e">
        <f t="shared" ca="1" si="271"/>
        <v>#REF!</v>
      </c>
      <c r="J3426" t="str">
        <f>VLOOKUP($G3426,DefinitionArrays!$I$6:$J$12,2,FALSE)</f>
        <v>Workweek</v>
      </c>
    </row>
    <row r="3427" spans="1:10">
      <c r="A3427" s="159" t="str">
        <f t="shared" si="267"/>
        <v>$E$1:$E$92</v>
      </c>
      <c r="B3427" s="159" t="str">
        <f t="shared" si="268"/>
        <v>$F$1:$F$92</v>
      </c>
      <c r="C3427" s="159" t="str">
        <f t="shared" si="269"/>
        <v>August!$E$1:$E$92</v>
      </c>
      <c r="D3427" s="159" t="str">
        <f t="shared" si="270"/>
        <v>August!$F$1:$F$92</v>
      </c>
      <c r="E3427" t="s">
        <v>7</v>
      </c>
      <c r="F3427" t="s">
        <v>127</v>
      </c>
      <c r="G3427" t="s">
        <v>142</v>
      </c>
      <c r="H3427" t="s">
        <v>19</v>
      </c>
      <c r="I3427" t="e">
        <f t="shared" ca="1" si="271"/>
        <v>#REF!</v>
      </c>
      <c r="J3427" t="str">
        <f>VLOOKUP($G3427,DefinitionArrays!$I$6:$J$12,2,FALSE)</f>
        <v>Workweek</v>
      </c>
    </row>
    <row r="3428" spans="1:10">
      <c r="A3428" s="159" t="str">
        <f t="shared" si="267"/>
        <v>$E$1:$E$92</v>
      </c>
      <c r="B3428" s="159" t="str">
        <f t="shared" si="268"/>
        <v>$F$1:$F$92</v>
      </c>
      <c r="C3428" s="159" t="str">
        <f t="shared" si="269"/>
        <v>August!$E$1:$E$92</v>
      </c>
      <c r="D3428" s="159" t="str">
        <f t="shared" si="270"/>
        <v>August!$F$1:$F$92</v>
      </c>
      <c r="E3428" t="s">
        <v>7</v>
      </c>
      <c r="F3428" t="s">
        <v>127</v>
      </c>
      <c r="G3428" t="s">
        <v>142</v>
      </c>
      <c r="H3428" t="s">
        <v>20</v>
      </c>
      <c r="I3428" t="e">
        <f t="shared" ca="1" si="271"/>
        <v>#REF!</v>
      </c>
      <c r="J3428" t="str">
        <f>VLOOKUP($G3428,DefinitionArrays!$I$6:$J$12,2,FALSE)</f>
        <v>Workweek</v>
      </c>
    </row>
    <row r="3429" spans="1:10">
      <c r="A3429" s="159" t="str">
        <f t="shared" si="267"/>
        <v>$E$1:$E$92</v>
      </c>
      <c r="B3429" s="159" t="str">
        <f t="shared" si="268"/>
        <v>$F$1:$F$92</v>
      </c>
      <c r="C3429" s="159" t="str">
        <f t="shared" si="269"/>
        <v>August!$E$1:$E$92</v>
      </c>
      <c r="D3429" s="159" t="str">
        <f t="shared" si="270"/>
        <v>August!$F$1:$F$92</v>
      </c>
      <c r="E3429" t="s">
        <v>7</v>
      </c>
      <c r="F3429" t="s">
        <v>127</v>
      </c>
      <c r="G3429" t="s">
        <v>142</v>
      </c>
      <c r="H3429" t="s">
        <v>21</v>
      </c>
      <c r="I3429" t="e">
        <f t="shared" ca="1" si="271"/>
        <v>#REF!</v>
      </c>
      <c r="J3429" t="str">
        <f>VLOOKUP($G3429,DefinitionArrays!$I$6:$J$12,2,FALSE)</f>
        <v>Workweek</v>
      </c>
    </row>
    <row r="3430" spans="1:10">
      <c r="A3430" s="159" t="str">
        <f t="shared" si="267"/>
        <v>$E$1:$E$92</v>
      </c>
      <c r="B3430" s="159" t="str">
        <f t="shared" si="268"/>
        <v>$F$1:$F$92</v>
      </c>
      <c r="C3430" s="159" t="str">
        <f t="shared" si="269"/>
        <v>August!$E$1:$E$92</v>
      </c>
      <c r="D3430" s="159" t="str">
        <f t="shared" si="270"/>
        <v>August!$F$1:$F$92</v>
      </c>
      <c r="E3430" t="s">
        <v>7</v>
      </c>
      <c r="F3430" t="s">
        <v>127</v>
      </c>
      <c r="G3430" t="s">
        <v>142</v>
      </c>
      <c r="H3430" t="s">
        <v>22</v>
      </c>
      <c r="I3430" t="e">
        <f t="shared" ca="1" si="271"/>
        <v>#REF!</v>
      </c>
      <c r="J3430" t="str">
        <f>VLOOKUP($G3430,DefinitionArrays!$I$6:$J$12,2,FALSE)</f>
        <v>Workweek</v>
      </c>
    </row>
    <row r="3431" spans="1:10">
      <c r="A3431" s="159" t="str">
        <f t="shared" si="267"/>
        <v>$E$1:$E$92</v>
      </c>
      <c r="B3431" s="159" t="str">
        <f t="shared" si="268"/>
        <v>$F$1:$F$92</v>
      </c>
      <c r="C3431" s="159" t="str">
        <f t="shared" si="269"/>
        <v>August!$E$1:$E$92</v>
      </c>
      <c r="D3431" s="159" t="str">
        <f t="shared" si="270"/>
        <v>August!$F$1:$F$92</v>
      </c>
      <c r="E3431" t="s">
        <v>7</v>
      </c>
      <c r="F3431" t="s">
        <v>127</v>
      </c>
      <c r="G3431" t="s">
        <v>142</v>
      </c>
      <c r="H3431" t="s">
        <v>23</v>
      </c>
      <c r="I3431" t="e">
        <f t="shared" ca="1" si="271"/>
        <v>#REF!</v>
      </c>
      <c r="J3431" t="str">
        <f>VLOOKUP($G3431,DefinitionArrays!$I$6:$J$12,2,FALSE)</f>
        <v>Workweek</v>
      </c>
    </row>
    <row r="3432" spans="1:10">
      <c r="A3432" s="159" t="str">
        <f t="shared" si="267"/>
        <v>$E$1:$E$92</v>
      </c>
      <c r="B3432" s="159" t="str">
        <f t="shared" si="268"/>
        <v>$F$1:$F$92</v>
      </c>
      <c r="C3432" s="159" t="str">
        <f t="shared" si="269"/>
        <v>August!$E$1:$E$92</v>
      </c>
      <c r="D3432" s="159" t="str">
        <f t="shared" si="270"/>
        <v>August!$F$1:$F$92</v>
      </c>
      <c r="E3432" t="s">
        <v>7</v>
      </c>
      <c r="F3432" t="s">
        <v>127</v>
      </c>
      <c r="G3432" t="s">
        <v>142</v>
      </c>
      <c r="H3432" t="s">
        <v>24</v>
      </c>
      <c r="I3432" t="e">
        <f t="shared" ca="1" si="271"/>
        <v>#REF!</v>
      </c>
      <c r="J3432" t="str">
        <f>VLOOKUP($G3432,DefinitionArrays!$I$6:$J$12,2,FALSE)</f>
        <v>Workweek</v>
      </c>
    </row>
    <row r="3433" spans="1:10">
      <c r="A3433" s="159" t="str">
        <f t="shared" si="267"/>
        <v>$E$1:$E$92</v>
      </c>
      <c r="B3433" s="159" t="str">
        <f t="shared" si="268"/>
        <v>$F$1:$F$92</v>
      </c>
      <c r="C3433" s="159" t="str">
        <f t="shared" si="269"/>
        <v>August!$E$1:$E$92</v>
      </c>
      <c r="D3433" s="159" t="str">
        <f t="shared" si="270"/>
        <v>August!$F$1:$F$92</v>
      </c>
      <c r="E3433" t="s">
        <v>7</v>
      </c>
      <c r="F3433" t="s">
        <v>127</v>
      </c>
      <c r="G3433" t="s">
        <v>142</v>
      </c>
      <c r="H3433" t="s">
        <v>179</v>
      </c>
      <c r="I3433" t="e">
        <f t="shared" ca="1" si="271"/>
        <v>#REF!</v>
      </c>
      <c r="J3433" t="str">
        <f>VLOOKUP($G3433,DefinitionArrays!$I$6:$J$12,2,FALSE)</f>
        <v>Workweek</v>
      </c>
    </row>
    <row r="3434" spans="1:10">
      <c r="A3434" s="159" t="str">
        <f t="shared" si="267"/>
        <v>$E$1:$E$92</v>
      </c>
      <c r="B3434" s="159" t="str">
        <f t="shared" si="268"/>
        <v>$F$1:$F$92</v>
      </c>
      <c r="C3434" s="159" t="str">
        <f t="shared" si="269"/>
        <v>August!$E$1:$E$92</v>
      </c>
      <c r="D3434" s="159" t="str">
        <f t="shared" si="270"/>
        <v>August!$F$1:$F$92</v>
      </c>
      <c r="E3434" t="s">
        <v>7</v>
      </c>
      <c r="F3434" t="s">
        <v>127</v>
      </c>
      <c r="G3434" t="s">
        <v>142</v>
      </c>
      <c r="H3434" t="s">
        <v>180</v>
      </c>
      <c r="I3434" t="e">
        <f t="shared" ca="1" si="271"/>
        <v>#REF!</v>
      </c>
      <c r="J3434" t="str">
        <f>VLOOKUP($G3434,DefinitionArrays!$I$6:$J$12,2,FALSE)</f>
        <v>Workweek</v>
      </c>
    </row>
    <row r="3435" spans="1:10">
      <c r="A3435" s="159" t="str">
        <f t="shared" si="267"/>
        <v>$E$1:$E$92</v>
      </c>
      <c r="B3435" s="159" t="str">
        <f t="shared" si="268"/>
        <v>$F$1:$F$92</v>
      </c>
      <c r="C3435" s="159" t="str">
        <f t="shared" si="269"/>
        <v>August!$E$1:$E$92</v>
      </c>
      <c r="D3435" s="159" t="str">
        <f t="shared" si="270"/>
        <v>August!$F$1:$F$92</v>
      </c>
      <c r="E3435" t="s">
        <v>7</v>
      </c>
      <c r="F3435" t="s">
        <v>127</v>
      </c>
      <c r="G3435" t="s">
        <v>142</v>
      </c>
      <c r="H3435" t="s">
        <v>44</v>
      </c>
      <c r="I3435" t="e">
        <f t="shared" ca="1" si="271"/>
        <v>#REF!</v>
      </c>
      <c r="J3435" t="str">
        <f>VLOOKUP($G3435,DefinitionArrays!$I$6:$J$12,2,FALSE)</f>
        <v>Workweek</v>
      </c>
    </row>
    <row r="3436" spans="1:10">
      <c r="A3436" s="159" t="str">
        <f t="shared" si="267"/>
        <v>$H$1:$H$92</v>
      </c>
      <c r="B3436" s="159" t="str">
        <f t="shared" si="268"/>
        <v>$I$1:$I$92</v>
      </c>
      <c r="C3436" s="159" t="str">
        <f t="shared" si="269"/>
        <v>August!$H$1:$H$92</v>
      </c>
      <c r="D3436" s="159" t="str">
        <f t="shared" si="270"/>
        <v>August!$I$1:$I$92</v>
      </c>
      <c r="E3436" t="s">
        <v>7</v>
      </c>
      <c r="F3436" t="s">
        <v>127</v>
      </c>
      <c r="G3436" t="s">
        <v>143</v>
      </c>
      <c r="H3436" t="s">
        <v>159</v>
      </c>
      <c r="I3436" t="e">
        <f t="shared" ca="1" si="271"/>
        <v>#REF!</v>
      </c>
      <c r="J3436" t="str">
        <f>VLOOKUP($G3436,DefinitionArrays!$I$6:$J$12,2,FALSE)</f>
        <v>Workweek</v>
      </c>
    </row>
    <row r="3437" spans="1:10">
      <c r="A3437" s="159" t="str">
        <f t="shared" si="267"/>
        <v>$H$1:$H$92</v>
      </c>
      <c r="B3437" s="159" t="str">
        <f t="shared" si="268"/>
        <v>$I$1:$I$92</v>
      </c>
      <c r="C3437" s="159" t="str">
        <f t="shared" si="269"/>
        <v>August!$H$1:$H$92</v>
      </c>
      <c r="D3437" s="159" t="str">
        <f t="shared" si="270"/>
        <v>August!$I$1:$I$92</v>
      </c>
      <c r="E3437" t="s">
        <v>7</v>
      </c>
      <c r="F3437" t="s">
        <v>127</v>
      </c>
      <c r="G3437" t="s">
        <v>143</v>
      </c>
      <c r="H3437" t="s">
        <v>18</v>
      </c>
      <c r="I3437" t="e">
        <f t="shared" ca="1" si="271"/>
        <v>#REF!</v>
      </c>
      <c r="J3437" t="str">
        <f>VLOOKUP($G3437,DefinitionArrays!$I$6:$J$12,2,FALSE)</f>
        <v>Workweek</v>
      </c>
    </row>
    <row r="3438" spans="1:10">
      <c r="A3438" s="159" t="str">
        <f t="shared" si="267"/>
        <v>$H$1:$H$92</v>
      </c>
      <c r="B3438" s="159" t="str">
        <f t="shared" si="268"/>
        <v>$I$1:$I$92</v>
      </c>
      <c r="C3438" s="159" t="str">
        <f t="shared" si="269"/>
        <v>August!$H$1:$H$92</v>
      </c>
      <c r="D3438" s="159" t="str">
        <f t="shared" si="270"/>
        <v>August!$I$1:$I$92</v>
      </c>
      <c r="E3438" t="s">
        <v>7</v>
      </c>
      <c r="F3438" t="s">
        <v>127</v>
      </c>
      <c r="G3438" t="s">
        <v>143</v>
      </c>
      <c r="H3438" t="s">
        <v>153</v>
      </c>
      <c r="I3438" t="e">
        <f t="shared" ca="1" si="271"/>
        <v>#REF!</v>
      </c>
      <c r="J3438" t="str">
        <f>VLOOKUP($G3438,DefinitionArrays!$I$6:$J$12,2,FALSE)</f>
        <v>Workweek</v>
      </c>
    </row>
    <row r="3439" spans="1:10">
      <c r="A3439" s="159" t="str">
        <f t="shared" si="267"/>
        <v>$H$1:$H$92</v>
      </c>
      <c r="B3439" s="159" t="str">
        <f t="shared" si="268"/>
        <v>$I$1:$I$92</v>
      </c>
      <c r="C3439" s="159" t="str">
        <f t="shared" si="269"/>
        <v>August!$H$1:$H$92</v>
      </c>
      <c r="D3439" s="159" t="str">
        <f t="shared" si="270"/>
        <v>August!$I$1:$I$92</v>
      </c>
      <c r="E3439" t="s">
        <v>7</v>
      </c>
      <c r="F3439" t="s">
        <v>127</v>
      </c>
      <c r="G3439" t="s">
        <v>143</v>
      </c>
      <c r="H3439" t="s">
        <v>19</v>
      </c>
      <c r="I3439" t="e">
        <f t="shared" ca="1" si="271"/>
        <v>#REF!</v>
      </c>
      <c r="J3439" t="str">
        <f>VLOOKUP($G3439,DefinitionArrays!$I$6:$J$12,2,FALSE)</f>
        <v>Workweek</v>
      </c>
    </row>
    <row r="3440" spans="1:10">
      <c r="A3440" s="159" t="str">
        <f t="shared" si="267"/>
        <v>$H$1:$H$92</v>
      </c>
      <c r="B3440" s="159" t="str">
        <f t="shared" si="268"/>
        <v>$I$1:$I$92</v>
      </c>
      <c r="C3440" s="159" t="str">
        <f t="shared" si="269"/>
        <v>August!$H$1:$H$92</v>
      </c>
      <c r="D3440" s="159" t="str">
        <f t="shared" si="270"/>
        <v>August!$I$1:$I$92</v>
      </c>
      <c r="E3440" t="s">
        <v>7</v>
      </c>
      <c r="F3440" t="s">
        <v>127</v>
      </c>
      <c r="G3440" t="s">
        <v>143</v>
      </c>
      <c r="H3440" t="s">
        <v>20</v>
      </c>
      <c r="I3440" t="e">
        <f t="shared" ca="1" si="271"/>
        <v>#REF!</v>
      </c>
      <c r="J3440" t="str">
        <f>VLOOKUP($G3440,DefinitionArrays!$I$6:$J$12,2,FALSE)</f>
        <v>Workweek</v>
      </c>
    </row>
    <row r="3441" spans="1:10">
      <c r="A3441" s="159" t="str">
        <f t="shared" si="267"/>
        <v>$H$1:$H$92</v>
      </c>
      <c r="B3441" s="159" t="str">
        <f t="shared" si="268"/>
        <v>$I$1:$I$92</v>
      </c>
      <c r="C3441" s="159" t="str">
        <f t="shared" si="269"/>
        <v>August!$H$1:$H$92</v>
      </c>
      <c r="D3441" s="159" t="str">
        <f t="shared" si="270"/>
        <v>August!$I$1:$I$92</v>
      </c>
      <c r="E3441" t="s">
        <v>7</v>
      </c>
      <c r="F3441" t="s">
        <v>127</v>
      </c>
      <c r="G3441" t="s">
        <v>143</v>
      </c>
      <c r="H3441" t="s">
        <v>21</v>
      </c>
      <c r="I3441" t="e">
        <f t="shared" ca="1" si="271"/>
        <v>#REF!</v>
      </c>
      <c r="J3441" t="str">
        <f>VLOOKUP($G3441,DefinitionArrays!$I$6:$J$12,2,FALSE)</f>
        <v>Workweek</v>
      </c>
    </row>
    <row r="3442" spans="1:10">
      <c r="A3442" s="159" t="str">
        <f t="shared" si="267"/>
        <v>$H$1:$H$92</v>
      </c>
      <c r="B3442" s="159" t="str">
        <f t="shared" si="268"/>
        <v>$I$1:$I$92</v>
      </c>
      <c r="C3442" s="159" t="str">
        <f t="shared" si="269"/>
        <v>August!$H$1:$H$92</v>
      </c>
      <c r="D3442" s="159" t="str">
        <f t="shared" si="270"/>
        <v>August!$I$1:$I$92</v>
      </c>
      <c r="E3442" t="s">
        <v>7</v>
      </c>
      <c r="F3442" t="s">
        <v>127</v>
      </c>
      <c r="G3442" t="s">
        <v>143</v>
      </c>
      <c r="H3442" t="s">
        <v>22</v>
      </c>
      <c r="I3442" t="e">
        <f t="shared" ca="1" si="271"/>
        <v>#REF!</v>
      </c>
      <c r="J3442" t="str">
        <f>VLOOKUP($G3442,DefinitionArrays!$I$6:$J$12,2,FALSE)</f>
        <v>Workweek</v>
      </c>
    </row>
    <row r="3443" spans="1:10">
      <c r="A3443" s="159" t="str">
        <f t="shared" si="267"/>
        <v>$H$1:$H$92</v>
      </c>
      <c r="B3443" s="159" t="str">
        <f t="shared" si="268"/>
        <v>$I$1:$I$92</v>
      </c>
      <c r="C3443" s="159" t="str">
        <f t="shared" si="269"/>
        <v>August!$H$1:$H$92</v>
      </c>
      <c r="D3443" s="159" t="str">
        <f t="shared" si="270"/>
        <v>August!$I$1:$I$92</v>
      </c>
      <c r="E3443" t="s">
        <v>7</v>
      </c>
      <c r="F3443" t="s">
        <v>127</v>
      </c>
      <c r="G3443" t="s">
        <v>143</v>
      </c>
      <c r="H3443" t="s">
        <v>23</v>
      </c>
      <c r="I3443" t="e">
        <f t="shared" ca="1" si="271"/>
        <v>#REF!</v>
      </c>
      <c r="J3443" t="str">
        <f>VLOOKUP($G3443,DefinitionArrays!$I$6:$J$12,2,FALSE)</f>
        <v>Workweek</v>
      </c>
    </row>
    <row r="3444" spans="1:10">
      <c r="A3444" s="159" t="str">
        <f t="shared" si="267"/>
        <v>$H$1:$H$92</v>
      </c>
      <c r="B3444" s="159" t="str">
        <f t="shared" si="268"/>
        <v>$I$1:$I$92</v>
      </c>
      <c r="C3444" s="159" t="str">
        <f t="shared" si="269"/>
        <v>August!$H$1:$H$92</v>
      </c>
      <c r="D3444" s="159" t="str">
        <f t="shared" si="270"/>
        <v>August!$I$1:$I$92</v>
      </c>
      <c r="E3444" t="s">
        <v>7</v>
      </c>
      <c r="F3444" t="s">
        <v>127</v>
      </c>
      <c r="G3444" t="s">
        <v>143</v>
      </c>
      <c r="H3444" t="s">
        <v>24</v>
      </c>
      <c r="I3444" t="e">
        <f t="shared" ca="1" si="271"/>
        <v>#REF!</v>
      </c>
      <c r="J3444" t="str">
        <f>VLOOKUP($G3444,DefinitionArrays!$I$6:$J$12,2,FALSE)</f>
        <v>Workweek</v>
      </c>
    </row>
    <row r="3445" spans="1:10">
      <c r="A3445" s="159" t="str">
        <f t="shared" si="267"/>
        <v>$H$1:$H$92</v>
      </c>
      <c r="B3445" s="159" t="str">
        <f t="shared" si="268"/>
        <v>$I$1:$I$92</v>
      </c>
      <c r="C3445" s="159" t="str">
        <f t="shared" si="269"/>
        <v>August!$H$1:$H$92</v>
      </c>
      <c r="D3445" s="159" t="str">
        <f t="shared" si="270"/>
        <v>August!$I$1:$I$92</v>
      </c>
      <c r="E3445" t="s">
        <v>7</v>
      </c>
      <c r="F3445" t="s">
        <v>127</v>
      </c>
      <c r="G3445" t="s">
        <v>143</v>
      </c>
      <c r="H3445" t="s">
        <v>179</v>
      </c>
      <c r="I3445" t="e">
        <f t="shared" ca="1" si="271"/>
        <v>#REF!</v>
      </c>
      <c r="J3445" t="str">
        <f>VLOOKUP($G3445,DefinitionArrays!$I$6:$J$12,2,FALSE)</f>
        <v>Workweek</v>
      </c>
    </row>
    <row r="3446" spans="1:10">
      <c r="A3446" s="159" t="str">
        <f t="shared" si="267"/>
        <v>$H$1:$H$92</v>
      </c>
      <c r="B3446" s="159" t="str">
        <f t="shared" si="268"/>
        <v>$I$1:$I$92</v>
      </c>
      <c r="C3446" s="159" t="str">
        <f t="shared" si="269"/>
        <v>August!$H$1:$H$92</v>
      </c>
      <c r="D3446" s="159" t="str">
        <f t="shared" si="270"/>
        <v>August!$I$1:$I$92</v>
      </c>
      <c r="E3446" t="s">
        <v>7</v>
      </c>
      <c r="F3446" t="s">
        <v>127</v>
      </c>
      <c r="G3446" t="s">
        <v>143</v>
      </c>
      <c r="H3446" t="s">
        <v>180</v>
      </c>
      <c r="I3446" t="e">
        <f t="shared" ca="1" si="271"/>
        <v>#REF!</v>
      </c>
      <c r="J3446" t="str">
        <f>VLOOKUP($G3446,DefinitionArrays!$I$6:$J$12,2,FALSE)</f>
        <v>Workweek</v>
      </c>
    </row>
    <row r="3447" spans="1:10">
      <c r="A3447" s="159" t="str">
        <f t="shared" si="267"/>
        <v>$H$1:$H$92</v>
      </c>
      <c r="B3447" s="159" t="str">
        <f t="shared" si="268"/>
        <v>$I$1:$I$92</v>
      </c>
      <c r="C3447" s="159" t="str">
        <f t="shared" si="269"/>
        <v>August!$H$1:$H$92</v>
      </c>
      <c r="D3447" s="159" t="str">
        <f t="shared" si="270"/>
        <v>August!$I$1:$I$92</v>
      </c>
      <c r="E3447" t="s">
        <v>7</v>
      </c>
      <c r="F3447" t="s">
        <v>127</v>
      </c>
      <c r="G3447" t="s">
        <v>143</v>
      </c>
      <c r="H3447" t="s">
        <v>44</v>
      </c>
      <c r="I3447" t="e">
        <f t="shared" ca="1" si="271"/>
        <v>#REF!</v>
      </c>
      <c r="J3447" t="str">
        <f>VLOOKUP($G3447,DefinitionArrays!$I$6:$J$12,2,FALSE)</f>
        <v>Workweek</v>
      </c>
    </row>
    <row r="3448" spans="1:10">
      <c r="A3448" s="159" t="str">
        <f t="shared" si="267"/>
        <v>$K$1:$K$92</v>
      </c>
      <c r="B3448" s="159" t="str">
        <f t="shared" si="268"/>
        <v>$L$1:$L$92</v>
      </c>
      <c r="C3448" s="159" t="str">
        <f t="shared" si="269"/>
        <v>August!$K$1:$K$92</v>
      </c>
      <c r="D3448" s="159" t="str">
        <f t="shared" si="270"/>
        <v>August!$L$1:$L$92</v>
      </c>
      <c r="E3448" t="s">
        <v>7</v>
      </c>
      <c r="F3448" t="s">
        <v>127</v>
      </c>
      <c r="G3448" t="s">
        <v>144</v>
      </c>
      <c r="H3448" t="s">
        <v>159</v>
      </c>
      <c r="I3448" t="e">
        <f t="shared" ca="1" si="271"/>
        <v>#REF!</v>
      </c>
      <c r="J3448" t="str">
        <f>VLOOKUP($G3448,DefinitionArrays!$I$6:$J$12,2,FALSE)</f>
        <v>Workweek</v>
      </c>
    </row>
    <row r="3449" spans="1:10">
      <c r="A3449" s="159" t="str">
        <f t="shared" si="267"/>
        <v>$K$1:$K$92</v>
      </c>
      <c r="B3449" s="159" t="str">
        <f t="shared" si="268"/>
        <v>$L$1:$L$92</v>
      </c>
      <c r="C3449" s="159" t="str">
        <f t="shared" si="269"/>
        <v>August!$K$1:$K$92</v>
      </c>
      <c r="D3449" s="159" t="str">
        <f t="shared" si="270"/>
        <v>August!$L$1:$L$92</v>
      </c>
      <c r="E3449" t="s">
        <v>7</v>
      </c>
      <c r="F3449" t="s">
        <v>127</v>
      </c>
      <c r="G3449" t="s">
        <v>144</v>
      </c>
      <c r="H3449" t="s">
        <v>18</v>
      </c>
      <c r="I3449" t="e">
        <f t="shared" ca="1" si="271"/>
        <v>#REF!</v>
      </c>
      <c r="J3449" t="str">
        <f>VLOOKUP($G3449,DefinitionArrays!$I$6:$J$12,2,FALSE)</f>
        <v>Workweek</v>
      </c>
    </row>
    <row r="3450" spans="1:10">
      <c r="A3450" s="159" t="str">
        <f t="shared" si="267"/>
        <v>$K$1:$K$92</v>
      </c>
      <c r="B3450" s="159" t="str">
        <f t="shared" si="268"/>
        <v>$L$1:$L$92</v>
      </c>
      <c r="C3450" s="159" t="str">
        <f t="shared" si="269"/>
        <v>August!$K$1:$K$92</v>
      </c>
      <c r="D3450" s="159" t="str">
        <f t="shared" si="270"/>
        <v>August!$L$1:$L$92</v>
      </c>
      <c r="E3450" t="s">
        <v>7</v>
      </c>
      <c r="F3450" t="s">
        <v>127</v>
      </c>
      <c r="G3450" t="s">
        <v>144</v>
      </c>
      <c r="H3450" t="s">
        <v>153</v>
      </c>
      <c r="I3450" t="e">
        <f t="shared" ca="1" si="271"/>
        <v>#REF!</v>
      </c>
      <c r="J3450" t="str">
        <f>VLOOKUP($G3450,DefinitionArrays!$I$6:$J$12,2,FALSE)</f>
        <v>Workweek</v>
      </c>
    </row>
    <row r="3451" spans="1:10">
      <c r="A3451" s="159" t="str">
        <f t="shared" si="267"/>
        <v>$K$1:$K$92</v>
      </c>
      <c r="B3451" s="159" t="str">
        <f t="shared" si="268"/>
        <v>$L$1:$L$92</v>
      </c>
      <c r="C3451" s="159" t="str">
        <f t="shared" si="269"/>
        <v>August!$K$1:$K$92</v>
      </c>
      <c r="D3451" s="159" t="str">
        <f t="shared" si="270"/>
        <v>August!$L$1:$L$92</v>
      </c>
      <c r="E3451" t="s">
        <v>7</v>
      </c>
      <c r="F3451" t="s">
        <v>127</v>
      </c>
      <c r="G3451" t="s">
        <v>144</v>
      </c>
      <c r="H3451" t="s">
        <v>19</v>
      </c>
      <c r="I3451" t="e">
        <f t="shared" ca="1" si="271"/>
        <v>#REF!</v>
      </c>
      <c r="J3451" t="str">
        <f>VLOOKUP($G3451,DefinitionArrays!$I$6:$J$12,2,FALSE)</f>
        <v>Workweek</v>
      </c>
    </row>
    <row r="3452" spans="1:10">
      <c r="A3452" s="159" t="str">
        <f t="shared" si="267"/>
        <v>$K$1:$K$92</v>
      </c>
      <c r="B3452" s="159" t="str">
        <f t="shared" si="268"/>
        <v>$L$1:$L$92</v>
      </c>
      <c r="C3452" s="159" t="str">
        <f t="shared" si="269"/>
        <v>August!$K$1:$K$92</v>
      </c>
      <c r="D3452" s="159" t="str">
        <f t="shared" si="270"/>
        <v>August!$L$1:$L$92</v>
      </c>
      <c r="E3452" t="s">
        <v>7</v>
      </c>
      <c r="F3452" t="s">
        <v>127</v>
      </c>
      <c r="G3452" t="s">
        <v>144</v>
      </c>
      <c r="H3452" t="s">
        <v>20</v>
      </c>
      <c r="I3452" t="e">
        <f t="shared" ca="1" si="271"/>
        <v>#REF!</v>
      </c>
      <c r="J3452" t="str">
        <f>VLOOKUP($G3452,DefinitionArrays!$I$6:$J$12,2,FALSE)</f>
        <v>Workweek</v>
      </c>
    </row>
    <row r="3453" spans="1:10">
      <c r="A3453" s="159" t="str">
        <f t="shared" si="267"/>
        <v>$K$1:$K$92</v>
      </c>
      <c r="B3453" s="159" t="str">
        <f t="shared" si="268"/>
        <v>$L$1:$L$92</v>
      </c>
      <c r="C3453" s="159" t="str">
        <f t="shared" si="269"/>
        <v>August!$K$1:$K$92</v>
      </c>
      <c r="D3453" s="159" t="str">
        <f t="shared" si="270"/>
        <v>August!$L$1:$L$92</v>
      </c>
      <c r="E3453" t="s">
        <v>7</v>
      </c>
      <c r="F3453" t="s">
        <v>127</v>
      </c>
      <c r="G3453" t="s">
        <v>144</v>
      </c>
      <c r="H3453" t="s">
        <v>21</v>
      </c>
      <c r="I3453" t="e">
        <f t="shared" ca="1" si="271"/>
        <v>#REF!</v>
      </c>
      <c r="J3453" t="str">
        <f>VLOOKUP($G3453,DefinitionArrays!$I$6:$J$12,2,FALSE)</f>
        <v>Workweek</v>
      </c>
    </row>
    <row r="3454" spans="1:10">
      <c r="A3454" s="159" t="str">
        <f t="shared" si="267"/>
        <v>$K$1:$K$92</v>
      </c>
      <c r="B3454" s="159" t="str">
        <f t="shared" si="268"/>
        <v>$L$1:$L$92</v>
      </c>
      <c r="C3454" s="159" t="str">
        <f t="shared" si="269"/>
        <v>August!$K$1:$K$92</v>
      </c>
      <c r="D3454" s="159" t="str">
        <f t="shared" si="270"/>
        <v>August!$L$1:$L$92</v>
      </c>
      <c r="E3454" t="s">
        <v>7</v>
      </c>
      <c r="F3454" t="s">
        <v>127</v>
      </c>
      <c r="G3454" t="s">
        <v>144</v>
      </c>
      <c r="H3454" t="s">
        <v>22</v>
      </c>
      <c r="I3454" t="e">
        <f t="shared" ca="1" si="271"/>
        <v>#REF!</v>
      </c>
      <c r="J3454" t="str">
        <f>VLOOKUP($G3454,DefinitionArrays!$I$6:$J$12,2,FALSE)</f>
        <v>Workweek</v>
      </c>
    </row>
    <row r="3455" spans="1:10">
      <c r="A3455" s="159" t="str">
        <f t="shared" si="267"/>
        <v>$K$1:$K$92</v>
      </c>
      <c r="B3455" s="159" t="str">
        <f t="shared" si="268"/>
        <v>$L$1:$L$92</v>
      </c>
      <c r="C3455" s="159" t="str">
        <f t="shared" si="269"/>
        <v>August!$K$1:$K$92</v>
      </c>
      <c r="D3455" s="159" t="str">
        <f t="shared" si="270"/>
        <v>August!$L$1:$L$92</v>
      </c>
      <c r="E3455" t="s">
        <v>7</v>
      </c>
      <c r="F3455" t="s">
        <v>127</v>
      </c>
      <c r="G3455" t="s">
        <v>144</v>
      </c>
      <c r="H3455" t="s">
        <v>23</v>
      </c>
      <c r="I3455" t="e">
        <f t="shared" ca="1" si="271"/>
        <v>#REF!</v>
      </c>
      <c r="J3455" t="str">
        <f>VLOOKUP($G3455,DefinitionArrays!$I$6:$J$12,2,FALSE)</f>
        <v>Workweek</v>
      </c>
    </row>
    <row r="3456" spans="1:10">
      <c r="A3456" s="159" t="str">
        <f t="shared" si="267"/>
        <v>$K$1:$K$92</v>
      </c>
      <c r="B3456" s="159" t="str">
        <f t="shared" si="268"/>
        <v>$L$1:$L$92</v>
      </c>
      <c r="C3456" s="159" t="str">
        <f t="shared" si="269"/>
        <v>August!$K$1:$K$92</v>
      </c>
      <c r="D3456" s="159" t="str">
        <f t="shared" si="270"/>
        <v>August!$L$1:$L$92</v>
      </c>
      <c r="E3456" t="s">
        <v>7</v>
      </c>
      <c r="F3456" t="s">
        <v>127</v>
      </c>
      <c r="G3456" t="s">
        <v>144</v>
      </c>
      <c r="H3456" t="s">
        <v>24</v>
      </c>
      <c r="I3456" t="e">
        <f t="shared" ca="1" si="271"/>
        <v>#REF!</v>
      </c>
      <c r="J3456" t="str">
        <f>VLOOKUP($G3456,DefinitionArrays!$I$6:$J$12,2,FALSE)</f>
        <v>Workweek</v>
      </c>
    </row>
    <row r="3457" spans="1:10">
      <c r="A3457" s="159" t="str">
        <f t="shared" si="267"/>
        <v>$K$1:$K$92</v>
      </c>
      <c r="B3457" s="159" t="str">
        <f t="shared" si="268"/>
        <v>$L$1:$L$92</v>
      </c>
      <c r="C3457" s="159" t="str">
        <f t="shared" si="269"/>
        <v>August!$K$1:$K$92</v>
      </c>
      <c r="D3457" s="159" t="str">
        <f t="shared" si="270"/>
        <v>August!$L$1:$L$92</v>
      </c>
      <c r="E3457" t="s">
        <v>7</v>
      </c>
      <c r="F3457" t="s">
        <v>127</v>
      </c>
      <c r="G3457" t="s">
        <v>144</v>
      </c>
      <c r="H3457" t="s">
        <v>179</v>
      </c>
      <c r="I3457" t="e">
        <f t="shared" ca="1" si="271"/>
        <v>#REF!</v>
      </c>
      <c r="J3457" t="str">
        <f>VLOOKUP($G3457,DefinitionArrays!$I$6:$J$12,2,FALSE)</f>
        <v>Workweek</v>
      </c>
    </row>
    <row r="3458" spans="1:10">
      <c r="A3458" s="159" t="str">
        <f t="shared" ref="A3458:A3521" si="272">VLOOKUP($G3458,Fx_Code,2,FALSE)</f>
        <v>$K$1:$K$92</v>
      </c>
      <c r="B3458" s="159" t="str">
        <f t="shared" ref="B3458:B3521" si="273">VLOOKUP($G3458,Fx_Code,3,FALSE)</f>
        <v>$L$1:$L$92</v>
      </c>
      <c r="C3458" s="159" t="str">
        <f t="shared" ref="C3458:C3521" si="274">CONCATENATE($F3458,$K$1,A3458)</f>
        <v>August!$K$1:$K$92</v>
      </c>
      <c r="D3458" s="159" t="str">
        <f t="shared" ref="D3458:D3521" si="275">CONCATENATE($F3458,$K$1,B3458)</f>
        <v>August!$L$1:$L$92</v>
      </c>
      <c r="E3458" t="s">
        <v>7</v>
      </c>
      <c r="F3458" t="s">
        <v>127</v>
      </c>
      <c r="G3458" t="s">
        <v>144</v>
      </c>
      <c r="H3458" t="s">
        <v>180</v>
      </c>
      <c r="I3458" t="e">
        <f t="shared" ca="1" si="271"/>
        <v>#REF!</v>
      </c>
      <c r="J3458" t="str">
        <f>VLOOKUP($G3458,DefinitionArrays!$I$6:$J$12,2,FALSE)</f>
        <v>Workweek</v>
      </c>
    </row>
    <row r="3459" spans="1:10">
      <c r="A3459" s="159" t="str">
        <f t="shared" si="272"/>
        <v>$K$1:$K$92</v>
      </c>
      <c r="B3459" s="159" t="str">
        <f t="shared" si="273"/>
        <v>$L$1:$L$92</v>
      </c>
      <c r="C3459" s="159" t="str">
        <f t="shared" si="274"/>
        <v>August!$K$1:$K$92</v>
      </c>
      <c r="D3459" s="159" t="str">
        <f t="shared" si="275"/>
        <v>August!$L$1:$L$92</v>
      </c>
      <c r="E3459" t="s">
        <v>7</v>
      </c>
      <c r="F3459" t="s">
        <v>127</v>
      </c>
      <c r="G3459" t="s">
        <v>144</v>
      </c>
      <c r="H3459" t="s">
        <v>44</v>
      </c>
      <c r="I3459" t="e">
        <f t="shared" ca="1" si="271"/>
        <v>#REF!</v>
      </c>
      <c r="J3459" t="str">
        <f>VLOOKUP($G3459,DefinitionArrays!$I$6:$J$12,2,FALSE)</f>
        <v>Workweek</v>
      </c>
    </row>
    <row r="3460" spans="1:10">
      <c r="A3460" s="159" t="str">
        <f t="shared" si="272"/>
        <v>$N$1:$N$92</v>
      </c>
      <c r="B3460" s="159" t="str">
        <f t="shared" si="273"/>
        <v>$O$1:$O$92</v>
      </c>
      <c r="C3460" s="159" t="str">
        <f t="shared" si="274"/>
        <v>August!$N$1:$N$92</v>
      </c>
      <c r="D3460" s="159" t="str">
        <f t="shared" si="275"/>
        <v>August!$O$1:$O$92</v>
      </c>
      <c r="E3460" t="s">
        <v>7</v>
      </c>
      <c r="F3460" t="s">
        <v>127</v>
      </c>
      <c r="G3460" t="s">
        <v>145</v>
      </c>
      <c r="H3460" t="s">
        <v>159</v>
      </c>
      <c r="I3460" t="e">
        <f t="shared" ca="1" si="271"/>
        <v>#REF!</v>
      </c>
      <c r="J3460" t="str">
        <f>VLOOKUP($G3460,DefinitionArrays!$I$6:$J$12,2,FALSE)</f>
        <v>Weekend</v>
      </c>
    </row>
    <row r="3461" spans="1:10">
      <c r="A3461" s="159" t="str">
        <f t="shared" si="272"/>
        <v>$N$1:$N$92</v>
      </c>
      <c r="B3461" s="159" t="str">
        <f t="shared" si="273"/>
        <v>$O$1:$O$92</v>
      </c>
      <c r="C3461" s="159" t="str">
        <f t="shared" si="274"/>
        <v>August!$N$1:$N$92</v>
      </c>
      <c r="D3461" s="159" t="str">
        <f t="shared" si="275"/>
        <v>August!$O$1:$O$92</v>
      </c>
      <c r="E3461" t="s">
        <v>7</v>
      </c>
      <c r="F3461" t="s">
        <v>127</v>
      </c>
      <c r="G3461" t="s">
        <v>145</v>
      </c>
      <c r="H3461" t="s">
        <v>18</v>
      </c>
      <c r="I3461" t="e">
        <f t="shared" ca="1" si="271"/>
        <v>#REF!</v>
      </c>
      <c r="J3461" t="str">
        <f>VLOOKUP($G3461,DefinitionArrays!$I$6:$J$12,2,FALSE)</f>
        <v>Weekend</v>
      </c>
    </row>
    <row r="3462" spans="1:10">
      <c r="A3462" s="159" t="str">
        <f t="shared" si="272"/>
        <v>$N$1:$N$92</v>
      </c>
      <c r="B3462" s="159" t="str">
        <f t="shared" si="273"/>
        <v>$O$1:$O$92</v>
      </c>
      <c r="C3462" s="159" t="str">
        <f t="shared" si="274"/>
        <v>August!$N$1:$N$92</v>
      </c>
      <c r="D3462" s="159" t="str">
        <f t="shared" si="275"/>
        <v>August!$O$1:$O$92</v>
      </c>
      <c r="E3462" t="s">
        <v>7</v>
      </c>
      <c r="F3462" t="s">
        <v>127</v>
      </c>
      <c r="G3462" t="s">
        <v>145</v>
      </c>
      <c r="H3462" t="s">
        <v>153</v>
      </c>
      <c r="I3462" t="e">
        <f t="shared" ca="1" si="271"/>
        <v>#REF!</v>
      </c>
      <c r="J3462" t="str">
        <f>VLOOKUP($G3462,DefinitionArrays!$I$6:$J$12,2,FALSE)</f>
        <v>Weekend</v>
      </c>
    </row>
    <row r="3463" spans="1:10">
      <c r="A3463" s="159" t="str">
        <f t="shared" si="272"/>
        <v>$N$1:$N$92</v>
      </c>
      <c r="B3463" s="159" t="str">
        <f t="shared" si="273"/>
        <v>$O$1:$O$92</v>
      </c>
      <c r="C3463" s="159" t="str">
        <f t="shared" si="274"/>
        <v>August!$N$1:$N$92</v>
      </c>
      <c r="D3463" s="159" t="str">
        <f t="shared" si="275"/>
        <v>August!$O$1:$O$92</v>
      </c>
      <c r="E3463" t="s">
        <v>7</v>
      </c>
      <c r="F3463" t="s">
        <v>127</v>
      </c>
      <c r="G3463" t="s">
        <v>145</v>
      </c>
      <c r="H3463" t="s">
        <v>19</v>
      </c>
      <c r="I3463" t="e">
        <f t="shared" ca="1" si="271"/>
        <v>#REF!</v>
      </c>
      <c r="J3463" t="str">
        <f>VLOOKUP($G3463,DefinitionArrays!$I$6:$J$12,2,FALSE)</f>
        <v>Weekend</v>
      </c>
    </row>
    <row r="3464" spans="1:10">
      <c r="A3464" s="159" t="str">
        <f t="shared" si="272"/>
        <v>$N$1:$N$92</v>
      </c>
      <c r="B3464" s="159" t="str">
        <f t="shared" si="273"/>
        <v>$O$1:$O$92</v>
      </c>
      <c r="C3464" s="159" t="str">
        <f t="shared" si="274"/>
        <v>August!$N$1:$N$92</v>
      </c>
      <c r="D3464" s="159" t="str">
        <f t="shared" si="275"/>
        <v>August!$O$1:$O$92</v>
      </c>
      <c r="E3464" t="s">
        <v>7</v>
      </c>
      <c r="F3464" t="s">
        <v>127</v>
      </c>
      <c r="G3464" t="s">
        <v>145</v>
      </c>
      <c r="H3464" t="s">
        <v>20</v>
      </c>
      <c r="I3464" t="e">
        <f t="shared" ca="1" si="271"/>
        <v>#REF!</v>
      </c>
      <c r="J3464" t="str">
        <f>VLOOKUP($G3464,DefinitionArrays!$I$6:$J$12,2,FALSE)</f>
        <v>Weekend</v>
      </c>
    </row>
    <row r="3465" spans="1:10">
      <c r="A3465" s="159" t="str">
        <f t="shared" si="272"/>
        <v>$N$1:$N$92</v>
      </c>
      <c r="B3465" s="159" t="str">
        <f t="shared" si="273"/>
        <v>$O$1:$O$92</v>
      </c>
      <c r="C3465" s="159" t="str">
        <f t="shared" si="274"/>
        <v>August!$N$1:$N$92</v>
      </c>
      <c r="D3465" s="159" t="str">
        <f t="shared" si="275"/>
        <v>August!$O$1:$O$92</v>
      </c>
      <c r="E3465" t="s">
        <v>7</v>
      </c>
      <c r="F3465" t="s">
        <v>127</v>
      </c>
      <c r="G3465" t="s">
        <v>145</v>
      </c>
      <c r="H3465" t="s">
        <v>21</v>
      </c>
      <c r="I3465" t="e">
        <f t="shared" ca="1" si="271"/>
        <v>#REF!</v>
      </c>
      <c r="J3465" t="str">
        <f>VLOOKUP($G3465,DefinitionArrays!$I$6:$J$12,2,FALSE)</f>
        <v>Weekend</v>
      </c>
    </row>
    <row r="3466" spans="1:10">
      <c r="A3466" s="159" t="str">
        <f t="shared" si="272"/>
        <v>$N$1:$N$92</v>
      </c>
      <c r="B3466" s="159" t="str">
        <f t="shared" si="273"/>
        <v>$O$1:$O$92</v>
      </c>
      <c r="C3466" s="159" t="str">
        <f t="shared" si="274"/>
        <v>August!$N$1:$N$92</v>
      </c>
      <c r="D3466" s="159" t="str">
        <f t="shared" si="275"/>
        <v>August!$O$1:$O$92</v>
      </c>
      <c r="E3466" t="s">
        <v>7</v>
      </c>
      <c r="F3466" t="s">
        <v>127</v>
      </c>
      <c r="G3466" t="s">
        <v>145</v>
      </c>
      <c r="H3466" t="s">
        <v>22</v>
      </c>
      <c r="I3466" t="e">
        <f t="shared" ca="1" si="271"/>
        <v>#REF!</v>
      </c>
      <c r="J3466" t="str">
        <f>VLOOKUP($G3466,DefinitionArrays!$I$6:$J$12,2,FALSE)</f>
        <v>Weekend</v>
      </c>
    </row>
    <row r="3467" spans="1:10">
      <c r="A3467" s="159" t="str">
        <f t="shared" si="272"/>
        <v>$N$1:$N$92</v>
      </c>
      <c r="B3467" s="159" t="str">
        <f t="shared" si="273"/>
        <v>$O$1:$O$92</v>
      </c>
      <c r="C3467" s="159" t="str">
        <f t="shared" si="274"/>
        <v>August!$N$1:$N$92</v>
      </c>
      <c r="D3467" s="159" t="str">
        <f t="shared" si="275"/>
        <v>August!$O$1:$O$92</v>
      </c>
      <c r="E3467" t="s">
        <v>7</v>
      </c>
      <c r="F3467" t="s">
        <v>127</v>
      </c>
      <c r="G3467" t="s">
        <v>145</v>
      </c>
      <c r="H3467" t="s">
        <v>23</v>
      </c>
      <c r="I3467" t="e">
        <f t="shared" ca="1" si="271"/>
        <v>#REF!</v>
      </c>
      <c r="J3467" t="str">
        <f>VLOOKUP($G3467,DefinitionArrays!$I$6:$J$12,2,FALSE)</f>
        <v>Weekend</v>
      </c>
    </row>
    <row r="3468" spans="1:10">
      <c r="A3468" s="159" t="str">
        <f t="shared" si="272"/>
        <v>$N$1:$N$92</v>
      </c>
      <c r="B3468" s="159" t="str">
        <f t="shared" si="273"/>
        <v>$O$1:$O$92</v>
      </c>
      <c r="C3468" s="159" t="str">
        <f t="shared" si="274"/>
        <v>August!$N$1:$N$92</v>
      </c>
      <c r="D3468" s="159" t="str">
        <f t="shared" si="275"/>
        <v>August!$O$1:$O$92</v>
      </c>
      <c r="E3468" t="s">
        <v>7</v>
      </c>
      <c r="F3468" t="s">
        <v>127</v>
      </c>
      <c r="G3468" t="s">
        <v>145</v>
      </c>
      <c r="H3468" t="s">
        <v>24</v>
      </c>
      <c r="I3468" t="e">
        <f t="shared" ca="1" si="271"/>
        <v>#REF!</v>
      </c>
      <c r="J3468" t="str">
        <f>VLOOKUP($G3468,DefinitionArrays!$I$6:$J$12,2,FALSE)</f>
        <v>Weekend</v>
      </c>
    </row>
    <row r="3469" spans="1:10">
      <c r="A3469" s="159" t="str">
        <f t="shared" si="272"/>
        <v>$N$1:$N$92</v>
      </c>
      <c r="B3469" s="159" t="str">
        <f t="shared" si="273"/>
        <v>$O$1:$O$92</v>
      </c>
      <c r="C3469" s="159" t="str">
        <f t="shared" si="274"/>
        <v>August!$N$1:$N$92</v>
      </c>
      <c r="D3469" s="159" t="str">
        <f t="shared" si="275"/>
        <v>August!$O$1:$O$92</v>
      </c>
      <c r="E3469" t="s">
        <v>7</v>
      </c>
      <c r="F3469" t="s">
        <v>127</v>
      </c>
      <c r="G3469" t="s">
        <v>145</v>
      </c>
      <c r="H3469" t="s">
        <v>179</v>
      </c>
      <c r="I3469" t="e">
        <f t="shared" ca="1" si="271"/>
        <v>#REF!</v>
      </c>
      <c r="J3469" t="str">
        <f>VLOOKUP($G3469,DefinitionArrays!$I$6:$J$12,2,FALSE)</f>
        <v>Weekend</v>
      </c>
    </row>
    <row r="3470" spans="1:10">
      <c r="A3470" s="159" t="str">
        <f t="shared" si="272"/>
        <v>$N$1:$N$92</v>
      </c>
      <c r="B3470" s="159" t="str">
        <f t="shared" si="273"/>
        <v>$O$1:$O$92</v>
      </c>
      <c r="C3470" s="159" t="str">
        <f t="shared" si="274"/>
        <v>August!$N$1:$N$92</v>
      </c>
      <c r="D3470" s="159" t="str">
        <f t="shared" si="275"/>
        <v>August!$O$1:$O$92</v>
      </c>
      <c r="E3470" t="s">
        <v>7</v>
      </c>
      <c r="F3470" t="s">
        <v>127</v>
      </c>
      <c r="G3470" t="s">
        <v>145</v>
      </c>
      <c r="H3470" t="s">
        <v>180</v>
      </c>
      <c r="I3470" t="e">
        <f t="shared" ca="1" si="271"/>
        <v>#REF!</v>
      </c>
      <c r="J3470" t="str">
        <f>VLOOKUP($G3470,DefinitionArrays!$I$6:$J$12,2,FALSE)</f>
        <v>Weekend</v>
      </c>
    </row>
    <row r="3471" spans="1:10">
      <c r="A3471" s="159" t="str">
        <f t="shared" si="272"/>
        <v>$N$1:$N$92</v>
      </c>
      <c r="B3471" s="159" t="str">
        <f t="shared" si="273"/>
        <v>$O$1:$O$92</v>
      </c>
      <c r="C3471" s="159" t="str">
        <f t="shared" si="274"/>
        <v>August!$N$1:$N$92</v>
      </c>
      <c r="D3471" s="159" t="str">
        <f t="shared" si="275"/>
        <v>August!$O$1:$O$92</v>
      </c>
      <c r="E3471" t="s">
        <v>7</v>
      </c>
      <c r="F3471" t="s">
        <v>127</v>
      </c>
      <c r="G3471" t="s">
        <v>145</v>
      </c>
      <c r="H3471" t="s">
        <v>44</v>
      </c>
      <c r="I3471" t="e">
        <f t="shared" ca="1" si="271"/>
        <v>#REF!</v>
      </c>
      <c r="J3471" t="str">
        <f>VLOOKUP($G3471,DefinitionArrays!$I$6:$J$12,2,FALSE)</f>
        <v>Weekend</v>
      </c>
    </row>
    <row r="3472" spans="1:10">
      <c r="A3472" s="159" t="str">
        <f t="shared" si="272"/>
        <v>$Q$1:$Q$92</v>
      </c>
      <c r="B3472" s="159" t="str">
        <f t="shared" si="273"/>
        <v>$R$1:$R$92</v>
      </c>
      <c r="C3472" s="159" t="str">
        <f t="shared" si="274"/>
        <v>August!$Q$1:$Q$92</v>
      </c>
      <c r="D3472" s="159" t="str">
        <f t="shared" si="275"/>
        <v>August!$R$1:$R$92</v>
      </c>
      <c r="E3472" t="s">
        <v>7</v>
      </c>
      <c r="F3472" t="s">
        <v>127</v>
      </c>
      <c r="G3472" t="s">
        <v>146</v>
      </c>
      <c r="H3472" t="s">
        <v>159</v>
      </c>
      <c r="I3472" t="e">
        <f t="shared" ca="1" si="271"/>
        <v>#REF!</v>
      </c>
      <c r="J3472" t="str">
        <f>VLOOKUP($G3472,DefinitionArrays!$I$6:$J$12,2,FALSE)</f>
        <v>Weekend</v>
      </c>
    </row>
    <row r="3473" spans="1:10">
      <c r="A3473" s="159" t="str">
        <f t="shared" si="272"/>
        <v>$T$1:$T$92</v>
      </c>
      <c r="B3473" s="159" t="str">
        <f t="shared" si="273"/>
        <v>$U$1:$U$92</v>
      </c>
      <c r="C3473" s="159" t="str">
        <f t="shared" si="274"/>
        <v>August!$T$1:$T$92</v>
      </c>
      <c r="D3473" s="159" t="str">
        <f t="shared" si="275"/>
        <v>August!$U$1:$U$92</v>
      </c>
      <c r="E3473" t="s">
        <v>7</v>
      </c>
      <c r="F3473" t="s">
        <v>127</v>
      </c>
      <c r="G3473" t="s">
        <v>141</v>
      </c>
      <c r="H3473" t="s">
        <v>159</v>
      </c>
      <c r="I3473" t="e">
        <f t="shared" ca="1" si="271"/>
        <v>#REF!</v>
      </c>
      <c r="J3473" t="str">
        <f>VLOOKUP($G3473,DefinitionArrays!$I$6:$J$12,2,FALSE)</f>
        <v>Weekend</v>
      </c>
    </row>
    <row r="3474" spans="1:10">
      <c r="A3474" s="159" t="str">
        <f t="shared" si="272"/>
        <v>$B$1:$B$92</v>
      </c>
      <c r="B3474" s="159" t="str">
        <f t="shared" si="273"/>
        <v>$C$1:$C$92</v>
      </c>
      <c r="C3474" s="159" t="str">
        <f t="shared" si="274"/>
        <v>September!$B$1:$B$92</v>
      </c>
      <c r="D3474" s="159" t="str">
        <f t="shared" si="275"/>
        <v>September!$C$1:$C$92</v>
      </c>
      <c r="E3474" t="s">
        <v>7</v>
      </c>
      <c r="F3474" t="s">
        <v>128</v>
      </c>
      <c r="G3474" t="s">
        <v>13</v>
      </c>
      <c r="H3474" t="s">
        <v>159</v>
      </c>
      <c r="I3474" t="e">
        <f ca="1">COUNTIFS(INDIRECT($C3474),$E3474,INDIRECT($D3474),$H3474)</f>
        <v>#REF!</v>
      </c>
      <c r="J3474" t="str">
        <f>VLOOKUP($G3474,DefinitionArrays!$I$6:$J$12,2,FALSE)</f>
        <v>Workweek</v>
      </c>
    </row>
    <row r="3475" spans="1:10">
      <c r="A3475" s="159" t="str">
        <f t="shared" si="272"/>
        <v>$B$1:$B$92</v>
      </c>
      <c r="B3475" s="159" t="str">
        <f t="shared" si="273"/>
        <v>$C$1:$C$92</v>
      </c>
      <c r="C3475" s="159" t="str">
        <f t="shared" si="274"/>
        <v>September!$B$1:$B$92</v>
      </c>
      <c r="D3475" s="159" t="str">
        <f t="shared" si="275"/>
        <v>September!$C$1:$C$92</v>
      </c>
      <c r="E3475" t="s">
        <v>7</v>
      </c>
      <c r="F3475" t="s">
        <v>128</v>
      </c>
      <c r="G3475" t="s">
        <v>13</v>
      </c>
      <c r="H3475" t="s">
        <v>18</v>
      </c>
      <c r="I3475" t="e">
        <f t="shared" ref="I3475:I3535" ca="1" si="276">COUNTIFS(INDIRECT($C3475),$E3475,INDIRECT($D3475),$H3475)</f>
        <v>#REF!</v>
      </c>
      <c r="J3475" t="str">
        <f>VLOOKUP($G3475,DefinitionArrays!$I$6:$J$12,2,FALSE)</f>
        <v>Workweek</v>
      </c>
    </row>
    <row r="3476" spans="1:10">
      <c r="A3476" s="159" t="str">
        <f t="shared" si="272"/>
        <v>$B$1:$B$92</v>
      </c>
      <c r="B3476" s="159" t="str">
        <f t="shared" si="273"/>
        <v>$C$1:$C$92</v>
      </c>
      <c r="C3476" s="159" t="str">
        <f t="shared" si="274"/>
        <v>September!$B$1:$B$92</v>
      </c>
      <c r="D3476" s="159" t="str">
        <f t="shared" si="275"/>
        <v>September!$C$1:$C$92</v>
      </c>
      <c r="E3476" t="s">
        <v>7</v>
      </c>
      <c r="F3476" t="s">
        <v>128</v>
      </c>
      <c r="G3476" t="s">
        <v>13</v>
      </c>
      <c r="H3476" t="s">
        <v>153</v>
      </c>
      <c r="I3476" t="e">
        <f t="shared" ca="1" si="276"/>
        <v>#REF!</v>
      </c>
      <c r="J3476" t="str">
        <f>VLOOKUP($G3476,DefinitionArrays!$I$6:$J$12,2,FALSE)</f>
        <v>Workweek</v>
      </c>
    </row>
    <row r="3477" spans="1:10">
      <c r="A3477" s="159" t="str">
        <f t="shared" si="272"/>
        <v>$B$1:$B$92</v>
      </c>
      <c r="B3477" s="159" t="str">
        <f t="shared" si="273"/>
        <v>$C$1:$C$92</v>
      </c>
      <c r="C3477" s="159" t="str">
        <f t="shared" si="274"/>
        <v>September!$B$1:$B$92</v>
      </c>
      <c r="D3477" s="159" t="str">
        <f t="shared" si="275"/>
        <v>September!$C$1:$C$92</v>
      </c>
      <c r="E3477" t="s">
        <v>7</v>
      </c>
      <c r="F3477" t="s">
        <v>128</v>
      </c>
      <c r="G3477" t="s">
        <v>13</v>
      </c>
      <c r="H3477" t="s">
        <v>19</v>
      </c>
      <c r="I3477" t="e">
        <f t="shared" ca="1" si="276"/>
        <v>#REF!</v>
      </c>
      <c r="J3477" t="str">
        <f>VLOOKUP($G3477,DefinitionArrays!$I$6:$J$12,2,FALSE)</f>
        <v>Workweek</v>
      </c>
    </row>
    <row r="3478" spans="1:10">
      <c r="A3478" s="159" t="str">
        <f t="shared" si="272"/>
        <v>$B$1:$B$92</v>
      </c>
      <c r="B3478" s="159" t="str">
        <f t="shared" si="273"/>
        <v>$C$1:$C$92</v>
      </c>
      <c r="C3478" s="159" t="str">
        <f t="shared" si="274"/>
        <v>September!$B$1:$B$92</v>
      </c>
      <c r="D3478" s="159" t="str">
        <f t="shared" si="275"/>
        <v>September!$C$1:$C$92</v>
      </c>
      <c r="E3478" t="s">
        <v>7</v>
      </c>
      <c r="F3478" t="s">
        <v>128</v>
      </c>
      <c r="G3478" t="s">
        <v>13</v>
      </c>
      <c r="H3478" t="s">
        <v>20</v>
      </c>
      <c r="I3478" t="e">
        <f t="shared" ca="1" si="276"/>
        <v>#REF!</v>
      </c>
      <c r="J3478" t="str">
        <f>VLOOKUP($G3478,DefinitionArrays!$I$6:$J$12,2,FALSE)</f>
        <v>Workweek</v>
      </c>
    </row>
    <row r="3479" spans="1:10">
      <c r="A3479" s="159" t="str">
        <f t="shared" si="272"/>
        <v>$B$1:$B$92</v>
      </c>
      <c r="B3479" s="159" t="str">
        <f t="shared" si="273"/>
        <v>$C$1:$C$92</v>
      </c>
      <c r="C3479" s="159" t="str">
        <f t="shared" si="274"/>
        <v>September!$B$1:$B$92</v>
      </c>
      <c r="D3479" s="159" t="str">
        <f t="shared" si="275"/>
        <v>September!$C$1:$C$92</v>
      </c>
      <c r="E3479" t="s">
        <v>7</v>
      </c>
      <c r="F3479" t="s">
        <v>128</v>
      </c>
      <c r="G3479" t="s">
        <v>13</v>
      </c>
      <c r="H3479" t="s">
        <v>21</v>
      </c>
      <c r="I3479" t="e">
        <f t="shared" ca="1" si="276"/>
        <v>#REF!</v>
      </c>
      <c r="J3479" t="str">
        <f>VLOOKUP($G3479,DefinitionArrays!$I$6:$J$12,2,FALSE)</f>
        <v>Workweek</v>
      </c>
    </row>
    <row r="3480" spans="1:10">
      <c r="A3480" s="159" t="str">
        <f t="shared" si="272"/>
        <v>$B$1:$B$92</v>
      </c>
      <c r="B3480" s="159" t="str">
        <f t="shared" si="273"/>
        <v>$C$1:$C$92</v>
      </c>
      <c r="C3480" s="159" t="str">
        <f t="shared" si="274"/>
        <v>September!$B$1:$B$92</v>
      </c>
      <c r="D3480" s="159" t="str">
        <f t="shared" si="275"/>
        <v>September!$C$1:$C$92</v>
      </c>
      <c r="E3480" t="s">
        <v>7</v>
      </c>
      <c r="F3480" t="s">
        <v>128</v>
      </c>
      <c r="G3480" t="s">
        <v>13</v>
      </c>
      <c r="H3480" t="s">
        <v>22</v>
      </c>
      <c r="I3480" t="e">
        <f t="shared" ca="1" si="276"/>
        <v>#REF!</v>
      </c>
      <c r="J3480" t="str">
        <f>VLOOKUP($G3480,DefinitionArrays!$I$6:$J$12,2,FALSE)</f>
        <v>Workweek</v>
      </c>
    </row>
    <row r="3481" spans="1:10">
      <c r="A3481" s="159" t="str">
        <f t="shared" si="272"/>
        <v>$B$1:$B$92</v>
      </c>
      <c r="B3481" s="159" t="str">
        <f t="shared" si="273"/>
        <v>$C$1:$C$92</v>
      </c>
      <c r="C3481" s="159" t="str">
        <f t="shared" si="274"/>
        <v>September!$B$1:$B$92</v>
      </c>
      <c r="D3481" s="159" t="str">
        <f t="shared" si="275"/>
        <v>September!$C$1:$C$92</v>
      </c>
      <c r="E3481" t="s">
        <v>7</v>
      </c>
      <c r="F3481" t="s">
        <v>128</v>
      </c>
      <c r="G3481" t="s">
        <v>13</v>
      </c>
      <c r="H3481" t="s">
        <v>23</v>
      </c>
      <c r="I3481" t="e">
        <f t="shared" ca="1" si="276"/>
        <v>#REF!</v>
      </c>
      <c r="J3481" t="str">
        <f>VLOOKUP($G3481,DefinitionArrays!$I$6:$J$12,2,FALSE)</f>
        <v>Workweek</v>
      </c>
    </row>
    <row r="3482" spans="1:10">
      <c r="A3482" s="159" t="str">
        <f t="shared" si="272"/>
        <v>$B$1:$B$92</v>
      </c>
      <c r="B3482" s="159" t="str">
        <f t="shared" si="273"/>
        <v>$C$1:$C$92</v>
      </c>
      <c r="C3482" s="159" t="str">
        <f t="shared" si="274"/>
        <v>September!$B$1:$B$92</v>
      </c>
      <c r="D3482" s="159" t="str">
        <f t="shared" si="275"/>
        <v>September!$C$1:$C$92</v>
      </c>
      <c r="E3482" t="s">
        <v>7</v>
      </c>
      <c r="F3482" t="s">
        <v>128</v>
      </c>
      <c r="G3482" t="s">
        <v>13</v>
      </c>
      <c r="H3482" t="s">
        <v>24</v>
      </c>
      <c r="I3482" t="e">
        <f t="shared" ca="1" si="276"/>
        <v>#REF!</v>
      </c>
      <c r="J3482" t="str">
        <f>VLOOKUP($G3482,DefinitionArrays!$I$6:$J$12,2,FALSE)</f>
        <v>Workweek</v>
      </c>
    </row>
    <row r="3483" spans="1:10">
      <c r="A3483" s="159" t="str">
        <f t="shared" si="272"/>
        <v>$B$1:$B$92</v>
      </c>
      <c r="B3483" s="159" t="str">
        <f t="shared" si="273"/>
        <v>$C$1:$C$92</v>
      </c>
      <c r="C3483" s="159" t="str">
        <f t="shared" si="274"/>
        <v>September!$B$1:$B$92</v>
      </c>
      <c r="D3483" s="159" t="str">
        <f t="shared" si="275"/>
        <v>September!$C$1:$C$92</v>
      </c>
      <c r="E3483" t="s">
        <v>7</v>
      </c>
      <c r="F3483" t="s">
        <v>128</v>
      </c>
      <c r="G3483" t="s">
        <v>13</v>
      </c>
      <c r="H3483" t="s">
        <v>179</v>
      </c>
      <c r="I3483" t="e">
        <f t="shared" ca="1" si="276"/>
        <v>#REF!</v>
      </c>
      <c r="J3483" t="str">
        <f>VLOOKUP($G3483,DefinitionArrays!$I$6:$J$12,2,FALSE)</f>
        <v>Workweek</v>
      </c>
    </row>
    <row r="3484" spans="1:10">
      <c r="A3484" s="159" t="str">
        <f t="shared" si="272"/>
        <v>$B$1:$B$92</v>
      </c>
      <c r="B3484" s="159" t="str">
        <f t="shared" si="273"/>
        <v>$C$1:$C$92</v>
      </c>
      <c r="C3484" s="159" t="str">
        <f t="shared" si="274"/>
        <v>September!$B$1:$B$92</v>
      </c>
      <c r="D3484" s="159" t="str">
        <f t="shared" si="275"/>
        <v>September!$C$1:$C$92</v>
      </c>
      <c r="E3484" t="s">
        <v>7</v>
      </c>
      <c r="F3484" t="s">
        <v>128</v>
      </c>
      <c r="G3484" t="s">
        <v>13</v>
      </c>
      <c r="H3484" t="s">
        <v>180</v>
      </c>
      <c r="I3484" t="e">
        <f t="shared" ca="1" si="276"/>
        <v>#REF!</v>
      </c>
      <c r="J3484" t="str">
        <f>VLOOKUP($G3484,DefinitionArrays!$I$6:$J$12,2,FALSE)</f>
        <v>Workweek</v>
      </c>
    </row>
    <row r="3485" spans="1:10">
      <c r="A3485" s="159" t="str">
        <f t="shared" si="272"/>
        <v>$B$1:$B$92</v>
      </c>
      <c r="B3485" s="159" t="str">
        <f t="shared" si="273"/>
        <v>$C$1:$C$92</v>
      </c>
      <c r="C3485" s="159" t="str">
        <f t="shared" si="274"/>
        <v>September!$B$1:$B$92</v>
      </c>
      <c r="D3485" s="159" t="str">
        <f t="shared" si="275"/>
        <v>September!$C$1:$C$92</v>
      </c>
      <c r="E3485" t="s">
        <v>7</v>
      </c>
      <c r="F3485" t="s">
        <v>128</v>
      </c>
      <c r="G3485" t="s">
        <v>13</v>
      </c>
      <c r="H3485" t="s">
        <v>44</v>
      </c>
      <c r="I3485" t="e">
        <f t="shared" ca="1" si="276"/>
        <v>#REF!</v>
      </c>
      <c r="J3485" t="str">
        <f>VLOOKUP($G3485,DefinitionArrays!$I$6:$J$12,2,FALSE)</f>
        <v>Workweek</v>
      </c>
    </row>
    <row r="3486" spans="1:10">
      <c r="A3486" s="159" t="str">
        <f t="shared" si="272"/>
        <v>$E$1:$E$92</v>
      </c>
      <c r="B3486" s="159" t="str">
        <f t="shared" si="273"/>
        <v>$F$1:$F$92</v>
      </c>
      <c r="C3486" s="159" t="str">
        <f t="shared" si="274"/>
        <v>September!$E$1:$E$92</v>
      </c>
      <c r="D3486" s="159" t="str">
        <f t="shared" si="275"/>
        <v>September!$F$1:$F$92</v>
      </c>
      <c r="E3486" t="s">
        <v>7</v>
      </c>
      <c r="F3486" t="s">
        <v>128</v>
      </c>
      <c r="G3486" t="s">
        <v>142</v>
      </c>
      <c r="H3486" t="s">
        <v>159</v>
      </c>
      <c r="I3486" t="e">
        <f t="shared" ca="1" si="276"/>
        <v>#REF!</v>
      </c>
      <c r="J3486" t="str">
        <f>VLOOKUP($G3486,DefinitionArrays!$I$6:$J$12,2,FALSE)</f>
        <v>Workweek</v>
      </c>
    </row>
    <row r="3487" spans="1:10">
      <c r="A3487" s="159" t="str">
        <f t="shared" si="272"/>
        <v>$E$1:$E$92</v>
      </c>
      <c r="B3487" s="159" t="str">
        <f t="shared" si="273"/>
        <v>$F$1:$F$92</v>
      </c>
      <c r="C3487" s="159" t="str">
        <f t="shared" si="274"/>
        <v>September!$E$1:$E$92</v>
      </c>
      <c r="D3487" s="159" t="str">
        <f t="shared" si="275"/>
        <v>September!$F$1:$F$92</v>
      </c>
      <c r="E3487" t="s">
        <v>7</v>
      </c>
      <c r="F3487" t="s">
        <v>128</v>
      </c>
      <c r="G3487" t="s">
        <v>142</v>
      </c>
      <c r="H3487" t="s">
        <v>18</v>
      </c>
      <c r="I3487" t="e">
        <f t="shared" ca="1" si="276"/>
        <v>#REF!</v>
      </c>
      <c r="J3487" t="str">
        <f>VLOOKUP($G3487,DefinitionArrays!$I$6:$J$12,2,FALSE)</f>
        <v>Workweek</v>
      </c>
    </row>
    <row r="3488" spans="1:10">
      <c r="A3488" s="159" t="str">
        <f t="shared" si="272"/>
        <v>$E$1:$E$92</v>
      </c>
      <c r="B3488" s="159" t="str">
        <f t="shared" si="273"/>
        <v>$F$1:$F$92</v>
      </c>
      <c r="C3488" s="159" t="str">
        <f t="shared" si="274"/>
        <v>September!$E$1:$E$92</v>
      </c>
      <c r="D3488" s="159" t="str">
        <f t="shared" si="275"/>
        <v>September!$F$1:$F$92</v>
      </c>
      <c r="E3488" t="s">
        <v>7</v>
      </c>
      <c r="F3488" t="s">
        <v>128</v>
      </c>
      <c r="G3488" t="s">
        <v>142</v>
      </c>
      <c r="H3488" t="s">
        <v>153</v>
      </c>
      <c r="I3488" t="e">
        <f t="shared" ca="1" si="276"/>
        <v>#REF!</v>
      </c>
      <c r="J3488" t="str">
        <f>VLOOKUP($G3488,DefinitionArrays!$I$6:$J$12,2,FALSE)</f>
        <v>Workweek</v>
      </c>
    </row>
    <row r="3489" spans="1:10">
      <c r="A3489" s="159" t="str">
        <f t="shared" si="272"/>
        <v>$E$1:$E$92</v>
      </c>
      <c r="B3489" s="159" t="str">
        <f t="shared" si="273"/>
        <v>$F$1:$F$92</v>
      </c>
      <c r="C3489" s="159" t="str">
        <f t="shared" si="274"/>
        <v>September!$E$1:$E$92</v>
      </c>
      <c r="D3489" s="159" t="str">
        <f t="shared" si="275"/>
        <v>September!$F$1:$F$92</v>
      </c>
      <c r="E3489" t="s">
        <v>7</v>
      </c>
      <c r="F3489" t="s">
        <v>128</v>
      </c>
      <c r="G3489" t="s">
        <v>142</v>
      </c>
      <c r="H3489" t="s">
        <v>19</v>
      </c>
      <c r="I3489" t="e">
        <f t="shared" ca="1" si="276"/>
        <v>#REF!</v>
      </c>
      <c r="J3489" t="str">
        <f>VLOOKUP($G3489,DefinitionArrays!$I$6:$J$12,2,FALSE)</f>
        <v>Workweek</v>
      </c>
    </row>
    <row r="3490" spans="1:10">
      <c r="A3490" s="159" t="str">
        <f t="shared" si="272"/>
        <v>$E$1:$E$92</v>
      </c>
      <c r="B3490" s="159" t="str">
        <f t="shared" si="273"/>
        <v>$F$1:$F$92</v>
      </c>
      <c r="C3490" s="159" t="str">
        <f t="shared" si="274"/>
        <v>September!$E$1:$E$92</v>
      </c>
      <c r="D3490" s="159" t="str">
        <f t="shared" si="275"/>
        <v>September!$F$1:$F$92</v>
      </c>
      <c r="E3490" t="s">
        <v>7</v>
      </c>
      <c r="F3490" t="s">
        <v>128</v>
      </c>
      <c r="G3490" t="s">
        <v>142</v>
      </c>
      <c r="H3490" t="s">
        <v>20</v>
      </c>
      <c r="I3490" t="e">
        <f t="shared" ca="1" si="276"/>
        <v>#REF!</v>
      </c>
      <c r="J3490" t="str">
        <f>VLOOKUP($G3490,DefinitionArrays!$I$6:$J$12,2,FALSE)</f>
        <v>Workweek</v>
      </c>
    </row>
    <row r="3491" spans="1:10">
      <c r="A3491" s="159" t="str">
        <f t="shared" si="272"/>
        <v>$E$1:$E$92</v>
      </c>
      <c r="B3491" s="159" t="str">
        <f t="shared" si="273"/>
        <v>$F$1:$F$92</v>
      </c>
      <c r="C3491" s="159" t="str">
        <f t="shared" si="274"/>
        <v>September!$E$1:$E$92</v>
      </c>
      <c r="D3491" s="159" t="str">
        <f t="shared" si="275"/>
        <v>September!$F$1:$F$92</v>
      </c>
      <c r="E3491" t="s">
        <v>7</v>
      </c>
      <c r="F3491" t="s">
        <v>128</v>
      </c>
      <c r="G3491" t="s">
        <v>142</v>
      </c>
      <c r="H3491" t="s">
        <v>21</v>
      </c>
      <c r="I3491" t="e">
        <f t="shared" ca="1" si="276"/>
        <v>#REF!</v>
      </c>
      <c r="J3491" t="str">
        <f>VLOOKUP($G3491,DefinitionArrays!$I$6:$J$12,2,FALSE)</f>
        <v>Workweek</v>
      </c>
    </row>
    <row r="3492" spans="1:10">
      <c r="A3492" s="159" t="str">
        <f t="shared" si="272"/>
        <v>$E$1:$E$92</v>
      </c>
      <c r="B3492" s="159" t="str">
        <f t="shared" si="273"/>
        <v>$F$1:$F$92</v>
      </c>
      <c r="C3492" s="159" t="str">
        <f t="shared" si="274"/>
        <v>September!$E$1:$E$92</v>
      </c>
      <c r="D3492" s="159" t="str">
        <f t="shared" si="275"/>
        <v>September!$F$1:$F$92</v>
      </c>
      <c r="E3492" t="s">
        <v>7</v>
      </c>
      <c r="F3492" t="s">
        <v>128</v>
      </c>
      <c r="G3492" t="s">
        <v>142</v>
      </c>
      <c r="H3492" t="s">
        <v>22</v>
      </c>
      <c r="I3492" t="e">
        <f t="shared" ca="1" si="276"/>
        <v>#REF!</v>
      </c>
      <c r="J3492" t="str">
        <f>VLOOKUP($G3492,DefinitionArrays!$I$6:$J$12,2,FALSE)</f>
        <v>Workweek</v>
      </c>
    </row>
    <row r="3493" spans="1:10">
      <c r="A3493" s="159" t="str">
        <f t="shared" si="272"/>
        <v>$E$1:$E$92</v>
      </c>
      <c r="B3493" s="159" t="str">
        <f t="shared" si="273"/>
        <v>$F$1:$F$92</v>
      </c>
      <c r="C3493" s="159" t="str">
        <f t="shared" si="274"/>
        <v>September!$E$1:$E$92</v>
      </c>
      <c r="D3493" s="159" t="str">
        <f t="shared" si="275"/>
        <v>September!$F$1:$F$92</v>
      </c>
      <c r="E3493" t="s">
        <v>7</v>
      </c>
      <c r="F3493" t="s">
        <v>128</v>
      </c>
      <c r="G3493" t="s">
        <v>142</v>
      </c>
      <c r="H3493" t="s">
        <v>23</v>
      </c>
      <c r="I3493" t="e">
        <f t="shared" ca="1" si="276"/>
        <v>#REF!</v>
      </c>
      <c r="J3493" t="str">
        <f>VLOOKUP($G3493,DefinitionArrays!$I$6:$J$12,2,FALSE)</f>
        <v>Workweek</v>
      </c>
    </row>
    <row r="3494" spans="1:10">
      <c r="A3494" s="159" t="str">
        <f t="shared" si="272"/>
        <v>$E$1:$E$92</v>
      </c>
      <c r="B3494" s="159" t="str">
        <f t="shared" si="273"/>
        <v>$F$1:$F$92</v>
      </c>
      <c r="C3494" s="159" t="str">
        <f t="shared" si="274"/>
        <v>September!$E$1:$E$92</v>
      </c>
      <c r="D3494" s="159" t="str">
        <f t="shared" si="275"/>
        <v>September!$F$1:$F$92</v>
      </c>
      <c r="E3494" t="s">
        <v>7</v>
      </c>
      <c r="F3494" t="s">
        <v>128</v>
      </c>
      <c r="G3494" t="s">
        <v>142</v>
      </c>
      <c r="H3494" t="s">
        <v>24</v>
      </c>
      <c r="I3494" t="e">
        <f t="shared" ca="1" si="276"/>
        <v>#REF!</v>
      </c>
      <c r="J3494" t="str">
        <f>VLOOKUP($G3494,DefinitionArrays!$I$6:$J$12,2,FALSE)</f>
        <v>Workweek</v>
      </c>
    </row>
    <row r="3495" spans="1:10">
      <c r="A3495" s="159" t="str">
        <f t="shared" si="272"/>
        <v>$E$1:$E$92</v>
      </c>
      <c r="B3495" s="159" t="str">
        <f t="shared" si="273"/>
        <v>$F$1:$F$92</v>
      </c>
      <c r="C3495" s="159" t="str">
        <f t="shared" si="274"/>
        <v>September!$E$1:$E$92</v>
      </c>
      <c r="D3495" s="159" t="str">
        <f t="shared" si="275"/>
        <v>September!$F$1:$F$92</v>
      </c>
      <c r="E3495" t="s">
        <v>7</v>
      </c>
      <c r="F3495" t="s">
        <v>128</v>
      </c>
      <c r="G3495" t="s">
        <v>142</v>
      </c>
      <c r="H3495" t="s">
        <v>179</v>
      </c>
      <c r="I3495" t="e">
        <f t="shared" ca="1" si="276"/>
        <v>#REF!</v>
      </c>
      <c r="J3495" t="str">
        <f>VLOOKUP($G3495,DefinitionArrays!$I$6:$J$12,2,FALSE)</f>
        <v>Workweek</v>
      </c>
    </row>
    <row r="3496" spans="1:10">
      <c r="A3496" s="159" t="str">
        <f t="shared" si="272"/>
        <v>$E$1:$E$92</v>
      </c>
      <c r="B3496" s="159" t="str">
        <f t="shared" si="273"/>
        <v>$F$1:$F$92</v>
      </c>
      <c r="C3496" s="159" t="str">
        <f t="shared" si="274"/>
        <v>September!$E$1:$E$92</v>
      </c>
      <c r="D3496" s="159" t="str">
        <f t="shared" si="275"/>
        <v>September!$F$1:$F$92</v>
      </c>
      <c r="E3496" t="s">
        <v>7</v>
      </c>
      <c r="F3496" t="s">
        <v>128</v>
      </c>
      <c r="G3496" t="s">
        <v>142</v>
      </c>
      <c r="H3496" t="s">
        <v>180</v>
      </c>
      <c r="I3496" t="e">
        <f t="shared" ca="1" si="276"/>
        <v>#REF!</v>
      </c>
      <c r="J3496" t="str">
        <f>VLOOKUP($G3496,DefinitionArrays!$I$6:$J$12,2,FALSE)</f>
        <v>Workweek</v>
      </c>
    </row>
    <row r="3497" spans="1:10">
      <c r="A3497" s="159" t="str">
        <f t="shared" si="272"/>
        <v>$E$1:$E$92</v>
      </c>
      <c r="B3497" s="159" t="str">
        <f t="shared" si="273"/>
        <v>$F$1:$F$92</v>
      </c>
      <c r="C3497" s="159" t="str">
        <f t="shared" si="274"/>
        <v>September!$E$1:$E$92</v>
      </c>
      <c r="D3497" s="159" t="str">
        <f t="shared" si="275"/>
        <v>September!$F$1:$F$92</v>
      </c>
      <c r="E3497" t="s">
        <v>7</v>
      </c>
      <c r="F3497" t="s">
        <v>128</v>
      </c>
      <c r="G3497" t="s">
        <v>142</v>
      </c>
      <c r="H3497" t="s">
        <v>44</v>
      </c>
      <c r="I3497" t="e">
        <f t="shared" ca="1" si="276"/>
        <v>#REF!</v>
      </c>
      <c r="J3497" t="str">
        <f>VLOOKUP($G3497,DefinitionArrays!$I$6:$J$12,2,FALSE)</f>
        <v>Workweek</v>
      </c>
    </row>
    <row r="3498" spans="1:10">
      <c r="A3498" s="159" t="str">
        <f t="shared" si="272"/>
        <v>$H$1:$H$92</v>
      </c>
      <c r="B3498" s="159" t="str">
        <f t="shared" si="273"/>
        <v>$I$1:$I$92</v>
      </c>
      <c r="C3498" s="159" t="str">
        <f t="shared" si="274"/>
        <v>September!$H$1:$H$92</v>
      </c>
      <c r="D3498" s="159" t="str">
        <f t="shared" si="275"/>
        <v>September!$I$1:$I$92</v>
      </c>
      <c r="E3498" t="s">
        <v>7</v>
      </c>
      <c r="F3498" t="s">
        <v>128</v>
      </c>
      <c r="G3498" t="s">
        <v>143</v>
      </c>
      <c r="H3498" t="s">
        <v>159</v>
      </c>
      <c r="I3498" t="e">
        <f t="shared" ca="1" si="276"/>
        <v>#REF!</v>
      </c>
      <c r="J3498" t="str">
        <f>VLOOKUP($G3498,DefinitionArrays!$I$6:$J$12,2,FALSE)</f>
        <v>Workweek</v>
      </c>
    </row>
    <row r="3499" spans="1:10">
      <c r="A3499" s="159" t="str">
        <f t="shared" si="272"/>
        <v>$H$1:$H$92</v>
      </c>
      <c r="B3499" s="159" t="str">
        <f t="shared" si="273"/>
        <v>$I$1:$I$92</v>
      </c>
      <c r="C3499" s="159" t="str">
        <f t="shared" si="274"/>
        <v>September!$H$1:$H$92</v>
      </c>
      <c r="D3499" s="159" t="str">
        <f t="shared" si="275"/>
        <v>September!$I$1:$I$92</v>
      </c>
      <c r="E3499" t="s">
        <v>7</v>
      </c>
      <c r="F3499" t="s">
        <v>128</v>
      </c>
      <c r="G3499" t="s">
        <v>143</v>
      </c>
      <c r="H3499" t="s">
        <v>18</v>
      </c>
      <c r="I3499" t="e">
        <f t="shared" ca="1" si="276"/>
        <v>#REF!</v>
      </c>
      <c r="J3499" t="str">
        <f>VLOOKUP($G3499,DefinitionArrays!$I$6:$J$12,2,FALSE)</f>
        <v>Workweek</v>
      </c>
    </row>
    <row r="3500" spans="1:10">
      <c r="A3500" s="159" t="str">
        <f t="shared" si="272"/>
        <v>$H$1:$H$92</v>
      </c>
      <c r="B3500" s="159" t="str">
        <f t="shared" si="273"/>
        <v>$I$1:$I$92</v>
      </c>
      <c r="C3500" s="159" t="str">
        <f t="shared" si="274"/>
        <v>September!$H$1:$H$92</v>
      </c>
      <c r="D3500" s="159" t="str">
        <f t="shared" si="275"/>
        <v>September!$I$1:$I$92</v>
      </c>
      <c r="E3500" t="s">
        <v>7</v>
      </c>
      <c r="F3500" t="s">
        <v>128</v>
      </c>
      <c r="G3500" t="s">
        <v>143</v>
      </c>
      <c r="H3500" t="s">
        <v>153</v>
      </c>
      <c r="I3500" t="e">
        <f t="shared" ca="1" si="276"/>
        <v>#REF!</v>
      </c>
      <c r="J3500" t="str">
        <f>VLOOKUP($G3500,DefinitionArrays!$I$6:$J$12,2,FALSE)</f>
        <v>Workweek</v>
      </c>
    </row>
    <row r="3501" spans="1:10">
      <c r="A3501" s="159" t="str">
        <f t="shared" si="272"/>
        <v>$H$1:$H$92</v>
      </c>
      <c r="B3501" s="159" t="str">
        <f t="shared" si="273"/>
        <v>$I$1:$I$92</v>
      </c>
      <c r="C3501" s="159" t="str">
        <f t="shared" si="274"/>
        <v>September!$H$1:$H$92</v>
      </c>
      <c r="D3501" s="159" t="str">
        <f t="shared" si="275"/>
        <v>September!$I$1:$I$92</v>
      </c>
      <c r="E3501" t="s">
        <v>7</v>
      </c>
      <c r="F3501" t="s">
        <v>128</v>
      </c>
      <c r="G3501" t="s">
        <v>143</v>
      </c>
      <c r="H3501" t="s">
        <v>19</v>
      </c>
      <c r="I3501" t="e">
        <f t="shared" ca="1" si="276"/>
        <v>#REF!</v>
      </c>
      <c r="J3501" t="str">
        <f>VLOOKUP($G3501,DefinitionArrays!$I$6:$J$12,2,FALSE)</f>
        <v>Workweek</v>
      </c>
    </row>
    <row r="3502" spans="1:10">
      <c r="A3502" s="159" t="str">
        <f t="shared" si="272"/>
        <v>$H$1:$H$92</v>
      </c>
      <c r="B3502" s="159" t="str">
        <f t="shared" si="273"/>
        <v>$I$1:$I$92</v>
      </c>
      <c r="C3502" s="159" t="str">
        <f t="shared" si="274"/>
        <v>September!$H$1:$H$92</v>
      </c>
      <c r="D3502" s="159" t="str">
        <f t="shared" si="275"/>
        <v>September!$I$1:$I$92</v>
      </c>
      <c r="E3502" t="s">
        <v>7</v>
      </c>
      <c r="F3502" t="s">
        <v>128</v>
      </c>
      <c r="G3502" t="s">
        <v>143</v>
      </c>
      <c r="H3502" t="s">
        <v>20</v>
      </c>
      <c r="I3502" t="e">
        <f t="shared" ca="1" si="276"/>
        <v>#REF!</v>
      </c>
      <c r="J3502" t="str">
        <f>VLOOKUP($G3502,DefinitionArrays!$I$6:$J$12,2,FALSE)</f>
        <v>Workweek</v>
      </c>
    </row>
    <row r="3503" spans="1:10">
      <c r="A3503" s="159" t="str">
        <f t="shared" si="272"/>
        <v>$H$1:$H$92</v>
      </c>
      <c r="B3503" s="159" t="str">
        <f t="shared" si="273"/>
        <v>$I$1:$I$92</v>
      </c>
      <c r="C3503" s="159" t="str">
        <f t="shared" si="274"/>
        <v>September!$H$1:$H$92</v>
      </c>
      <c r="D3503" s="159" t="str">
        <f t="shared" si="275"/>
        <v>September!$I$1:$I$92</v>
      </c>
      <c r="E3503" t="s">
        <v>7</v>
      </c>
      <c r="F3503" t="s">
        <v>128</v>
      </c>
      <c r="G3503" t="s">
        <v>143</v>
      </c>
      <c r="H3503" t="s">
        <v>21</v>
      </c>
      <c r="I3503" t="e">
        <f t="shared" ca="1" si="276"/>
        <v>#REF!</v>
      </c>
      <c r="J3503" t="str">
        <f>VLOOKUP($G3503,DefinitionArrays!$I$6:$J$12,2,FALSE)</f>
        <v>Workweek</v>
      </c>
    </row>
    <row r="3504" spans="1:10">
      <c r="A3504" s="159" t="str">
        <f t="shared" si="272"/>
        <v>$H$1:$H$92</v>
      </c>
      <c r="B3504" s="159" t="str">
        <f t="shared" si="273"/>
        <v>$I$1:$I$92</v>
      </c>
      <c r="C3504" s="159" t="str">
        <f t="shared" si="274"/>
        <v>September!$H$1:$H$92</v>
      </c>
      <c r="D3504" s="159" t="str">
        <f t="shared" si="275"/>
        <v>September!$I$1:$I$92</v>
      </c>
      <c r="E3504" t="s">
        <v>7</v>
      </c>
      <c r="F3504" t="s">
        <v>128</v>
      </c>
      <c r="G3504" t="s">
        <v>143</v>
      </c>
      <c r="H3504" t="s">
        <v>22</v>
      </c>
      <c r="I3504" t="e">
        <f t="shared" ca="1" si="276"/>
        <v>#REF!</v>
      </c>
      <c r="J3504" t="str">
        <f>VLOOKUP($G3504,DefinitionArrays!$I$6:$J$12,2,FALSE)</f>
        <v>Workweek</v>
      </c>
    </row>
    <row r="3505" spans="1:10">
      <c r="A3505" s="159" t="str">
        <f t="shared" si="272"/>
        <v>$H$1:$H$92</v>
      </c>
      <c r="B3505" s="159" t="str">
        <f t="shared" si="273"/>
        <v>$I$1:$I$92</v>
      </c>
      <c r="C3505" s="159" t="str">
        <f t="shared" si="274"/>
        <v>September!$H$1:$H$92</v>
      </c>
      <c r="D3505" s="159" t="str">
        <f t="shared" si="275"/>
        <v>September!$I$1:$I$92</v>
      </c>
      <c r="E3505" t="s">
        <v>7</v>
      </c>
      <c r="F3505" t="s">
        <v>128</v>
      </c>
      <c r="G3505" t="s">
        <v>143</v>
      </c>
      <c r="H3505" t="s">
        <v>23</v>
      </c>
      <c r="I3505" t="e">
        <f t="shared" ca="1" si="276"/>
        <v>#REF!</v>
      </c>
      <c r="J3505" t="str">
        <f>VLOOKUP($G3505,DefinitionArrays!$I$6:$J$12,2,FALSE)</f>
        <v>Workweek</v>
      </c>
    </row>
    <row r="3506" spans="1:10">
      <c r="A3506" s="159" t="str">
        <f t="shared" si="272"/>
        <v>$H$1:$H$92</v>
      </c>
      <c r="B3506" s="159" t="str">
        <f t="shared" si="273"/>
        <v>$I$1:$I$92</v>
      </c>
      <c r="C3506" s="159" t="str">
        <f t="shared" si="274"/>
        <v>September!$H$1:$H$92</v>
      </c>
      <c r="D3506" s="159" t="str">
        <f t="shared" si="275"/>
        <v>September!$I$1:$I$92</v>
      </c>
      <c r="E3506" t="s">
        <v>7</v>
      </c>
      <c r="F3506" t="s">
        <v>128</v>
      </c>
      <c r="G3506" t="s">
        <v>143</v>
      </c>
      <c r="H3506" t="s">
        <v>24</v>
      </c>
      <c r="I3506" t="e">
        <f t="shared" ca="1" si="276"/>
        <v>#REF!</v>
      </c>
      <c r="J3506" t="str">
        <f>VLOOKUP($G3506,DefinitionArrays!$I$6:$J$12,2,FALSE)</f>
        <v>Workweek</v>
      </c>
    </row>
    <row r="3507" spans="1:10">
      <c r="A3507" s="159" t="str">
        <f t="shared" si="272"/>
        <v>$H$1:$H$92</v>
      </c>
      <c r="B3507" s="159" t="str">
        <f t="shared" si="273"/>
        <v>$I$1:$I$92</v>
      </c>
      <c r="C3507" s="159" t="str">
        <f t="shared" si="274"/>
        <v>September!$H$1:$H$92</v>
      </c>
      <c r="D3507" s="159" t="str">
        <f t="shared" si="275"/>
        <v>September!$I$1:$I$92</v>
      </c>
      <c r="E3507" t="s">
        <v>7</v>
      </c>
      <c r="F3507" t="s">
        <v>128</v>
      </c>
      <c r="G3507" t="s">
        <v>143</v>
      </c>
      <c r="H3507" t="s">
        <v>179</v>
      </c>
      <c r="I3507" t="e">
        <f t="shared" ca="1" si="276"/>
        <v>#REF!</v>
      </c>
      <c r="J3507" t="str">
        <f>VLOOKUP($G3507,DefinitionArrays!$I$6:$J$12,2,FALSE)</f>
        <v>Workweek</v>
      </c>
    </row>
    <row r="3508" spans="1:10">
      <c r="A3508" s="159" t="str">
        <f t="shared" si="272"/>
        <v>$H$1:$H$92</v>
      </c>
      <c r="B3508" s="159" t="str">
        <f t="shared" si="273"/>
        <v>$I$1:$I$92</v>
      </c>
      <c r="C3508" s="159" t="str">
        <f t="shared" si="274"/>
        <v>September!$H$1:$H$92</v>
      </c>
      <c r="D3508" s="159" t="str">
        <f t="shared" si="275"/>
        <v>September!$I$1:$I$92</v>
      </c>
      <c r="E3508" t="s">
        <v>7</v>
      </c>
      <c r="F3508" t="s">
        <v>128</v>
      </c>
      <c r="G3508" t="s">
        <v>143</v>
      </c>
      <c r="H3508" t="s">
        <v>180</v>
      </c>
      <c r="I3508" t="e">
        <f t="shared" ca="1" si="276"/>
        <v>#REF!</v>
      </c>
      <c r="J3508" t="str">
        <f>VLOOKUP($G3508,DefinitionArrays!$I$6:$J$12,2,FALSE)</f>
        <v>Workweek</v>
      </c>
    </row>
    <row r="3509" spans="1:10">
      <c r="A3509" s="159" t="str">
        <f t="shared" si="272"/>
        <v>$H$1:$H$92</v>
      </c>
      <c r="B3509" s="159" t="str">
        <f t="shared" si="273"/>
        <v>$I$1:$I$92</v>
      </c>
      <c r="C3509" s="159" t="str">
        <f t="shared" si="274"/>
        <v>September!$H$1:$H$92</v>
      </c>
      <c r="D3509" s="159" t="str">
        <f t="shared" si="275"/>
        <v>September!$I$1:$I$92</v>
      </c>
      <c r="E3509" t="s">
        <v>7</v>
      </c>
      <c r="F3509" t="s">
        <v>128</v>
      </c>
      <c r="G3509" t="s">
        <v>143</v>
      </c>
      <c r="H3509" t="s">
        <v>44</v>
      </c>
      <c r="I3509" t="e">
        <f t="shared" ca="1" si="276"/>
        <v>#REF!</v>
      </c>
      <c r="J3509" t="str">
        <f>VLOOKUP($G3509,DefinitionArrays!$I$6:$J$12,2,FALSE)</f>
        <v>Workweek</v>
      </c>
    </row>
    <row r="3510" spans="1:10">
      <c r="A3510" s="159" t="str">
        <f t="shared" si="272"/>
        <v>$K$1:$K$92</v>
      </c>
      <c r="B3510" s="159" t="str">
        <f t="shared" si="273"/>
        <v>$L$1:$L$92</v>
      </c>
      <c r="C3510" s="159" t="str">
        <f t="shared" si="274"/>
        <v>September!$K$1:$K$92</v>
      </c>
      <c r="D3510" s="159" t="str">
        <f t="shared" si="275"/>
        <v>September!$L$1:$L$92</v>
      </c>
      <c r="E3510" t="s">
        <v>7</v>
      </c>
      <c r="F3510" t="s">
        <v>128</v>
      </c>
      <c r="G3510" t="s">
        <v>144</v>
      </c>
      <c r="H3510" t="s">
        <v>159</v>
      </c>
      <c r="I3510" t="e">
        <f t="shared" ca="1" si="276"/>
        <v>#REF!</v>
      </c>
      <c r="J3510" t="str">
        <f>VLOOKUP($G3510,DefinitionArrays!$I$6:$J$12,2,FALSE)</f>
        <v>Workweek</v>
      </c>
    </row>
    <row r="3511" spans="1:10">
      <c r="A3511" s="159" t="str">
        <f t="shared" si="272"/>
        <v>$K$1:$K$92</v>
      </c>
      <c r="B3511" s="159" t="str">
        <f t="shared" si="273"/>
        <v>$L$1:$L$92</v>
      </c>
      <c r="C3511" s="159" t="str">
        <f t="shared" si="274"/>
        <v>September!$K$1:$K$92</v>
      </c>
      <c r="D3511" s="159" t="str">
        <f t="shared" si="275"/>
        <v>September!$L$1:$L$92</v>
      </c>
      <c r="E3511" t="s">
        <v>7</v>
      </c>
      <c r="F3511" t="s">
        <v>128</v>
      </c>
      <c r="G3511" t="s">
        <v>144</v>
      </c>
      <c r="H3511" t="s">
        <v>18</v>
      </c>
      <c r="I3511" t="e">
        <f t="shared" ca="1" si="276"/>
        <v>#REF!</v>
      </c>
      <c r="J3511" t="str">
        <f>VLOOKUP($G3511,DefinitionArrays!$I$6:$J$12,2,FALSE)</f>
        <v>Workweek</v>
      </c>
    </row>
    <row r="3512" spans="1:10">
      <c r="A3512" s="159" t="str">
        <f t="shared" si="272"/>
        <v>$K$1:$K$92</v>
      </c>
      <c r="B3512" s="159" t="str">
        <f t="shared" si="273"/>
        <v>$L$1:$L$92</v>
      </c>
      <c r="C3512" s="159" t="str">
        <f t="shared" si="274"/>
        <v>September!$K$1:$K$92</v>
      </c>
      <c r="D3512" s="159" t="str">
        <f t="shared" si="275"/>
        <v>September!$L$1:$L$92</v>
      </c>
      <c r="E3512" t="s">
        <v>7</v>
      </c>
      <c r="F3512" t="s">
        <v>128</v>
      </c>
      <c r="G3512" t="s">
        <v>144</v>
      </c>
      <c r="H3512" t="s">
        <v>153</v>
      </c>
      <c r="I3512" t="e">
        <f t="shared" ca="1" si="276"/>
        <v>#REF!</v>
      </c>
      <c r="J3512" t="str">
        <f>VLOOKUP($G3512,DefinitionArrays!$I$6:$J$12,2,FALSE)</f>
        <v>Workweek</v>
      </c>
    </row>
    <row r="3513" spans="1:10">
      <c r="A3513" s="159" t="str">
        <f t="shared" si="272"/>
        <v>$K$1:$K$92</v>
      </c>
      <c r="B3513" s="159" t="str">
        <f t="shared" si="273"/>
        <v>$L$1:$L$92</v>
      </c>
      <c r="C3513" s="159" t="str">
        <f t="shared" si="274"/>
        <v>September!$K$1:$K$92</v>
      </c>
      <c r="D3513" s="159" t="str">
        <f t="shared" si="275"/>
        <v>September!$L$1:$L$92</v>
      </c>
      <c r="E3513" t="s">
        <v>7</v>
      </c>
      <c r="F3513" t="s">
        <v>128</v>
      </c>
      <c r="G3513" t="s">
        <v>144</v>
      </c>
      <c r="H3513" t="s">
        <v>19</v>
      </c>
      <c r="I3513" t="e">
        <f t="shared" ca="1" si="276"/>
        <v>#REF!</v>
      </c>
      <c r="J3513" t="str">
        <f>VLOOKUP($G3513,DefinitionArrays!$I$6:$J$12,2,FALSE)</f>
        <v>Workweek</v>
      </c>
    </row>
    <row r="3514" spans="1:10">
      <c r="A3514" s="159" t="str">
        <f t="shared" si="272"/>
        <v>$K$1:$K$92</v>
      </c>
      <c r="B3514" s="159" t="str">
        <f t="shared" si="273"/>
        <v>$L$1:$L$92</v>
      </c>
      <c r="C3514" s="159" t="str">
        <f t="shared" si="274"/>
        <v>September!$K$1:$K$92</v>
      </c>
      <c r="D3514" s="159" t="str">
        <f t="shared" si="275"/>
        <v>September!$L$1:$L$92</v>
      </c>
      <c r="E3514" t="s">
        <v>7</v>
      </c>
      <c r="F3514" t="s">
        <v>128</v>
      </c>
      <c r="G3514" t="s">
        <v>144</v>
      </c>
      <c r="H3514" t="s">
        <v>20</v>
      </c>
      <c r="I3514" t="e">
        <f t="shared" ca="1" si="276"/>
        <v>#REF!</v>
      </c>
      <c r="J3514" t="str">
        <f>VLOOKUP($G3514,DefinitionArrays!$I$6:$J$12,2,FALSE)</f>
        <v>Workweek</v>
      </c>
    </row>
    <row r="3515" spans="1:10">
      <c r="A3515" s="159" t="str">
        <f t="shared" si="272"/>
        <v>$K$1:$K$92</v>
      </c>
      <c r="B3515" s="159" t="str">
        <f t="shared" si="273"/>
        <v>$L$1:$L$92</v>
      </c>
      <c r="C3515" s="159" t="str">
        <f t="shared" si="274"/>
        <v>September!$K$1:$K$92</v>
      </c>
      <c r="D3515" s="159" t="str">
        <f t="shared" si="275"/>
        <v>September!$L$1:$L$92</v>
      </c>
      <c r="E3515" t="s">
        <v>7</v>
      </c>
      <c r="F3515" t="s">
        <v>128</v>
      </c>
      <c r="G3515" t="s">
        <v>144</v>
      </c>
      <c r="H3515" t="s">
        <v>21</v>
      </c>
      <c r="I3515" t="e">
        <f t="shared" ca="1" si="276"/>
        <v>#REF!</v>
      </c>
      <c r="J3515" t="str">
        <f>VLOOKUP($G3515,DefinitionArrays!$I$6:$J$12,2,FALSE)</f>
        <v>Workweek</v>
      </c>
    </row>
    <row r="3516" spans="1:10">
      <c r="A3516" s="159" t="str">
        <f t="shared" si="272"/>
        <v>$K$1:$K$92</v>
      </c>
      <c r="B3516" s="159" t="str">
        <f t="shared" si="273"/>
        <v>$L$1:$L$92</v>
      </c>
      <c r="C3516" s="159" t="str">
        <f t="shared" si="274"/>
        <v>September!$K$1:$K$92</v>
      </c>
      <c r="D3516" s="159" t="str">
        <f t="shared" si="275"/>
        <v>September!$L$1:$L$92</v>
      </c>
      <c r="E3516" t="s">
        <v>7</v>
      </c>
      <c r="F3516" t="s">
        <v>128</v>
      </c>
      <c r="G3516" t="s">
        <v>144</v>
      </c>
      <c r="H3516" t="s">
        <v>22</v>
      </c>
      <c r="I3516" t="e">
        <f t="shared" ca="1" si="276"/>
        <v>#REF!</v>
      </c>
      <c r="J3516" t="str">
        <f>VLOOKUP($G3516,DefinitionArrays!$I$6:$J$12,2,FALSE)</f>
        <v>Workweek</v>
      </c>
    </row>
    <row r="3517" spans="1:10">
      <c r="A3517" s="159" t="str">
        <f t="shared" si="272"/>
        <v>$K$1:$K$92</v>
      </c>
      <c r="B3517" s="159" t="str">
        <f t="shared" si="273"/>
        <v>$L$1:$L$92</v>
      </c>
      <c r="C3517" s="159" t="str">
        <f t="shared" si="274"/>
        <v>September!$K$1:$K$92</v>
      </c>
      <c r="D3517" s="159" t="str">
        <f t="shared" si="275"/>
        <v>September!$L$1:$L$92</v>
      </c>
      <c r="E3517" t="s">
        <v>7</v>
      </c>
      <c r="F3517" t="s">
        <v>128</v>
      </c>
      <c r="G3517" t="s">
        <v>144</v>
      </c>
      <c r="H3517" t="s">
        <v>23</v>
      </c>
      <c r="I3517" t="e">
        <f t="shared" ca="1" si="276"/>
        <v>#REF!</v>
      </c>
      <c r="J3517" t="str">
        <f>VLOOKUP($G3517,DefinitionArrays!$I$6:$J$12,2,FALSE)</f>
        <v>Workweek</v>
      </c>
    </row>
    <row r="3518" spans="1:10">
      <c r="A3518" s="159" t="str">
        <f t="shared" si="272"/>
        <v>$K$1:$K$92</v>
      </c>
      <c r="B3518" s="159" t="str">
        <f t="shared" si="273"/>
        <v>$L$1:$L$92</v>
      </c>
      <c r="C3518" s="159" t="str">
        <f t="shared" si="274"/>
        <v>September!$K$1:$K$92</v>
      </c>
      <c r="D3518" s="159" t="str">
        <f t="shared" si="275"/>
        <v>September!$L$1:$L$92</v>
      </c>
      <c r="E3518" t="s">
        <v>7</v>
      </c>
      <c r="F3518" t="s">
        <v>128</v>
      </c>
      <c r="G3518" t="s">
        <v>144</v>
      </c>
      <c r="H3518" t="s">
        <v>24</v>
      </c>
      <c r="I3518" t="e">
        <f t="shared" ca="1" si="276"/>
        <v>#REF!</v>
      </c>
      <c r="J3518" t="str">
        <f>VLOOKUP($G3518,DefinitionArrays!$I$6:$J$12,2,FALSE)</f>
        <v>Workweek</v>
      </c>
    </row>
    <row r="3519" spans="1:10">
      <c r="A3519" s="159" t="str">
        <f t="shared" si="272"/>
        <v>$K$1:$K$92</v>
      </c>
      <c r="B3519" s="159" t="str">
        <f t="shared" si="273"/>
        <v>$L$1:$L$92</v>
      </c>
      <c r="C3519" s="159" t="str">
        <f t="shared" si="274"/>
        <v>September!$K$1:$K$92</v>
      </c>
      <c r="D3519" s="159" t="str">
        <f t="shared" si="275"/>
        <v>September!$L$1:$L$92</v>
      </c>
      <c r="E3519" t="s">
        <v>7</v>
      </c>
      <c r="F3519" t="s">
        <v>128</v>
      </c>
      <c r="G3519" t="s">
        <v>144</v>
      </c>
      <c r="H3519" t="s">
        <v>179</v>
      </c>
      <c r="I3519" t="e">
        <f t="shared" ca="1" si="276"/>
        <v>#REF!</v>
      </c>
      <c r="J3519" t="str">
        <f>VLOOKUP($G3519,DefinitionArrays!$I$6:$J$12,2,FALSE)</f>
        <v>Workweek</v>
      </c>
    </row>
    <row r="3520" spans="1:10">
      <c r="A3520" s="159" t="str">
        <f t="shared" si="272"/>
        <v>$K$1:$K$92</v>
      </c>
      <c r="B3520" s="159" t="str">
        <f t="shared" si="273"/>
        <v>$L$1:$L$92</v>
      </c>
      <c r="C3520" s="159" t="str">
        <f t="shared" si="274"/>
        <v>September!$K$1:$K$92</v>
      </c>
      <c r="D3520" s="159" t="str">
        <f t="shared" si="275"/>
        <v>September!$L$1:$L$92</v>
      </c>
      <c r="E3520" t="s">
        <v>7</v>
      </c>
      <c r="F3520" t="s">
        <v>128</v>
      </c>
      <c r="G3520" t="s">
        <v>144</v>
      </c>
      <c r="H3520" t="s">
        <v>180</v>
      </c>
      <c r="I3520" t="e">
        <f t="shared" ca="1" si="276"/>
        <v>#REF!</v>
      </c>
      <c r="J3520" t="str">
        <f>VLOOKUP($G3520,DefinitionArrays!$I$6:$J$12,2,FALSE)</f>
        <v>Workweek</v>
      </c>
    </row>
    <row r="3521" spans="1:10">
      <c r="A3521" s="159" t="str">
        <f t="shared" si="272"/>
        <v>$K$1:$K$92</v>
      </c>
      <c r="B3521" s="159" t="str">
        <f t="shared" si="273"/>
        <v>$L$1:$L$92</v>
      </c>
      <c r="C3521" s="159" t="str">
        <f t="shared" si="274"/>
        <v>September!$K$1:$K$92</v>
      </c>
      <c r="D3521" s="159" t="str">
        <f t="shared" si="275"/>
        <v>September!$L$1:$L$92</v>
      </c>
      <c r="E3521" t="s">
        <v>7</v>
      </c>
      <c r="F3521" t="s">
        <v>128</v>
      </c>
      <c r="G3521" t="s">
        <v>144</v>
      </c>
      <c r="H3521" t="s">
        <v>44</v>
      </c>
      <c r="I3521" t="e">
        <f t="shared" ca="1" si="276"/>
        <v>#REF!</v>
      </c>
      <c r="J3521" t="str">
        <f>VLOOKUP($G3521,DefinitionArrays!$I$6:$J$12,2,FALSE)</f>
        <v>Workweek</v>
      </c>
    </row>
    <row r="3522" spans="1:10">
      <c r="A3522" s="159" t="str">
        <f t="shared" ref="A3522:A3585" si="277">VLOOKUP($G3522,Fx_Code,2,FALSE)</f>
        <v>$N$1:$N$92</v>
      </c>
      <c r="B3522" s="159" t="str">
        <f t="shared" ref="B3522:B3585" si="278">VLOOKUP($G3522,Fx_Code,3,FALSE)</f>
        <v>$O$1:$O$92</v>
      </c>
      <c r="C3522" s="159" t="str">
        <f t="shared" ref="C3522:C3585" si="279">CONCATENATE($F3522,$K$1,A3522)</f>
        <v>September!$N$1:$N$92</v>
      </c>
      <c r="D3522" s="159" t="str">
        <f t="shared" ref="D3522:D3585" si="280">CONCATENATE($F3522,$K$1,B3522)</f>
        <v>September!$O$1:$O$92</v>
      </c>
      <c r="E3522" t="s">
        <v>7</v>
      </c>
      <c r="F3522" t="s">
        <v>128</v>
      </c>
      <c r="G3522" t="s">
        <v>145</v>
      </c>
      <c r="H3522" t="s">
        <v>159</v>
      </c>
      <c r="I3522" t="e">
        <f t="shared" ca="1" si="276"/>
        <v>#REF!</v>
      </c>
      <c r="J3522" t="str">
        <f>VLOOKUP($G3522,DefinitionArrays!$I$6:$J$12,2,FALSE)</f>
        <v>Weekend</v>
      </c>
    </row>
    <row r="3523" spans="1:10">
      <c r="A3523" s="159" t="str">
        <f t="shared" si="277"/>
        <v>$N$1:$N$92</v>
      </c>
      <c r="B3523" s="159" t="str">
        <f t="shared" si="278"/>
        <v>$O$1:$O$92</v>
      </c>
      <c r="C3523" s="159" t="str">
        <f t="shared" si="279"/>
        <v>September!$N$1:$N$92</v>
      </c>
      <c r="D3523" s="159" t="str">
        <f t="shared" si="280"/>
        <v>September!$O$1:$O$92</v>
      </c>
      <c r="E3523" t="s">
        <v>7</v>
      </c>
      <c r="F3523" t="s">
        <v>128</v>
      </c>
      <c r="G3523" t="s">
        <v>145</v>
      </c>
      <c r="H3523" t="s">
        <v>18</v>
      </c>
      <c r="I3523" t="e">
        <f t="shared" ca="1" si="276"/>
        <v>#REF!</v>
      </c>
      <c r="J3523" t="str">
        <f>VLOOKUP($G3523,DefinitionArrays!$I$6:$J$12,2,FALSE)</f>
        <v>Weekend</v>
      </c>
    </row>
    <row r="3524" spans="1:10">
      <c r="A3524" s="159" t="str">
        <f t="shared" si="277"/>
        <v>$N$1:$N$92</v>
      </c>
      <c r="B3524" s="159" t="str">
        <f t="shared" si="278"/>
        <v>$O$1:$O$92</v>
      </c>
      <c r="C3524" s="159" t="str">
        <f t="shared" si="279"/>
        <v>September!$N$1:$N$92</v>
      </c>
      <c r="D3524" s="159" t="str">
        <f t="shared" si="280"/>
        <v>September!$O$1:$O$92</v>
      </c>
      <c r="E3524" t="s">
        <v>7</v>
      </c>
      <c r="F3524" t="s">
        <v>128</v>
      </c>
      <c r="G3524" t="s">
        <v>145</v>
      </c>
      <c r="H3524" t="s">
        <v>153</v>
      </c>
      <c r="I3524" t="e">
        <f t="shared" ca="1" si="276"/>
        <v>#REF!</v>
      </c>
      <c r="J3524" t="str">
        <f>VLOOKUP($G3524,DefinitionArrays!$I$6:$J$12,2,FALSE)</f>
        <v>Weekend</v>
      </c>
    </row>
    <row r="3525" spans="1:10">
      <c r="A3525" s="159" t="str">
        <f t="shared" si="277"/>
        <v>$N$1:$N$92</v>
      </c>
      <c r="B3525" s="159" t="str">
        <f t="shared" si="278"/>
        <v>$O$1:$O$92</v>
      </c>
      <c r="C3525" s="159" t="str">
        <f t="shared" si="279"/>
        <v>September!$N$1:$N$92</v>
      </c>
      <c r="D3525" s="159" t="str">
        <f t="shared" si="280"/>
        <v>September!$O$1:$O$92</v>
      </c>
      <c r="E3525" t="s">
        <v>7</v>
      </c>
      <c r="F3525" t="s">
        <v>128</v>
      </c>
      <c r="G3525" t="s">
        <v>145</v>
      </c>
      <c r="H3525" t="s">
        <v>19</v>
      </c>
      <c r="I3525" t="e">
        <f t="shared" ca="1" si="276"/>
        <v>#REF!</v>
      </c>
      <c r="J3525" t="str">
        <f>VLOOKUP($G3525,DefinitionArrays!$I$6:$J$12,2,FALSE)</f>
        <v>Weekend</v>
      </c>
    </row>
    <row r="3526" spans="1:10">
      <c r="A3526" s="159" t="str">
        <f t="shared" si="277"/>
        <v>$N$1:$N$92</v>
      </c>
      <c r="B3526" s="159" t="str">
        <f t="shared" si="278"/>
        <v>$O$1:$O$92</v>
      </c>
      <c r="C3526" s="159" t="str">
        <f t="shared" si="279"/>
        <v>September!$N$1:$N$92</v>
      </c>
      <c r="D3526" s="159" t="str">
        <f t="shared" si="280"/>
        <v>September!$O$1:$O$92</v>
      </c>
      <c r="E3526" t="s">
        <v>7</v>
      </c>
      <c r="F3526" t="s">
        <v>128</v>
      </c>
      <c r="G3526" t="s">
        <v>145</v>
      </c>
      <c r="H3526" t="s">
        <v>20</v>
      </c>
      <c r="I3526" t="e">
        <f t="shared" ca="1" si="276"/>
        <v>#REF!</v>
      </c>
      <c r="J3526" t="str">
        <f>VLOOKUP($G3526,DefinitionArrays!$I$6:$J$12,2,FALSE)</f>
        <v>Weekend</v>
      </c>
    </row>
    <row r="3527" spans="1:10">
      <c r="A3527" s="159" t="str">
        <f t="shared" si="277"/>
        <v>$N$1:$N$92</v>
      </c>
      <c r="B3527" s="159" t="str">
        <f t="shared" si="278"/>
        <v>$O$1:$O$92</v>
      </c>
      <c r="C3527" s="159" t="str">
        <f t="shared" si="279"/>
        <v>September!$N$1:$N$92</v>
      </c>
      <c r="D3527" s="159" t="str">
        <f t="shared" si="280"/>
        <v>September!$O$1:$O$92</v>
      </c>
      <c r="E3527" t="s">
        <v>7</v>
      </c>
      <c r="F3527" t="s">
        <v>128</v>
      </c>
      <c r="G3527" t="s">
        <v>145</v>
      </c>
      <c r="H3527" t="s">
        <v>21</v>
      </c>
      <c r="I3527" t="e">
        <f t="shared" ca="1" si="276"/>
        <v>#REF!</v>
      </c>
      <c r="J3527" t="str">
        <f>VLOOKUP($G3527,DefinitionArrays!$I$6:$J$12,2,FALSE)</f>
        <v>Weekend</v>
      </c>
    </row>
    <row r="3528" spans="1:10">
      <c r="A3528" s="159" t="str">
        <f t="shared" si="277"/>
        <v>$N$1:$N$92</v>
      </c>
      <c r="B3528" s="159" t="str">
        <f t="shared" si="278"/>
        <v>$O$1:$O$92</v>
      </c>
      <c r="C3528" s="159" t="str">
        <f t="shared" si="279"/>
        <v>September!$N$1:$N$92</v>
      </c>
      <c r="D3528" s="159" t="str">
        <f t="shared" si="280"/>
        <v>September!$O$1:$O$92</v>
      </c>
      <c r="E3528" t="s">
        <v>7</v>
      </c>
      <c r="F3528" t="s">
        <v>128</v>
      </c>
      <c r="G3528" t="s">
        <v>145</v>
      </c>
      <c r="H3528" t="s">
        <v>22</v>
      </c>
      <c r="I3528" t="e">
        <f t="shared" ca="1" si="276"/>
        <v>#REF!</v>
      </c>
      <c r="J3528" t="str">
        <f>VLOOKUP($G3528,DefinitionArrays!$I$6:$J$12,2,FALSE)</f>
        <v>Weekend</v>
      </c>
    </row>
    <row r="3529" spans="1:10">
      <c r="A3529" s="159" t="str">
        <f t="shared" si="277"/>
        <v>$N$1:$N$92</v>
      </c>
      <c r="B3529" s="159" t="str">
        <f t="shared" si="278"/>
        <v>$O$1:$O$92</v>
      </c>
      <c r="C3529" s="159" t="str">
        <f t="shared" si="279"/>
        <v>September!$N$1:$N$92</v>
      </c>
      <c r="D3529" s="159" t="str">
        <f t="shared" si="280"/>
        <v>September!$O$1:$O$92</v>
      </c>
      <c r="E3529" t="s">
        <v>7</v>
      </c>
      <c r="F3529" t="s">
        <v>128</v>
      </c>
      <c r="G3529" t="s">
        <v>145</v>
      </c>
      <c r="H3529" t="s">
        <v>23</v>
      </c>
      <c r="I3529" t="e">
        <f t="shared" ca="1" si="276"/>
        <v>#REF!</v>
      </c>
      <c r="J3529" t="str">
        <f>VLOOKUP($G3529,DefinitionArrays!$I$6:$J$12,2,FALSE)</f>
        <v>Weekend</v>
      </c>
    </row>
    <row r="3530" spans="1:10">
      <c r="A3530" s="159" t="str">
        <f t="shared" si="277"/>
        <v>$N$1:$N$92</v>
      </c>
      <c r="B3530" s="159" t="str">
        <f t="shared" si="278"/>
        <v>$O$1:$O$92</v>
      </c>
      <c r="C3530" s="159" t="str">
        <f t="shared" si="279"/>
        <v>September!$N$1:$N$92</v>
      </c>
      <c r="D3530" s="159" t="str">
        <f t="shared" si="280"/>
        <v>September!$O$1:$O$92</v>
      </c>
      <c r="E3530" t="s">
        <v>7</v>
      </c>
      <c r="F3530" t="s">
        <v>128</v>
      </c>
      <c r="G3530" t="s">
        <v>145</v>
      </c>
      <c r="H3530" t="s">
        <v>24</v>
      </c>
      <c r="I3530" t="e">
        <f t="shared" ca="1" si="276"/>
        <v>#REF!</v>
      </c>
      <c r="J3530" t="str">
        <f>VLOOKUP($G3530,DefinitionArrays!$I$6:$J$12,2,FALSE)</f>
        <v>Weekend</v>
      </c>
    </row>
    <row r="3531" spans="1:10">
      <c r="A3531" s="159" t="str">
        <f t="shared" si="277"/>
        <v>$N$1:$N$92</v>
      </c>
      <c r="B3531" s="159" t="str">
        <f t="shared" si="278"/>
        <v>$O$1:$O$92</v>
      </c>
      <c r="C3531" s="159" t="str">
        <f t="shared" si="279"/>
        <v>September!$N$1:$N$92</v>
      </c>
      <c r="D3531" s="159" t="str">
        <f t="shared" si="280"/>
        <v>September!$O$1:$O$92</v>
      </c>
      <c r="E3531" t="s">
        <v>7</v>
      </c>
      <c r="F3531" t="s">
        <v>128</v>
      </c>
      <c r="G3531" t="s">
        <v>145</v>
      </c>
      <c r="H3531" t="s">
        <v>179</v>
      </c>
      <c r="I3531" t="e">
        <f t="shared" ca="1" si="276"/>
        <v>#REF!</v>
      </c>
      <c r="J3531" t="str">
        <f>VLOOKUP($G3531,DefinitionArrays!$I$6:$J$12,2,FALSE)</f>
        <v>Weekend</v>
      </c>
    </row>
    <row r="3532" spans="1:10">
      <c r="A3532" s="159" t="str">
        <f t="shared" si="277"/>
        <v>$N$1:$N$92</v>
      </c>
      <c r="B3532" s="159" t="str">
        <f t="shared" si="278"/>
        <v>$O$1:$O$92</v>
      </c>
      <c r="C3532" s="159" t="str">
        <f t="shared" si="279"/>
        <v>September!$N$1:$N$92</v>
      </c>
      <c r="D3532" s="159" t="str">
        <f t="shared" si="280"/>
        <v>September!$O$1:$O$92</v>
      </c>
      <c r="E3532" t="s">
        <v>7</v>
      </c>
      <c r="F3532" t="s">
        <v>128</v>
      </c>
      <c r="G3532" t="s">
        <v>145</v>
      </c>
      <c r="H3532" t="s">
        <v>180</v>
      </c>
      <c r="I3532" t="e">
        <f t="shared" ca="1" si="276"/>
        <v>#REF!</v>
      </c>
      <c r="J3532" t="str">
        <f>VLOOKUP($G3532,DefinitionArrays!$I$6:$J$12,2,FALSE)</f>
        <v>Weekend</v>
      </c>
    </row>
    <row r="3533" spans="1:10">
      <c r="A3533" s="159" t="str">
        <f t="shared" si="277"/>
        <v>$N$1:$N$92</v>
      </c>
      <c r="B3533" s="159" t="str">
        <f t="shared" si="278"/>
        <v>$O$1:$O$92</v>
      </c>
      <c r="C3533" s="159" t="str">
        <f t="shared" si="279"/>
        <v>September!$N$1:$N$92</v>
      </c>
      <c r="D3533" s="159" t="str">
        <f t="shared" si="280"/>
        <v>September!$O$1:$O$92</v>
      </c>
      <c r="E3533" t="s">
        <v>7</v>
      </c>
      <c r="F3533" t="s">
        <v>128</v>
      </c>
      <c r="G3533" t="s">
        <v>145</v>
      </c>
      <c r="H3533" t="s">
        <v>44</v>
      </c>
      <c r="I3533" t="e">
        <f t="shared" ca="1" si="276"/>
        <v>#REF!</v>
      </c>
      <c r="J3533" t="str">
        <f>VLOOKUP($G3533,DefinitionArrays!$I$6:$J$12,2,FALSE)</f>
        <v>Weekend</v>
      </c>
    </row>
    <row r="3534" spans="1:10">
      <c r="A3534" s="159" t="str">
        <f t="shared" si="277"/>
        <v>$Q$1:$Q$92</v>
      </c>
      <c r="B3534" s="159" t="str">
        <f t="shared" si="278"/>
        <v>$R$1:$R$92</v>
      </c>
      <c r="C3534" s="159" t="str">
        <f t="shared" si="279"/>
        <v>September!$Q$1:$Q$92</v>
      </c>
      <c r="D3534" s="159" t="str">
        <f t="shared" si="280"/>
        <v>September!$R$1:$R$92</v>
      </c>
      <c r="E3534" t="s">
        <v>7</v>
      </c>
      <c r="F3534" t="s">
        <v>128</v>
      </c>
      <c r="G3534" t="s">
        <v>146</v>
      </c>
      <c r="H3534" t="s">
        <v>159</v>
      </c>
      <c r="I3534" t="e">
        <f t="shared" ca="1" si="276"/>
        <v>#REF!</v>
      </c>
      <c r="J3534" t="str">
        <f>VLOOKUP($G3534,DefinitionArrays!$I$6:$J$12,2,FALSE)</f>
        <v>Weekend</v>
      </c>
    </row>
    <row r="3535" spans="1:10">
      <c r="A3535" s="159" t="str">
        <f t="shared" si="277"/>
        <v>$T$1:$T$92</v>
      </c>
      <c r="B3535" s="159" t="str">
        <f t="shared" si="278"/>
        <v>$U$1:$U$92</v>
      </c>
      <c r="C3535" s="159" t="str">
        <f t="shared" si="279"/>
        <v>September!$T$1:$T$92</v>
      </c>
      <c r="D3535" s="159" t="str">
        <f t="shared" si="280"/>
        <v>September!$U$1:$U$92</v>
      </c>
      <c r="E3535" t="s">
        <v>7</v>
      </c>
      <c r="F3535" t="s">
        <v>128</v>
      </c>
      <c r="G3535" t="s">
        <v>141</v>
      </c>
      <c r="H3535" t="s">
        <v>159</v>
      </c>
      <c r="I3535" t="e">
        <f t="shared" ca="1" si="276"/>
        <v>#REF!</v>
      </c>
      <c r="J3535" t="str">
        <f>VLOOKUP($G3535,DefinitionArrays!$I$6:$J$12,2,FALSE)</f>
        <v>Weekend</v>
      </c>
    </row>
    <row r="3536" spans="1:10">
      <c r="A3536" s="159" t="str">
        <f t="shared" si="277"/>
        <v>$B$1:$B$92</v>
      </c>
      <c r="B3536" s="159" t="str">
        <f t="shared" si="278"/>
        <v>$C$1:$C$92</v>
      </c>
      <c r="C3536" s="159" t="str">
        <f t="shared" si="279"/>
        <v>October!$B$1:$B$92</v>
      </c>
      <c r="D3536" s="159" t="str">
        <f t="shared" si="280"/>
        <v>October!$C$1:$C$92</v>
      </c>
      <c r="E3536" t="s">
        <v>7</v>
      </c>
      <c r="F3536" t="s">
        <v>129</v>
      </c>
      <c r="G3536" t="s">
        <v>13</v>
      </c>
      <c r="H3536" t="s">
        <v>159</v>
      </c>
      <c r="I3536" t="e">
        <f ca="1">COUNTIFS(INDIRECT($C3536),$E3536,INDIRECT($D3536),$H3536)</f>
        <v>#REF!</v>
      </c>
      <c r="J3536" t="str">
        <f>VLOOKUP($G3536,DefinitionArrays!$I$6:$J$12,2,FALSE)</f>
        <v>Workweek</v>
      </c>
    </row>
    <row r="3537" spans="1:10">
      <c r="A3537" s="159" t="str">
        <f t="shared" si="277"/>
        <v>$B$1:$B$92</v>
      </c>
      <c r="B3537" s="159" t="str">
        <f t="shared" si="278"/>
        <v>$C$1:$C$92</v>
      </c>
      <c r="C3537" s="159" t="str">
        <f t="shared" si="279"/>
        <v>October!$B$1:$B$92</v>
      </c>
      <c r="D3537" s="159" t="str">
        <f t="shared" si="280"/>
        <v>October!$C$1:$C$92</v>
      </c>
      <c r="E3537" t="s">
        <v>7</v>
      </c>
      <c r="F3537" t="s">
        <v>129</v>
      </c>
      <c r="G3537" t="s">
        <v>13</v>
      </c>
      <c r="H3537" t="s">
        <v>18</v>
      </c>
      <c r="I3537" t="e">
        <f t="shared" ref="I3537:I3597" ca="1" si="281">COUNTIFS(INDIRECT($C3537),$E3537,INDIRECT($D3537),$H3537)</f>
        <v>#REF!</v>
      </c>
      <c r="J3537" t="str">
        <f>VLOOKUP($G3537,DefinitionArrays!$I$6:$J$12,2,FALSE)</f>
        <v>Workweek</v>
      </c>
    </row>
    <row r="3538" spans="1:10">
      <c r="A3538" s="159" t="str">
        <f t="shared" si="277"/>
        <v>$B$1:$B$92</v>
      </c>
      <c r="B3538" s="159" t="str">
        <f t="shared" si="278"/>
        <v>$C$1:$C$92</v>
      </c>
      <c r="C3538" s="159" t="str">
        <f t="shared" si="279"/>
        <v>October!$B$1:$B$92</v>
      </c>
      <c r="D3538" s="159" t="str">
        <f t="shared" si="280"/>
        <v>October!$C$1:$C$92</v>
      </c>
      <c r="E3538" t="s">
        <v>7</v>
      </c>
      <c r="F3538" t="s">
        <v>129</v>
      </c>
      <c r="G3538" t="s">
        <v>13</v>
      </c>
      <c r="H3538" t="s">
        <v>153</v>
      </c>
      <c r="I3538" t="e">
        <f t="shared" ca="1" si="281"/>
        <v>#REF!</v>
      </c>
      <c r="J3538" t="str">
        <f>VLOOKUP($G3538,DefinitionArrays!$I$6:$J$12,2,FALSE)</f>
        <v>Workweek</v>
      </c>
    </row>
    <row r="3539" spans="1:10">
      <c r="A3539" s="159" t="str">
        <f t="shared" si="277"/>
        <v>$B$1:$B$92</v>
      </c>
      <c r="B3539" s="159" t="str">
        <f t="shared" si="278"/>
        <v>$C$1:$C$92</v>
      </c>
      <c r="C3539" s="159" t="str">
        <f t="shared" si="279"/>
        <v>October!$B$1:$B$92</v>
      </c>
      <c r="D3539" s="159" t="str">
        <f t="shared" si="280"/>
        <v>October!$C$1:$C$92</v>
      </c>
      <c r="E3539" t="s">
        <v>7</v>
      </c>
      <c r="F3539" t="s">
        <v>129</v>
      </c>
      <c r="G3539" t="s">
        <v>13</v>
      </c>
      <c r="H3539" t="s">
        <v>19</v>
      </c>
      <c r="I3539" t="e">
        <f t="shared" ca="1" si="281"/>
        <v>#REF!</v>
      </c>
      <c r="J3539" t="str">
        <f>VLOOKUP($G3539,DefinitionArrays!$I$6:$J$12,2,FALSE)</f>
        <v>Workweek</v>
      </c>
    </row>
    <row r="3540" spans="1:10">
      <c r="A3540" s="159" t="str">
        <f t="shared" si="277"/>
        <v>$B$1:$B$92</v>
      </c>
      <c r="B3540" s="159" t="str">
        <f t="shared" si="278"/>
        <v>$C$1:$C$92</v>
      </c>
      <c r="C3540" s="159" t="str">
        <f t="shared" si="279"/>
        <v>October!$B$1:$B$92</v>
      </c>
      <c r="D3540" s="159" t="str">
        <f t="shared" si="280"/>
        <v>October!$C$1:$C$92</v>
      </c>
      <c r="E3540" t="s">
        <v>7</v>
      </c>
      <c r="F3540" t="s">
        <v>129</v>
      </c>
      <c r="G3540" t="s">
        <v>13</v>
      </c>
      <c r="H3540" t="s">
        <v>20</v>
      </c>
      <c r="I3540" t="e">
        <f t="shared" ca="1" si="281"/>
        <v>#REF!</v>
      </c>
      <c r="J3540" t="str">
        <f>VLOOKUP($G3540,DefinitionArrays!$I$6:$J$12,2,FALSE)</f>
        <v>Workweek</v>
      </c>
    </row>
    <row r="3541" spans="1:10">
      <c r="A3541" s="159" t="str">
        <f t="shared" si="277"/>
        <v>$B$1:$B$92</v>
      </c>
      <c r="B3541" s="159" t="str">
        <f t="shared" si="278"/>
        <v>$C$1:$C$92</v>
      </c>
      <c r="C3541" s="159" t="str">
        <f t="shared" si="279"/>
        <v>October!$B$1:$B$92</v>
      </c>
      <c r="D3541" s="159" t="str">
        <f t="shared" si="280"/>
        <v>October!$C$1:$C$92</v>
      </c>
      <c r="E3541" t="s">
        <v>7</v>
      </c>
      <c r="F3541" t="s">
        <v>129</v>
      </c>
      <c r="G3541" t="s">
        <v>13</v>
      </c>
      <c r="H3541" t="s">
        <v>21</v>
      </c>
      <c r="I3541" t="e">
        <f t="shared" ca="1" si="281"/>
        <v>#REF!</v>
      </c>
      <c r="J3541" t="str">
        <f>VLOOKUP($G3541,DefinitionArrays!$I$6:$J$12,2,FALSE)</f>
        <v>Workweek</v>
      </c>
    </row>
    <row r="3542" spans="1:10">
      <c r="A3542" s="159" t="str">
        <f t="shared" si="277"/>
        <v>$B$1:$B$92</v>
      </c>
      <c r="B3542" s="159" t="str">
        <f t="shared" si="278"/>
        <v>$C$1:$C$92</v>
      </c>
      <c r="C3542" s="159" t="str">
        <f t="shared" si="279"/>
        <v>October!$B$1:$B$92</v>
      </c>
      <c r="D3542" s="159" t="str">
        <f t="shared" si="280"/>
        <v>October!$C$1:$C$92</v>
      </c>
      <c r="E3542" t="s">
        <v>7</v>
      </c>
      <c r="F3542" t="s">
        <v>129</v>
      </c>
      <c r="G3542" t="s">
        <v>13</v>
      </c>
      <c r="H3542" t="s">
        <v>22</v>
      </c>
      <c r="I3542" t="e">
        <f t="shared" ca="1" si="281"/>
        <v>#REF!</v>
      </c>
      <c r="J3542" t="str">
        <f>VLOOKUP($G3542,DefinitionArrays!$I$6:$J$12,2,FALSE)</f>
        <v>Workweek</v>
      </c>
    </row>
    <row r="3543" spans="1:10">
      <c r="A3543" s="159" t="str">
        <f t="shared" si="277"/>
        <v>$B$1:$B$92</v>
      </c>
      <c r="B3543" s="159" t="str">
        <f t="shared" si="278"/>
        <v>$C$1:$C$92</v>
      </c>
      <c r="C3543" s="159" t="str">
        <f t="shared" si="279"/>
        <v>October!$B$1:$B$92</v>
      </c>
      <c r="D3543" s="159" t="str">
        <f t="shared" si="280"/>
        <v>October!$C$1:$C$92</v>
      </c>
      <c r="E3543" t="s">
        <v>7</v>
      </c>
      <c r="F3543" t="s">
        <v>129</v>
      </c>
      <c r="G3543" t="s">
        <v>13</v>
      </c>
      <c r="H3543" t="s">
        <v>23</v>
      </c>
      <c r="I3543" t="e">
        <f t="shared" ca="1" si="281"/>
        <v>#REF!</v>
      </c>
      <c r="J3543" t="str">
        <f>VLOOKUP($G3543,DefinitionArrays!$I$6:$J$12,2,FALSE)</f>
        <v>Workweek</v>
      </c>
    </row>
    <row r="3544" spans="1:10">
      <c r="A3544" s="159" t="str">
        <f t="shared" si="277"/>
        <v>$B$1:$B$92</v>
      </c>
      <c r="B3544" s="159" t="str">
        <f t="shared" si="278"/>
        <v>$C$1:$C$92</v>
      </c>
      <c r="C3544" s="159" t="str">
        <f t="shared" si="279"/>
        <v>October!$B$1:$B$92</v>
      </c>
      <c r="D3544" s="159" t="str">
        <f t="shared" si="280"/>
        <v>October!$C$1:$C$92</v>
      </c>
      <c r="E3544" t="s">
        <v>7</v>
      </c>
      <c r="F3544" t="s">
        <v>129</v>
      </c>
      <c r="G3544" t="s">
        <v>13</v>
      </c>
      <c r="H3544" t="s">
        <v>24</v>
      </c>
      <c r="I3544" t="e">
        <f t="shared" ca="1" si="281"/>
        <v>#REF!</v>
      </c>
      <c r="J3544" t="str">
        <f>VLOOKUP($G3544,DefinitionArrays!$I$6:$J$12,2,FALSE)</f>
        <v>Workweek</v>
      </c>
    </row>
    <row r="3545" spans="1:10">
      <c r="A3545" s="159" t="str">
        <f t="shared" si="277"/>
        <v>$B$1:$B$92</v>
      </c>
      <c r="B3545" s="159" t="str">
        <f t="shared" si="278"/>
        <v>$C$1:$C$92</v>
      </c>
      <c r="C3545" s="159" t="str">
        <f t="shared" si="279"/>
        <v>October!$B$1:$B$92</v>
      </c>
      <c r="D3545" s="159" t="str">
        <f t="shared" si="280"/>
        <v>October!$C$1:$C$92</v>
      </c>
      <c r="E3545" t="s">
        <v>7</v>
      </c>
      <c r="F3545" t="s">
        <v>129</v>
      </c>
      <c r="G3545" t="s">
        <v>13</v>
      </c>
      <c r="H3545" t="s">
        <v>179</v>
      </c>
      <c r="I3545" t="e">
        <f t="shared" ca="1" si="281"/>
        <v>#REF!</v>
      </c>
      <c r="J3545" t="str">
        <f>VLOOKUP($G3545,DefinitionArrays!$I$6:$J$12,2,FALSE)</f>
        <v>Workweek</v>
      </c>
    </row>
    <row r="3546" spans="1:10">
      <c r="A3546" s="159" t="str">
        <f t="shared" si="277"/>
        <v>$B$1:$B$92</v>
      </c>
      <c r="B3546" s="159" t="str">
        <f t="shared" si="278"/>
        <v>$C$1:$C$92</v>
      </c>
      <c r="C3546" s="159" t="str">
        <f t="shared" si="279"/>
        <v>October!$B$1:$B$92</v>
      </c>
      <c r="D3546" s="159" t="str">
        <f t="shared" si="280"/>
        <v>October!$C$1:$C$92</v>
      </c>
      <c r="E3546" t="s">
        <v>7</v>
      </c>
      <c r="F3546" t="s">
        <v>129</v>
      </c>
      <c r="G3546" t="s">
        <v>13</v>
      </c>
      <c r="H3546" t="s">
        <v>180</v>
      </c>
      <c r="I3546" t="e">
        <f t="shared" ca="1" si="281"/>
        <v>#REF!</v>
      </c>
      <c r="J3546" t="str">
        <f>VLOOKUP($G3546,DefinitionArrays!$I$6:$J$12,2,FALSE)</f>
        <v>Workweek</v>
      </c>
    </row>
    <row r="3547" spans="1:10">
      <c r="A3547" s="159" t="str">
        <f t="shared" si="277"/>
        <v>$B$1:$B$92</v>
      </c>
      <c r="B3547" s="159" t="str">
        <f t="shared" si="278"/>
        <v>$C$1:$C$92</v>
      </c>
      <c r="C3547" s="159" t="str">
        <f t="shared" si="279"/>
        <v>October!$B$1:$B$92</v>
      </c>
      <c r="D3547" s="159" t="str">
        <f t="shared" si="280"/>
        <v>October!$C$1:$C$92</v>
      </c>
      <c r="E3547" t="s">
        <v>7</v>
      </c>
      <c r="F3547" t="s">
        <v>129</v>
      </c>
      <c r="G3547" t="s">
        <v>13</v>
      </c>
      <c r="H3547" t="s">
        <v>44</v>
      </c>
      <c r="I3547" t="e">
        <f t="shared" ca="1" si="281"/>
        <v>#REF!</v>
      </c>
      <c r="J3547" t="str">
        <f>VLOOKUP($G3547,DefinitionArrays!$I$6:$J$12,2,FALSE)</f>
        <v>Workweek</v>
      </c>
    </row>
    <row r="3548" spans="1:10">
      <c r="A3548" s="159" t="str">
        <f t="shared" si="277"/>
        <v>$E$1:$E$92</v>
      </c>
      <c r="B3548" s="159" t="str">
        <f t="shared" si="278"/>
        <v>$F$1:$F$92</v>
      </c>
      <c r="C3548" s="159" t="str">
        <f t="shared" si="279"/>
        <v>October!$E$1:$E$92</v>
      </c>
      <c r="D3548" s="159" t="str">
        <f t="shared" si="280"/>
        <v>October!$F$1:$F$92</v>
      </c>
      <c r="E3548" t="s">
        <v>7</v>
      </c>
      <c r="F3548" t="s">
        <v>129</v>
      </c>
      <c r="G3548" t="s">
        <v>142</v>
      </c>
      <c r="H3548" t="s">
        <v>159</v>
      </c>
      <c r="I3548" t="e">
        <f t="shared" ca="1" si="281"/>
        <v>#REF!</v>
      </c>
      <c r="J3548" t="str">
        <f>VLOOKUP($G3548,DefinitionArrays!$I$6:$J$12,2,FALSE)</f>
        <v>Workweek</v>
      </c>
    </row>
    <row r="3549" spans="1:10">
      <c r="A3549" s="159" t="str">
        <f t="shared" si="277"/>
        <v>$E$1:$E$92</v>
      </c>
      <c r="B3549" s="159" t="str">
        <f t="shared" si="278"/>
        <v>$F$1:$F$92</v>
      </c>
      <c r="C3549" s="159" t="str">
        <f t="shared" si="279"/>
        <v>October!$E$1:$E$92</v>
      </c>
      <c r="D3549" s="159" t="str">
        <f t="shared" si="280"/>
        <v>October!$F$1:$F$92</v>
      </c>
      <c r="E3549" t="s">
        <v>7</v>
      </c>
      <c r="F3549" t="s">
        <v>129</v>
      </c>
      <c r="G3549" t="s">
        <v>142</v>
      </c>
      <c r="H3549" t="s">
        <v>18</v>
      </c>
      <c r="I3549" t="e">
        <f t="shared" ca="1" si="281"/>
        <v>#REF!</v>
      </c>
      <c r="J3549" t="str">
        <f>VLOOKUP($G3549,DefinitionArrays!$I$6:$J$12,2,FALSE)</f>
        <v>Workweek</v>
      </c>
    </row>
    <row r="3550" spans="1:10">
      <c r="A3550" s="159" t="str">
        <f t="shared" si="277"/>
        <v>$E$1:$E$92</v>
      </c>
      <c r="B3550" s="159" t="str">
        <f t="shared" si="278"/>
        <v>$F$1:$F$92</v>
      </c>
      <c r="C3550" s="159" t="str">
        <f t="shared" si="279"/>
        <v>October!$E$1:$E$92</v>
      </c>
      <c r="D3550" s="159" t="str">
        <f t="shared" si="280"/>
        <v>October!$F$1:$F$92</v>
      </c>
      <c r="E3550" t="s">
        <v>7</v>
      </c>
      <c r="F3550" t="s">
        <v>129</v>
      </c>
      <c r="G3550" t="s">
        <v>142</v>
      </c>
      <c r="H3550" t="s">
        <v>153</v>
      </c>
      <c r="I3550" t="e">
        <f t="shared" ca="1" si="281"/>
        <v>#REF!</v>
      </c>
      <c r="J3550" t="str">
        <f>VLOOKUP($G3550,DefinitionArrays!$I$6:$J$12,2,FALSE)</f>
        <v>Workweek</v>
      </c>
    </row>
    <row r="3551" spans="1:10">
      <c r="A3551" s="159" t="str">
        <f t="shared" si="277"/>
        <v>$E$1:$E$92</v>
      </c>
      <c r="B3551" s="159" t="str">
        <f t="shared" si="278"/>
        <v>$F$1:$F$92</v>
      </c>
      <c r="C3551" s="159" t="str">
        <f t="shared" si="279"/>
        <v>October!$E$1:$E$92</v>
      </c>
      <c r="D3551" s="159" t="str">
        <f t="shared" si="280"/>
        <v>October!$F$1:$F$92</v>
      </c>
      <c r="E3551" t="s">
        <v>7</v>
      </c>
      <c r="F3551" t="s">
        <v>129</v>
      </c>
      <c r="G3551" t="s">
        <v>142</v>
      </c>
      <c r="H3551" t="s">
        <v>19</v>
      </c>
      <c r="I3551" t="e">
        <f t="shared" ca="1" si="281"/>
        <v>#REF!</v>
      </c>
      <c r="J3551" t="str">
        <f>VLOOKUP($G3551,DefinitionArrays!$I$6:$J$12,2,FALSE)</f>
        <v>Workweek</v>
      </c>
    </row>
    <row r="3552" spans="1:10">
      <c r="A3552" s="159" t="str">
        <f t="shared" si="277"/>
        <v>$E$1:$E$92</v>
      </c>
      <c r="B3552" s="159" t="str">
        <f t="shared" si="278"/>
        <v>$F$1:$F$92</v>
      </c>
      <c r="C3552" s="159" t="str">
        <f t="shared" si="279"/>
        <v>October!$E$1:$E$92</v>
      </c>
      <c r="D3552" s="159" t="str">
        <f t="shared" si="280"/>
        <v>October!$F$1:$F$92</v>
      </c>
      <c r="E3552" t="s">
        <v>7</v>
      </c>
      <c r="F3552" t="s">
        <v>129</v>
      </c>
      <c r="G3552" t="s">
        <v>142</v>
      </c>
      <c r="H3552" t="s">
        <v>20</v>
      </c>
      <c r="I3552" t="e">
        <f t="shared" ca="1" si="281"/>
        <v>#REF!</v>
      </c>
      <c r="J3552" t="str">
        <f>VLOOKUP($G3552,DefinitionArrays!$I$6:$J$12,2,FALSE)</f>
        <v>Workweek</v>
      </c>
    </row>
    <row r="3553" spans="1:10">
      <c r="A3553" s="159" t="str">
        <f t="shared" si="277"/>
        <v>$E$1:$E$92</v>
      </c>
      <c r="B3553" s="159" t="str">
        <f t="shared" si="278"/>
        <v>$F$1:$F$92</v>
      </c>
      <c r="C3553" s="159" t="str">
        <f t="shared" si="279"/>
        <v>October!$E$1:$E$92</v>
      </c>
      <c r="D3553" s="159" t="str">
        <f t="shared" si="280"/>
        <v>October!$F$1:$F$92</v>
      </c>
      <c r="E3553" t="s">
        <v>7</v>
      </c>
      <c r="F3553" t="s">
        <v>129</v>
      </c>
      <c r="G3553" t="s">
        <v>142</v>
      </c>
      <c r="H3553" t="s">
        <v>21</v>
      </c>
      <c r="I3553" t="e">
        <f t="shared" ca="1" si="281"/>
        <v>#REF!</v>
      </c>
      <c r="J3553" t="str">
        <f>VLOOKUP($G3553,DefinitionArrays!$I$6:$J$12,2,FALSE)</f>
        <v>Workweek</v>
      </c>
    </row>
    <row r="3554" spans="1:10">
      <c r="A3554" s="159" t="str">
        <f t="shared" si="277"/>
        <v>$E$1:$E$92</v>
      </c>
      <c r="B3554" s="159" t="str">
        <f t="shared" si="278"/>
        <v>$F$1:$F$92</v>
      </c>
      <c r="C3554" s="159" t="str">
        <f t="shared" si="279"/>
        <v>October!$E$1:$E$92</v>
      </c>
      <c r="D3554" s="159" t="str">
        <f t="shared" si="280"/>
        <v>October!$F$1:$F$92</v>
      </c>
      <c r="E3554" t="s">
        <v>7</v>
      </c>
      <c r="F3554" t="s">
        <v>129</v>
      </c>
      <c r="G3554" t="s">
        <v>142</v>
      </c>
      <c r="H3554" t="s">
        <v>22</v>
      </c>
      <c r="I3554" t="e">
        <f t="shared" ca="1" si="281"/>
        <v>#REF!</v>
      </c>
      <c r="J3554" t="str">
        <f>VLOOKUP($G3554,DefinitionArrays!$I$6:$J$12,2,FALSE)</f>
        <v>Workweek</v>
      </c>
    </row>
    <row r="3555" spans="1:10">
      <c r="A3555" s="159" t="str">
        <f t="shared" si="277"/>
        <v>$E$1:$E$92</v>
      </c>
      <c r="B3555" s="159" t="str">
        <f t="shared" si="278"/>
        <v>$F$1:$F$92</v>
      </c>
      <c r="C3555" s="159" t="str">
        <f t="shared" si="279"/>
        <v>October!$E$1:$E$92</v>
      </c>
      <c r="D3555" s="159" t="str">
        <f t="shared" si="280"/>
        <v>October!$F$1:$F$92</v>
      </c>
      <c r="E3555" t="s">
        <v>7</v>
      </c>
      <c r="F3555" t="s">
        <v>129</v>
      </c>
      <c r="G3555" t="s">
        <v>142</v>
      </c>
      <c r="H3555" t="s">
        <v>23</v>
      </c>
      <c r="I3555" t="e">
        <f t="shared" ca="1" si="281"/>
        <v>#REF!</v>
      </c>
      <c r="J3555" t="str">
        <f>VLOOKUP($G3555,DefinitionArrays!$I$6:$J$12,2,FALSE)</f>
        <v>Workweek</v>
      </c>
    </row>
    <row r="3556" spans="1:10">
      <c r="A3556" s="159" t="str">
        <f t="shared" si="277"/>
        <v>$E$1:$E$92</v>
      </c>
      <c r="B3556" s="159" t="str">
        <f t="shared" si="278"/>
        <v>$F$1:$F$92</v>
      </c>
      <c r="C3556" s="159" t="str">
        <f t="shared" si="279"/>
        <v>October!$E$1:$E$92</v>
      </c>
      <c r="D3556" s="159" t="str">
        <f t="shared" si="280"/>
        <v>October!$F$1:$F$92</v>
      </c>
      <c r="E3556" t="s">
        <v>7</v>
      </c>
      <c r="F3556" t="s">
        <v>129</v>
      </c>
      <c r="G3556" t="s">
        <v>142</v>
      </c>
      <c r="H3556" t="s">
        <v>24</v>
      </c>
      <c r="I3556" t="e">
        <f t="shared" ca="1" si="281"/>
        <v>#REF!</v>
      </c>
      <c r="J3556" t="str">
        <f>VLOOKUP($G3556,DefinitionArrays!$I$6:$J$12,2,FALSE)</f>
        <v>Workweek</v>
      </c>
    </row>
    <row r="3557" spans="1:10">
      <c r="A3557" s="159" t="str">
        <f t="shared" si="277"/>
        <v>$E$1:$E$92</v>
      </c>
      <c r="B3557" s="159" t="str">
        <f t="shared" si="278"/>
        <v>$F$1:$F$92</v>
      </c>
      <c r="C3557" s="159" t="str">
        <f t="shared" si="279"/>
        <v>October!$E$1:$E$92</v>
      </c>
      <c r="D3557" s="159" t="str">
        <f t="shared" si="280"/>
        <v>October!$F$1:$F$92</v>
      </c>
      <c r="E3557" t="s">
        <v>7</v>
      </c>
      <c r="F3557" t="s">
        <v>129</v>
      </c>
      <c r="G3557" t="s">
        <v>142</v>
      </c>
      <c r="H3557" t="s">
        <v>179</v>
      </c>
      <c r="I3557" t="e">
        <f t="shared" ca="1" si="281"/>
        <v>#REF!</v>
      </c>
      <c r="J3557" t="str">
        <f>VLOOKUP($G3557,DefinitionArrays!$I$6:$J$12,2,FALSE)</f>
        <v>Workweek</v>
      </c>
    </row>
    <row r="3558" spans="1:10">
      <c r="A3558" s="159" t="str">
        <f t="shared" si="277"/>
        <v>$E$1:$E$92</v>
      </c>
      <c r="B3558" s="159" t="str">
        <f t="shared" si="278"/>
        <v>$F$1:$F$92</v>
      </c>
      <c r="C3558" s="159" t="str">
        <f t="shared" si="279"/>
        <v>October!$E$1:$E$92</v>
      </c>
      <c r="D3558" s="159" t="str">
        <f t="shared" si="280"/>
        <v>October!$F$1:$F$92</v>
      </c>
      <c r="E3558" t="s">
        <v>7</v>
      </c>
      <c r="F3558" t="s">
        <v>129</v>
      </c>
      <c r="G3558" t="s">
        <v>142</v>
      </c>
      <c r="H3558" t="s">
        <v>180</v>
      </c>
      <c r="I3558" t="e">
        <f t="shared" ca="1" si="281"/>
        <v>#REF!</v>
      </c>
      <c r="J3558" t="str">
        <f>VLOOKUP($G3558,DefinitionArrays!$I$6:$J$12,2,FALSE)</f>
        <v>Workweek</v>
      </c>
    </row>
    <row r="3559" spans="1:10">
      <c r="A3559" s="159" t="str">
        <f t="shared" si="277"/>
        <v>$E$1:$E$92</v>
      </c>
      <c r="B3559" s="159" t="str">
        <f t="shared" si="278"/>
        <v>$F$1:$F$92</v>
      </c>
      <c r="C3559" s="159" t="str">
        <f t="shared" si="279"/>
        <v>October!$E$1:$E$92</v>
      </c>
      <c r="D3559" s="159" t="str">
        <f t="shared" si="280"/>
        <v>October!$F$1:$F$92</v>
      </c>
      <c r="E3559" t="s">
        <v>7</v>
      </c>
      <c r="F3559" t="s">
        <v>129</v>
      </c>
      <c r="G3559" t="s">
        <v>142</v>
      </c>
      <c r="H3559" t="s">
        <v>44</v>
      </c>
      <c r="I3559" t="e">
        <f t="shared" ca="1" si="281"/>
        <v>#REF!</v>
      </c>
      <c r="J3559" t="str">
        <f>VLOOKUP($G3559,DefinitionArrays!$I$6:$J$12,2,FALSE)</f>
        <v>Workweek</v>
      </c>
    </row>
    <row r="3560" spans="1:10">
      <c r="A3560" s="159" t="str">
        <f t="shared" si="277"/>
        <v>$H$1:$H$92</v>
      </c>
      <c r="B3560" s="159" t="str">
        <f t="shared" si="278"/>
        <v>$I$1:$I$92</v>
      </c>
      <c r="C3560" s="159" t="str">
        <f t="shared" si="279"/>
        <v>October!$H$1:$H$92</v>
      </c>
      <c r="D3560" s="159" t="str">
        <f t="shared" si="280"/>
        <v>October!$I$1:$I$92</v>
      </c>
      <c r="E3560" t="s">
        <v>7</v>
      </c>
      <c r="F3560" t="s">
        <v>129</v>
      </c>
      <c r="G3560" t="s">
        <v>143</v>
      </c>
      <c r="H3560" t="s">
        <v>159</v>
      </c>
      <c r="I3560" t="e">
        <f t="shared" ca="1" si="281"/>
        <v>#REF!</v>
      </c>
      <c r="J3560" t="str">
        <f>VLOOKUP($G3560,DefinitionArrays!$I$6:$J$12,2,FALSE)</f>
        <v>Workweek</v>
      </c>
    </row>
    <row r="3561" spans="1:10">
      <c r="A3561" s="159" t="str">
        <f t="shared" si="277"/>
        <v>$H$1:$H$92</v>
      </c>
      <c r="B3561" s="159" t="str">
        <f t="shared" si="278"/>
        <v>$I$1:$I$92</v>
      </c>
      <c r="C3561" s="159" t="str">
        <f t="shared" si="279"/>
        <v>October!$H$1:$H$92</v>
      </c>
      <c r="D3561" s="159" t="str">
        <f t="shared" si="280"/>
        <v>October!$I$1:$I$92</v>
      </c>
      <c r="E3561" t="s">
        <v>7</v>
      </c>
      <c r="F3561" t="s">
        <v>129</v>
      </c>
      <c r="G3561" t="s">
        <v>143</v>
      </c>
      <c r="H3561" t="s">
        <v>18</v>
      </c>
      <c r="I3561" t="e">
        <f t="shared" ca="1" si="281"/>
        <v>#REF!</v>
      </c>
      <c r="J3561" t="str">
        <f>VLOOKUP($G3561,DefinitionArrays!$I$6:$J$12,2,FALSE)</f>
        <v>Workweek</v>
      </c>
    </row>
    <row r="3562" spans="1:10">
      <c r="A3562" s="159" t="str">
        <f t="shared" si="277"/>
        <v>$H$1:$H$92</v>
      </c>
      <c r="B3562" s="159" t="str">
        <f t="shared" si="278"/>
        <v>$I$1:$I$92</v>
      </c>
      <c r="C3562" s="159" t="str">
        <f t="shared" si="279"/>
        <v>October!$H$1:$H$92</v>
      </c>
      <c r="D3562" s="159" t="str">
        <f t="shared" si="280"/>
        <v>October!$I$1:$I$92</v>
      </c>
      <c r="E3562" t="s">
        <v>7</v>
      </c>
      <c r="F3562" t="s">
        <v>129</v>
      </c>
      <c r="G3562" t="s">
        <v>143</v>
      </c>
      <c r="H3562" t="s">
        <v>153</v>
      </c>
      <c r="I3562" t="e">
        <f t="shared" ca="1" si="281"/>
        <v>#REF!</v>
      </c>
      <c r="J3562" t="str">
        <f>VLOOKUP($G3562,DefinitionArrays!$I$6:$J$12,2,FALSE)</f>
        <v>Workweek</v>
      </c>
    </row>
    <row r="3563" spans="1:10">
      <c r="A3563" s="159" t="str">
        <f t="shared" si="277"/>
        <v>$H$1:$H$92</v>
      </c>
      <c r="B3563" s="159" t="str">
        <f t="shared" si="278"/>
        <v>$I$1:$I$92</v>
      </c>
      <c r="C3563" s="159" t="str">
        <f t="shared" si="279"/>
        <v>October!$H$1:$H$92</v>
      </c>
      <c r="D3563" s="159" t="str">
        <f t="shared" si="280"/>
        <v>October!$I$1:$I$92</v>
      </c>
      <c r="E3563" t="s">
        <v>7</v>
      </c>
      <c r="F3563" t="s">
        <v>129</v>
      </c>
      <c r="G3563" t="s">
        <v>143</v>
      </c>
      <c r="H3563" t="s">
        <v>19</v>
      </c>
      <c r="I3563" t="e">
        <f t="shared" ca="1" si="281"/>
        <v>#REF!</v>
      </c>
      <c r="J3563" t="str">
        <f>VLOOKUP($G3563,DefinitionArrays!$I$6:$J$12,2,FALSE)</f>
        <v>Workweek</v>
      </c>
    </row>
    <row r="3564" spans="1:10">
      <c r="A3564" s="159" t="str">
        <f t="shared" si="277"/>
        <v>$H$1:$H$92</v>
      </c>
      <c r="B3564" s="159" t="str">
        <f t="shared" si="278"/>
        <v>$I$1:$I$92</v>
      </c>
      <c r="C3564" s="159" t="str">
        <f t="shared" si="279"/>
        <v>October!$H$1:$H$92</v>
      </c>
      <c r="D3564" s="159" t="str">
        <f t="shared" si="280"/>
        <v>October!$I$1:$I$92</v>
      </c>
      <c r="E3564" t="s">
        <v>7</v>
      </c>
      <c r="F3564" t="s">
        <v>129</v>
      </c>
      <c r="G3564" t="s">
        <v>143</v>
      </c>
      <c r="H3564" t="s">
        <v>20</v>
      </c>
      <c r="I3564" t="e">
        <f t="shared" ca="1" si="281"/>
        <v>#REF!</v>
      </c>
      <c r="J3564" t="str">
        <f>VLOOKUP($G3564,DefinitionArrays!$I$6:$J$12,2,FALSE)</f>
        <v>Workweek</v>
      </c>
    </row>
    <row r="3565" spans="1:10">
      <c r="A3565" s="159" t="str">
        <f t="shared" si="277"/>
        <v>$H$1:$H$92</v>
      </c>
      <c r="B3565" s="159" t="str">
        <f t="shared" si="278"/>
        <v>$I$1:$I$92</v>
      </c>
      <c r="C3565" s="159" t="str">
        <f t="shared" si="279"/>
        <v>October!$H$1:$H$92</v>
      </c>
      <c r="D3565" s="159" t="str">
        <f t="shared" si="280"/>
        <v>October!$I$1:$I$92</v>
      </c>
      <c r="E3565" t="s">
        <v>7</v>
      </c>
      <c r="F3565" t="s">
        <v>129</v>
      </c>
      <c r="G3565" t="s">
        <v>143</v>
      </c>
      <c r="H3565" t="s">
        <v>21</v>
      </c>
      <c r="I3565" t="e">
        <f t="shared" ca="1" si="281"/>
        <v>#REF!</v>
      </c>
      <c r="J3565" t="str">
        <f>VLOOKUP($G3565,DefinitionArrays!$I$6:$J$12,2,FALSE)</f>
        <v>Workweek</v>
      </c>
    </row>
    <row r="3566" spans="1:10">
      <c r="A3566" s="159" t="str">
        <f t="shared" si="277"/>
        <v>$H$1:$H$92</v>
      </c>
      <c r="B3566" s="159" t="str">
        <f t="shared" si="278"/>
        <v>$I$1:$I$92</v>
      </c>
      <c r="C3566" s="159" t="str">
        <f t="shared" si="279"/>
        <v>October!$H$1:$H$92</v>
      </c>
      <c r="D3566" s="159" t="str">
        <f t="shared" si="280"/>
        <v>October!$I$1:$I$92</v>
      </c>
      <c r="E3566" t="s">
        <v>7</v>
      </c>
      <c r="F3566" t="s">
        <v>129</v>
      </c>
      <c r="G3566" t="s">
        <v>143</v>
      </c>
      <c r="H3566" t="s">
        <v>22</v>
      </c>
      <c r="I3566" t="e">
        <f t="shared" ca="1" si="281"/>
        <v>#REF!</v>
      </c>
      <c r="J3566" t="str">
        <f>VLOOKUP($G3566,DefinitionArrays!$I$6:$J$12,2,FALSE)</f>
        <v>Workweek</v>
      </c>
    </row>
    <row r="3567" spans="1:10">
      <c r="A3567" s="159" t="str">
        <f t="shared" si="277"/>
        <v>$H$1:$H$92</v>
      </c>
      <c r="B3567" s="159" t="str">
        <f t="shared" si="278"/>
        <v>$I$1:$I$92</v>
      </c>
      <c r="C3567" s="159" t="str">
        <f t="shared" si="279"/>
        <v>October!$H$1:$H$92</v>
      </c>
      <c r="D3567" s="159" t="str">
        <f t="shared" si="280"/>
        <v>October!$I$1:$I$92</v>
      </c>
      <c r="E3567" t="s">
        <v>7</v>
      </c>
      <c r="F3567" t="s">
        <v>129</v>
      </c>
      <c r="G3567" t="s">
        <v>143</v>
      </c>
      <c r="H3567" t="s">
        <v>23</v>
      </c>
      <c r="I3567" t="e">
        <f t="shared" ca="1" si="281"/>
        <v>#REF!</v>
      </c>
      <c r="J3567" t="str">
        <f>VLOOKUP($G3567,DefinitionArrays!$I$6:$J$12,2,FALSE)</f>
        <v>Workweek</v>
      </c>
    </row>
    <row r="3568" spans="1:10">
      <c r="A3568" s="159" t="str">
        <f t="shared" si="277"/>
        <v>$H$1:$H$92</v>
      </c>
      <c r="B3568" s="159" t="str">
        <f t="shared" si="278"/>
        <v>$I$1:$I$92</v>
      </c>
      <c r="C3568" s="159" t="str">
        <f t="shared" si="279"/>
        <v>October!$H$1:$H$92</v>
      </c>
      <c r="D3568" s="159" t="str">
        <f t="shared" si="280"/>
        <v>October!$I$1:$I$92</v>
      </c>
      <c r="E3568" t="s">
        <v>7</v>
      </c>
      <c r="F3568" t="s">
        <v>129</v>
      </c>
      <c r="G3568" t="s">
        <v>143</v>
      </c>
      <c r="H3568" t="s">
        <v>24</v>
      </c>
      <c r="I3568" t="e">
        <f t="shared" ca="1" si="281"/>
        <v>#REF!</v>
      </c>
      <c r="J3568" t="str">
        <f>VLOOKUP($G3568,DefinitionArrays!$I$6:$J$12,2,FALSE)</f>
        <v>Workweek</v>
      </c>
    </row>
    <row r="3569" spans="1:10">
      <c r="A3569" s="159" t="str">
        <f t="shared" si="277"/>
        <v>$H$1:$H$92</v>
      </c>
      <c r="B3569" s="159" t="str">
        <f t="shared" si="278"/>
        <v>$I$1:$I$92</v>
      </c>
      <c r="C3569" s="159" t="str">
        <f t="shared" si="279"/>
        <v>October!$H$1:$H$92</v>
      </c>
      <c r="D3569" s="159" t="str">
        <f t="shared" si="280"/>
        <v>October!$I$1:$I$92</v>
      </c>
      <c r="E3569" t="s">
        <v>7</v>
      </c>
      <c r="F3569" t="s">
        <v>129</v>
      </c>
      <c r="G3569" t="s">
        <v>143</v>
      </c>
      <c r="H3569" t="s">
        <v>179</v>
      </c>
      <c r="I3569" t="e">
        <f t="shared" ca="1" si="281"/>
        <v>#REF!</v>
      </c>
      <c r="J3569" t="str">
        <f>VLOOKUP($G3569,DefinitionArrays!$I$6:$J$12,2,FALSE)</f>
        <v>Workweek</v>
      </c>
    </row>
    <row r="3570" spans="1:10">
      <c r="A3570" s="159" t="str">
        <f t="shared" si="277"/>
        <v>$H$1:$H$92</v>
      </c>
      <c r="B3570" s="159" t="str">
        <f t="shared" si="278"/>
        <v>$I$1:$I$92</v>
      </c>
      <c r="C3570" s="159" t="str">
        <f t="shared" si="279"/>
        <v>October!$H$1:$H$92</v>
      </c>
      <c r="D3570" s="159" t="str">
        <f t="shared" si="280"/>
        <v>October!$I$1:$I$92</v>
      </c>
      <c r="E3570" t="s">
        <v>7</v>
      </c>
      <c r="F3570" t="s">
        <v>129</v>
      </c>
      <c r="G3570" t="s">
        <v>143</v>
      </c>
      <c r="H3570" t="s">
        <v>180</v>
      </c>
      <c r="I3570" t="e">
        <f t="shared" ca="1" si="281"/>
        <v>#REF!</v>
      </c>
      <c r="J3570" t="str">
        <f>VLOOKUP($G3570,DefinitionArrays!$I$6:$J$12,2,FALSE)</f>
        <v>Workweek</v>
      </c>
    </row>
    <row r="3571" spans="1:10">
      <c r="A3571" s="159" t="str">
        <f t="shared" si="277"/>
        <v>$H$1:$H$92</v>
      </c>
      <c r="B3571" s="159" t="str">
        <f t="shared" si="278"/>
        <v>$I$1:$I$92</v>
      </c>
      <c r="C3571" s="159" t="str">
        <f t="shared" si="279"/>
        <v>October!$H$1:$H$92</v>
      </c>
      <c r="D3571" s="159" t="str">
        <f t="shared" si="280"/>
        <v>October!$I$1:$I$92</v>
      </c>
      <c r="E3571" t="s">
        <v>7</v>
      </c>
      <c r="F3571" t="s">
        <v>129</v>
      </c>
      <c r="G3571" t="s">
        <v>143</v>
      </c>
      <c r="H3571" t="s">
        <v>44</v>
      </c>
      <c r="I3571" t="e">
        <f t="shared" ca="1" si="281"/>
        <v>#REF!</v>
      </c>
      <c r="J3571" t="str">
        <f>VLOOKUP($G3571,DefinitionArrays!$I$6:$J$12,2,FALSE)</f>
        <v>Workweek</v>
      </c>
    </row>
    <row r="3572" spans="1:10">
      <c r="A3572" s="159" t="str">
        <f t="shared" si="277"/>
        <v>$K$1:$K$92</v>
      </c>
      <c r="B3572" s="159" t="str">
        <f t="shared" si="278"/>
        <v>$L$1:$L$92</v>
      </c>
      <c r="C3572" s="159" t="str">
        <f t="shared" si="279"/>
        <v>October!$K$1:$K$92</v>
      </c>
      <c r="D3572" s="159" t="str">
        <f t="shared" si="280"/>
        <v>October!$L$1:$L$92</v>
      </c>
      <c r="E3572" t="s">
        <v>7</v>
      </c>
      <c r="F3572" t="s">
        <v>129</v>
      </c>
      <c r="G3572" t="s">
        <v>144</v>
      </c>
      <c r="H3572" t="s">
        <v>159</v>
      </c>
      <c r="I3572" t="e">
        <f t="shared" ca="1" si="281"/>
        <v>#REF!</v>
      </c>
      <c r="J3572" t="str">
        <f>VLOOKUP($G3572,DefinitionArrays!$I$6:$J$12,2,FALSE)</f>
        <v>Workweek</v>
      </c>
    </row>
    <row r="3573" spans="1:10">
      <c r="A3573" s="159" t="str">
        <f t="shared" si="277"/>
        <v>$K$1:$K$92</v>
      </c>
      <c r="B3573" s="159" t="str">
        <f t="shared" si="278"/>
        <v>$L$1:$L$92</v>
      </c>
      <c r="C3573" s="159" t="str">
        <f t="shared" si="279"/>
        <v>October!$K$1:$K$92</v>
      </c>
      <c r="D3573" s="159" t="str">
        <f t="shared" si="280"/>
        <v>October!$L$1:$L$92</v>
      </c>
      <c r="E3573" t="s">
        <v>7</v>
      </c>
      <c r="F3573" t="s">
        <v>129</v>
      </c>
      <c r="G3573" t="s">
        <v>144</v>
      </c>
      <c r="H3573" t="s">
        <v>18</v>
      </c>
      <c r="I3573" t="e">
        <f t="shared" ca="1" si="281"/>
        <v>#REF!</v>
      </c>
      <c r="J3573" t="str">
        <f>VLOOKUP($G3573,DefinitionArrays!$I$6:$J$12,2,FALSE)</f>
        <v>Workweek</v>
      </c>
    </row>
    <row r="3574" spans="1:10">
      <c r="A3574" s="159" t="str">
        <f t="shared" si="277"/>
        <v>$K$1:$K$92</v>
      </c>
      <c r="B3574" s="159" t="str">
        <f t="shared" si="278"/>
        <v>$L$1:$L$92</v>
      </c>
      <c r="C3574" s="159" t="str">
        <f t="shared" si="279"/>
        <v>October!$K$1:$K$92</v>
      </c>
      <c r="D3574" s="159" t="str">
        <f t="shared" si="280"/>
        <v>October!$L$1:$L$92</v>
      </c>
      <c r="E3574" t="s">
        <v>7</v>
      </c>
      <c r="F3574" t="s">
        <v>129</v>
      </c>
      <c r="G3574" t="s">
        <v>144</v>
      </c>
      <c r="H3574" t="s">
        <v>153</v>
      </c>
      <c r="I3574" t="e">
        <f t="shared" ca="1" si="281"/>
        <v>#REF!</v>
      </c>
      <c r="J3574" t="str">
        <f>VLOOKUP($G3574,DefinitionArrays!$I$6:$J$12,2,FALSE)</f>
        <v>Workweek</v>
      </c>
    </row>
    <row r="3575" spans="1:10">
      <c r="A3575" s="159" t="str">
        <f t="shared" si="277"/>
        <v>$K$1:$K$92</v>
      </c>
      <c r="B3575" s="159" t="str">
        <f t="shared" si="278"/>
        <v>$L$1:$L$92</v>
      </c>
      <c r="C3575" s="159" t="str">
        <f t="shared" si="279"/>
        <v>October!$K$1:$K$92</v>
      </c>
      <c r="D3575" s="159" t="str">
        <f t="shared" si="280"/>
        <v>October!$L$1:$L$92</v>
      </c>
      <c r="E3575" t="s">
        <v>7</v>
      </c>
      <c r="F3575" t="s">
        <v>129</v>
      </c>
      <c r="G3575" t="s">
        <v>144</v>
      </c>
      <c r="H3575" t="s">
        <v>19</v>
      </c>
      <c r="I3575" t="e">
        <f t="shared" ca="1" si="281"/>
        <v>#REF!</v>
      </c>
      <c r="J3575" t="str">
        <f>VLOOKUP($G3575,DefinitionArrays!$I$6:$J$12,2,FALSE)</f>
        <v>Workweek</v>
      </c>
    </row>
    <row r="3576" spans="1:10">
      <c r="A3576" s="159" t="str">
        <f t="shared" si="277"/>
        <v>$K$1:$K$92</v>
      </c>
      <c r="B3576" s="159" t="str">
        <f t="shared" si="278"/>
        <v>$L$1:$L$92</v>
      </c>
      <c r="C3576" s="159" t="str">
        <f t="shared" si="279"/>
        <v>October!$K$1:$K$92</v>
      </c>
      <c r="D3576" s="159" t="str">
        <f t="shared" si="280"/>
        <v>October!$L$1:$L$92</v>
      </c>
      <c r="E3576" t="s">
        <v>7</v>
      </c>
      <c r="F3576" t="s">
        <v>129</v>
      </c>
      <c r="G3576" t="s">
        <v>144</v>
      </c>
      <c r="H3576" t="s">
        <v>20</v>
      </c>
      <c r="I3576" t="e">
        <f t="shared" ca="1" si="281"/>
        <v>#REF!</v>
      </c>
      <c r="J3576" t="str">
        <f>VLOOKUP($G3576,DefinitionArrays!$I$6:$J$12,2,FALSE)</f>
        <v>Workweek</v>
      </c>
    </row>
    <row r="3577" spans="1:10">
      <c r="A3577" s="159" t="str">
        <f t="shared" si="277"/>
        <v>$K$1:$K$92</v>
      </c>
      <c r="B3577" s="159" t="str">
        <f t="shared" si="278"/>
        <v>$L$1:$L$92</v>
      </c>
      <c r="C3577" s="159" t="str">
        <f t="shared" si="279"/>
        <v>October!$K$1:$K$92</v>
      </c>
      <c r="D3577" s="159" t="str">
        <f t="shared" si="280"/>
        <v>October!$L$1:$L$92</v>
      </c>
      <c r="E3577" t="s">
        <v>7</v>
      </c>
      <c r="F3577" t="s">
        <v>129</v>
      </c>
      <c r="G3577" t="s">
        <v>144</v>
      </c>
      <c r="H3577" t="s">
        <v>21</v>
      </c>
      <c r="I3577" t="e">
        <f t="shared" ca="1" si="281"/>
        <v>#REF!</v>
      </c>
      <c r="J3577" t="str">
        <f>VLOOKUP($G3577,DefinitionArrays!$I$6:$J$12,2,FALSE)</f>
        <v>Workweek</v>
      </c>
    </row>
    <row r="3578" spans="1:10">
      <c r="A3578" s="159" t="str">
        <f t="shared" si="277"/>
        <v>$K$1:$K$92</v>
      </c>
      <c r="B3578" s="159" t="str">
        <f t="shared" si="278"/>
        <v>$L$1:$L$92</v>
      </c>
      <c r="C3578" s="159" t="str">
        <f t="shared" si="279"/>
        <v>October!$K$1:$K$92</v>
      </c>
      <c r="D3578" s="159" t="str">
        <f t="shared" si="280"/>
        <v>October!$L$1:$L$92</v>
      </c>
      <c r="E3578" t="s">
        <v>7</v>
      </c>
      <c r="F3578" t="s">
        <v>129</v>
      </c>
      <c r="G3578" t="s">
        <v>144</v>
      </c>
      <c r="H3578" t="s">
        <v>22</v>
      </c>
      <c r="I3578" t="e">
        <f t="shared" ca="1" si="281"/>
        <v>#REF!</v>
      </c>
      <c r="J3578" t="str">
        <f>VLOOKUP($G3578,DefinitionArrays!$I$6:$J$12,2,FALSE)</f>
        <v>Workweek</v>
      </c>
    </row>
    <row r="3579" spans="1:10">
      <c r="A3579" s="159" t="str">
        <f t="shared" si="277"/>
        <v>$K$1:$K$92</v>
      </c>
      <c r="B3579" s="159" t="str">
        <f t="shared" si="278"/>
        <v>$L$1:$L$92</v>
      </c>
      <c r="C3579" s="159" t="str">
        <f t="shared" si="279"/>
        <v>October!$K$1:$K$92</v>
      </c>
      <c r="D3579" s="159" t="str">
        <f t="shared" si="280"/>
        <v>October!$L$1:$L$92</v>
      </c>
      <c r="E3579" t="s">
        <v>7</v>
      </c>
      <c r="F3579" t="s">
        <v>129</v>
      </c>
      <c r="G3579" t="s">
        <v>144</v>
      </c>
      <c r="H3579" t="s">
        <v>23</v>
      </c>
      <c r="I3579" t="e">
        <f t="shared" ca="1" si="281"/>
        <v>#REF!</v>
      </c>
      <c r="J3579" t="str">
        <f>VLOOKUP($G3579,DefinitionArrays!$I$6:$J$12,2,FALSE)</f>
        <v>Workweek</v>
      </c>
    </row>
    <row r="3580" spans="1:10">
      <c r="A3580" s="159" t="str">
        <f t="shared" si="277"/>
        <v>$K$1:$K$92</v>
      </c>
      <c r="B3580" s="159" t="str">
        <f t="shared" si="278"/>
        <v>$L$1:$L$92</v>
      </c>
      <c r="C3580" s="159" t="str">
        <f t="shared" si="279"/>
        <v>October!$K$1:$K$92</v>
      </c>
      <c r="D3580" s="159" t="str">
        <f t="shared" si="280"/>
        <v>October!$L$1:$L$92</v>
      </c>
      <c r="E3580" t="s">
        <v>7</v>
      </c>
      <c r="F3580" t="s">
        <v>129</v>
      </c>
      <c r="G3580" t="s">
        <v>144</v>
      </c>
      <c r="H3580" t="s">
        <v>24</v>
      </c>
      <c r="I3580" t="e">
        <f t="shared" ca="1" si="281"/>
        <v>#REF!</v>
      </c>
      <c r="J3580" t="str">
        <f>VLOOKUP($G3580,DefinitionArrays!$I$6:$J$12,2,FALSE)</f>
        <v>Workweek</v>
      </c>
    </row>
    <row r="3581" spans="1:10">
      <c r="A3581" s="159" t="str">
        <f t="shared" si="277"/>
        <v>$K$1:$K$92</v>
      </c>
      <c r="B3581" s="159" t="str">
        <f t="shared" si="278"/>
        <v>$L$1:$L$92</v>
      </c>
      <c r="C3581" s="159" t="str">
        <f t="shared" si="279"/>
        <v>October!$K$1:$K$92</v>
      </c>
      <c r="D3581" s="159" t="str">
        <f t="shared" si="280"/>
        <v>October!$L$1:$L$92</v>
      </c>
      <c r="E3581" t="s">
        <v>7</v>
      </c>
      <c r="F3581" t="s">
        <v>129</v>
      </c>
      <c r="G3581" t="s">
        <v>144</v>
      </c>
      <c r="H3581" t="s">
        <v>179</v>
      </c>
      <c r="I3581" t="e">
        <f t="shared" ca="1" si="281"/>
        <v>#REF!</v>
      </c>
      <c r="J3581" t="str">
        <f>VLOOKUP($G3581,DefinitionArrays!$I$6:$J$12,2,FALSE)</f>
        <v>Workweek</v>
      </c>
    </row>
    <row r="3582" spans="1:10">
      <c r="A3582" s="159" t="str">
        <f t="shared" si="277"/>
        <v>$K$1:$K$92</v>
      </c>
      <c r="B3582" s="159" t="str">
        <f t="shared" si="278"/>
        <v>$L$1:$L$92</v>
      </c>
      <c r="C3582" s="159" t="str">
        <f t="shared" si="279"/>
        <v>October!$K$1:$K$92</v>
      </c>
      <c r="D3582" s="159" t="str">
        <f t="shared" si="280"/>
        <v>October!$L$1:$L$92</v>
      </c>
      <c r="E3582" t="s">
        <v>7</v>
      </c>
      <c r="F3582" t="s">
        <v>129</v>
      </c>
      <c r="G3582" t="s">
        <v>144</v>
      </c>
      <c r="H3582" t="s">
        <v>180</v>
      </c>
      <c r="I3582" t="e">
        <f t="shared" ca="1" si="281"/>
        <v>#REF!</v>
      </c>
      <c r="J3582" t="str">
        <f>VLOOKUP($G3582,DefinitionArrays!$I$6:$J$12,2,FALSE)</f>
        <v>Workweek</v>
      </c>
    </row>
    <row r="3583" spans="1:10">
      <c r="A3583" s="159" t="str">
        <f t="shared" si="277"/>
        <v>$K$1:$K$92</v>
      </c>
      <c r="B3583" s="159" t="str">
        <f t="shared" si="278"/>
        <v>$L$1:$L$92</v>
      </c>
      <c r="C3583" s="159" t="str">
        <f t="shared" si="279"/>
        <v>October!$K$1:$K$92</v>
      </c>
      <c r="D3583" s="159" t="str">
        <f t="shared" si="280"/>
        <v>October!$L$1:$L$92</v>
      </c>
      <c r="E3583" t="s">
        <v>7</v>
      </c>
      <c r="F3583" t="s">
        <v>129</v>
      </c>
      <c r="G3583" t="s">
        <v>144</v>
      </c>
      <c r="H3583" t="s">
        <v>44</v>
      </c>
      <c r="I3583" t="e">
        <f t="shared" ca="1" si="281"/>
        <v>#REF!</v>
      </c>
      <c r="J3583" t="str">
        <f>VLOOKUP($G3583,DefinitionArrays!$I$6:$J$12,2,FALSE)</f>
        <v>Workweek</v>
      </c>
    </row>
    <row r="3584" spans="1:10">
      <c r="A3584" s="159" t="str">
        <f t="shared" si="277"/>
        <v>$N$1:$N$92</v>
      </c>
      <c r="B3584" s="159" t="str">
        <f t="shared" si="278"/>
        <v>$O$1:$O$92</v>
      </c>
      <c r="C3584" s="159" t="str">
        <f t="shared" si="279"/>
        <v>October!$N$1:$N$92</v>
      </c>
      <c r="D3584" s="159" t="str">
        <f t="shared" si="280"/>
        <v>October!$O$1:$O$92</v>
      </c>
      <c r="E3584" t="s">
        <v>7</v>
      </c>
      <c r="F3584" t="s">
        <v>129</v>
      </c>
      <c r="G3584" t="s">
        <v>145</v>
      </c>
      <c r="H3584" t="s">
        <v>159</v>
      </c>
      <c r="I3584" t="e">
        <f t="shared" ca="1" si="281"/>
        <v>#REF!</v>
      </c>
      <c r="J3584" t="str">
        <f>VLOOKUP($G3584,DefinitionArrays!$I$6:$J$12,2,FALSE)</f>
        <v>Weekend</v>
      </c>
    </row>
    <row r="3585" spans="1:10">
      <c r="A3585" s="159" t="str">
        <f t="shared" si="277"/>
        <v>$N$1:$N$92</v>
      </c>
      <c r="B3585" s="159" t="str">
        <f t="shared" si="278"/>
        <v>$O$1:$O$92</v>
      </c>
      <c r="C3585" s="159" t="str">
        <f t="shared" si="279"/>
        <v>October!$N$1:$N$92</v>
      </c>
      <c r="D3585" s="159" t="str">
        <f t="shared" si="280"/>
        <v>October!$O$1:$O$92</v>
      </c>
      <c r="E3585" t="s">
        <v>7</v>
      </c>
      <c r="F3585" t="s">
        <v>129</v>
      </c>
      <c r="G3585" t="s">
        <v>145</v>
      </c>
      <c r="H3585" t="s">
        <v>18</v>
      </c>
      <c r="I3585" t="e">
        <f t="shared" ca="1" si="281"/>
        <v>#REF!</v>
      </c>
      <c r="J3585" t="str">
        <f>VLOOKUP($G3585,DefinitionArrays!$I$6:$J$12,2,FALSE)</f>
        <v>Weekend</v>
      </c>
    </row>
    <row r="3586" spans="1:10">
      <c r="A3586" s="159" t="str">
        <f t="shared" ref="A3586:A3649" si="282">VLOOKUP($G3586,Fx_Code,2,FALSE)</f>
        <v>$N$1:$N$92</v>
      </c>
      <c r="B3586" s="159" t="str">
        <f t="shared" ref="B3586:B3649" si="283">VLOOKUP($G3586,Fx_Code,3,FALSE)</f>
        <v>$O$1:$O$92</v>
      </c>
      <c r="C3586" s="159" t="str">
        <f t="shared" ref="C3586:C3649" si="284">CONCATENATE($F3586,$K$1,A3586)</f>
        <v>October!$N$1:$N$92</v>
      </c>
      <c r="D3586" s="159" t="str">
        <f t="shared" ref="D3586:D3649" si="285">CONCATENATE($F3586,$K$1,B3586)</f>
        <v>October!$O$1:$O$92</v>
      </c>
      <c r="E3586" t="s">
        <v>7</v>
      </c>
      <c r="F3586" t="s">
        <v>129</v>
      </c>
      <c r="G3586" t="s">
        <v>145</v>
      </c>
      <c r="H3586" t="s">
        <v>153</v>
      </c>
      <c r="I3586" t="e">
        <f t="shared" ca="1" si="281"/>
        <v>#REF!</v>
      </c>
      <c r="J3586" t="str">
        <f>VLOOKUP($G3586,DefinitionArrays!$I$6:$J$12,2,FALSE)</f>
        <v>Weekend</v>
      </c>
    </row>
    <row r="3587" spans="1:10">
      <c r="A3587" s="159" t="str">
        <f t="shared" si="282"/>
        <v>$N$1:$N$92</v>
      </c>
      <c r="B3587" s="159" t="str">
        <f t="shared" si="283"/>
        <v>$O$1:$O$92</v>
      </c>
      <c r="C3587" s="159" t="str">
        <f t="shared" si="284"/>
        <v>October!$N$1:$N$92</v>
      </c>
      <c r="D3587" s="159" t="str">
        <f t="shared" si="285"/>
        <v>October!$O$1:$O$92</v>
      </c>
      <c r="E3587" t="s">
        <v>7</v>
      </c>
      <c r="F3587" t="s">
        <v>129</v>
      </c>
      <c r="G3587" t="s">
        <v>145</v>
      </c>
      <c r="H3587" t="s">
        <v>19</v>
      </c>
      <c r="I3587" t="e">
        <f t="shared" ca="1" si="281"/>
        <v>#REF!</v>
      </c>
      <c r="J3587" t="str">
        <f>VLOOKUP($G3587,DefinitionArrays!$I$6:$J$12,2,FALSE)</f>
        <v>Weekend</v>
      </c>
    </row>
    <row r="3588" spans="1:10">
      <c r="A3588" s="159" t="str">
        <f t="shared" si="282"/>
        <v>$N$1:$N$92</v>
      </c>
      <c r="B3588" s="159" t="str">
        <f t="shared" si="283"/>
        <v>$O$1:$O$92</v>
      </c>
      <c r="C3588" s="159" t="str">
        <f t="shared" si="284"/>
        <v>October!$N$1:$N$92</v>
      </c>
      <c r="D3588" s="159" t="str">
        <f t="shared" si="285"/>
        <v>October!$O$1:$O$92</v>
      </c>
      <c r="E3588" t="s">
        <v>7</v>
      </c>
      <c r="F3588" t="s">
        <v>129</v>
      </c>
      <c r="G3588" t="s">
        <v>145</v>
      </c>
      <c r="H3588" t="s">
        <v>20</v>
      </c>
      <c r="I3588" t="e">
        <f t="shared" ca="1" si="281"/>
        <v>#REF!</v>
      </c>
      <c r="J3588" t="str">
        <f>VLOOKUP($G3588,DefinitionArrays!$I$6:$J$12,2,FALSE)</f>
        <v>Weekend</v>
      </c>
    </row>
    <row r="3589" spans="1:10">
      <c r="A3589" s="159" t="str">
        <f t="shared" si="282"/>
        <v>$N$1:$N$92</v>
      </c>
      <c r="B3589" s="159" t="str">
        <f t="shared" si="283"/>
        <v>$O$1:$O$92</v>
      </c>
      <c r="C3589" s="159" t="str">
        <f t="shared" si="284"/>
        <v>October!$N$1:$N$92</v>
      </c>
      <c r="D3589" s="159" t="str">
        <f t="shared" si="285"/>
        <v>October!$O$1:$O$92</v>
      </c>
      <c r="E3589" t="s">
        <v>7</v>
      </c>
      <c r="F3589" t="s">
        <v>129</v>
      </c>
      <c r="G3589" t="s">
        <v>145</v>
      </c>
      <c r="H3589" t="s">
        <v>21</v>
      </c>
      <c r="I3589" t="e">
        <f t="shared" ca="1" si="281"/>
        <v>#REF!</v>
      </c>
      <c r="J3589" t="str">
        <f>VLOOKUP($G3589,DefinitionArrays!$I$6:$J$12,2,FALSE)</f>
        <v>Weekend</v>
      </c>
    </row>
    <row r="3590" spans="1:10">
      <c r="A3590" s="159" t="str">
        <f t="shared" si="282"/>
        <v>$N$1:$N$92</v>
      </c>
      <c r="B3590" s="159" t="str">
        <f t="shared" si="283"/>
        <v>$O$1:$O$92</v>
      </c>
      <c r="C3590" s="159" t="str">
        <f t="shared" si="284"/>
        <v>October!$N$1:$N$92</v>
      </c>
      <c r="D3590" s="159" t="str">
        <f t="shared" si="285"/>
        <v>October!$O$1:$O$92</v>
      </c>
      <c r="E3590" t="s">
        <v>7</v>
      </c>
      <c r="F3590" t="s">
        <v>129</v>
      </c>
      <c r="G3590" t="s">
        <v>145</v>
      </c>
      <c r="H3590" t="s">
        <v>22</v>
      </c>
      <c r="I3590" t="e">
        <f t="shared" ca="1" si="281"/>
        <v>#REF!</v>
      </c>
      <c r="J3590" t="str">
        <f>VLOOKUP($G3590,DefinitionArrays!$I$6:$J$12,2,FALSE)</f>
        <v>Weekend</v>
      </c>
    </row>
    <row r="3591" spans="1:10">
      <c r="A3591" s="159" t="str">
        <f t="shared" si="282"/>
        <v>$N$1:$N$92</v>
      </c>
      <c r="B3591" s="159" t="str">
        <f t="shared" si="283"/>
        <v>$O$1:$O$92</v>
      </c>
      <c r="C3591" s="159" t="str">
        <f t="shared" si="284"/>
        <v>October!$N$1:$N$92</v>
      </c>
      <c r="D3591" s="159" t="str">
        <f t="shared" si="285"/>
        <v>October!$O$1:$O$92</v>
      </c>
      <c r="E3591" t="s">
        <v>7</v>
      </c>
      <c r="F3591" t="s">
        <v>129</v>
      </c>
      <c r="G3591" t="s">
        <v>145</v>
      </c>
      <c r="H3591" t="s">
        <v>23</v>
      </c>
      <c r="I3591" t="e">
        <f t="shared" ca="1" si="281"/>
        <v>#REF!</v>
      </c>
      <c r="J3591" t="str">
        <f>VLOOKUP($G3591,DefinitionArrays!$I$6:$J$12,2,FALSE)</f>
        <v>Weekend</v>
      </c>
    </row>
    <row r="3592" spans="1:10">
      <c r="A3592" s="159" t="str">
        <f t="shared" si="282"/>
        <v>$N$1:$N$92</v>
      </c>
      <c r="B3592" s="159" t="str">
        <f t="shared" si="283"/>
        <v>$O$1:$O$92</v>
      </c>
      <c r="C3592" s="159" t="str">
        <f t="shared" si="284"/>
        <v>October!$N$1:$N$92</v>
      </c>
      <c r="D3592" s="159" t="str">
        <f t="shared" si="285"/>
        <v>October!$O$1:$O$92</v>
      </c>
      <c r="E3592" t="s">
        <v>7</v>
      </c>
      <c r="F3592" t="s">
        <v>129</v>
      </c>
      <c r="G3592" t="s">
        <v>145</v>
      </c>
      <c r="H3592" t="s">
        <v>24</v>
      </c>
      <c r="I3592" t="e">
        <f t="shared" ca="1" si="281"/>
        <v>#REF!</v>
      </c>
      <c r="J3592" t="str">
        <f>VLOOKUP($G3592,DefinitionArrays!$I$6:$J$12,2,FALSE)</f>
        <v>Weekend</v>
      </c>
    </row>
    <row r="3593" spans="1:10">
      <c r="A3593" s="159" t="str">
        <f t="shared" si="282"/>
        <v>$N$1:$N$92</v>
      </c>
      <c r="B3593" s="159" t="str">
        <f t="shared" si="283"/>
        <v>$O$1:$O$92</v>
      </c>
      <c r="C3593" s="159" t="str">
        <f t="shared" si="284"/>
        <v>October!$N$1:$N$92</v>
      </c>
      <c r="D3593" s="159" t="str">
        <f t="shared" si="285"/>
        <v>October!$O$1:$O$92</v>
      </c>
      <c r="E3593" t="s">
        <v>7</v>
      </c>
      <c r="F3593" t="s">
        <v>129</v>
      </c>
      <c r="G3593" t="s">
        <v>145</v>
      </c>
      <c r="H3593" t="s">
        <v>179</v>
      </c>
      <c r="I3593" t="e">
        <f t="shared" ca="1" si="281"/>
        <v>#REF!</v>
      </c>
      <c r="J3593" t="str">
        <f>VLOOKUP($G3593,DefinitionArrays!$I$6:$J$12,2,FALSE)</f>
        <v>Weekend</v>
      </c>
    </row>
    <row r="3594" spans="1:10">
      <c r="A3594" s="159" t="str">
        <f t="shared" si="282"/>
        <v>$N$1:$N$92</v>
      </c>
      <c r="B3594" s="159" t="str">
        <f t="shared" si="283"/>
        <v>$O$1:$O$92</v>
      </c>
      <c r="C3594" s="159" t="str">
        <f t="shared" si="284"/>
        <v>October!$N$1:$N$92</v>
      </c>
      <c r="D3594" s="159" t="str">
        <f t="shared" si="285"/>
        <v>October!$O$1:$O$92</v>
      </c>
      <c r="E3594" t="s">
        <v>7</v>
      </c>
      <c r="F3594" t="s">
        <v>129</v>
      </c>
      <c r="G3594" t="s">
        <v>145</v>
      </c>
      <c r="H3594" t="s">
        <v>180</v>
      </c>
      <c r="I3594" t="e">
        <f t="shared" ca="1" si="281"/>
        <v>#REF!</v>
      </c>
      <c r="J3594" t="str">
        <f>VLOOKUP($G3594,DefinitionArrays!$I$6:$J$12,2,FALSE)</f>
        <v>Weekend</v>
      </c>
    </row>
    <row r="3595" spans="1:10">
      <c r="A3595" s="159" t="str">
        <f t="shared" si="282"/>
        <v>$N$1:$N$92</v>
      </c>
      <c r="B3595" s="159" t="str">
        <f t="shared" si="283"/>
        <v>$O$1:$O$92</v>
      </c>
      <c r="C3595" s="159" t="str">
        <f t="shared" si="284"/>
        <v>October!$N$1:$N$92</v>
      </c>
      <c r="D3595" s="159" t="str">
        <f t="shared" si="285"/>
        <v>October!$O$1:$O$92</v>
      </c>
      <c r="E3595" t="s">
        <v>7</v>
      </c>
      <c r="F3595" t="s">
        <v>129</v>
      </c>
      <c r="G3595" t="s">
        <v>145</v>
      </c>
      <c r="H3595" t="s">
        <v>44</v>
      </c>
      <c r="I3595" t="e">
        <f t="shared" ca="1" si="281"/>
        <v>#REF!</v>
      </c>
      <c r="J3595" t="str">
        <f>VLOOKUP($G3595,DefinitionArrays!$I$6:$J$12,2,FALSE)</f>
        <v>Weekend</v>
      </c>
    </row>
    <row r="3596" spans="1:10">
      <c r="A3596" s="159" t="str">
        <f t="shared" si="282"/>
        <v>$Q$1:$Q$92</v>
      </c>
      <c r="B3596" s="159" t="str">
        <f t="shared" si="283"/>
        <v>$R$1:$R$92</v>
      </c>
      <c r="C3596" s="159" t="str">
        <f t="shared" si="284"/>
        <v>October!$Q$1:$Q$92</v>
      </c>
      <c r="D3596" s="159" t="str">
        <f t="shared" si="285"/>
        <v>October!$R$1:$R$92</v>
      </c>
      <c r="E3596" t="s">
        <v>7</v>
      </c>
      <c r="F3596" t="s">
        <v>129</v>
      </c>
      <c r="G3596" t="s">
        <v>146</v>
      </c>
      <c r="H3596" t="s">
        <v>159</v>
      </c>
      <c r="I3596" t="e">
        <f t="shared" ca="1" si="281"/>
        <v>#REF!</v>
      </c>
      <c r="J3596" t="str">
        <f>VLOOKUP($G3596,DefinitionArrays!$I$6:$J$12,2,FALSE)</f>
        <v>Weekend</v>
      </c>
    </row>
    <row r="3597" spans="1:10">
      <c r="A3597" s="159" t="str">
        <f t="shared" si="282"/>
        <v>$T$1:$T$92</v>
      </c>
      <c r="B3597" s="159" t="str">
        <f t="shared" si="283"/>
        <v>$U$1:$U$92</v>
      </c>
      <c r="C3597" s="159" t="str">
        <f t="shared" si="284"/>
        <v>October!$T$1:$T$92</v>
      </c>
      <c r="D3597" s="159" t="str">
        <f t="shared" si="285"/>
        <v>October!$U$1:$U$92</v>
      </c>
      <c r="E3597" t="s">
        <v>7</v>
      </c>
      <c r="F3597" t="s">
        <v>129</v>
      </c>
      <c r="G3597" t="s">
        <v>141</v>
      </c>
      <c r="H3597" t="s">
        <v>159</v>
      </c>
      <c r="I3597" t="e">
        <f t="shared" ca="1" si="281"/>
        <v>#REF!</v>
      </c>
      <c r="J3597" t="str">
        <f>VLOOKUP($G3597,DefinitionArrays!$I$6:$J$12,2,FALSE)</f>
        <v>Weekend</v>
      </c>
    </row>
    <row r="3598" spans="1:10">
      <c r="A3598" s="159" t="str">
        <f t="shared" si="282"/>
        <v>$B$1:$B$92</v>
      </c>
      <c r="B3598" s="159" t="str">
        <f t="shared" si="283"/>
        <v>$C$1:$C$92</v>
      </c>
      <c r="C3598" s="159" t="str">
        <f t="shared" si="284"/>
        <v>November!$B$1:$B$92</v>
      </c>
      <c r="D3598" s="159" t="str">
        <f t="shared" si="285"/>
        <v>November!$C$1:$C$92</v>
      </c>
      <c r="E3598" t="s">
        <v>7</v>
      </c>
      <c r="F3598" t="s">
        <v>130</v>
      </c>
      <c r="G3598" t="s">
        <v>13</v>
      </c>
      <c r="H3598" t="s">
        <v>159</v>
      </c>
      <c r="I3598" t="e">
        <f ca="1">COUNTIFS(INDIRECT($C3598),$E3598,INDIRECT($D3598),$H3598)</f>
        <v>#REF!</v>
      </c>
      <c r="J3598" t="str">
        <f>VLOOKUP($G3598,DefinitionArrays!$I$6:$J$12,2,FALSE)</f>
        <v>Workweek</v>
      </c>
    </row>
    <row r="3599" spans="1:10">
      <c r="A3599" s="159" t="str">
        <f t="shared" si="282"/>
        <v>$B$1:$B$92</v>
      </c>
      <c r="B3599" s="159" t="str">
        <f t="shared" si="283"/>
        <v>$C$1:$C$92</v>
      </c>
      <c r="C3599" s="159" t="str">
        <f t="shared" si="284"/>
        <v>November!$B$1:$B$92</v>
      </c>
      <c r="D3599" s="159" t="str">
        <f t="shared" si="285"/>
        <v>November!$C$1:$C$92</v>
      </c>
      <c r="E3599" t="s">
        <v>7</v>
      </c>
      <c r="F3599" t="s">
        <v>130</v>
      </c>
      <c r="G3599" t="s">
        <v>13</v>
      </c>
      <c r="H3599" t="s">
        <v>18</v>
      </c>
      <c r="I3599" t="e">
        <f t="shared" ref="I3599:I3659" ca="1" si="286">COUNTIFS(INDIRECT($C3599),$E3599,INDIRECT($D3599),$H3599)</f>
        <v>#REF!</v>
      </c>
      <c r="J3599" t="str">
        <f>VLOOKUP($G3599,DefinitionArrays!$I$6:$J$12,2,FALSE)</f>
        <v>Workweek</v>
      </c>
    </row>
    <row r="3600" spans="1:10">
      <c r="A3600" s="159" t="str">
        <f t="shared" si="282"/>
        <v>$B$1:$B$92</v>
      </c>
      <c r="B3600" s="159" t="str">
        <f t="shared" si="283"/>
        <v>$C$1:$C$92</v>
      </c>
      <c r="C3600" s="159" t="str">
        <f t="shared" si="284"/>
        <v>November!$B$1:$B$92</v>
      </c>
      <c r="D3600" s="159" t="str">
        <f t="shared" si="285"/>
        <v>November!$C$1:$C$92</v>
      </c>
      <c r="E3600" t="s">
        <v>7</v>
      </c>
      <c r="F3600" t="s">
        <v>130</v>
      </c>
      <c r="G3600" t="s">
        <v>13</v>
      </c>
      <c r="H3600" t="s">
        <v>153</v>
      </c>
      <c r="I3600" t="e">
        <f t="shared" ca="1" si="286"/>
        <v>#REF!</v>
      </c>
      <c r="J3600" t="str">
        <f>VLOOKUP($G3600,DefinitionArrays!$I$6:$J$12,2,FALSE)</f>
        <v>Workweek</v>
      </c>
    </row>
    <row r="3601" spans="1:10">
      <c r="A3601" s="159" t="str">
        <f t="shared" si="282"/>
        <v>$B$1:$B$92</v>
      </c>
      <c r="B3601" s="159" t="str">
        <f t="shared" si="283"/>
        <v>$C$1:$C$92</v>
      </c>
      <c r="C3601" s="159" t="str">
        <f t="shared" si="284"/>
        <v>November!$B$1:$B$92</v>
      </c>
      <c r="D3601" s="159" t="str">
        <f t="shared" si="285"/>
        <v>November!$C$1:$C$92</v>
      </c>
      <c r="E3601" t="s">
        <v>7</v>
      </c>
      <c r="F3601" t="s">
        <v>130</v>
      </c>
      <c r="G3601" t="s">
        <v>13</v>
      </c>
      <c r="H3601" t="s">
        <v>19</v>
      </c>
      <c r="I3601" t="e">
        <f t="shared" ca="1" si="286"/>
        <v>#REF!</v>
      </c>
      <c r="J3601" t="str">
        <f>VLOOKUP($G3601,DefinitionArrays!$I$6:$J$12,2,FALSE)</f>
        <v>Workweek</v>
      </c>
    </row>
    <row r="3602" spans="1:10">
      <c r="A3602" s="159" t="str">
        <f t="shared" si="282"/>
        <v>$B$1:$B$92</v>
      </c>
      <c r="B3602" s="159" t="str">
        <f t="shared" si="283"/>
        <v>$C$1:$C$92</v>
      </c>
      <c r="C3602" s="159" t="str">
        <f t="shared" si="284"/>
        <v>November!$B$1:$B$92</v>
      </c>
      <c r="D3602" s="159" t="str">
        <f t="shared" si="285"/>
        <v>November!$C$1:$C$92</v>
      </c>
      <c r="E3602" t="s">
        <v>7</v>
      </c>
      <c r="F3602" t="s">
        <v>130</v>
      </c>
      <c r="G3602" t="s">
        <v>13</v>
      </c>
      <c r="H3602" t="s">
        <v>20</v>
      </c>
      <c r="I3602" t="e">
        <f t="shared" ca="1" si="286"/>
        <v>#REF!</v>
      </c>
      <c r="J3602" t="str">
        <f>VLOOKUP($G3602,DefinitionArrays!$I$6:$J$12,2,FALSE)</f>
        <v>Workweek</v>
      </c>
    </row>
    <row r="3603" spans="1:10">
      <c r="A3603" s="159" t="str">
        <f t="shared" si="282"/>
        <v>$B$1:$B$92</v>
      </c>
      <c r="B3603" s="159" t="str">
        <f t="shared" si="283"/>
        <v>$C$1:$C$92</v>
      </c>
      <c r="C3603" s="159" t="str">
        <f t="shared" si="284"/>
        <v>November!$B$1:$B$92</v>
      </c>
      <c r="D3603" s="159" t="str">
        <f t="shared" si="285"/>
        <v>November!$C$1:$C$92</v>
      </c>
      <c r="E3603" t="s">
        <v>7</v>
      </c>
      <c r="F3603" t="s">
        <v>130</v>
      </c>
      <c r="G3603" t="s">
        <v>13</v>
      </c>
      <c r="H3603" t="s">
        <v>21</v>
      </c>
      <c r="I3603" t="e">
        <f t="shared" ca="1" si="286"/>
        <v>#REF!</v>
      </c>
      <c r="J3603" t="str">
        <f>VLOOKUP($G3603,DefinitionArrays!$I$6:$J$12,2,FALSE)</f>
        <v>Workweek</v>
      </c>
    </row>
    <row r="3604" spans="1:10">
      <c r="A3604" s="159" t="str">
        <f t="shared" si="282"/>
        <v>$B$1:$B$92</v>
      </c>
      <c r="B3604" s="159" t="str">
        <f t="shared" si="283"/>
        <v>$C$1:$C$92</v>
      </c>
      <c r="C3604" s="159" t="str">
        <f t="shared" si="284"/>
        <v>November!$B$1:$B$92</v>
      </c>
      <c r="D3604" s="159" t="str">
        <f t="shared" si="285"/>
        <v>November!$C$1:$C$92</v>
      </c>
      <c r="E3604" t="s">
        <v>7</v>
      </c>
      <c r="F3604" t="s">
        <v>130</v>
      </c>
      <c r="G3604" t="s">
        <v>13</v>
      </c>
      <c r="H3604" t="s">
        <v>22</v>
      </c>
      <c r="I3604" t="e">
        <f t="shared" ca="1" si="286"/>
        <v>#REF!</v>
      </c>
      <c r="J3604" t="str">
        <f>VLOOKUP($G3604,DefinitionArrays!$I$6:$J$12,2,FALSE)</f>
        <v>Workweek</v>
      </c>
    </row>
    <row r="3605" spans="1:10">
      <c r="A3605" s="159" t="str">
        <f t="shared" si="282"/>
        <v>$B$1:$B$92</v>
      </c>
      <c r="B3605" s="159" t="str">
        <f t="shared" si="283"/>
        <v>$C$1:$C$92</v>
      </c>
      <c r="C3605" s="159" t="str">
        <f t="shared" si="284"/>
        <v>November!$B$1:$B$92</v>
      </c>
      <c r="D3605" s="159" t="str">
        <f t="shared" si="285"/>
        <v>November!$C$1:$C$92</v>
      </c>
      <c r="E3605" t="s">
        <v>7</v>
      </c>
      <c r="F3605" t="s">
        <v>130</v>
      </c>
      <c r="G3605" t="s">
        <v>13</v>
      </c>
      <c r="H3605" t="s">
        <v>23</v>
      </c>
      <c r="I3605" t="e">
        <f t="shared" ca="1" si="286"/>
        <v>#REF!</v>
      </c>
      <c r="J3605" t="str">
        <f>VLOOKUP($G3605,DefinitionArrays!$I$6:$J$12,2,FALSE)</f>
        <v>Workweek</v>
      </c>
    </row>
    <row r="3606" spans="1:10">
      <c r="A3606" s="159" t="str">
        <f t="shared" si="282"/>
        <v>$B$1:$B$92</v>
      </c>
      <c r="B3606" s="159" t="str">
        <f t="shared" si="283"/>
        <v>$C$1:$C$92</v>
      </c>
      <c r="C3606" s="159" t="str">
        <f t="shared" si="284"/>
        <v>November!$B$1:$B$92</v>
      </c>
      <c r="D3606" s="159" t="str">
        <f t="shared" si="285"/>
        <v>November!$C$1:$C$92</v>
      </c>
      <c r="E3606" t="s">
        <v>7</v>
      </c>
      <c r="F3606" t="s">
        <v>130</v>
      </c>
      <c r="G3606" t="s">
        <v>13</v>
      </c>
      <c r="H3606" t="s">
        <v>24</v>
      </c>
      <c r="I3606" t="e">
        <f t="shared" ca="1" si="286"/>
        <v>#REF!</v>
      </c>
      <c r="J3606" t="str">
        <f>VLOOKUP($G3606,DefinitionArrays!$I$6:$J$12,2,FALSE)</f>
        <v>Workweek</v>
      </c>
    </row>
    <row r="3607" spans="1:10">
      <c r="A3607" s="159" t="str">
        <f t="shared" si="282"/>
        <v>$B$1:$B$92</v>
      </c>
      <c r="B3607" s="159" t="str">
        <f t="shared" si="283"/>
        <v>$C$1:$C$92</v>
      </c>
      <c r="C3607" s="159" t="str">
        <f t="shared" si="284"/>
        <v>November!$B$1:$B$92</v>
      </c>
      <c r="D3607" s="159" t="str">
        <f t="shared" si="285"/>
        <v>November!$C$1:$C$92</v>
      </c>
      <c r="E3607" t="s">
        <v>7</v>
      </c>
      <c r="F3607" t="s">
        <v>130</v>
      </c>
      <c r="G3607" t="s">
        <v>13</v>
      </c>
      <c r="H3607" t="s">
        <v>179</v>
      </c>
      <c r="I3607" t="e">
        <f t="shared" ca="1" si="286"/>
        <v>#REF!</v>
      </c>
      <c r="J3607" t="str">
        <f>VLOOKUP($G3607,DefinitionArrays!$I$6:$J$12,2,FALSE)</f>
        <v>Workweek</v>
      </c>
    </row>
    <row r="3608" spans="1:10">
      <c r="A3608" s="159" t="str">
        <f t="shared" si="282"/>
        <v>$B$1:$B$92</v>
      </c>
      <c r="B3608" s="159" t="str">
        <f t="shared" si="283"/>
        <v>$C$1:$C$92</v>
      </c>
      <c r="C3608" s="159" t="str">
        <f t="shared" si="284"/>
        <v>November!$B$1:$B$92</v>
      </c>
      <c r="D3608" s="159" t="str">
        <f t="shared" si="285"/>
        <v>November!$C$1:$C$92</v>
      </c>
      <c r="E3608" t="s">
        <v>7</v>
      </c>
      <c r="F3608" t="s">
        <v>130</v>
      </c>
      <c r="G3608" t="s">
        <v>13</v>
      </c>
      <c r="H3608" t="s">
        <v>180</v>
      </c>
      <c r="I3608" t="e">
        <f t="shared" ca="1" si="286"/>
        <v>#REF!</v>
      </c>
      <c r="J3608" t="str">
        <f>VLOOKUP($G3608,DefinitionArrays!$I$6:$J$12,2,FALSE)</f>
        <v>Workweek</v>
      </c>
    </row>
    <row r="3609" spans="1:10">
      <c r="A3609" s="159" t="str">
        <f t="shared" si="282"/>
        <v>$B$1:$B$92</v>
      </c>
      <c r="B3609" s="159" t="str">
        <f t="shared" si="283"/>
        <v>$C$1:$C$92</v>
      </c>
      <c r="C3609" s="159" t="str">
        <f t="shared" si="284"/>
        <v>November!$B$1:$B$92</v>
      </c>
      <c r="D3609" s="159" t="str">
        <f t="shared" si="285"/>
        <v>November!$C$1:$C$92</v>
      </c>
      <c r="E3609" t="s">
        <v>7</v>
      </c>
      <c r="F3609" t="s">
        <v>130</v>
      </c>
      <c r="G3609" t="s">
        <v>13</v>
      </c>
      <c r="H3609" t="s">
        <v>44</v>
      </c>
      <c r="I3609" t="e">
        <f t="shared" ca="1" si="286"/>
        <v>#REF!</v>
      </c>
      <c r="J3609" t="str">
        <f>VLOOKUP($G3609,DefinitionArrays!$I$6:$J$12,2,FALSE)</f>
        <v>Workweek</v>
      </c>
    </row>
    <row r="3610" spans="1:10">
      <c r="A3610" s="159" t="str">
        <f t="shared" si="282"/>
        <v>$E$1:$E$92</v>
      </c>
      <c r="B3610" s="159" t="str">
        <f t="shared" si="283"/>
        <v>$F$1:$F$92</v>
      </c>
      <c r="C3610" s="159" t="str">
        <f t="shared" si="284"/>
        <v>November!$E$1:$E$92</v>
      </c>
      <c r="D3610" s="159" t="str">
        <f t="shared" si="285"/>
        <v>November!$F$1:$F$92</v>
      </c>
      <c r="E3610" t="s">
        <v>7</v>
      </c>
      <c r="F3610" t="s">
        <v>130</v>
      </c>
      <c r="G3610" t="s">
        <v>142</v>
      </c>
      <c r="H3610" t="s">
        <v>159</v>
      </c>
      <c r="I3610" t="e">
        <f t="shared" ca="1" si="286"/>
        <v>#REF!</v>
      </c>
      <c r="J3610" t="str">
        <f>VLOOKUP($G3610,DefinitionArrays!$I$6:$J$12,2,FALSE)</f>
        <v>Workweek</v>
      </c>
    </row>
    <row r="3611" spans="1:10">
      <c r="A3611" s="159" t="str">
        <f t="shared" si="282"/>
        <v>$E$1:$E$92</v>
      </c>
      <c r="B3611" s="159" t="str">
        <f t="shared" si="283"/>
        <v>$F$1:$F$92</v>
      </c>
      <c r="C3611" s="159" t="str">
        <f t="shared" si="284"/>
        <v>November!$E$1:$E$92</v>
      </c>
      <c r="D3611" s="159" t="str">
        <f t="shared" si="285"/>
        <v>November!$F$1:$F$92</v>
      </c>
      <c r="E3611" t="s">
        <v>7</v>
      </c>
      <c r="F3611" t="s">
        <v>130</v>
      </c>
      <c r="G3611" t="s">
        <v>142</v>
      </c>
      <c r="H3611" t="s">
        <v>18</v>
      </c>
      <c r="I3611" t="e">
        <f t="shared" ca="1" si="286"/>
        <v>#REF!</v>
      </c>
      <c r="J3611" t="str">
        <f>VLOOKUP($G3611,DefinitionArrays!$I$6:$J$12,2,FALSE)</f>
        <v>Workweek</v>
      </c>
    </row>
    <row r="3612" spans="1:10">
      <c r="A3612" s="159" t="str">
        <f t="shared" si="282"/>
        <v>$E$1:$E$92</v>
      </c>
      <c r="B3612" s="159" t="str">
        <f t="shared" si="283"/>
        <v>$F$1:$F$92</v>
      </c>
      <c r="C3612" s="159" t="str">
        <f t="shared" si="284"/>
        <v>November!$E$1:$E$92</v>
      </c>
      <c r="D3612" s="159" t="str">
        <f t="shared" si="285"/>
        <v>November!$F$1:$F$92</v>
      </c>
      <c r="E3612" t="s">
        <v>7</v>
      </c>
      <c r="F3612" t="s">
        <v>130</v>
      </c>
      <c r="G3612" t="s">
        <v>142</v>
      </c>
      <c r="H3612" t="s">
        <v>153</v>
      </c>
      <c r="I3612" t="e">
        <f t="shared" ca="1" si="286"/>
        <v>#REF!</v>
      </c>
      <c r="J3612" t="str">
        <f>VLOOKUP($G3612,DefinitionArrays!$I$6:$J$12,2,FALSE)</f>
        <v>Workweek</v>
      </c>
    </row>
    <row r="3613" spans="1:10">
      <c r="A3613" s="159" t="str">
        <f t="shared" si="282"/>
        <v>$E$1:$E$92</v>
      </c>
      <c r="B3613" s="159" t="str">
        <f t="shared" si="283"/>
        <v>$F$1:$F$92</v>
      </c>
      <c r="C3613" s="159" t="str">
        <f t="shared" si="284"/>
        <v>November!$E$1:$E$92</v>
      </c>
      <c r="D3613" s="159" t="str">
        <f t="shared" si="285"/>
        <v>November!$F$1:$F$92</v>
      </c>
      <c r="E3613" t="s">
        <v>7</v>
      </c>
      <c r="F3613" t="s">
        <v>130</v>
      </c>
      <c r="G3613" t="s">
        <v>142</v>
      </c>
      <c r="H3613" t="s">
        <v>19</v>
      </c>
      <c r="I3613" t="e">
        <f t="shared" ca="1" si="286"/>
        <v>#REF!</v>
      </c>
      <c r="J3613" t="str">
        <f>VLOOKUP($G3613,DefinitionArrays!$I$6:$J$12,2,FALSE)</f>
        <v>Workweek</v>
      </c>
    </row>
    <row r="3614" spans="1:10">
      <c r="A3614" s="159" t="str">
        <f t="shared" si="282"/>
        <v>$E$1:$E$92</v>
      </c>
      <c r="B3614" s="159" t="str">
        <f t="shared" si="283"/>
        <v>$F$1:$F$92</v>
      </c>
      <c r="C3614" s="159" t="str">
        <f t="shared" si="284"/>
        <v>November!$E$1:$E$92</v>
      </c>
      <c r="D3614" s="159" t="str">
        <f t="shared" si="285"/>
        <v>November!$F$1:$F$92</v>
      </c>
      <c r="E3614" t="s">
        <v>7</v>
      </c>
      <c r="F3614" t="s">
        <v>130</v>
      </c>
      <c r="G3614" t="s">
        <v>142</v>
      </c>
      <c r="H3614" t="s">
        <v>20</v>
      </c>
      <c r="I3614" t="e">
        <f t="shared" ca="1" si="286"/>
        <v>#REF!</v>
      </c>
      <c r="J3614" t="str">
        <f>VLOOKUP($G3614,DefinitionArrays!$I$6:$J$12,2,FALSE)</f>
        <v>Workweek</v>
      </c>
    </row>
    <row r="3615" spans="1:10">
      <c r="A3615" s="159" t="str">
        <f t="shared" si="282"/>
        <v>$E$1:$E$92</v>
      </c>
      <c r="B3615" s="159" t="str">
        <f t="shared" si="283"/>
        <v>$F$1:$F$92</v>
      </c>
      <c r="C3615" s="159" t="str">
        <f t="shared" si="284"/>
        <v>November!$E$1:$E$92</v>
      </c>
      <c r="D3615" s="159" t="str">
        <f t="shared" si="285"/>
        <v>November!$F$1:$F$92</v>
      </c>
      <c r="E3615" t="s">
        <v>7</v>
      </c>
      <c r="F3615" t="s">
        <v>130</v>
      </c>
      <c r="G3615" t="s">
        <v>142</v>
      </c>
      <c r="H3615" t="s">
        <v>21</v>
      </c>
      <c r="I3615" t="e">
        <f t="shared" ca="1" si="286"/>
        <v>#REF!</v>
      </c>
      <c r="J3615" t="str">
        <f>VLOOKUP($G3615,DefinitionArrays!$I$6:$J$12,2,FALSE)</f>
        <v>Workweek</v>
      </c>
    </row>
    <row r="3616" spans="1:10">
      <c r="A3616" s="159" t="str">
        <f t="shared" si="282"/>
        <v>$E$1:$E$92</v>
      </c>
      <c r="B3616" s="159" t="str">
        <f t="shared" si="283"/>
        <v>$F$1:$F$92</v>
      </c>
      <c r="C3616" s="159" t="str">
        <f t="shared" si="284"/>
        <v>November!$E$1:$E$92</v>
      </c>
      <c r="D3616" s="159" t="str">
        <f t="shared" si="285"/>
        <v>November!$F$1:$F$92</v>
      </c>
      <c r="E3616" t="s">
        <v>7</v>
      </c>
      <c r="F3616" t="s">
        <v>130</v>
      </c>
      <c r="G3616" t="s">
        <v>142</v>
      </c>
      <c r="H3616" t="s">
        <v>22</v>
      </c>
      <c r="I3616" t="e">
        <f t="shared" ca="1" si="286"/>
        <v>#REF!</v>
      </c>
      <c r="J3616" t="str">
        <f>VLOOKUP($G3616,DefinitionArrays!$I$6:$J$12,2,FALSE)</f>
        <v>Workweek</v>
      </c>
    </row>
    <row r="3617" spans="1:10">
      <c r="A3617" s="159" t="str">
        <f t="shared" si="282"/>
        <v>$E$1:$E$92</v>
      </c>
      <c r="B3617" s="159" t="str">
        <f t="shared" si="283"/>
        <v>$F$1:$F$92</v>
      </c>
      <c r="C3617" s="159" t="str">
        <f t="shared" si="284"/>
        <v>November!$E$1:$E$92</v>
      </c>
      <c r="D3617" s="159" t="str">
        <f t="shared" si="285"/>
        <v>November!$F$1:$F$92</v>
      </c>
      <c r="E3617" t="s">
        <v>7</v>
      </c>
      <c r="F3617" t="s">
        <v>130</v>
      </c>
      <c r="G3617" t="s">
        <v>142</v>
      </c>
      <c r="H3617" t="s">
        <v>23</v>
      </c>
      <c r="I3617" t="e">
        <f t="shared" ca="1" si="286"/>
        <v>#REF!</v>
      </c>
      <c r="J3617" t="str">
        <f>VLOOKUP($G3617,DefinitionArrays!$I$6:$J$12,2,FALSE)</f>
        <v>Workweek</v>
      </c>
    </row>
    <row r="3618" spans="1:10">
      <c r="A3618" s="159" t="str">
        <f t="shared" si="282"/>
        <v>$E$1:$E$92</v>
      </c>
      <c r="B3618" s="159" t="str">
        <f t="shared" si="283"/>
        <v>$F$1:$F$92</v>
      </c>
      <c r="C3618" s="159" t="str">
        <f t="shared" si="284"/>
        <v>November!$E$1:$E$92</v>
      </c>
      <c r="D3618" s="159" t="str">
        <f t="shared" si="285"/>
        <v>November!$F$1:$F$92</v>
      </c>
      <c r="E3618" t="s">
        <v>7</v>
      </c>
      <c r="F3618" t="s">
        <v>130</v>
      </c>
      <c r="G3618" t="s">
        <v>142</v>
      </c>
      <c r="H3618" t="s">
        <v>24</v>
      </c>
      <c r="I3618" t="e">
        <f t="shared" ca="1" si="286"/>
        <v>#REF!</v>
      </c>
      <c r="J3618" t="str">
        <f>VLOOKUP($G3618,DefinitionArrays!$I$6:$J$12,2,FALSE)</f>
        <v>Workweek</v>
      </c>
    </row>
    <row r="3619" spans="1:10">
      <c r="A3619" s="159" t="str">
        <f t="shared" si="282"/>
        <v>$E$1:$E$92</v>
      </c>
      <c r="B3619" s="159" t="str">
        <f t="shared" si="283"/>
        <v>$F$1:$F$92</v>
      </c>
      <c r="C3619" s="159" t="str">
        <f t="shared" si="284"/>
        <v>November!$E$1:$E$92</v>
      </c>
      <c r="D3619" s="159" t="str">
        <f t="shared" si="285"/>
        <v>November!$F$1:$F$92</v>
      </c>
      <c r="E3619" t="s">
        <v>7</v>
      </c>
      <c r="F3619" t="s">
        <v>130</v>
      </c>
      <c r="G3619" t="s">
        <v>142</v>
      </c>
      <c r="H3619" t="s">
        <v>179</v>
      </c>
      <c r="I3619" t="e">
        <f t="shared" ca="1" si="286"/>
        <v>#REF!</v>
      </c>
      <c r="J3619" t="str">
        <f>VLOOKUP($G3619,DefinitionArrays!$I$6:$J$12,2,FALSE)</f>
        <v>Workweek</v>
      </c>
    </row>
    <row r="3620" spans="1:10">
      <c r="A3620" s="159" t="str">
        <f t="shared" si="282"/>
        <v>$E$1:$E$92</v>
      </c>
      <c r="B3620" s="159" t="str">
        <f t="shared" si="283"/>
        <v>$F$1:$F$92</v>
      </c>
      <c r="C3620" s="159" t="str">
        <f t="shared" si="284"/>
        <v>November!$E$1:$E$92</v>
      </c>
      <c r="D3620" s="159" t="str">
        <f t="shared" si="285"/>
        <v>November!$F$1:$F$92</v>
      </c>
      <c r="E3620" t="s">
        <v>7</v>
      </c>
      <c r="F3620" t="s">
        <v>130</v>
      </c>
      <c r="G3620" t="s">
        <v>142</v>
      </c>
      <c r="H3620" t="s">
        <v>180</v>
      </c>
      <c r="I3620" t="e">
        <f t="shared" ca="1" si="286"/>
        <v>#REF!</v>
      </c>
      <c r="J3620" t="str">
        <f>VLOOKUP($G3620,DefinitionArrays!$I$6:$J$12,2,FALSE)</f>
        <v>Workweek</v>
      </c>
    </row>
    <row r="3621" spans="1:10">
      <c r="A3621" s="159" t="str">
        <f t="shared" si="282"/>
        <v>$E$1:$E$92</v>
      </c>
      <c r="B3621" s="159" t="str">
        <f t="shared" si="283"/>
        <v>$F$1:$F$92</v>
      </c>
      <c r="C3621" s="159" t="str">
        <f t="shared" si="284"/>
        <v>November!$E$1:$E$92</v>
      </c>
      <c r="D3621" s="159" t="str">
        <f t="shared" si="285"/>
        <v>November!$F$1:$F$92</v>
      </c>
      <c r="E3621" t="s">
        <v>7</v>
      </c>
      <c r="F3621" t="s">
        <v>130</v>
      </c>
      <c r="G3621" t="s">
        <v>142</v>
      </c>
      <c r="H3621" t="s">
        <v>44</v>
      </c>
      <c r="I3621" t="e">
        <f t="shared" ca="1" si="286"/>
        <v>#REF!</v>
      </c>
      <c r="J3621" t="str">
        <f>VLOOKUP($G3621,DefinitionArrays!$I$6:$J$12,2,FALSE)</f>
        <v>Workweek</v>
      </c>
    </row>
    <row r="3622" spans="1:10">
      <c r="A3622" s="159" t="str">
        <f t="shared" si="282"/>
        <v>$H$1:$H$92</v>
      </c>
      <c r="B3622" s="159" t="str">
        <f t="shared" si="283"/>
        <v>$I$1:$I$92</v>
      </c>
      <c r="C3622" s="159" t="str">
        <f t="shared" si="284"/>
        <v>November!$H$1:$H$92</v>
      </c>
      <c r="D3622" s="159" t="str">
        <f t="shared" si="285"/>
        <v>November!$I$1:$I$92</v>
      </c>
      <c r="E3622" t="s">
        <v>7</v>
      </c>
      <c r="F3622" t="s">
        <v>130</v>
      </c>
      <c r="G3622" t="s">
        <v>143</v>
      </c>
      <c r="H3622" t="s">
        <v>159</v>
      </c>
      <c r="I3622" t="e">
        <f t="shared" ca="1" si="286"/>
        <v>#REF!</v>
      </c>
      <c r="J3622" t="str">
        <f>VLOOKUP($G3622,DefinitionArrays!$I$6:$J$12,2,FALSE)</f>
        <v>Workweek</v>
      </c>
    </row>
    <row r="3623" spans="1:10">
      <c r="A3623" s="159" t="str">
        <f t="shared" si="282"/>
        <v>$H$1:$H$92</v>
      </c>
      <c r="B3623" s="159" t="str">
        <f t="shared" si="283"/>
        <v>$I$1:$I$92</v>
      </c>
      <c r="C3623" s="159" t="str">
        <f t="shared" si="284"/>
        <v>November!$H$1:$H$92</v>
      </c>
      <c r="D3623" s="159" t="str">
        <f t="shared" si="285"/>
        <v>November!$I$1:$I$92</v>
      </c>
      <c r="E3623" t="s">
        <v>7</v>
      </c>
      <c r="F3623" t="s">
        <v>130</v>
      </c>
      <c r="G3623" t="s">
        <v>143</v>
      </c>
      <c r="H3623" t="s">
        <v>18</v>
      </c>
      <c r="I3623" t="e">
        <f t="shared" ca="1" si="286"/>
        <v>#REF!</v>
      </c>
      <c r="J3623" t="str">
        <f>VLOOKUP($G3623,DefinitionArrays!$I$6:$J$12,2,FALSE)</f>
        <v>Workweek</v>
      </c>
    </row>
    <row r="3624" spans="1:10">
      <c r="A3624" s="159" t="str">
        <f t="shared" si="282"/>
        <v>$H$1:$H$92</v>
      </c>
      <c r="B3624" s="159" t="str">
        <f t="shared" si="283"/>
        <v>$I$1:$I$92</v>
      </c>
      <c r="C3624" s="159" t="str">
        <f t="shared" si="284"/>
        <v>November!$H$1:$H$92</v>
      </c>
      <c r="D3624" s="159" t="str">
        <f t="shared" si="285"/>
        <v>November!$I$1:$I$92</v>
      </c>
      <c r="E3624" t="s">
        <v>7</v>
      </c>
      <c r="F3624" t="s">
        <v>130</v>
      </c>
      <c r="G3624" t="s">
        <v>143</v>
      </c>
      <c r="H3624" t="s">
        <v>153</v>
      </c>
      <c r="I3624" t="e">
        <f t="shared" ca="1" si="286"/>
        <v>#REF!</v>
      </c>
      <c r="J3624" t="str">
        <f>VLOOKUP($G3624,DefinitionArrays!$I$6:$J$12,2,FALSE)</f>
        <v>Workweek</v>
      </c>
    </row>
    <row r="3625" spans="1:10">
      <c r="A3625" s="159" t="str">
        <f t="shared" si="282"/>
        <v>$H$1:$H$92</v>
      </c>
      <c r="B3625" s="159" t="str">
        <f t="shared" si="283"/>
        <v>$I$1:$I$92</v>
      </c>
      <c r="C3625" s="159" t="str">
        <f t="shared" si="284"/>
        <v>November!$H$1:$H$92</v>
      </c>
      <c r="D3625" s="159" t="str">
        <f t="shared" si="285"/>
        <v>November!$I$1:$I$92</v>
      </c>
      <c r="E3625" t="s">
        <v>7</v>
      </c>
      <c r="F3625" t="s">
        <v>130</v>
      </c>
      <c r="G3625" t="s">
        <v>143</v>
      </c>
      <c r="H3625" t="s">
        <v>19</v>
      </c>
      <c r="I3625" t="e">
        <f t="shared" ca="1" si="286"/>
        <v>#REF!</v>
      </c>
      <c r="J3625" t="str">
        <f>VLOOKUP($G3625,DefinitionArrays!$I$6:$J$12,2,FALSE)</f>
        <v>Workweek</v>
      </c>
    </row>
    <row r="3626" spans="1:10">
      <c r="A3626" s="159" t="str">
        <f t="shared" si="282"/>
        <v>$H$1:$H$92</v>
      </c>
      <c r="B3626" s="159" t="str">
        <f t="shared" si="283"/>
        <v>$I$1:$I$92</v>
      </c>
      <c r="C3626" s="159" t="str">
        <f t="shared" si="284"/>
        <v>November!$H$1:$H$92</v>
      </c>
      <c r="D3626" s="159" t="str">
        <f t="shared" si="285"/>
        <v>November!$I$1:$I$92</v>
      </c>
      <c r="E3626" t="s">
        <v>7</v>
      </c>
      <c r="F3626" t="s">
        <v>130</v>
      </c>
      <c r="G3626" t="s">
        <v>143</v>
      </c>
      <c r="H3626" t="s">
        <v>20</v>
      </c>
      <c r="I3626" t="e">
        <f t="shared" ca="1" si="286"/>
        <v>#REF!</v>
      </c>
      <c r="J3626" t="str">
        <f>VLOOKUP($G3626,DefinitionArrays!$I$6:$J$12,2,FALSE)</f>
        <v>Workweek</v>
      </c>
    </row>
    <row r="3627" spans="1:10">
      <c r="A3627" s="159" t="str">
        <f t="shared" si="282"/>
        <v>$H$1:$H$92</v>
      </c>
      <c r="B3627" s="159" t="str">
        <f t="shared" si="283"/>
        <v>$I$1:$I$92</v>
      </c>
      <c r="C3627" s="159" t="str">
        <f t="shared" si="284"/>
        <v>November!$H$1:$H$92</v>
      </c>
      <c r="D3627" s="159" t="str">
        <f t="shared" si="285"/>
        <v>November!$I$1:$I$92</v>
      </c>
      <c r="E3627" t="s">
        <v>7</v>
      </c>
      <c r="F3627" t="s">
        <v>130</v>
      </c>
      <c r="G3627" t="s">
        <v>143</v>
      </c>
      <c r="H3627" t="s">
        <v>21</v>
      </c>
      <c r="I3627" t="e">
        <f t="shared" ca="1" si="286"/>
        <v>#REF!</v>
      </c>
      <c r="J3627" t="str">
        <f>VLOOKUP($G3627,DefinitionArrays!$I$6:$J$12,2,FALSE)</f>
        <v>Workweek</v>
      </c>
    </row>
    <row r="3628" spans="1:10">
      <c r="A3628" s="159" t="str">
        <f t="shared" si="282"/>
        <v>$H$1:$H$92</v>
      </c>
      <c r="B3628" s="159" t="str">
        <f t="shared" si="283"/>
        <v>$I$1:$I$92</v>
      </c>
      <c r="C3628" s="159" t="str">
        <f t="shared" si="284"/>
        <v>November!$H$1:$H$92</v>
      </c>
      <c r="D3628" s="159" t="str">
        <f t="shared" si="285"/>
        <v>November!$I$1:$I$92</v>
      </c>
      <c r="E3628" t="s">
        <v>7</v>
      </c>
      <c r="F3628" t="s">
        <v>130</v>
      </c>
      <c r="G3628" t="s">
        <v>143</v>
      </c>
      <c r="H3628" t="s">
        <v>22</v>
      </c>
      <c r="I3628" t="e">
        <f t="shared" ca="1" si="286"/>
        <v>#REF!</v>
      </c>
      <c r="J3628" t="str">
        <f>VLOOKUP($G3628,DefinitionArrays!$I$6:$J$12,2,FALSE)</f>
        <v>Workweek</v>
      </c>
    </row>
    <row r="3629" spans="1:10">
      <c r="A3629" s="159" t="str">
        <f t="shared" si="282"/>
        <v>$H$1:$H$92</v>
      </c>
      <c r="B3629" s="159" t="str">
        <f t="shared" si="283"/>
        <v>$I$1:$I$92</v>
      </c>
      <c r="C3629" s="159" t="str">
        <f t="shared" si="284"/>
        <v>November!$H$1:$H$92</v>
      </c>
      <c r="D3629" s="159" t="str">
        <f t="shared" si="285"/>
        <v>November!$I$1:$I$92</v>
      </c>
      <c r="E3629" t="s">
        <v>7</v>
      </c>
      <c r="F3629" t="s">
        <v>130</v>
      </c>
      <c r="G3629" t="s">
        <v>143</v>
      </c>
      <c r="H3629" t="s">
        <v>23</v>
      </c>
      <c r="I3629" t="e">
        <f t="shared" ca="1" si="286"/>
        <v>#REF!</v>
      </c>
      <c r="J3629" t="str">
        <f>VLOOKUP($G3629,DefinitionArrays!$I$6:$J$12,2,FALSE)</f>
        <v>Workweek</v>
      </c>
    </row>
    <row r="3630" spans="1:10">
      <c r="A3630" s="159" t="str">
        <f t="shared" si="282"/>
        <v>$H$1:$H$92</v>
      </c>
      <c r="B3630" s="159" t="str">
        <f t="shared" si="283"/>
        <v>$I$1:$I$92</v>
      </c>
      <c r="C3630" s="159" t="str">
        <f t="shared" si="284"/>
        <v>November!$H$1:$H$92</v>
      </c>
      <c r="D3630" s="159" t="str">
        <f t="shared" si="285"/>
        <v>November!$I$1:$I$92</v>
      </c>
      <c r="E3630" t="s">
        <v>7</v>
      </c>
      <c r="F3630" t="s">
        <v>130</v>
      </c>
      <c r="G3630" t="s">
        <v>143</v>
      </c>
      <c r="H3630" t="s">
        <v>24</v>
      </c>
      <c r="I3630" t="e">
        <f t="shared" ca="1" si="286"/>
        <v>#REF!</v>
      </c>
      <c r="J3630" t="str">
        <f>VLOOKUP($G3630,DefinitionArrays!$I$6:$J$12,2,FALSE)</f>
        <v>Workweek</v>
      </c>
    </row>
    <row r="3631" spans="1:10">
      <c r="A3631" s="159" t="str">
        <f t="shared" si="282"/>
        <v>$H$1:$H$92</v>
      </c>
      <c r="B3631" s="159" t="str">
        <f t="shared" si="283"/>
        <v>$I$1:$I$92</v>
      </c>
      <c r="C3631" s="159" t="str">
        <f t="shared" si="284"/>
        <v>November!$H$1:$H$92</v>
      </c>
      <c r="D3631" s="159" t="str">
        <f t="shared" si="285"/>
        <v>November!$I$1:$I$92</v>
      </c>
      <c r="E3631" t="s">
        <v>7</v>
      </c>
      <c r="F3631" t="s">
        <v>130</v>
      </c>
      <c r="G3631" t="s">
        <v>143</v>
      </c>
      <c r="H3631" t="s">
        <v>179</v>
      </c>
      <c r="I3631" t="e">
        <f t="shared" ca="1" si="286"/>
        <v>#REF!</v>
      </c>
      <c r="J3631" t="str">
        <f>VLOOKUP($G3631,DefinitionArrays!$I$6:$J$12,2,FALSE)</f>
        <v>Workweek</v>
      </c>
    </row>
    <row r="3632" spans="1:10">
      <c r="A3632" s="159" t="str">
        <f t="shared" si="282"/>
        <v>$H$1:$H$92</v>
      </c>
      <c r="B3632" s="159" t="str">
        <f t="shared" si="283"/>
        <v>$I$1:$I$92</v>
      </c>
      <c r="C3632" s="159" t="str">
        <f t="shared" si="284"/>
        <v>November!$H$1:$H$92</v>
      </c>
      <c r="D3632" s="159" t="str">
        <f t="shared" si="285"/>
        <v>November!$I$1:$I$92</v>
      </c>
      <c r="E3632" t="s">
        <v>7</v>
      </c>
      <c r="F3632" t="s">
        <v>130</v>
      </c>
      <c r="G3632" t="s">
        <v>143</v>
      </c>
      <c r="H3632" t="s">
        <v>180</v>
      </c>
      <c r="I3632" t="e">
        <f t="shared" ca="1" si="286"/>
        <v>#REF!</v>
      </c>
      <c r="J3632" t="str">
        <f>VLOOKUP($G3632,DefinitionArrays!$I$6:$J$12,2,FALSE)</f>
        <v>Workweek</v>
      </c>
    </row>
    <row r="3633" spans="1:10">
      <c r="A3633" s="159" t="str">
        <f t="shared" si="282"/>
        <v>$H$1:$H$92</v>
      </c>
      <c r="B3633" s="159" t="str">
        <f t="shared" si="283"/>
        <v>$I$1:$I$92</v>
      </c>
      <c r="C3633" s="159" t="str">
        <f t="shared" si="284"/>
        <v>November!$H$1:$H$92</v>
      </c>
      <c r="D3633" s="159" t="str">
        <f t="shared" si="285"/>
        <v>November!$I$1:$I$92</v>
      </c>
      <c r="E3633" t="s">
        <v>7</v>
      </c>
      <c r="F3633" t="s">
        <v>130</v>
      </c>
      <c r="G3633" t="s">
        <v>143</v>
      </c>
      <c r="H3633" t="s">
        <v>44</v>
      </c>
      <c r="I3633" t="e">
        <f t="shared" ca="1" si="286"/>
        <v>#REF!</v>
      </c>
      <c r="J3633" t="str">
        <f>VLOOKUP($G3633,DefinitionArrays!$I$6:$J$12,2,FALSE)</f>
        <v>Workweek</v>
      </c>
    </row>
    <row r="3634" spans="1:10">
      <c r="A3634" s="159" t="str">
        <f t="shared" si="282"/>
        <v>$K$1:$K$92</v>
      </c>
      <c r="B3634" s="159" t="str">
        <f t="shared" si="283"/>
        <v>$L$1:$L$92</v>
      </c>
      <c r="C3634" s="159" t="str">
        <f t="shared" si="284"/>
        <v>November!$K$1:$K$92</v>
      </c>
      <c r="D3634" s="159" t="str">
        <f t="shared" si="285"/>
        <v>November!$L$1:$L$92</v>
      </c>
      <c r="E3634" t="s">
        <v>7</v>
      </c>
      <c r="F3634" t="s">
        <v>130</v>
      </c>
      <c r="G3634" t="s">
        <v>144</v>
      </c>
      <c r="H3634" t="s">
        <v>159</v>
      </c>
      <c r="I3634" t="e">
        <f t="shared" ca="1" si="286"/>
        <v>#REF!</v>
      </c>
      <c r="J3634" t="str">
        <f>VLOOKUP($G3634,DefinitionArrays!$I$6:$J$12,2,FALSE)</f>
        <v>Workweek</v>
      </c>
    </row>
    <row r="3635" spans="1:10">
      <c r="A3635" s="159" t="str">
        <f t="shared" si="282"/>
        <v>$K$1:$K$92</v>
      </c>
      <c r="B3635" s="159" t="str">
        <f t="shared" si="283"/>
        <v>$L$1:$L$92</v>
      </c>
      <c r="C3635" s="159" t="str">
        <f t="shared" si="284"/>
        <v>November!$K$1:$K$92</v>
      </c>
      <c r="D3635" s="159" t="str">
        <f t="shared" si="285"/>
        <v>November!$L$1:$L$92</v>
      </c>
      <c r="E3635" t="s">
        <v>7</v>
      </c>
      <c r="F3635" t="s">
        <v>130</v>
      </c>
      <c r="G3635" t="s">
        <v>144</v>
      </c>
      <c r="H3635" t="s">
        <v>18</v>
      </c>
      <c r="I3635" t="e">
        <f t="shared" ca="1" si="286"/>
        <v>#REF!</v>
      </c>
      <c r="J3635" t="str">
        <f>VLOOKUP($G3635,DefinitionArrays!$I$6:$J$12,2,FALSE)</f>
        <v>Workweek</v>
      </c>
    </row>
    <row r="3636" spans="1:10">
      <c r="A3636" s="159" t="str">
        <f t="shared" si="282"/>
        <v>$K$1:$K$92</v>
      </c>
      <c r="B3636" s="159" t="str">
        <f t="shared" si="283"/>
        <v>$L$1:$L$92</v>
      </c>
      <c r="C3636" s="159" t="str">
        <f t="shared" si="284"/>
        <v>November!$K$1:$K$92</v>
      </c>
      <c r="D3636" s="159" t="str">
        <f t="shared" si="285"/>
        <v>November!$L$1:$L$92</v>
      </c>
      <c r="E3636" t="s">
        <v>7</v>
      </c>
      <c r="F3636" t="s">
        <v>130</v>
      </c>
      <c r="G3636" t="s">
        <v>144</v>
      </c>
      <c r="H3636" t="s">
        <v>153</v>
      </c>
      <c r="I3636" t="e">
        <f t="shared" ca="1" si="286"/>
        <v>#REF!</v>
      </c>
      <c r="J3636" t="str">
        <f>VLOOKUP($G3636,DefinitionArrays!$I$6:$J$12,2,FALSE)</f>
        <v>Workweek</v>
      </c>
    </row>
    <row r="3637" spans="1:10">
      <c r="A3637" s="159" t="str">
        <f t="shared" si="282"/>
        <v>$K$1:$K$92</v>
      </c>
      <c r="B3637" s="159" t="str">
        <f t="shared" si="283"/>
        <v>$L$1:$L$92</v>
      </c>
      <c r="C3637" s="159" t="str">
        <f t="shared" si="284"/>
        <v>November!$K$1:$K$92</v>
      </c>
      <c r="D3637" s="159" t="str">
        <f t="shared" si="285"/>
        <v>November!$L$1:$L$92</v>
      </c>
      <c r="E3637" t="s">
        <v>7</v>
      </c>
      <c r="F3637" t="s">
        <v>130</v>
      </c>
      <c r="G3637" t="s">
        <v>144</v>
      </c>
      <c r="H3637" t="s">
        <v>19</v>
      </c>
      <c r="I3637" t="e">
        <f t="shared" ca="1" si="286"/>
        <v>#REF!</v>
      </c>
      <c r="J3637" t="str">
        <f>VLOOKUP($G3637,DefinitionArrays!$I$6:$J$12,2,FALSE)</f>
        <v>Workweek</v>
      </c>
    </row>
    <row r="3638" spans="1:10">
      <c r="A3638" s="159" t="str">
        <f t="shared" si="282"/>
        <v>$K$1:$K$92</v>
      </c>
      <c r="B3638" s="159" t="str">
        <f t="shared" si="283"/>
        <v>$L$1:$L$92</v>
      </c>
      <c r="C3638" s="159" t="str">
        <f t="shared" si="284"/>
        <v>November!$K$1:$K$92</v>
      </c>
      <c r="D3638" s="159" t="str">
        <f t="shared" si="285"/>
        <v>November!$L$1:$L$92</v>
      </c>
      <c r="E3638" t="s">
        <v>7</v>
      </c>
      <c r="F3638" t="s">
        <v>130</v>
      </c>
      <c r="G3638" t="s">
        <v>144</v>
      </c>
      <c r="H3638" t="s">
        <v>20</v>
      </c>
      <c r="I3638" t="e">
        <f t="shared" ca="1" si="286"/>
        <v>#REF!</v>
      </c>
      <c r="J3638" t="str">
        <f>VLOOKUP($G3638,DefinitionArrays!$I$6:$J$12,2,FALSE)</f>
        <v>Workweek</v>
      </c>
    </row>
    <row r="3639" spans="1:10">
      <c r="A3639" s="159" t="str">
        <f t="shared" si="282"/>
        <v>$K$1:$K$92</v>
      </c>
      <c r="B3639" s="159" t="str">
        <f t="shared" si="283"/>
        <v>$L$1:$L$92</v>
      </c>
      <c r="C3639" s="159" t="str">
        <f t="shared" si="284"/>
        <v>November!$K$1:$K$92</v>
      </c>
      <c r="D3639" s="159" t="str">
        <f t="shared" si="285"/>
        <v>November!$L$1:$L$92</v>
      </c>
      <c r="E3639" t="s">
        <v>7</v>
      </c>
      <c r="F3639" t="s">
        <v>130</v>
      </c>
      <c r="G3639" t="s">
        <v>144</v>
      </c>
      <c r="H3639" t="s">
        <v>21</v>
      </c>
      <c r="I3639" t="e">
        <f t="shared" ca="1" si="286"/>
        <v>#REF!</v>
      </c>
      <c r="J3639" t="str">
        <f>VLOOKUP($G3639,DefinitionArrays!$I$6:$J$12,2,FALSE)</f>
        <v>Workweek</v>
      </c>
    </row>
    <row r="3640" spans="1:10">
      <c r="A3640" s="159" t="str">
        <f t="shared" si="282"/>
        <v>$K$1:$K$92</v>
      </c>
      <c r="B3640" s="159" t="str">
        <f t="shared" si="283"/>
        <v>$L$1:$L$92</v>
      </c>
      <c r="C3640" s="159" t="str">
        <f t="shared" si="284"/>
        <v>November!$K$1:$K$92</v>
      </c>
      <c r="D3640" s="159" t="str">
        <f t="shared" si="285"/>
        <v>November!$L$1:$L$92</v>
      </c>
      <c r="E3640" t="s">
        <v>7</v>
      </c>
      <c r="F3640" t="s">
        <v>130</v>
      </c>
      <c r="G3640" t="s">
        <v>144</v>
      </c>
      <c r="H3640" t="s">
        <v>22</v>
      </c>
      <c r="I3640" t="e">
        <f t="shared" ca="1" si="286"/>
        <v>#REF!</v>
      </c>
      <c r="J3640" t="str">
        <f>VLOOKUP($G3640,DefinitionArrays!$I$6:$J$12,2,FALSE)</f>
        <v>Workweek</v>
      </c>
    </row>
    <row r="3641" spans="1:10">
      <c r="A3641" s="159" t="str">
        <f t="shared" si="282"/>
        <v>$K$1:$K$92</v>
      </c>
      <c r="B3641" s="159" t="str">
        <f t="shared" si="283"/>
        <v>$L$1:$L$92</v>
      </c>
      <c r="C3641" s="159" t="str">
        <f t="shared" si="284"/>
        <v>November!$K$1:$K$92</v>
      </c>
      <c r="D3641" s="159" t="str">
        <f t="shared" si="285"/>
        <v>November!$L$1:$L$92</v>
      </c>
      <c r="E3641" t="s">
        <v>7</v>
      </c>
      <c r="F3641" t="s">
        <v>130</v>
      </c>
      <c r="G3641" t="s">
        <v>144</v>
      </c>
      <c r="H3641" t="s">
        <v>23</v>
      </c>
      <c r="I3641" t="e">
        <f t="shared" ca="1" si="286"/>
        <v>#REF!</v>
      </c>
      <c r="J3641" t="str">
        <f>VLOOKUP($G3641,DefinitionArrays!$I$6:$J$12,2,FALSE)</f>
        <v>Workweek</v>
      </c>
    </row>
    <row r="3642" spans="1:10">
      <c r="A3642" s="159" t="str">
        <f t="shared" si="282"/>
        <v>$K$1:$K$92</v>
      </c>
      <c r="B3642" s="159" t="str">
        <f t="shared" si="283"/>
        <v>$L$1:$L$92</v>
      </c>
      <c r="C3642" s="159" t="str">
        <f t="shared" si="284"/>
        <v>November!$K$1:$K$92</v>
      </c>
      <c r="D3642" s="159" t="str">
        <f t="shared" si="285"/>
        <v>November!$L$1:$L$92</v>
      </c>
      <c r="E3642" t="s">
        <v>7</v>
      </c>
      <c r="F3642" t="s">
        <v>130</v>
      </c>
      <c r="G3642" t="s">
        <v>144</v>
      </c>
      <c r="H3642" t="s">
        <v>24</v>
      </c>
      <c r="I3642" t="e">
        <f t="shared" ca="1" si="286"/>
        <v>#REF!</v>
      </c>
      <c r="J3642" t="str">
        <f>VLOOKUP($G3642,DefinitionArrays!$I$6:$J$12,2,FALSE)</f>
        <v>Workweek</v>
      </c>
    </row>
    <row r="3643" spans="1:10">
      <c r="A3643" s="159" t="str">
        <f t="shared" si="282"/>
        <v>$K$1:$K$92</v>
      </c>
      <c r="B3643" s="159" t="str">
        <f t="shared" si="283"/>
        <v>$L$1:$L$92</v>
      </c>
      <c r="C3643" s="159" t="str">
        <f t="shared" si="284"/>
        <v>November!$K$1:$K$92</v>
      </c>
      <c r="D3643" s="159" t="str">
        <f t="shared" si="285"/>
        <v>November!$L$1:$L$92</v>
      </c>
      <c r="E3643" t="s">
        <v>7</v>
      </c>
      <c r="F3643" t="s">
        <v>130</v>
      </c>
      <c r="G3643" t="s">
        <v>144</v>
      </c>
      <c r="H3643" t="s">
        <v>179</v>
      </c>
      <c r="I3643" t="e">
        <f t="shared" ca="1" si="286"/>
        <v>#REF!</v>
      </c>
      <c r="J3643" t="str">
        <f>VLOOKUP($G3643,DefinitionArrays!$I$6:$J$12,2,FALSE)</f>
        <v>Workweek</v>
      </c>
    </row>
    <row r="3644" spans="1:10">
      <c r="A3644" s="159" t="str">
        <f t="shared" si="282"/>
        <v>$K$1:$K$92</v>
      </c>
      <c r="B3644" s="159" t="str">
        <f t="shared" si="283"/>
        <v>$L$1:$L$92</v>
      </c>
      <c r="C3644" s="159" t="str">
        <f t="shared" si="284"/>
        <v>November!$K$1:$K$92</v>
      </c>
      <c r="D3644" s="159" t="str">
        <f t="shared" si="285"/>
        <v>November!$L$1:$L$92</v>
      </c>
      <c r="E3644" t="s">
        <v>7</v>
      </c>
      <c r="F3644" t="s">
        <v>130</v>
      </c>
      <c r="G3644" t="s">
        <v>144</v>
      </c>
      <c r="H3644" t="s">
        <v>180</v>
      </c>
      <c r="I3644" t="e">
        <f t="shared" ca="1" si="286"/>
        <v>#REF!</v>
      </c>
      <c r="J3644" t="str">
        <f>VLOOKUP($G3644,DefinitionArrays!$I$6:$J$12,2,FALSE)</f>
        <v>Workweek</v>
      </c>
    </row>
    <row r="3645" spans="1:10">
      <c r="A3645" s="159" t="str">
        <f t="shared" si="282"/>
        <v>$K$1:$K$92</v>
      </c>
      <c r="B3645" s="159" t="str">
        <f t="shared" si="283"/>
        <v>$L$1:$L$92</v>
      </c>
      <c r="C3645" s="159" t="str">
        <f t="shared" si="284"/>
        <v>November!$K$1:$K$92</v>
      </c>
      <c r="D3645" s="159" t="str">
        <f t="shared" si="285"/>
        <v>November!$L$1:$L$92</v>
      </c>
      <c r="E3645" t="s">
        <v>7</v>
      </c>
      <c r="F3645" t="s">
        <v>130</v>
      </c>
      <c r="G3645" t="s">
        <v>144</v>
      </c>
      <c r="H3645" t="s">
        <v>44</v>
      </c>
      <c r="I3645" t="e">
        <f t="shared" ca="1" si="286"/>
        <v>#REF!</v>
      </c>
      <c r="J3645" t="str">
        <f>VLOOKUP($G3645,DefinitionArrays!$I$6:$J$12,2,FALSE)</f>
        <v>Workweek</v>
      </c>
    </row>
    <row r="3646" spans="1:10">
      <c r="A3646" s="159" t="str">
        <f t="shared" si="282"/>
        <v>$N$1:$N$92</v>
      </c>
      <c r="B3646" s="159" t="str">
        <f t="shared" si="283"/>
        <v>$O$1:$O$92</v>
      </c>
      <c r="C3646" s="159" t="str">
        <f t="shared" si="284"/>
        <v>November!$N$1:$N$92</v>
      </c>
      <c r="D3646" s="159" t="str">
        <f t="shared" si="285"/>
        <v>November!$O$1:$O$92</v>
      </c>
      <c r="E3646" t="s">
        <v>7</v>
      </c>
      <c r="F3646" t="s">
        <v>130</v>
      </c>
      <c r="G3646" t="s">
        <v>145</v>
      </c>
      <c r="H3646" t="s">
        <v>159</v>
      </c>
      <c r="I3646" t="e">
        <f t="shared" ca="1" si="286"/>
        <v>#REF!</v>
      </c>
      <c r="J3646" t="str">
        <f>VLOOKUP($G3646,DefinitionArrays!$I$6:$J$12,2,FALSE)</f>
        <v>Weekend</v>
      </c>
    </row>
    <row r="3647" spans="1:10">
      <c r="A3647" s="159" t="str">
        <f t="shared" si="282"/>
        <v>$N$1:$N$92</v>
      </c>
      <c r="B3647" s="159" t="str">
        <f t="shared" si="283"/>
        <v>$O$1:$O$92</v>
      </c>
      <c r="C3647" s="159" t="str">
        <f t="shared" si="284"/>
        <v>November!$N$1:$N$92</v>
      </c>
      <c r="D3647" s="159" t="str">
        <f t="shared" si="285"/>
        <v>November!$O$1:$O$92</v>
      </c>
      <c r="E3647" t="s">
        <v>7</v>
      </c>
      <c r="F3647" t="s">
        <v>130</v>
      </c>
      <c r="G3647" t="s">
        <v>145</v>
      </c>
      <c r="H3647" t="s">
        <v>18</v>
      </c>
      <c r="I3647" t="e">
        <f t="shared" ca="1" si="286"/>
        <v>#REF!</v>
      </c>
      <c r="J3647" t="str">
        <f>VLOOKUP($G3647,DefinitionArrays!$I$6:$J$12,2,FALSE)</f>
        <v>Weekend</v>
      </c>
    </row>
    <row r="3648" spans="1:10">
      <c r="A3648" s="159" t="str">
        <f t="shared" si="282"/>
        <v>$N$1:$N$92</v>
      </c>
      <c r="B3648" s="159" t="str">
        <f t="shared" si="283"/>
        <v>$O$1:$O$92</v>
      </c>
      <c r="C3648" s="159" t="str">
        <f t="shared" si="284"/>
        <v>November!$N$1:$N$92</v>
      </c>
      <c r="D3648" s="159" t="str">
        <f t="shared" si="285"/>
        <v>November!$O$1:$O$92</v>
      </c>
      <c r="E3648" t="s">
        <v>7</v>
      </c>
      <c r="F3648" t="s">
        <v>130</v>
      </c>
      <c r="G3648" t="s">
        <v>145</v>
      </c>
      <c r="H3648" t="s">
        <v>153</v>
      </c>
      <c r="I3648" t="e">
        <f t="shared" ca="1" si="286"/>
        <v>#REF!</v>
      </c>
      <c r="J3648" t="str">
        <f>VLOOKUP($G3648,DefinitionArrays!$I$6:$J$12,2,FALSE)</f>
        <v>Weekend</v>
      </c>
    </row>
    <row r="3649" spans="1:10">
      <c r="A3649" s="159" t="str">
        <f t="shared" si="282"/>
        <v>$N$1:$N$92</v>
      </c>
      <c r="B3649" s="159" t="str">
        <f t="shared" si="283"/>
        <v>$O$1:$O$92</v>
      </c>
      <c r="C3649" s="159" t="str">
        <f t="shared" si="284"/>
        <v>November!$N$1:$N$92</v>
      </c>
      <c r="D3649" s="159" t="str">
        <f t="shared" si="285"/>
        <v>November!$O$1:$O$92</v>
      </c>
      <c r="E3649" t="s">
        <v>7</v>
      </c>
      <c r="F3649" t="s">
        <v>130</v>
      </c>
      <c r="G3649" t="s">
        <v>145</v>
      </c>
      <c r="H3649" t="s">
        <v>19</v>
      </c>
      <c r="I3649" t="e">
        <f t="shared" ca="1" si="286"/>
        <v>#REF!</v>
      </c>
      <c r="J3649" t="str">
        <f>VLOOKUP($G3649,DefinitionArrays!$I$6:$J$12,2,FALSE)</f>
        <v>Weekend</v>
      </c>
    </row>
    <row r="3650" spans="1:10">
      <c r="A3650" s="159" t="str">
        <f t="shared" ref="A3650:A3713" si="287">VLOOKUP($G3650,Fx_Code,2,FALSE)</f>
        <v>$N$1:$N$92</v>
      </c>
      <c r="B3650" s="159" t="str">
        <f t="shared" ref="B3650:B3713" si="288">VLOOKUP($G3650,Fx_Code,3,FALSE)</f>
        <v>$O$1:$O$92</v>
      </c>
      <c r="C3650" s="159" t="str">
        <f t="shared" ref="C3650:C3713" si="289">CONCATENATE($F3650,$K$1,A3650)</f>
        <v>November!$N$1:$N$92</v>
      </c>
      <c r="D3650" s="159" t="str">
        <f t="shared" ref="D3650:D3713" si="290">CONCATENATE($F3650,$K$1,B3650)</f>
        <v>November!$O$1:$O$92</v>
      </c>
      <c r="E3650" t="s">
        <v>7</v>
      </c>
      <c r="F3650" t="s">
        <v>130</v>
      </c>
      <c r="G3650" t="s">
        <v>145</v>
      </c>
      <c r="H3650" t="s">
        <v>20</v>
      </c>
      <c r="I3650" t="e">
        <f t="shared" ca="1" si="286"/>
        <v>#REF!</v>
      </c>
      <c r="J3650" t="str">
        <f>VLOOKUP($G3650,DefinitionArrays!$I$6:$J$12,2,FALSE)</f>
        <v>Weekend</v>
      </c>
    </row>
    <row r="3651" spans="1:10">
      <c r="A3651" s="159" t="str">
        <f t="shared" si="287"/>
        <v>$N$1:$N$92</v>
      </c>
      <c r="B3651" s="159" t="str">
        <f t="shared" si="288"/>
        <v>$O$1:$O$92</v>
      </c>
      <c r="C3651" s="159" t="str">
        <f t="shared" si="289"/>
        <v>November!$N$1:$N$92</v>
      </c>
      <c r="D3651" s="159" t="str">
        <f t="shared" si="290"/>
        <v>November!$O$1:$O$92</v>
      </c>
      <c r="E3651" t="s">
        <v>7</v>
      </c>
      <c r="F3651" t="s">
        <v>130</v>
      </c>
      <c r="G3651" t="s">
        <v>145</v>
      </c>
      <c r="H3651" t="s">
        <v>21</v>
      </c>
      <c r="I3651" t="e">
        <f t="shared" ca="1" si="286"/>
        <v>#REF!</v>
      </c>
      <c r="J3651" t="str">
        <f>VLOOKUP($G3651,DefinitionArrays!$I$6:$J$12,2,FALSE)</f>
        <v>Weekend</v>
      </c>
    </row>
    <row r="3652" spans="1:10">
      <c r="A3652" s="159" t="str">
        <f t="shared" si="287"/>
        <v>$N$1:$N$92</v>
      </c>
      <c r="B3652" s="159" t="str">
        <f t="shared" si="288"/>
        <v>$O$1:$O$92</v>
      </c>
      <c r="C3652" s="159" t="str">
        <f t="shared" si="289"/>
        <v>November!$N$1:$N$92</v>
      </c>
      <c r="D3652" s="159" t="str">
        <f t="shared" si="290"/>
        <v>November!$O$1:$O$92</v>
      </c>
      <c r="E3652" t="s">
        <v>7</v>
      </c>
      <c r="F3652" t="s">
        <v>130</v>
      </c>
      <c r="G3652" t="s">
        <v>145</v>
      </c>
      <c r="H3652" t="s">
        <v>22</v>
      </c>
      <c r="I3652" t="e">
        <f t="shared" ca="1" si="286"/>
        <v>#REF!</v>
      </c>
      <c r="J3652" t="str">
        <f>VLOOKUP($G3652,DefinitionArrays!$I$6:$J$12,2,FALSE)</f>
        <v>Weekend</v>
      </c>
    </row>
    <row r="3653" spans="1:10">
      <c r="A3653" s="159" t="str">
        <f t="shared" si="287"/>
        <v>$N$1:$N$92</v>
      </c>
      <c r="B3653" s="159" t="str">
        <f t="shared" si="288"/>
        <v>$O$1:$O$92</v>
      </c>
      <c r="C3653" s="159" t="str">
        <f t="shared" si="289"/>
        <v>November!$N$1:$N$92</v>
      </c>
      <c r="D3653" s="159" t="str">
        <f t="shared" si="290"/>
        <v>November!$O$1:$O$92</v>
      </c>
      <c r="E3653" t="s">
        <v>7</v>
      </c>
      <c r="F3653" t="s">
        <v>130</v>
      </c>
      <c r="G3653" t="s">
        <v>145</v>
      </c>
      <c r="H3653" t="s">
        <v>23</v>
      </c>
      <c r="I3653" t="e">
        <f t="shared" ca="1" si="286"/>
        <v>#REF!</v>
      </c>
      <c r="J3653" t="str">
        <f>VLOOKUP($G3653,DefinitionArrays!$I$6:$J$12,2,FALSE)</f>
        <v>Weekend</v>
      </c>
    </row>
    <row r="3654" spans="1:10">
      <c r="A3654" s="159" t="str">
        <f t="shared" si="287"/>
        <v>$N$1:$N$92</v>
      </c>
      <c r="B3654" s="159" t="str">
        <f t="shared" si="288"/>
        <v>$O$1:$O$92</v>
      </c>
      <c r="C3654" s="159" t="str">
        <f t="shared" si="289"/>
        <v>November!$N$1:$N$92</v>
      </c>
      <c r="D3654" s="159" t="str">
        <f t="shared" si="290"/>
        <v>November!$O$1:$O$92</v>
      </c>
      <c r="E3654" t="s">
        <v>7</v>
      </c>
      <c r="F3654" t="s">
        <v>130</v>
      </c>
      <c r="G3654" t="s">
        <v>145</v>
      </c>
      <c r="H3654" t="s">
        <v>24</v>
      </c>
      <c r="I3654" t="e">
        <f t="shared" ca="1" si="286"/>
        <v>#REF!</v>
      </c>
      <c r="J3654" t="str">
        <f>VLOOKUP($G3654,DefinitionArrays!$I$6:$J$12,2,FALSE)</f>
        <v>Weekend</v>
      </c>
    </row>
    <row r="3655" spans="1:10">
      <c r="A3655" s="159" t="str">
        <f t="shared" si="287"/>
        <v>$N$1:$N$92</v>
      </c>
      <c r="B3655" s="159" t="str">
        <f t="shared" si="288"/>
        <v>$O$1:$O$92</v>
      </c>
      <c r="C3655" s="159" t="str">
        <f t="shared" si="289"/>
        <v>November!$N$1:$N$92</v>
      </c>
      <c r="D3655" s="159" t="str">
        <f t="shared" si="290"/>
        <v>November!$O$1:$O$92</v>
      </c>
      <c r="E3655" t="s">
        <v>7</v>
      </c>
      <c r="F3655" t="s">
        <v>130</v>
      </c>
      <c r="G3655" t="s">
        <v>145</v>
      </c>
      <c r="H3655" t="s">
        <v>179</v>
      </c>
      <c r="I3655" t="e">
        <f t="shared" ca="1" si="286"/>
        <v>#REF!</v>
      </c>
      <c r="J3655" t="str">
        <f>VLOOKUP($G3655,DefinitionArrays!$I$6:$J$12,2,FALSE)</f>
        <v>Weekend</v>
      </c>
    </row>
    <row r="3656" spans="1:10">
      <c r="A3656" s="159" t="str">
        <f t="shared" si="287"/>
        <v>$N$1:$N$92</v>
      </c>
      <c r="B3656" s="159" t="str">
        <f t="shared" si="288"/>
        <v>$O$1:$O$92</v>
      </c>
      <c r="C3656" s="159" t="str">
        <f t="shared" si="289"/>
        <v>November!$N$1:$N$92</v>
      </c>
      <c r="D3656" s="159" t="str">
        <f t="shared" si="290"/>
        <v>November!$O$1:$O$92</v>
      </c>
      <c r="E3656" t="s">
        <v>7</v>
      </c>
      <c r="F3656" t="s">
        <v>130</v>
      </c>
      <c r="G3656" t="s">
        <v>145</v>
      </c>
      <c r="H3656" t="s">
        <v>180</v>
      </c>
      <c r="I3656" t="e">
        <f t="shared" ca="1" si="286"/>
        <v>#REF!</v>
      </c>
      <c r="J3656" t="str">
        <f>VLOOKUP($G3656,DefinitionArrays!$I$6:$J$12,2,FALSE)</f>
        <v>Weekend</v>
      </c>
    </row>
    <row r="3657" spans="1:10">
      <c r="A3657" s="159" t="str">
        <f t="shared" si="287"/>
        <v>$N$1:$N$92</v>
      </c>
      <c r="B3657" s="159" t="str">
        <f t="shared" si="288"/>
        <v>$O$1:$O$92</v>
      </c>
      <c r="C3657" s="159" t="str">
        <f t="shared" si="289"/>
        <v>November!$N$1:$N$92</v>
      </c>
      <c r="D3657" s="159" t="str">
        <f t="shared" si="290"/>
        <v>November!$O$1:$O$92</v>
      </c>
      <c r="E3657" t="s">
        <v>7</v>
      </c>
      <c r="F3657" t="s">
        <v>130</v>
      </c>
      <c r="G3657" t="s">
        <v>145</v>
      </c>
      <c r="H3657" t="s">
        <v>44</v>
      </c>
      <c r="I3657" t="e">
        <f t="shared" ca="1" si="286"/>
        <v>#REF!</v>
      </c>
      <c r="J3657" t="str">
        <f>VLOOKUP($G3657,DefinitionArrays!$I$6:$J$12,2,FALSE)</f>
        <v>Weekend</v>
      </c>
    </row>
    <row r="3658" spans="1:10">
      <c r="A3658" s="159" t="str">
        <f t="shared" si="287"/>
        <v>$Q$1:$Q$92</v>
      </c>
      <c r="B3658" s="159" t="str">
        <f t="shared" si="288"/>
        <v>$R$1:$R$92</v>
      </c>
      <c r="C3658" s="159" t="str">
        <f t="shared" si="289"/>
        <v>November!$Q$1:$Q$92</v>
      </c>
      <c r="D3658" s="159" t="str">
        <f t="shared" si="290"/>
        <v>November!$R$1:$R$92</v>
      </c>
      <c r="E3658" t="s">
        <v>7</v>
      </c>
      <c r="F3658" t="s">
        <v>130</v>
      </c>
      <c r="G3658" t="s">
        <v>146</v>
      </c>
      <c r="H3658" t="s">
        <v>159</v>
      </c>
      <c r="I3658" t="e">
        <f t="shared" ca="1" si="286"/>
        <v>#REF!</v>
      </c>
      <c r="J3658" t="str">
        <f>VLOOKUP($G3658,DefinitionArrays!$I$6:$J$12,2,FALSE)</f>
        <v>Weekend</v>
      </c>
    </row>
    <row r="3659" spans="1:10">
      <c r="A3659" s="159" t="str">
        <f t="shared" si="287"/>
        <v>$T$1:$T$92</v>
      </c>
      <c r="B3659" s="159" t="str">
        <f t="shared" si="288"/>
        <v>$U$1:$U$92</v>
      </c>
      <c r="C3659" s="159" t="str">
        <f t="shared" si="289"/>
        <v>November!$T$1:$T$92</v>
      </c>
      <c r="D3659" s="159" t="str">
        <f t="shared" si="290"/>
        <v>November!$U$1:$U$92</v>
      </c>
      <c r="E3659" t="s">
        <v>7</v>
      </c>
      <c r="F3659" t="s">
        <v>130</v>
      </c>
      <c r="G3659" t="s">
        <v>141</v>
      </c>
      <c r="H3659" t="s">
        <v>159</v>
      </c>
      <c r="I3659" t="e">
        <f t="shared" ca="1" si="286"/>
        <v>#REF!</v>
      </c>
      <c r="J3659" t="str">
        <f>VLOOKUP($G3659,DefinitionArrays!$I$6:$J$12,2,FALSE)</f>
        <v>Weekend</v>
      </c>
    </row>
    <row r="3660" spans="1:10">
      <c r="A3660" s="159" t="str">
        <f t="shared" si="287"/>
        <v>$B$1:$B$92</v>
      </c>
      <c r="B3660" s="159" t="str">
        <f t="shared" si="288"/>
        <v>$C$1:$C$92</v>
      </c>
      <c r="C3660" s="159" t="str">
        <f t="shared" si="289"/>
        <v>December!$B$1:$B$92</v>
      </c>
      <c r="D3660" s="159" t="str">
        <f t="shared" si="290"/>
        <v>December!$C$1:$C$92</v>
      </c>
      <c r="E3660" t="s">
        <v>7</v>
      </c>
      <c r="F3660" t="s">
        <v>131</v>
      </c>
      <c r="G3660" t="s">
        <v>13</v>
      </c>
      <c r="H3660" t="s">
        <v>159</v>
      </c>
      <c r="I3660" t="e">
        <f ca="1">COUNTIFS(INDIRECT($C3660),$E3660,INDIRECT($D3660),$H3660)</f>
        <v>#REF!</v>
      </c>
      <c r="J3660" t="str">
        <f>VLOOKUP($G3660,DefinitionArrays!$I$6:$J$12,2,FALSE)</f>
        <v>Workweek</v>
      </c>
    </row>
    <row r="3661" spans="1:10">
      <c r="A3661" s="159" t="str">
        <f t="shared" si="287"/>
        <v>$B$1:$B$92</v>
      </c>
      <c r="B3661" s="159" t="str">
        <f t="shared" si="288"/>
        <v>$C$1:$C$92</v>
      </c>
      <c r="C3661" s="159" t="str">
        <f t="shared" si="289"/>
        <v>December!$B$1:$B$92</v>
      </c>
      <c r="D3661" s="159" t="str">
        <f t="shared" si="290"/>
        <v>December!$C$1:$C$92</v>
      </c>
      <c r="E3661" t="s">
        <v>7</v>
      </c>
      <c r="F3661" t="s">
        <v>131</v>
      </c>
      <c r="G3661" t="s">
        <v>13</v>
      </c>
      <c r="H3661" t="s">
        <v>18</v>
      </c>
      <c r="I3661" t="e">
        <f t="shared" ref="I3661:I3721" ca="1" si="291">COUNTIFS(INDIRECT($C3661),$E3661,INDIRECT($D3661),$H3661)</f>
        <v>#REF!</v>
      </c>
      <c r="J3661" t="str">
        <f>VLOOKUP($G3661,DefinitionArrays!$I$6:$J$12,2,FALSE)</f>
        <v>Workweek</v>
      </c>
    </row>
    <row r="3662" spans="1:10">
      <c r="A3662" s="159" t="str">
        <f t="shared" si="287"/>
        <v>$B$1:$B$92</v>
      </c>
      <c r="B3662" s="159" t="str">
        <f t="shared" si="288"/>
        <v>$C$1:$C$92</v>
      </c>
      <c r="C3662" s="159" t="str">
        <f t="shared" si="289"/>
        <v>December!$B$1:$B$92</v>
      </c>
      <c r="D3662" s="159" t="str">
        <f t="shared" si="290"/>
        <v>December!$C$1:$C$92</v>
      </c>
      <c r="E3662" t="s">
        <v>7</v>
      </c>
      <c r="F3662" t="s">
        <v>131</v>
      </c>
      <c r="G3662" t="s">
        <v>13</v>
      </c>
      <c r="H3662" t="s">
        <v>153</v>
      </c>
      <c r="I3662" t="e">
        <f t="shared" ca="1" si="291"/>
        <v>#REF!</v>
      </c>
      <c r="J3662" t="str">
        <f>VLOOKUP($G3662,DefinitionArrays!$I$6:$J$12,2,FALSE)</f>
        <v>Workweek</v>
      </c>
    </row>
    <row r="3663" spans="1:10">
      <c r="A3663" s="159" t="str">
        <f t="shared" si="287"/>
        <v>$B$1:$B$92</v>
      </c>
      <c r="B3663" s="159" t="str">
        <f t="shared" si="288"/>
        <v>$C$1:$C$92</v>
      </c>
      <c r="C3663" s="159" t="str">
        <f t="shared" si="289"/>
        <v>December!$B$1:$B$92</v>
      </c>
      <c r="D3663" s="159" t="str">
        <f t="shared" si="290"/>
        <v>December!$C$1:$C$92</v>
      </c>
      <c r="E3663" t="s">
        <v>7</v>
      </c>
      <c r="F3663" t="s">
        <v>131</v>
      </c>
      <c r="G3663" t="s">
        <v>13</v>
      </c>
      <c r="H3663" t="s">
        <v>19</v>
      </c>
      <c r="I3663" t="e">
        <f t="shared" ca="1" si="291"/>
        <v>#REF!</v>
      </c>
      <c r="J3663" t="str">
        <f>VLOOKUP($G3663,DefinitionArrays!$I$6:$J$12,2,FALSE)</f>
        <v>Workweek</v>
      </c>
    </row>
    <row r="3664" spans="1:10">
      <c r="A3664" s="159" t="str">
        <f t="shared" si="287"/>
        <v>$B$1:$B$92</v>
      </c>
      <c r="B3664" s="159" t="str">
        <f t="shared" si="288"/>
        <v>$C$1:$C$92</v>
      </c>
      <c r="C3664" s="159" t="str">
        <f t="shared" si="289"/>
        <v>December!$B$1:$B$92</v>
      </c>
      <c r="D3664" s="159" t="str">
        <f t="shared" si="290"/>
        <v>December!$C$1:$C$92</v>
      </c>
      <c r="E3664" t="s">
        <v>7</v>
      </c>
      <c r="F3664" t="s">
        <v>131</v>
      </c>
      <c r="G3664" t="s">
        <v>13</v>
      </c>
      <c r="H3664" t="s">
        <v>20</v>
      </c>
      <c r="I3664" t="e">
        <f t="shared" ca="1" si="291"/>
        <v>#REF!</v>
      </c>
      <c r="J3664" t="str">
        <f>VLOOKUP($G3664,DefinitionArrays!$I$6:$J$12,2,FALSE)</f>
        <v>Workweek</v>
      </c>
    </row>
    <row r="3665" spans="1:10">
      <c r="A3665" s="159" t="str">
        <f t="shared" si="287"/>
        <v>$B$1:$B$92</v>
      </c>
      <c r="B3665" s="159" t="str">
        <f t="shared" si="288"/>
        <v>$C$1:$C$92</v>
      </c>
      <c r="C3665" s="159" t="str">
        <f t="shared" si="289"/>
        <v>December!$B$1:$B$92</v>
      </c>
      <c r="D3665" s="159" t="str">
        <f t="shared" si="290"/>
        <v>December!$C$1:$C$92</v>
      </c>
      <c r="E3665" t="s">
        <v>7</v>
      </c>
      <c r="F3665" t="s">
        <v>131</v>
      </c>
      <c r="G3665" t="s">
        <v>13</v>
      </c>
      <c r="H3665" t="s">
        <v>21</v>
      </c>
      <c r="I3665" t="e">
        <f t="shared" ca="1" si="291"/>
        <v>#REF!</v>
      </c>
      <c r="J3665" t="str">
        <f>VLOOKUP($G3665,DefinitionArrays!$I$6:$J$12,2,FALSE)</f>
        <v>Workweek</v>
      </c>
    </row>
    <row r="3666" spans="1:10">
      <c r="A3666" s="159" t="str">
        <f t="shared" si="287"/>
        <v>$B$1:$B$92</v>
      </c>
      <c r="B3666" s="159" t="str">
        <f t="shared" si="288"/>
        <v>$C$1:$C$92</v>
      </c>
      <c r="C3666" s="159" t="str">
        <f t="shared" si="289"/>
        <v>December!$B$1:$B$92</v>
      </c>
      <c r="D3666" s="159" t="str">
        <f t="shared" si="290"/>
        <v>December!$C$1:$C$92</v>
      </c>
      <c r="E3666" t="s">
        <v>7</v>
      </c>
      <c r="F3666" t="s">
        <v>131</v>
      </c>
      <c r="G3666" t="s">
        <v>13</v>
      </c>
      <c r="H3666" t="s">
        <v>22</v>
      </c>
      <c r="I3666" t="e">
        <f t="shared" ca="1" si="291"/>
        <v>#REF!</v>
      </c>
      <c r="J3666" t="str">
        <f>VLOOKUP($G3666,DefinitionArrays!$I$6:$J$12,2,FALSE)</f>
        <v>Workweek</v>
      </c>
    </row>
    <row r="3667" spans="1:10">
      <c r="A3667" s="159" t="str">
        <f t="shared" si="287"/>
        <v>$B$1:$B$92</v>
      </c>
      <c r="B3667" s="159" t="str">
        <f t="shared" si="288"/>
        <v>$C$1:$C$92</v>
      </c>
      <c r="C3667" s="159" t="str">
        <f t="shared" si="289"/>
        <v>December!$B$1:$B$92</v>
      </c>
      <c r="D3667" s="159" t="str">
        <f t="shared" si="290"/>
        <v>December!$C$1:$C$92</v>
      </c>
      <c r="E3667" t="s">
        <v>7</v>
      </c>
      <c r="F3667" t="s">
        <v>131</v>
      </c>
      <c r="G3667" t="s">
        <v>13</v>
      </c>
      <c r="H3667" t="s">
        <v>23</v>
      </c>
      <c r="I3667" t="e">
        <f t="shared" ca="1" si="291"/>
        <v>#REF!</v>
      </c>
      <c r="J3667" t="str">
        <f>VLOOKUP($G3667,DefinitionArrays!$I$6:$J$12,2,FALSE)</f>
        <v>Workweek</v>
      </c>
    </row>
    <row r="3668" spans="1:10">
      <c r="A3668" s="159" t="str">
        <f t="shared" si="287"/>
        <v>$B$1:$B$92</v>
      </c>
      <c r="B3668" s="159" t="str">
        <f t="shared" si="288"/>
        <v>$C$1:$C$92</v>
      </c>
      <c r="C3668" s="159" t="str">
        <f t="shared" si="289"/>
        <v>December!$B$1:$B$92</v>
      </c>
      <c r="D3668" s="159" t="str">
        <f t="shared" si="290"/>
        <v>December!$C$1:$C$92</v>
      </c>
      <c r="E3668" t="s">
        <v>7</v>
      </c>
      <c r="F3668" t="s">
        <v>131</v>
      </c>
      <c r="G3668" t="s">
        <v>13</v>
      </c>
      <c r="H3668" t="s">
        <v>24</v>
      </c>
      <c r="I3668" t="e">
        <f t="shared" ca="1" si="291"/>
        <v>#REF!</v>
      </c>
      <c r="J3668" t="str">
        <f>VLOOKUP($G3668,DefinitionArrays!$I$6:$J$12,2,FALSE)</f>
        <v>Workweek</v>
      </c>
    </row>
    <row r="3669" spans="1:10">
      <c r="A3669" s="159" t="str">
        <f t="shared" si="287"/>
        <v>$B$1:$B$92</v>
      </c>
      <c r="B3669" s="159" t="str">
        <f t="shared" si="288"/>
        <v>$C$1:$C$92</v>
      </c>
      <c r="C3669" s="159" t="str">
        <f t="shared" si="289"/>
        <v>December!$B$1:$B$92</v>
      </c>
      <c r="D3669" s="159" t="str">
        <f t="shared" si="290"/>
        <v>December!$C$1:$C$92</v>
      </c>
      <c r="E3669" t="s">
        <v>7</v>
      </c>
      <c r="F3669" t="s">
        <v>131</v>
      </c>
      <c r="G3669" t="s">
        <v>13</v>
      </c>
      <c r="H3669" t="s">
        <v>179</v>
      </c>
      <c r="I3669" t="e">
        <f t="shared" ca="1" si="291"/>
        <v>#REF!</v>
      </c>
      <c r="J3669" t="str">
        <f>VLOOKUP($G3669,DefinitionArrays!$I$6:$J$12,2,FALSE)</f>
        <v>Workweek</v>
      </c>
    </row>
    <row r="3670" spans="1:10">
      <c r="A3670" s="159" t="str">
        <f t="shared" si="287"/>
        <v>$B$1:$B$92</v>
      </c>
      <c r="B3670" s="159" t="str">
        <f t="shared" si="288"/>
        <v>$C$1:$C$92</v>
      </c>
      <c r="C3670" s="159" t="str">
        <f t="shared" si="289"/>
        <v>December!$B$1:$B$92</v>
      </c>
      <c r="D3670" s="159" t="str">
        <f t="shared" si="290"/>
        <v>December!$C$1:$C$92</v>
      </c>
      <c r="E3670" t="s">
        <v>7</v>
      </c>
      <c r="F3670" t="s">
        <v>131</v>
      </c>
      <c r="G3670" t="s">
        <v>13</v>
      </c>
      <c r="H3670" t="s">
        <v>180</v>
      </c>
      <c r="I3670" t="e">
        <f t="shared" ca="1" si="291"/>
        <v>#REF!</v>
      </c>
      <c r="J3670" t="str">
        <f>VLOOKUP($G3670,DefinitionArrays!$I$6:$J$12,2,FALSE)</f>
        <v>Workweek</v>
      </c>
    </row>
    <row r="3671" spans="1:10">
      <c r="A3671" s="159" t="str">
        <f t="shared" si="287"/>
        <v>$B$1:$B$92</v>
      </c>
      <c r="B3671" s="159" t="str">
        <f t="shared" si="288"/>
        <v>$C$1:$C$92</v>
      </c>
      <c r="C3671" s="159" t="str">
        <f t="shared" si="289"/>
        <v>December!$B$1:$B$92</v>
      </c>
      <c r="D3671" s="159" t="str">
        <f t="shared" si="290"/>
        <v>December!$C$1:$C$92</v>
      </c>
      <c r="E3671" t="s">
        <v>7</v>
      </c>
      <c r="F3671" t="s">
        <v>131</v>
      </c>
      <c r="G3671" t="s">
        <v>13</v>
      </c>
      <c r="H3671" t="s">
        <v>44</v>
      </c>
      <c r="I3671" t="e">
        <f t="shared" ca="1" si="291"/>
        <v>#REF!</v>
      </c>
      <c r="J3671" t="str">
        <f>VLOOKUP($G3671,DefinitionArrays!$I$6:$J$12,2,FALSE)</f>
        <v>Workweek</v>
      </c>
    </row>
    <row r="3672" spans="1:10">
      <c r="A3672" s="159" t="str">
        <f t="shared" si="287"/>
        <v>$E$1:$E$92</v>
      </c>
      <c r="B3672" s="159" t="str">
        <f t="shared" si="288"/>
        <v>$F$1:$F$92</v>
      </c>
      <c r="C3672" s="159" t="str">
        <f t="shared" si="289"/>
        <v>December!$E$1:$E$92</v>
      </c>
      <c r="D3672" s="159" t="str">
        <f t="shared" si="290"/>
        <v>December!$F$1:$F$92</v>
      </c>
      <c r="E3672" t="s">
        <v>7</v>
      </c>
      <c r="F3672" t="s">
        <v>131</v>
      </c>
      <c r="G3672" t="s">
        <v>142</v>
      </c>
      <c r="H3672" t="s">
        <v>159</v>
      </c>
      <c r="I3672" t="e">
        <f t="shared" ca="1" si="291"/>
        <v>#REF!</v>
      </c>
      <c r="J3672" t="str">
        <f>VLOOKUP($G3672,DefinitionArrays!$I$6:$J$12,2,FALSE)</f>
        <v>Workweek</v>
      </c>
    </row>
    <row r="3673" spans="1:10">
      <c r="A3673" s="159" t="str">
        <f t="shared" si="287"/>
        <v>$E$1:$E$92</v>
      </c>
      <c r="B3673" s="159" t="str">
        <f t="shared" si="288"/>
        <v>$F$1:$F$92</v>
      </c>
      <c r="C3673" s="159" t="str">
        <f t="shared" si="289"/>
        <v>December!$E$1:$E$92</v>
      </c>
      <c r="D3673" s="159" t="str">
        <f t="shared" si="290"/>
        <v>December!$F$1:$F$92</v>
      </c>
      <c r="E3673" t="s">
        <v>7</v>
      </c>
      <c r="F3673" t="s">
        <v>131</v>
      </c>
      <c r="G3673" t="s">
        <v>142</v>
      </c>
      <c r="H3673" t="s">
        <v>18</v>
      </c>
      <c r="I3673" t="e">
        <f t="shared" ca="1" si="291"/>
        <v>#REF!</v>
      </c>
      <c r="J3673" t="str">
        <f>VLOOKUP($G3673,DefinitionArrays!$I$6:$J$12,2,FALSE)</f>
        <v>Workweek</v>
      </c>
    </row>
    <row r="3674" spans="1:10">
      <c r="A3674" s="159" t="str">
        <f t="shared" si="287"/>
        <v>$E$1:$E$92</v>
      </c>
      <c r="B3674" s="159" t="str">
        <f t="shared" si="288"/>
        <v>$F$1:$F$92</v>
      </c>
      <c r="C3674" s="159" t="str">
        <f t="shared" si="289"/>
        <v>December!$E$1:$E$92</v>
      </c>
      <c r="D3674" s="159" t="str">
        <f t="shared" si="290"/>
        <v>December!$F$1:$F$92</v>
      </c>
      <c r="E3674" t="s">
        <v>7</v>
      </c>
      <c r="F3674" t="s">
        <v>131</v>
      </c>
      <c r="G3674" t="s">
        <v>142</v>
      </c>
      <c r="H3674" t="s">
        <v>153</v>
      </c>
      <c r="I3674" t="e">
        <f t="shared" ca="1" si="291"/>
        <v>#REF!</v>
      </c>
      <c r="J3674" t="str">
        <f>VLOOKUP($G3674,DefinitionArrays!$I$6:$J$12,2,FALSE)</f>
        <v>Workweek</v>
      </c>
    </row>
    <row r="3675" spans="1:10">
      <c r="A3675" s="159" t="str">
        <f t="shared" si="287"/>
        <v>$E$1:$E$92</v>
      </c>
      <c r="B3675" s="159" t="str">
        <f t="shared" si="288"/>
        <v>$F$1:$F$92</v>
      </c>
      <c r="C3675" s="159" t="str">
        <f t="shared" si="289"/>
        <v>December!$E$1:$E$92</v>
      </c>
      <c r="D3675" s="159" t="str">
        <f t="shared" si="290"/>
        <v>December!$F$1:$F$92</v>
      </c>
      <c r="E3675" t="s">
        <v>7</v>
      </c>
      <c r="F3675" t="s">
        <v>131</v>
      </c>
      <c r="G3675" t="s">
        <v>142</v>
      </c>
      <c r="H3675" t="s">
        <v>19</v>
      </c>
      <c r="I3675" t="e">
        <f t="shared" ca="1" si="291"/>
        <v>#REF!</v>
      </c>
      <c r="J3675" t="str">
        <f>VLOOKUP($G3675,DefinitionArrays!$I$6:$J$12,2,FALSE)</f>
        <v>Workweek</v>
      </c>
    </row>
    <row r="3676" spans="1:10">
      <c r="A3676" s="159" t="str">
        <f t="shared" si="287"/>
        <v>$E$1:$E$92</v>
      </c>
      <c r="B3676" s="159" t="str">
        <f t="shared" si="288"/>
        <v>$F$1:$F$92</v>
      </c>
      <c r="C3676" s="159" t="str">
        <f t="shared" si="289"/>
        <v>December!$E$1:$E$92</v>
      </c>
      <c r="D3676" s="159" t="str">
        <f t="shared" si="290"/>
        <v>December!$F$1:$F$92</v>
      </c>
      <c r="E3676" t="s">
        <v>7</v>
      </c>
      <c r="F3676" t="s">
        <v>131</v>
      </c>
      <c r="G3676" t="s">
        <v>142</v>
      </c>
      <c r="H3676" t="s">
        <v>20</v>
      </c>
      <c r="I3676" t="e">
        <f t="shared" ca="1" si="291"/>
        <v>#REF!</v>
      </c>
      <c r="J3676" t="str">
        <f>VLOOKUP($G3676,DefinitionArrays!$I$6:$J$12,2,FALSE)</f>
        <v>Workweek</v>
      </c>
    </row>
    <row r="3677" spans="1:10">
      <c r="A3677" s="159" t="str">
        <f t="shared" si="287"/>
        <v>$E$1:$E$92</v>
      </c>
      <c r="B3677" s="159" t="str">
        <f t="shared" si="288"/>
        <v>$F$1:$F$92</v>
      </c>
      <c r="C3677" s="159" t="str">
        <f t="shared" si="289"/>
        <v>December!$E$1:$E$92</v>
      </c>
      <c r="D3677" s="159" t="str">
        <f t="shared" si="290"/>
        <v>December!$F$1:$F$92</v>
      </c>
      <c r="E3677" t="s">
        <v>7</v>
      </c>
      <c r="F3677" t="s">
        <v>131</v>
      </c>
      <c r="G3677" t="s">
        <v>142</v>
      </c>
      <c r="H3677" t="s">
        <v>21</v>
      </c>
      <c r="I3677" t="e">
        <f t="shared" ca="1" si="291"/>
        <v>#REF!</v>
      </c>
      <c r="J3677" t="str">
        <f>VLOOKUP($G3677,DefinitionArrays!$I$6:$J$12,2,FALSE)</f>
        <v>Workweek</v>
      </c>
    </row>
    <row r="3678" spans="1:10">
      <c r="A3678" s="159" t="str">
        <f t="shared" si="287"/>
        <v>$E$1:$E$92</v>
      </c>
      <c r="B3678" s="159" t="str">
        <f t="shared" si="288"/>
        <v>$F$1:$F$92</v>
      </c>
      <c r="C3678" s="159" t="str">
        <f t="shared" si="289"/>
        <v>December!$E$1:$E$92</v>
      </c>
      <c r="D3678" s="159" t="str">
        <f t="shared" si="290"/>
        <v>December!$F$1:$F$92</v>
      </c>
      <c r="E3678" t="s">
        <v>7</v>
      </c>
      <c r="F3678" t="s">
        <v>131</v>
      </c>
      <c r="G3678" t="s">
        <v>142</v>
      </c>
      <c r="H3678" t="s">
        <v>22</v>
      </c>
      <c r="I3678" t="e">
        <f t="shared" ca="1" si="291"/>
        <v>#REF!</v>
      </c>
      <c r="J3678" t="str">
        <f>VLOOKUP($G3678,DefinitionArrays!$I$6:$J$12,2,FALSE)</f>
        <v>Workweek</v>
      </c>
    </row>
    <row r="3679" spans="1:10">
      <c r="A3679" s="159" t="str">
        <f t="shared" si="287"/>
        <v>$E$1:$E$92</v>
      </c>
      <c r="B3679" s="159" t="str">
        <f t="shared" si="288"/>
        <v>$F$1:$F$92</v>
      </c>
      <c r="C3679" s="159" t="str">
        <f t="shared" si="289"/>
        <v>December!$E$1:$E$92</v>
      </c>
      <c r="D3679" s="159" t="str">
        <f t="shared" si="290"/>
        <v>December!$F$1:$F$92</v>
      </c>
      <c r="E3679" t="s">
        <v>7</v>
      </c>
      <c r="F3679" t="s">
        <v>131</v>
      </c>
      <c r="G3679" t="s">
        <v>142</v>
      </c>
      <c r="H3679" t="s">
        <v>23</v>
      </c>
      <c r="I3679" t="e">
        <f t="shared" ca="1" si="291"/>
        <v>#REF!</v>
      </c>
      <c r="J3679" t="str">
        <f>VLOOKUP($G3679,DefinitionArrays!$I$6:$J$12,2,FALSE)</f>
        <v>Workweek</v>
      </c>
    </row>
    <row r="3680" spans="1:10">
      <c r="A3680" s="159" t="str">
        <f t="shared" si="287"/>
        <v>$E$1:$E$92</v>
      </c>
      <c r="B3680" s="159" t="str">
        <f t="shared" si="288"/>
        <v>$F$1:$F$92</v>
      </c>
      <c r="C3680" s="159" t="str">
        <f t="shared" si="289"/>
        <v>December!$E$1:$E$92</v>
      </c>
      <c r="D3680" s="159" t="str">
        <f t="shared" si="290"/>
        <v>December!$F$1:$F$92</v>
      </c>
      <c r="E3680" t="s">
        <v>7</v>
      </c>
      <c r="F3680" t="s">
        <v>131</v>
      </c>
      <c r="G3680" t="s">
        <v>142</v>
      </c>
      <c r="H3680" t="s">
        <v>24</v>
      </c>
      <c r="I3680" t="e">
        <f t="shared" ca="1" si="291"/>
        <v>#REF!</v>
      </c>
      <c r="J3680" t="str">
        <f>VLOOKUP($G3680,DefinitionArrays!$I$6:$J$12,2,FALSE)</f>
        <v>Workweek</v>
      </c>
    </row>
    <row r="3681" spans="1:10">
      <c r="A3681" s="159" t="str">
        <f t="shared" si="287"/>
        <v>$E$1:$E$92</v>
      </c>
      <c r="B3681" s="159" t="str">
        <f t="shared" si="288"/>
        <v>$F$1:$F$92</v>
      </c>
      <c r="C3681" s="159" t="str">
        <f t="shared" si="289"/>
        <v>December!$E$1:$E$92</v>
      </c>
      <c r="D3681" s="159" t="str">
        <f t="shared" si="290"/>
        <v>December!$F$1:$F$92</v>
      </c>
      <c r="E3681" t="s">
        <v>7</v>
      </c>
      <c r="F3681" t="s">
        <v>131</v>
      </c>
      <c r="G3681" t="s">
        <v>142</v>
      </c>
      <c r="H3681" t="s">
        <v>179</v>
      </c>
      <c r="I3681" t="e">
        <f t="shared" ca="1" si="291"/>
        <v>#REF!</v>
      </c>
      <c r="J3681" t="str">
        <f>VLOOKUP($G3681,DefinitionArrays!$I$6:$J$12,2,FALSE)</f>
        <v>Workweek</v>
      </c>
    </row>
    <row r="3682" spans="1:10">
      <c r="A3682" s="159" t="str">
        <f t="shared" si="287"/>
        <v>$E$1:$E$92</v>
      </c>
      <c r="B3682" s="159" t="str">
        <f t="shared" si="288"/>
        <v>$F$1:$F$92</v>
      </c>
      <c r="C3682" s="159" t="str">
        <f t="shared" si="289"/>
        <v>December!$E$1:$E$92</v>
      </c>
      <c r="D3682" s="159" t="str">
        <f t="shared" si="290"/>
        <v>December!$F$1:$F$92</v>
      </c>
      <c r="E3682" t="s">
        <v>7</v>
      </c>
      <c r="F3682" t="s">
        <v>131</v>
      </c>
      <c r="G3682" t="s">
        <v>142</v>
      </c>
      <c r="H3682" t="s">
        <v>180</v>
      </c>
      <c r="I3682" t="e">
        <f t="shared" ca="1" si="291"/>
        <v>#REF!</v>
      </c>
      <c r="J3682" t="str">
        <f>VLOOKUP($G3682,DefinitionArrays!$I$6:$J$12,2,FALSE)</f>
        <v>Workweek</v>
      </c>
    </row>
    <row r="3683" spans="1:10">
      <c r="A3683" s="159" t="str">
        <f t="shared" si="287"/>
        <v>$E$1:$E$92</v>
      </c>
      <c r="B3683" s="159" t="str">
        <f t="shared" si="288"/>
        <v>$F$1:$F$92</v>
      </c>
      <c r="C3683" s="159" t="str">
        <f t="shared" si="289"/>
        <v>December!$E$1:$E$92</v>
      </c>
      <c r="D3683" s="159" t="str">
        <f t="shared" si="290"/>
        <v>December!$F$1:$F$92</v>
      </c>
      <c r="E3683" t="s">
        <v>7</v>
      </c>
      <c r="F3683" t="s">
        <v>131</v>
      </c>
      <c r="G3683" t="s">
        <v>142</v>
      </c>
      <c r="H3683" t="s">
        <v>44</v>
      </c>
      <c r="I3683" t="e">
        <f t="shared" ca="1" si="291"/>
        <v>#REF!</v>
      </c>
      <c r="J3683" t="str">
        <f>VLOOKUP($G3683,DefinitionArrays!$I$6:$J$12,2,FALSE)</f>
        <v>Workweek</v>
      </c>
    </row>
    <row r="3684" spans="1:10">
      <c r="A3684" s="159" t="str">
        <f t="shared" si="287"/>
        <v>$H$1:$H$92</v>
      </c>
      <c r="B3684" s="159" t="str">
        <f t="shared" si="288"/>
        <v>$I$1:$I$92</v>
      </c>
      <c r="C3684" s="159" t="str">
        <f t="shared" si="289"/>
        <v>December!$H$1:$H$92</v>
      </c>
      <c r="D3684" s="159" t="str">
        <f t="shared" si="290"/>
        <v>December!$I$1:$I$92</v>
      </c>
      <c r="E3684" t="s">
        <v>7</v>
      </c>
      <c r="F3684" t="s">
        <v>131</v>
      </c>
      <c r="G3684" t="s">
        <v>143</v>
      </c>
      <c r="H3684" t="s">
        <v>159</v>
      </c>
      <c r="I3684" t="e">
        <f t="shared" ca="1" si="291"/>
        <v>#REF!</v>
      </c>
      <c r="J3684" t="str">
        <f>VLOOKUP($G3684,DefinitionArrays!$I$6:$J$12,2,FALSE)</f>
        <v>Workweek</v>
      </c>
    </row>
    <row r="3685" spans="1:10">
      <c r="A3685" s="159" t="str">
        <f t="shared" si="287"/>
        <v>$H$1:$H$92</v>
      </c>
      <c r="B3685" s="159" t="str">
        <f t="shared" si="288"/>
        <v>$I$1:$I$92</v>
      </c>
      <c r="C3685" s="159" t="str">
        <f t="shared" si="289"/>
        <v>December!$H$1:$H$92</v>
      </c>
      <c r="D3685" s="159" t="str">
        <f t="shared" si="290"/>
        <v>December!$I$1:$I$92</v>
      </c>
      <c r="E3685" t="s">
        <v>7</v>
      </c>
      <c r="F3685" t="s">
        <v>131</v>
      </c>
      <c r="G3685" t="s">
        <v>143</v>
      </c>
      <c r="H3685" t="s">
        <v>18</v>
      </c>
      <c r="I3685" t="e">
        <f t="shared" ca="1" si="291"/>
        <v>#REF!</v>
      </c>
      <c r="J3685" t="str">
        <f>VLOOKUP($G3685,DefinitionArrays!$I$6:$J$12,2,FALSE)</f>
        <v>Workweek</v>
      </c>
    </row>
    <row r="3686" spans="1:10">
      <c r="A3686" s="159" t="str">
        <f t="shared" si="287"/>
        <v>$H$1:$H$92</v>
      </c>
      <c r="B3686" s="159" t="str">
        <f t="shared" si="288"/>
        <v>$I$1:$I$92</v>
      </c>
      <c r="C3686" s="159" t="str">
        <f t="shared" si="289"/>
        <v>December!$H$1:$H$92</v>
      </c>
      <c r="D3686" s="159" t="str">
        <f t="shared" si="290"/>
        <v>December!$I$1:$I$92</v>
      </c>
      <c r="E3686" t="s">
        <v>7</v>
      </c>
      <c r="F3686" t="s">
        <v>131</v>
      </c>
      <c r="G3686" t="s">
        <v>143</v>
      </c>
      <c r="H3686" t="s">
        <v>153</v>
      </c>
      <c r="I3686" t="e">
        <f t="shared" ca="1" si="291"/>
        <v>#REF!</v>
      </c>
      <c r="J3686" t="str">
        <f>VLOOKUP($G3686,DefinitionArrays!$I$6:$J$12,2,FALSE)</f>
        <v>Workweek</v>
      </c>
    </row>
    <row r="3687" spans="1:10">
      <c r="A3687" s="159" t="str">
        <f t="shared" si="287"/>
        <v>$H$1:$H$92</v>
      </c>
      <c r="B3687" s="159" t="str">
        <f t="shared" si="288"/>
        <v>$I$1:$I$92</v>
      </c>
      <c r="C3687" s="159" t="str">
        <f t="shared" si="289"/>
        <v>December!$H$1:$H$92</v>
      </c>
      <c r="D3687" s="159" t="str">
        <f t="shared" si="290"/>
        <v>December!$I$1:$I$92</v>
      </c>
      <c r="E3687" t="s">
        <v>7</v>
      </c>
      <c r="F3687" t="s">
        <v>131</v>
      </c>
      <c r="G3687" t="s">
        <v>143</v>
      </c>
      <c r="H3687" t="s">
        <v>19</v>
      </c>
      <c r="I3687" t="e">
        <f t="shared" ca="1" si="291"/>
        <v>#REF!</v>
      </c>
      <c r="J3687" t="str">
        <f>VLOOKUP($G3687,DefinitionArrays!$I$6:$J$12,2,FALSE)</f>
        <v>Workweek</v>
      </c>
    </row>
    <row r="3688" spans="1:10">
      <c r="A3688" s="159" t="str">
        <f t="shared" si="287"/>
        <v>$H$1:$H$92</v>
      </c>
      <c r="B3688" s="159" t="str">
        <f t="shared" si="288"/>
        <v>$I$1:$I$92</v>
      </c>
      <c r="C3688" s="159" t="str">
        <f t="shared" si="289"/>
        <v>December!$H$1:$H$92</v>
      </c>
      <c r="D3688" s="159" t="str">
        <f t="shared" si="290"/>
        <v>December!$I$1:$I$92</v>
      </c>
      <c r="E3688" t="s">
        <v>7</v>
      </c>
      <c r="F3688" t="s">
        <v>131</v>
      </c>
      <c r="G3688" t="s">
        <v>143</v>
      </c>
      <c r="H3688" t="s">
        <v>20</v>
      </c>
      <c r="I3688" t="e">
        <f t="shared" ca="1" si="291"/>
        <v>#REF!</v>
      </c>
      <c r="J3688" t="str">
        <f>VLOOKUP($G3688,DefinitionArrays!$I$6:$J$12,2,FALSE)</f>
        <v>Workweek</v>
      </c>
    </row>
    <row r="3689" spans="1:10">
      <c r="A3689" s="159" t="str">
        <f t="shared" si="287"/>
        <v>$H$1:$H$92</v>
      </c>
      <c r="B3689" s="159" t="str">
        <f t="shared" si="288"/>
        <v>$I$1:$I$92</v>
      </c>
      <c r="C3689" s="159" t="str">
        <f t="shared" si="289"/>
        <v>December!$H$1:$H$92</v>
      </c>
      <c r="D3689" s="159" t="str">
        <f t="shared" si="290"/>
        <v>December!$I$1:$I$92</v>
      </c>
      <c r="E3689" t="s">
        <v>7</v>
      </c>
      <c r="F3689" t="s">
        <v>131</v>
      </c>
      <c r="G3689" t="s">
        <v>143</v>
      </c>
      <c r="H3689" t="s">
        <v>21</v>
      </c>
      <c r="I3689" t="e">
        <f t="shared" ca="1" si="291"/>
        <v>#REF!</v>
      </c>
      <c r="J3689" t="str">
        <f>VLOOKUP($G3689,DefinitionArrays!$I$6:$J$12,2,FALSE)</f>
        <v>Workweek</v>
      </c>
    </row>
    <row r="3690" spans="1:10">
      <c r="A3690" s="159" t="str">
        <f t="shared" si="287"/>
        <v>$H$1:$H$92</v>
      </c>
      <c r="B3690" s="159" t="str">
        <f t="shared" si="288"/>
        <v>$I$1:$I$92</v>
      </c>
      <c r="C3690" s="159" t="str">
        <f t="shared" si="289"/>
        <v>December!$H$1:$H$92</v>
      </c>
      <c r="D3690" s="159" t="str">
        <f t="shared" si="290"/>
        <v>December!$I$1:$I$92</v>
      </c>
      <c r="E3690" t="s">
        <v>7</v>
      </c>
      <c r="F3690" t="s">
        <v>131</v>
      </c>
      <c r="G3690" t="s">
        <v>143</v>
      </c>
      <c r="H3690" t="s">
        <v>22</v>
      </c>
      <c r="I3690" t="e">
        <f t="shared" ca="1" si="291"/>
        <v>#REF!</v>
      </c>
      <c r="J3690" t="str">
        <f>VLOOKUP($G3690,DefinitionArrays!$I$6:$J$12,2,FALSE)</f>
        <v>Workweek</v>
      </c>
    </row>
    <row r="3691" spans="1:10">
      <c r="A3691" s="159" t="str">
        <f t="shared" si="287"/>
        <v>$H$1:$H$92</v>
      </c>
      <c r="B3691" s="159" t="str">
        <f t="shared" si="288"/>
        <v>$I$1:$I$92</v>
      </c>
      <c r="C3691" s="159" t="str">
        <f t="shared" si="289"/>
        <v>December!$H$1:$H$92</v>
      </c>
      <c r="D3691" s="159" t="str">
        <f t="shared" si="290"/>
        <v>December!$I$1:$I$92</v>
      </c>
      <c r="E3691" t="s">
        <v>7</v>
      </c>
      <c r="F3691" t="s">
        <v>131</v>
      </c>
      <c r="G3691" t="s">
        <v>143</v>
      </c>
      <c r="H3691" t="s">
        <v>23</v>
      </c>
      <c r="I3691" t="e">
        <f t="shared" ca="1" si="291"/>
        <v>#REF!</v>
      </c>
      <c r="J3691" t="str">
        <f>VLOOKUP($G3691,DefinitionArrays!$I$6:$J$12,2,FALSE)</f>
        <v>Workweek</v>
      </c>
    </row>
    <row r="3692" spans="1:10">
      <c r="A3692" s="159" t="str">
        <f t="shared" si="287"/>
        <v>$H$1:$H$92</v>
      </c>
      <c r="B3692" s="159" t="str">
        <f t="shared" si="288"/>
        <v>$I$1:$I$92</v>
      </c>
      <c r="C3692" s="159" t="str">
        <f t="shared" si="289"/>
        <v>December!$H$1:$H$92</v>
      </c>
      <c r="D3692" s="159" t="str">
        <f t="shared" si="290"/>
        <v>December!$I$1:$I$92</v>
      </c>
      <c r="E3692" t="s">
        <v>7</v>
      </c>
      <c r="F3692" t="s">
        <v>131</v>
      </c>
      <c r="G3692" t="s">
        <v>143</v>
      </c>
      <c r="H3692" t="s">
        <v>24</v>
      </c>
      <c r="I3692" t="e">
        <f t="shared" ca="1" si="291"/>
        <v>#REF!</v>
      </c>
      <c r="J3692" t="str">
        <f>VLOOKUP($G3692,DefinitionArrays!$I$6:$J$12,2,FALSE)</f>
        <v>Workweek</v>
      </c>
    </row>
    <row r="3693" spans="1:10">
      <c r="A3693" s="159" t="str">
        <f t="shared" si="287"/>
        <v>$H$1:$H$92</v>
      </c>
      <c r="B3693" s="159" t="str">
        <f t="shared" si="288"/>
        <v>$I$1:$I$92</v>
      </c>
      <c r="C3693" s="159" t="str">
        <f t="shared" si="289"/>
        <v>December!$H$1:$H$92</v>
      </c>
      <c r="D3693" s="159" t="str">
        <f t="shared" si="290"/>
        <v>December!$I$1:$I$92</v>
      </c>
      <c r="E3693" t="s">
        <v>7</v>
      </c>
      <c r="F3693" t="s">
        <v>131</v>
      </c>
      <c r="G3693" t="s">
        <v>143</v>
      </c>
      <c r="H3693" t="s">
        <v>179</v>
      </c>
      <c r="I3693" t="e">
        <f t="shared" ca="1" si="291"/>
        <v>#REF!</v>
      </c>
      <c r="J3693" t="str">
        <f>VLOOKUP($G3693,DefinitionArrays!$I$6:$J$12,2,FALSE)</f>
        <v>Workweek</v>
      </c>
    </row>
    <row r="3694" spans="1:10">
      <c r="A3694" s="159" t="str">
        <f t="shared" si="287"/>
        <v>$H$1:$H$92</v>
      </c>
      <c r="B3694" s="159" t="str">
        <f t="shared" si="288"/>
        <v>$I$1:$I$92</v>
      </c>
      <c r="C3694" s="159" t="str">
        <f t="shared" si="289"/>
        <v>December!$H$1:$H$92</v>
      </c>
      <c r="D3694" s="159" t="str">
        <f t="shared" si="290"/>
        <v>December!$I$1:$I$92</v>
      </c>
      <c r="E3694" t="s">
        <v>7</v>
      </c>
      <c r="F3694" t="s">
        <v>131</v>
      </c>
      <c r="G3694" t="s">
        <v>143</v>
      </c>
      <c r="H3694" t="s">
        <v>180</v>
      </c>
      <c r="I3694" t="e">
        <f t="shared" ca="1" si="291"/>
        <v>#REF!</v>
      </c>
      <c r="J3694" t="str">
        <f>VLOOKUP($G3694,DefinitionArrays!$I$6:$J$12,2,FALSE)</f>
        <v>Workweek</v>
      </c>
    </row>
    <row r="3695" spans="1:10">
      <c r="A3695" s="159" t="str">
        <f t="shared" si="287"/>
        <v>$H$1:$H$92</v>
      </c>
      <c r="B3695" s="159" t="str">
        <f t="shared" si="288"/>
        <v>$I$1:$I$92</v>
      </c>
      <c r="C3695" s="159" t="str">
        <f t="shared" si="289"/>
        <v>December!$H$1:$H$92</v>
      </c>
      <c r="D3695" s="159" t="str">
        <f t="shared" si="290"/>
        <v>December!$I$1:$I$92</v>
      </c>
      <c r="E3695" t="s">
        <v>7</v>
      </c>
      <c r="F3695" t="s">
        <v>131</v>
      </c>
      <c r="G3695" t="s">
        <v>143</v>
      </c>
      <c r="H3695" t="s">
        <v>44</v>
      </c>
      <c r="I3695" t="e">
        <f t="shared" ca="1" si="291"/>
        <v>#REF!</v>
      </c>
      <c r="J3695" t="str">
        <f>VLOOKUP($G3695,DefinitionArrays!$I$6:$J$12,2,FALSE)</f>
        <v>Workweek</v>
      </c>
    </row>
    <row r="3696" spans="1:10">
      <c r="A3696" s="159" t="str">
        <f t="shared" si="287"/>
        <v>$K$1:$K$92</v>
      </c>
      <c r="B3696" s="159" t="str">
        <f t="shared" si="288"/>
        <v>$L$1:$L$92</v>
      </c>
      <c r="C3696" s="159" t="str">
        <f t="shared" si="289"/>
        <v>December!$K$1:$K$92</v>
      </c>
      <c r="D3696" s="159" t="str">
        <f t="shared" si="290"/>
        <v>December!$L$1:$L$92</v>
      </c>
      <c r="E3696" t="s">
        <v>7</v>
      </c>
      <c r="F3696" t="s">
        <v>131</v>
      </c>
      <c r="G3696" t="s">
        <v>144</v>
      </c>
      <c r="H3696" t="s">
        <v>159</v>
      </c>
      <c r="I3696" t="e">
        <f t="shared" ca="1" si="291"/>
        <v>#REF!</v>
      </c>
      <c r="J3696" t="str">
        <f>VLOOKUP($G3696,DefinitionArrays!$I$6:$J$12,2,FALSE)</f>
        <v>Workweek</v>
      </c>
    </row>
    <row r="3697" spans="1:10">
      <c r="A3697" s="159" t="str">
        <f t="shared" si="287"/>
        <v>$K$1:$K$92</v>
      </c>
      <c r="B3697" s="159" t="str">
        <f t="shared" si="288"/>
        <v>$L$1:$L$92</v>
      </c>
      <c r="C3697" s="159" t="str">
        <f t="shared" si="289"/>
        <v>December!$K$1:$K$92</v>
      </c>
      <c r="D3697" s="159" t="str">
        <f t="shared" si="290"/>
        <v>December!$L$1:$L$92</v>
      </c>
      <c r="E3697" t="s">
        <v>7</v>
      </c>
      <c r="F3697" t="s">
        <v>131</v>
      </c>
      <c r="G3697" t="s">
        <v>144</v>
      </c>
      <c r="H3697" t="s">
        <v>18</v>
      </c>
      <c r="I3697" t="e">
        <f t="shared" ca="1" si="291"/>
        <v>#REF!</v>
      </c>
      <c r="J3697" t="str">
        <f>VLOOKUP($G3697,DefinitionArrays!$I$6:$J$12,2,FALSE)</f>
        <v>Workweek</v>
      </c>
    </row>
    <row r="3698" spans="1:10">
      <c r="A3698" s="159" t="str">
        <f t="shared" si="287"/>
        <v>$K$1:$K$92</v>
      </c>
      <c r="B3698" s="159" t="str">
        <f t="shared" si="288"/>
        <v>$L$1:$L$92</v>
      </c>
      <c r="C3698" s="159" t="str">
        <f t="shared" si="289"/>
        <v>December!$K$1:$K$92</v>
      </c>
      <c r="D3698" s="159" t="str">
        <f t="shared" si="290"/>
        <v>December!$L$1:$L$92</v>
      </c>
      <c r="E3698" t="s">
        <v>7</v>
      </c>
      <c r="F3698" t="s">
        <v>131</v>
      </c>
      <c r="G3698" t="s">
        <v>144</v>
      </c>
      <c r="H3698" t="s">
        <v>153</v>
      </c>
      <c r="I3698" t="e">
        <f t="shared" ca="1" si="291"/>
        <v>#REF!</v>
      </c>
      <c r="J3698" t="str">
        <f>VLOOKUP($G3698,DefinitionArrays!$I$6:$J$12,2,FALSE)</f>
        <v>Workweek</v>
      </c>
    </row>
    <row r="3699" spans="1:10">
      <c r="A3699" s="159" t="str">
        <f t="shared" si="287"/>
        <v>$K$1:$K$92</v>
      </c>
      <c r="B3699" s="159" t="str">
        <f t="shared" si="288"/>
        <v>$L$1:$L$92</v>
      </c>
      <c r="C3699" s="159" t="str">
        <f t="shared" si="289"/>
        <v>December!$K$1:$K$92</v>
      </c>
      <c r="D3699" s="159" t="str">
        <f t="shared" si="290"/>
        <v>December!$L$1:$L$92</v>
      </c>
      <c r="E3699" t="s">
        <v>7</v>
      </c>
      <c r="F3699" t="s">
        <v>131</v>
      </c>
      <c r="G3699" t="s">
        <v>144</v>
      </c>
      <c r="H3699" t="s">
        <v>19</v>
      </c>
      <c r="I3699" t="e">
        <f t="shared" ca="1" si="291"/>
        <v>#REF!</v>
      </c>
      <c r="J3699" t="str">
        <f>VLOOKUP($G3699,DefinitionArrays!$I$6:$J$12,2,FALSE)</f>
        <v>Workweek</v>
      </c>
    </row>
    <row r="3700" spans="1:10">
      <c r="A3700" s="159" t="str">
        <f t="shared" si="287"/>
        <v>$K$1:$K$92</v>
      </c>
      <c r="B3700" s="159" t="str">
        <f t="shared" si="288"/>
        <v>$L$1:$L$92</v>
      </c>
      <c r="C3700" s="159" t="str">
        <f t="shared" si="289"/>
        <v>December!$K$1:$K$92</v>
      </c>
      <c r="D3700" s="159" t="str">
        <f t="shared" si="290"/>
        <v>December!$L$1:$L$92</v>
      </c>
      <c r="E3700" t="s">
        <v>7</v>
      </c>
      <c r="F3700" t="s">
        <v>131</v>
      </c>
      <c r="G3700" t="s">
        <v>144</v>
      </c>
      <c r="H3700" t="s">
        <v>20</v>
      </c>
      <c r="I3700" t="e">
        <f t="shared" ca="1" si="291"/>
        <v>#REF!</v>
      </c>
      <c r="J3700" t="str">
        <f>VLOOKUP($G3700,DefinitionArrays!$I$6:$J$12,2,FALSE)</f>
        <v>Workweek</v>
      </c>
    </row>
    <row r="3701" spans="1:10">
      <c r="A3701" s="159" t="str">
        <f t="shared" si="287"/>
        <v>$K$1:$K$92</v>
      </c>
      <c r="B3701" s="159" t="str">
        <f t="shared" si="288"/>
        <v>$L$1:$L$92</v>
      </c>
      <c r="C3701" s="159" t="str">
        <f t="shared" si="289"/>
        <v>December!$K$1:$K$92</v>
      </c>
      <c r="D3701" s="159" t="str">
        <f t="shared" si="290"/>
        <v>December!$L$1:$L$92</v>
      </c>
      <c r="E3701" t="s">
        <v>7</v>
      </c>
      <c r="F3701" t="s">
        <v>131</v>
      </c>
      <c r="G3701" t="s">
        <v>144</v>
      </c>
      <c r="H3701" t="s">
        <v>21</v>
      </c>
      <c r="I3701" t="e">
        <f t="shared" ca="1" si="291"/>
        <v>#REF!</v>
      </c>
      <c r="J3701" t="str">
        <f>VLOOKUP($G3701,DefinitionArrays!$I$6:$J$12,2,FALSE)</f>
        <v>Workweek</v>
      </c>
    </row>
    <row r="3702" spans="1:10">
      <c r="A3702" s="159" t="str">
        <f t="shared" si="287"/>
        <v>$K$1:$K$92</v>
      </c>
      <c r="B3702" s="159" t="str">
        <f t="shared" si="288"/>
        <v>$L$1:$L$92</v>
      </c>
      <c r="C3702" s="159" t="str">
        <f t="shared" si="289"/>
        <v>December!$K$1:$K$92</v>
      </c>
      <c r="D3702" s="159" t="str">
        <f t="shared" si="290"/>
        <v>December!$L$1:$L$92</v>
      </c>
      <c r="E3702" t="s">
        <v>7</v>
      </c>
      <c r="F3702" t="s">
        <v>131</v>
      </c>
      <c r="G3702" t="s">
        <v>144</v>
      </c>
      <c r="H3702" t="s">
        <v>22</v>
      </c>
      <c r="I3702" t="e">
        <f t="shared" ca="1" si="291"/>
        <v>#REF!</v>
      </c>
      <c r="J3702" t="str">
        <f>VLOOKUP($G3702,DefinitionArrays!$I$6:$J$12,2,FALSE)</f>
        <v>Workweek</v>
      </c>
    </row>
    <row r="3703" spans="1:10">
      <c r="A3703" s="159" t="str">
        <f t="shared" si="287"/>
        <v>$K$1:$K$92</v>
      </c>
      <c r="B3703" s="159" t="str">
        <f t="shared" si="288"/>
        <v>$L$1:$L$92</v>
      </c>
      <c r="C3703" s="159" t="str">
        <f t="shared" si="289"/>
        <v>December!$K$1:$K$92</v>
      </c>
      <c r="D3703" s="159" t="str">
        <f t="shared" si="290"/>
        <v>December!$L$1:$L$92</v>
      </c>
      <c r="E3703" t="s">
        <v>7</v>
      </c>
      <c r="F3703" t="s">
        <v>131</v>
      </c>
      <c r="G3703" t="s">
        <v>144</v>
      </c>
      <c r="H3703" t="s">
        <v>23</v>
      </c>
      <c r="I3703" t="e">
        <f t="shared" ca="1" si="291"/>
        <v>#REF!</v>
      </c>
      <c r="J3703" t="str">
        <f>VLOOKUP($G3703,DefinitionArrays!$I$6:$J$12,2,FALSE)</f>
        <v>Workweek</v>
      </c>
    </row>
    <row r="3704" spans="1:10">
      <c r="A3704" s="159" t="str">
        <f t="shared" si="287"/>
        <v>$K$1:$K$92</v>
      </c>
      <c r="B3704" s="159" t="str">
        <f t="shared" si="288"/>
        <v>$L$1:$L$92</v>
      </c>
      <c r="C3704" s="159" t="str">
        <f t="shared" si="289"/>
        <v>December!$K$1:$K$92</v>
      </c>
      <c r="D3704" s="159" t="str">
        <f t="shared" si="290"/>
        <v>December!$L$1:$L$92</v>
      </c>
      <c r="E3704" t="s">
        <v>7</v>
      </c>
      <c r="F3704" t="s">
        <v>131</v>
      </c>
      <c r="G3704" t="s">
        <v>144</v>
      </c>
      <c r="H3704" t="s">
        <v>24</v>
      </c>
      <c r="I3704" t="e">
        <f t="shared" ca="1" si="291"/>
        <v>#REF!</v>
      </c>
      <c r="J3704" t="str">
        <f>VLOOKUP($G3704,DefinitionArrays!$I$6:$J$12,2,FALSE)</f>
        <v>Workweek</v>
      </c>
    </row>
    <row r="3705" spans="1:10">
      <c r="A3705" s="159" t="str">
        <f t="shared" si="287"/>
        <v>$K$1:$K$92</v>
      </c>
      <c r="B3705" s="159" t="str">
        <f t="shared" si="288"/>
        <v>$L$1:$L$92</v>
      </c>
      <c r="C3705" s="159" t="str">
        <f t="shared" si="289"/>
        <v>December!$K$1:$K$92</v>
      </c>
      <c r="D3705" s="159" t="str">
        <f t="shared" si="290"/>
        <v>December!$L$1:$L$92</v>
      </c>
      <c r="E3705" t="s">
        <v>7</v>
      </c>
      <c r="F3705" t="s">
        <v>131</v>
      </c>
      <c r="G3705" t="s">
        <v>144</v>
      </c>
      <c r="H3705" t="s">
        <v>179</v>
      </c>
      <c r="I3705" t="e">
        <f t="shared" ca="1" si="291"/>
        <v>#REF!</v>
      </c>
      <c r="J3705" t="str">
        <f>VLOOKUP($G3705,DefinitionArrays!$I$6:$J$12,2,FALSE)</f>
        <v>Workweek</v>
      </c>
    </row>
    <row r="3706" spans="1:10">
      <c r="A3706" s="159" t="str">
        <f t="shared" si="287"/>
        <v>$K$1:$K$92</v>
      </c>
      <c r="B3706" s="159" t="str">
        <f t="shared" si="288"/>
        <v>$L$1:$L$92</v>
      </c>
      <c r="C3706" s="159" t="str">
        <f t="shared" si="289"/>
        <v>December!$K$1:$K$92</v>
      </c>
      <c r="D3706" s="159" t="str">
        <f t="shared" si="290"/>
        <v>December!$L$1:$L$92</v>
      </c>
      <c r="E3706" t="s">
        <v>7</v>
      </c>
      <c r="F3706" t="s">
        <v>131</v>
      </c>
      <c r="G3706" t="s">
        <v>144</v>
      </c>
      <c r="H3706" t="s">
        <v>180</v>
      </c>
      <c r="I3706" t="e">
        <f t="shared" ca="1" si="291"/>
        <v>#REF!</v>
      </c>
      <c r="J3706" t="str">
        <f>VLOOKUP($G3706,DefinitionArrays!$I$6:$J$12,2,FALSE)</f>
        <v>Workweek</v>
      </c>
    </row>
    <row r="3707" spans="1:10">
      <c r="A3707" s="159" t="str">
        <f t="shared" si="287"/>
        <v>$K$1:$K$92</v>
      </c>
      <c r="B3707" s="159" t="str">
        <f t="shared" si="288"/>
        <v>$L$1:$L$92</v>
      </c>
      <c r="C3707" s="159" t="str">
        <f t="shared" si="289"/>
        <v>December!$K$1:$K$92</v>
      </c>
      <c r="D3707" s="159" t="str">
        <f t="shared" si="290"/>
        <v>December!$L$1:$L$92</v>
      </c>
      <c r="E3707" t="s">
        <v>7</v>
      </c>
      <c r="F3707" t="s">
        <v>131</v>
      </c>
      <c r="G3707" t="s">
        <v>144</v>
      </c>
      <c r="H3707" t="s">
        <v>44</v>
      </c>
      <c r="I3707" t="e">
        <f t="shared" ca="1" si="291"/>
        <v>#REF!</v>
      </c>
      <c r="J3707" t="str">
        <f>VLOOKUP($G3707,DefinitionArrays!$I$6:$J$12,2,FALSE)</f>
        <v>Workweek</v>
      </c>
    </row>
    <row r="3708" spans="1:10">
      <c r="A3708" s="159" t="str">
        <f t="shared" si="287"/>
        <v>$N$1:$N$92</v>
      </c>
      <c r="B3708" s="159" t="str">
        <f t="shared" si="288"/>
        <v>$O$1:$O$92</v>
      </c>
      <c r="C3708" s="159" t="str">
        <f t="shared" si="289"/>
        <v>December!$N$1:$N$92</v>
      </c>
      <c r="D3708" s="159" t="str">
        <f t="shared" si="290"/>
        <v>December!$O$1:$O$92</v>
      </c>
      <c r="E3708" t="s">
        <v>7</v>
      </c>
      <c r="F3708" t="s">
        <v>131</v>
      </c>
      <c r="G3708" t="s">
        <v>145</v>
      </c>
      <c r="H3708" t="s">
        <v>159</v>
      </c>
      <c r="I3708" t="e">
        <f t="shared" ca="1" si="291"/>
        <v>#REF!</v>
      </c>
      <c r="J3708" t="str">
        <f>VLOOKUP($G3708,DefinitionArrays!$I$6:$J$12,2,FALSE)</f>
        <v>Weekend</v>
      </c>
    </row>
    <row r="3709" spans="1:10">
      <c r="A3709" s="159" t="str">
        <f t="shared" si="287"/>
        <v>$N$1:$N$92</v>
      </c>
      <c r="B3709" s="159" t="str">
        <f t="shared" si="288"/>
        <v>$O$1:$O$92</v>
      </c>
      <c r="C3709" s="159" t="str">
        <f t="shared" si="289"/>
        <v>December!$N$1:$N$92</v>
      </c>
      <c r="D3709" s="159" t="str">
        <f t="shared" si="290"/>
        <v>December!$O$1:$O$92</v>
      </c>
      <c r="E3709" t="s">
        <v>7</v>
      </c>
      <c r="F3709" t="s">
        <v>131</v>
      </c>
      <c r="G3709" t="s">
        <v>145</v>
      </c>
      <c r="H3709" t="s">
        <v>18</v>
      </c>
      <c r="I3709" t="e">
        <f t="shared" ca="1" si="291"/>
        <v>#REF!</v>
      </c>
      <c r="J3709" t="str">
        <f>VLOOKUP($G3709,DefinitionArrays!$I$6:$J$12,2,FALSE)</f>
        <v>Weekend</v>
      </c>
    </row>
    <row r="3710" spans="1:10">
      <c r="A3710" s="159" t="str">
        <f t="shared" si="287"/>
        <v>$N$1:$N$92</v>
      </c>
      <c r="B3710" s="159" t="str">
        <f t="shared" si="288"/>
        <v>$O$1:$O$92</v>
      </c>
      <c r="C3710" s="159" t="str">
        <f t="shared" si="289"/>
        <v>December!$N$1:$N$92</v>
      </c>
      <c r="D3710" s="159" t="str">
        <f t="shared" si="290"/>
        <v>December!$O$1:$O$92</v>
      </c>
      <c r="E3710" t="s">
        <v>7</v>
      </c>
      <c r="F3710" t="s">
        <v>131</v>
      </c>
      <c r="G3710" t="s">
        <v>145</v>
      </c>
      <c r="H3710" t="s">
        <v>153</v>
      </c>
      <c r="I3710" t="e">
        <f t="shared" ca="1" si="291"/>
        <v>#REF!</v>
      </c>
      <c r="J3710" t="str">
        <f>VLOOKUP($G3710,DefinitionArrays!$I$6:$J$12,2,FALSE)</f>
        <v>Weekend</v>
      </c>
    </row>
    <row r="3711" spans="1:10">
      <c r="A3711" s="159" t="str">
        <f t="shared" si="287"/>
        <v>$N$1:$N$92</v>
      </c>
      <c r="B3711" s="159" t="str">
        <f t="shared" si="288"/>
        <v>$O$1:$O$92</v>
      </c>
      <c r="C3711" s="159" t="str">
        <f t="shared" si="289"/>
        <v>December!$N$1:$N$92</v>
      </c>
      <c r="D3711" s="159" t="str">
        <f t="shared" si="290"/>
        <v>December!$O$1:$O$92</v>
      </c>
      <c r="E3711" t="s">
        <v>7</v>
      </c>
      <c r="F3711" t="s">
        <v>131</v>
      </c>
      <c r="G3711" t="s">
        <v>145</v>
      </c>
      <c r="H3711" t="s">
        <v>19</v>
      </c>
      <c r="I3711" t="e">
        <f t="shared" ca="1" si="291"/>
        <v>#REF!</v>
      </c>
      <c r="J3711" t="str">
        <f>VLOOKUP($G3711,DefinitionArrays!$I$6:$J$12,2,FALSE)</f>
        <v>Weekend</v>
      </c>
    </row>
    <row r="3712" spans="1:10">
      <c r="A3712" s="159" t="str">
        <f t="shared" si="287"/>
        <v>$N$1:$N$92</v>
      </c>
      <c r="B3712" s="159" t="str">
        <f t="shared" si="288"/>
        <v>$O$1:$O$92</v>
      </c>
      <c r="C3712" s="159" t="str">
        <f t="shared" si="289"/>
        <v>December!$N$1:$N$92</v>
      </c>
      <c r="D3712" s="159" t="str">
        <f t="shared" si="290"/>
        <v>December!$O$1:$O$92</v>
      </c>
      <c r="E3712" t="s">
        <v>7</v>
      </c>
      <c r="F3712" t="s">
        <v>131</v>
      </c>
      <c r="G3712" t="s">
        <v>145</v>
      </c>
      <c r="H3712" t="s">
        <v>20</v>
      </c>
      <c r="I3712" t="e">
        <f t="shared" ca="1" si="291"/>
        <v>#REF!</v>
      </c>
      <c r="J3712" t="str">
        <f>VLOOKUP($G3712,DefinitionArrays!$I$6:$J$12,2,FALSE)</f>
        <v>Weekend</v>
      </c>
    </row>
    <row r="3713" spans="1:10">
      <c r="A3713" s="159" t="str">
        <f t="shared" si="287"/>
        <v>$N$1:$N$92</v>
      </c>
      <c r="B3713" s="159" t="str">
        <f t="shared" si="288"/>
        <v>$O$1:$O$92</v>
      </c>
      <c r="C3713" s="159" t="str">
        <f t="shared" si="289"/>
        <v>December!$N$1:$N$92</v>
      </c>
      <c r="D3713" s="159" t="str">
        <f t="shared" si="290"/>
        <v>December!$O$1:$O$92</v>
      </c>
      <c r="E3713" t="s">
        <v>7</v>
      </c>
      <c r="F3713" t="s">
        <v>131</v>
      </c>
      <c r="G3713" t="s">
        <v>145</v>
      </c>
      <c r="H3713" t="s">
        <v>21</v>
      </c>
      <c r="I3713" t="e">
        <f t="shared" ca="1" si="291"/>
        <v>#REF!</v>
      </c>
      <c r="J3713" t="str">
        <f>VLOOKUP($G3713,DefinitionArrays!$I$6:$J$12,2,FALSE)</f>
        <v>Weekend</v>
      </c>
    </row>
    <row r="3714" spans="1:10">
      <c r="A3714" s="159" t="str">
        <f t="shared" ref="A3714:A3777" si="292">VLOOKUP($G3714,Fx_Code,2,FALSE)</f>
        <v>$N$1:$N$92</v>
      </c>
      <c r="B3714" s="159" t="str">
        <f t="shared" ref="B3714:B3777" si="293">VLOOKUP($G3714,Fx_Code,3,FALSE)</f>
        <v>$O$1:$O$92</v>
      </c>
      <c r="C3714" s="159" t="str">
        <f t="shared" ref="C3714:C3777" si="294">CONCATENATE($F3714,$K$1,A3714)</f>
        <v>December!$N$1:$N$92</v>
      </c>
      <c r="D3714" s="159" t="str">
        <f t="shared" ref="D3714:D3777" si="295">CONCATENATE($F3714,$K$1,B3714)</f>
        <v>December!$O$1:$O$92</v>
      </c>
      <c r="E3714" t="s">
        <v>7</v>
      </c>
      <c r="F3714" t="s">
        <v>131</v>
      </c>
      <c r="G3714" t="s">
        <v>145</v>
      </c>
      <c r="H3714" t="s">
        <v>22</v>
      </c>
      <c r="I3714" t="e">
        <f t="shared" ca="1" si="291"/>
        <v>#REF!</v>
      </c>
      <c r="J3714" t="str">
        <f>VLOOKUP($G3714,DefinitionArrays!$I$6:$J$12,2,FALSE)</f>
        <v>Weekend</v>
      </c>
    </row>
    <row r="3715" spans="1:10">
      <c r="A3715" s="159" t="str">
        <f t="shared" si="292"/>
        <v>$N$1:$N$92</v>
      </c>
      <c r="B3715" s="159" t="str">
        <f t="shared" si="293"/>
        <v>$O$1:$O$92</v>
      </c>
      <c r="C3715" s="159" t="str">
        <f t="shared" si="294"/>
        <v>December!$N$1:$N$92</v>
      </c>
      <c r="D3715" s="159" t="str">
        <f t="shared" si="295"/>
        <v>December!$O$1:$O$92</v>
      </c>
      <c r="E3715" t="s">
        <v>7</v>
      </c>
      <c r="F3715" t="s">
        <v>131</v>
      </c>
      <c r="G3715" t="s">
        <v>145</v>
      </c>
      <c r="H3715" t="s">
        <v>23</v>
      </c>
      <c r="I3715" t="e">
        <f t="shared" ca="1" si="291"/>
        <v>#REF!</v>
      </c>
      <c r="J3715" t="str">
        <f>VLOOKUP($G3715,DefinitionArrays!$I$6:$J$12,2,FALSE)</f>
        <v>Weekend</v>
      </c>
    </row>
    <row r="3716" spans="1:10">
      <c r="A3716" s="159" t="str">
        <f t="shared" si="292"/>
        <v>$N$1:$N$92</v>
      </c>
      <c r="B3716" s="159" t="str">
        <f t="shared" si="293"/>
        <v>$O$1:$O$92</v>
      </c>
      <c r="C3716" s="159" t="str">
        <f t="shared" si="294"/>
        <v>December!$N$1:$N$92</v>
      </c>
      <c r="D3716" s="159" t="str">
        <f t="shared" si="295"/>
        <v>December!$O$1:$O$92</v>
      </c>
      <c r="E3716" t="s">
        <v>7</v>
      </c>
      <c r="F3716" t="s">
        <v>131</v>
      </c>
      <c r="G3716" t="s">
        <v>145</v>
      </c>
      <c r="H3716" t="s">
        <v>24</v>
      </c>
      <c r="I3716" t="e">
        <f t="shared" ca="1" si="291"/>
        <v>#REF!</v>
      </c>
      <c r="J3716" t="str">
        <f>VLOOKUP($G3716,DefinitionArrays!$I$6:$J$12,2,FALSE)</f>
        <v>Weekend</v>
      </c>
    </row>
    <row r="3717" spans="1:10">
      <c r="A3717" s="159" t="str">
        <f t="shared" si="292"/>
        <v>$N$1:$N$92</v>
      </c>
      <c r="B3717" s="159" t="str">
        <f t="shared" si="293"/>
        <v>$O$1:$O$92</v>
      </c>
      <c r="C3717" s="159" t="str">
        <f t="shared" si="294"/>
        <v>December!$N$1:$N$92</v>
      </c>
      <c r="D3717" s="159" t="str">
        <f t="shared" si="295"/>
        <v>December!$O$1:$O$92</v>
      </c>
      <c r="E3717" t="s">
        <v>7</v>
      </c>
      <c r="F3717" t="s">
        <v>131</v>
      </c>
      <c r="G3717" t="s">
        <v>145</v>
      </c>
      <c r="H3717" t="s">
        <v>179</v>
      </c>
      <c r="I3717" t="e">
        <f t="shared" ca="1" si="291"/>
        <v>#REF!</v>
      </c>
      <c r="J3717" t="str">
        <f>VLOOKUP($G3717,DefinitionArrays!$I$6:$J$12,2,FALSE)</f>
        <v>Weekend</v>
      </c>
    </row>
    <row r="3718" spans="1:10">
      <c r="A3718" s="159" t="str">
        <f t="shared" si="292"/>
        <v>$N$1:$N$92</v>
      </c>
      <c r="B3718" s="159" t="str">
        <f t="shared" si="293"/>
        <v>$O$1:$O$92</v>
      </c>
      <c r="C3718" s="159" t="str">
        <f t="shared" si="294"/>
        <v>December!$N$1:$N$92</v>
      </c>
      <c r="D3718" s="159" t="str">
        <f t="shared" si="295"/>
        <v>December!$O$1:$O$92</v>
      </c>
      <c r="E3718" t="s">
        <v>7</v>
      </c>
      <c r="F3718" t="s">
        <v>131</v>
      </c>
      <c r="G3718" t="s">
        <v>145</v>
      </c>
      <c r="H3718" t="s">
        <v>180</v>
      </c>
      <c r="I3718" t="e">
        <f t="shared" ca="1" si="291"/>
        <v>#REF!</v>
      </c>
      <c r="J3718" t="str">
        <f>VLOOKUP($G3718,DefinitionArrays!$I$6:$J$12,2,FALSE)</f>
        <v>Weekend</v>
      </c>
    </row>
    <row r="3719" spans="1:10">
      <c r="A3719" s="159" t="str">
        <f t="shared" si="292"/>
        <v>$N$1:$N$92</v>
      </c>
      <c r="B3719" s="159" t="str">
        <f t="shared" si="293"/>
        <v>$O$1:$O$92</v>
      </c>
      <c r="C3719" s="159" t="str">
        <f t="shared" si="294"/>
        <v>December!$N$1:$N$92</v>
      </c>
      <c r="D3719" s="159" t="str">
        <f t="shared" si="295"/>
        <v>December!$O$1:$O$92</v>
      </c>
      <c r="E3719" t="s">
        <v>7</v>
      </c>
      <c r="F3719" t="s">
        <v>131</v>
      </c>
      <c r="G3719" t="s">
        <v>145</v>
      </c>
      <c r="H3719" t="s">
        <v>44</v>
      </c>
      <c r="I3719" t="e">
        <f t="shared" ca="1" si="291"/>
        <v>#REF!</v>
      </c>
      <c r="J3719" t="str">
        <f>VLOOKUP($G3719,DefinitionArrays!$I$6:$J$12,2,FALSE)</f>
        <v>Weekend</v>
      </c>
    </row>
    <row r="3720" spans="1:10">
      <c r="A3720" s="159" t="str">
        <f t="shared" si="292"/>
        <v>$Q$1:$Q$92</v>
      </c>
      <c r="B3720" s="159" t="str">
        <f t="shared" si="293"/>
        <v>$R$1:$R$92</v>
      </c>
      <c r="C3720" s="159" t="str">
        <f t="shared" si="294"/>
        <v>December!$Q$1:$Q$92</v>
      </c>
      <c r="D3720" s="159" t="str">
        <f t="shared" si="295"/>
        <v>December!$R$1:$R$92</v>
      </c>
      <c r="E3720" t="s">
        <v>7</v>
      </c>
      <c r="F3720" t="s">
        <v>131</v>
      </c>
      <c r="G3720" t="s">
        <v>146</v>
      </c>
      <c r="H3720" t="s">
        <v>159</v>
      </c>
      <c r="I3720" t="e">
        <f t="shared" ca="1" si="291"/>
        <v>#REF!</v>
      </c>
      <c r="J3720" t="str">
        <f>VLOOKUP($G3720,DefinitionArrays!$I$6:$J$12,2,FALSE)</f>
        <v>Weekend</v>
      </c>
    </row>
    <row r="3721" spans="1:10">
      <c r="A3721" s="159" t="str">
        <f t="shared" si="292"/>
        <v>$T$1:$T$92</v>
      </c>
      <c r="B3721" s="159" t="str">
        <f t="shared" si="293"/>
        <v>$U$1:$U$92</v>
      </c>
      <c r="C3721" s="159" t="str">
        <f t="shared" si="294"/>
        <v>December!$T$1:$T$92</v>
      </c>
      <c r="D3721" s="159" t="str">
        <f t="shared" si="295"/>
        <v>December!$U$1:$U$92</v>
      </c>
      <c r="E3721" t="s">
        <v>7</v>
      </c>
      <c r="F3721" t="s">
        <v>131</v>
      </c>
      <c r="G3721" t="s">
        <v>141</v>
      </c>
      <c r="H3721" t="s">
        <v>159</v>
      </c>
      <c r="I3721" t="e">
        <f t="shared" ca="1" si="291"/>
        <v>#REF!</v>
      </c>
      <c r="J3721" t="str">
        <f>VLOOKUP($G3721,DefinitionArrays!$I$6:$J$12,2,FALSE)</f>
        <v>Weekend</v>
      </c>
    </row>
    <row r="3722" spans="1:10">
      <c r="A3722" s="159" t="str">
        <f t="shared" si="292"/>
        <v>$B$1:$B$92</v>
      </c>
      <c r="B3722" s="159" t="str">
        <f t="shared" si="293"/>
        <v>$C$1:$C$92</v>
      </c>
      <c r="C3722" s="159" t="str">
        <f t="shared" si="294"/>
        <v>January!$B$1:$B$92</v>
      </c>
      <c r="D3722" s="159" t="str">
        <f t="shared" si="295"/>
        <v>January!$C$1:$C$92</v>
      </c>
      <c r="E3722" t="s">
        <v>8</v>
      </c>
      <c r="F3722" t="s">
        <v>48</v>
      </c>
      <c r="G3722" t="s">
        <v>13</v>
      </c>
      <c r="H3722" t="s">
        <v>159</v>
      </c>
      <c r="I3722" t="e">
        <f ca="1">COUNTIFS(INDIRECT($C3722),$E3722,INDIRECT($D3722),$H3722)</f>
        <v>#REF!</v>
      </c>
      <c r="J3722" t="str">
        <f>VLOOKUP($G3722,DefinitionArrays!$I$6:$J$12,2,FALSE)</f>
        <v>Workweek</v>
      </c>
    </row>
    <row r="3723" spans="1:10">
      <c r="A3723" s="159" t="str">
        <f t="shared" si="292"/>
        <v>$B$1:$B$92</v>
      </c>
      <c r="B3723" s="159" t="str">
        <f t="shared" si="293"/>
        <v>$C$1:$C$92</v>
      </c>
      <c r="C3723" s="159" t="str">
        <f t="shared" si="294"/>
        <v>January!$B$1:$B$92</v>
      </c>
      <c r="D3723" s="159" t="str">
        <f t="shared" si="295"/>
        <v>January!$C$1:$C$92</v>
      </c>
      <c r="E3723" t="s">
        <v>8</v>
      </c>
      <c r="F3723" t="s">
        <v>48</v>
      </c>
      <c r="G3723" t="s">
        <v>13</v>
      </c>
      <c r="H3723" t="s">
        <v>18</v>
      </c>
      <c r="I3723" t="e">
        <f t="shared" ref="I3723:I3783" ca="1" si="296">COUNTIFS(INDIRECT($C3723),$E3723,INDIRECT($D3723),$H3723)</f>
        <v>#REF!</v>
      </c>
      <c r="J3723" t="str">
        <f>VLOOKUP($G3723,DefinitionArrays!$I$6:$J$12,2,FALSE)</f>
        <v>Workweek</v>
      </c>
    </row>
    <row r="3724" spans="1:10">
      <c r="A3724" s="159" t="str">
        <f t="shared" si="292"/>
        <v>$B$1:$B$92</v>
      </c>
      <c r="B3724" s="159" t="str">
        <f t="shared" si="293"/>
        <v>$C$1:$C$92</v>
      </c>
      <c r="C3724" s="159" t="str">
        <f t="shared" si="294"/>
        <v>January!$B$1:$B$92</v>
      </c>
      <c r="D3724" s="159" t="str">
        <f t="shared" si="295"/>
        <v>January!$C$1:$C$92</v>
      </c>
      <c r="E3724" t="s">
        <v>8</v>
      </c>
      <c r="F3724" t="s">
        <v>48</v>
      </c>
      <c r="G3724" t="s">
        <v>13</v>
      </c>
      <c r="H3724" t="s">
        <v>153</v>
      </c>
      <c r="I3724" t="e">
        <f t="shared" ca="1" si="296"/>
        <v>#REF!</v>
      </c>
      <c r="J3724" t="str">
        <f>VLOOKUP($G3724,DefinitionArrays!$I$6:$J$12,2,FALSE)</f>
        <v>Workweek</v>
      </c>
    </row>
    <row r="3725" spans="1:10">
      <c r="A3725" s="159" t="str">
        <f t="shared" si="292"/>
        <v>$B$1:$B$92</v>
      </c>
      <c r="B3725" s="159" t="str">
        <f t="shared" si="293"/>
        <v>$C$1:$C$92</v>
      </c>
      <c r="C3725" s="159" t="str">
        <f t="shared" si="294"/>
        <v>January!$B$1:$B$92</v>
      </c>
      <c r="D3725" s="159" t="str">
        <f t="shared" si="295"/>
        <v>January!$C$1:$C$92</v>
      </c>
      <c r="E3725" t="s">
        <v>8</v>
      </c>
      <c r="F3725" t="s">
        <v>48</v>
      </c>
      <c r="G3725" t="s">
        <v>13</v>
      </c>
      <c r="H3725" t="s">
        <v>19</v>
      </c>
      <c r="I3725" t="e">
        <f t="shared" ca="1" si="296"/>
        <v>#REF!</v>
      </c>
      <c r="J3725" t="str">
        <f>VLOOKUP($G3725,DefinitionArrays!$I$6:$J$12,2,FALSE)</f>
        <v>Workweek</v>
      </c>
    </row>
    <row r="3726" spans="1:10">
      <c r="A3726" s="159" t="str">
        <f t="shared" si="292"/>
        <v>$B$1:$B$92</v>
      </c>
      <c r="B3726" s="159" t="str">
        <f t="shared" si="293"/>
        <v>$C$1:$C$92</v>
      </c>
      <c r="C3726" s="159" t="str">
        <f t="shared" si="294"/>
        <v>January!$B$1:$B$92</v>
      </c>
      <c r="D3726" s="159" t="str">
        <f t="shared" si="295"/>
        <v>January!$C$1:$C$92</v>
      </c>
      <c r="E3726" t="s">
        <v>8</v>
      </c>
      <c r="F3726" t="s">
        <v>48</v>
      </c>
      <c r="G3726" t="s">
        <v>13</v>
      </c>
      <c r="H3726" t="s">
        <v>20</v>
      </c>
      <c r="I3726" t="e">
        <f t="shared" ca="1" si="296"/>
        <v>#REF!</v>
      </c>
      <c r="J3726" t="str">
        <f>VLOOKUP($G3726,DefinitionArrays!$I$6:$J$12,2,FALSE)</f>
        <v>Workweek</v>
      </c>
    </row>
    <row r="3727" spans="1:10">
      <c r="A3727" s="159" t="str">
        <f t="shared" si="292"/>
        <v>$B$1:$B$92</v>
      </c>
      <c r="B3727" s="159" t="str">
        <f t="shared" si="293"/>
        <v>$C$1:$C$92</v>
      </c>
      <c r="C3727" s="159" t="str">
        <f t="shared" si="294"/>
        <v>January!$B$1:$B$92</v>
      </c>
      <c r="D3727" s="159" t="str">
        <f t="shared" si="295"/>
        <v>January!$C$1:$C$92</v>
      </c>
      <c r="E3727" t="s">
        <v>8</v>
      </c>
      <c r="F3727" t="s">
        <v>48</v>
      </c>
      <c r="G3727" t="s">
        <v>13</v>
      </c>
      <c r="H3727" t="s">
        <v>21</v>
      </c>
      <c r="I3727" t="e">
        <f t="shared" ca="1" si="296"/>
        <v>#REF!</v>
      </c>
      <c r="J3727" t="str">
        <f>VLOOKUP($G3727,DefinitionArrays!$I$6:$J$12,2,FALSE)</f>
        <v>Workweek</v>
      </c>
    </row>
    <row r="3728" spans="1:10">
      <c r="A3728" s="159" t="str">
        <f t="shared" si="292"/>
        <v>$B$1:$B$92</v>
      </c>
      <c r="B3728" s="159" t="str">
        <f t="shared" si="293"/>
        <v>$C$1:$C$92</v>
      </c>
      <c r="C3728" s="159" t="str">
        <f t="shared" si="294"/>
        <v>January!$B$1:$B$92</v>
      </c>
      <c r="D3728" s="159" t="str">
        <f t="shared" si="295"/>
        <v>January!$C$1:$C$92</v>
      </c>
      <c r="E3728" t="s">
        <v>8</v>
      </c>
      <c r="F3728" t="s">
        <v>48</v>
      </c>
      <c r="G3728" t="s">
        <v>13</v>
      </c>
      <c r="H3728" t="s">
        <v>22</v>
      </c>
      <c r="I3728" t="e">
        <f t="shared" ca="1" si="296"/>
        <v>#REF!</v>
      </c>
      <c r="J3728" t="str">
        <f>VLOOKUP($G3728,DefinitionArrays!$I$6:$J$12,2,FALSE)</f>
        <v>Workweek</v>
      </c>
    </row>
    <row r="3729" spans="1:10">
      <c r="A3729" s="159" t="str">
        <f t="shared" si="292"/>
        <v>$B$1:$B$92</v>
      </c>
      <c r="B3729" s="159" t="str">
        <f t="shared" si="293"/>
        <v>$C$1:$C$92</v>
      </c>
      <c r="C3729" s="159" t="str">
        <f t="shared" si="294"/>
        <v>January!$B$1:$B$92</v>
      </c>
      <c r="D3729" s="159" t="str">
        <f t="shared" si="295"/>
        <v>January!$C$1:$C$92</v>
      </c>
      <c r="E3729" t="s">
        <v>8</v>
      </c>
      <c r="F3729" t="s">
        <v>48</v>
      </c>
      <c r="G3729" t="s">
        <v>13</v>
      </c>
      <c r="H3729" t="s">
        <v>23</v>
      </c>
      <c r="I3729" t="e">
        <f t="shared" ca="1" si="296"/>
        <v>#REF!</v>
      </c>
      <c r="J3729" t="str">
        <f>VLOOKUP($G3729,DefinitionArrays!$I$6:$J$12,2,FALSE)</f>
        <v>Workweek</v>
      </c>
    </row>
    <row r="3730" spans="1:10">
      <c r="A3730" s="159" t="str">
        <f t="shared" si="292"/>
        <v>$B$1:$B$92</v>
      </c>
      <c r="B3730" s="159" t="str">
        <f t="shared" si="293"/>
        <v>$C$1:$C$92</v>
      </c>
      <c r="C3730" s="159" t="str">
        <f t="shared" si="294"/>
        <v>January!$B$1:$B$92</v>
      </c>
      <c r="D3730" s="159" t="str">
        <f t="shared" si="295"/>
        <v>January!$C$1:$C$92</v>
      </c>
      <c r="E3730" t="s">
        <v>8</v>
      </c>
      <c r="F3730" t="s">
        <v>48</v>
      </c>
      <c r="G3730" t="s">
        <v>13</v>
      </c>
      <c r="H3730" t="s">
        <v>24</v>
      </c>
      <c r="I3730" t="e">
        <f t="shared" ca="1" si="296"/>
        <v>#REF!</v>
      </c>
      <c r="J3730" t="str">
        <f>VLOOKUP($G3730,DefinitionArrays!$I$6:$J$12,2,FALSE)</f>
        <v>Workweek</v>
      </c>
    </row>
    <row r="3731" spans="1:10">
      <c r="A3731" s="159" t="str">
        <f t="shared" si="292"/>
        <v>$B$1:$B$92</v>
      </c>
      <c r="B3731" s="159" t="str">
        <f t="shared" si="293"/>
        <v>$C$1:$C$92</v>
      </c>
      <c r="C3731" s="159" t="str">
        <f t="shared" si="294"/>
        <v>January!$B$1:$B$92</v>
      </c>
      <c r="D3731" s="159" t="str">
        <f t="shared" si="295"/>
        <v>January!$C$1:$C$92</v>
      </c>
      <c r="E3731" t="s">
        <v>8</v>
      </c>
      <c r="F3731" t="s">
        <v>48</v>
      </c>
      <c r="G3731" t="s">
        <v>13</v>
      </c>
      <c r="H3731" t="s">
        <v>179</v>
      </c>
      <c r="I3731" t="e">
        <f t="shared" ca="1" si="296"/>
        <v>#REF!</v>
      </c>
      <c r="J3731" t="str">
        <f>VLOOKUP($G3731,DefinitionArrays!$I$6:$J$12,2,FALSE)</f>
        <v>Workweek</v>
      </c>
    </row>
    <row r="3732" spans="1:10">
      <c r="A3732" s="159" t="str">
        <f t="shared" si="292"/>
        <v>$B$1:$B$92</v>
      </c>
      <c r="B3732" s="159" t="str">
        <f t="shared" si="293"/>
        <v>$C$1:$C$92</v>
      </c>
      <c r="C3732" s="159" t="str">
        <f t="shared" si="294"/>
        <v>January!$B$1:$B$92</v>
      </c>
      <c r="D3732" s="159" t="str">
        <f t="shared" si="295"/>
        <v>January!$C$1:$C$92</v>
      </c>
      <c r="E3732" t="s">
        <v>8</v>
      </c>
      <c r="F3732" t="s">
        <v>48</v>
      </c>
      <c r="G3732" t="s">
        <v>13</v>
      </c>
      <c r="H3732" t="s">
        <v>180</v>
      </c>
      <c r="I3732" t="e">
        <f t="shared" ca="1" si="296"/>
        <v>#REF!</v>
      </c>
      <c r="J3732" t="str">
        <f>VLOOKUP($G3732,DefinitionArrays!$I$6:$J$12,2,FALSE)</f>
        <v>Workweek</v>
      </c>
    </row>
    <row r="3733" spans="1:10">
      <c r="A3733" s="159" t="str">
        <f t="shared" si="292"/>
        <v>$B$1:$B$92</v>
      </c>
      <c r="B3733" s="159" t="str">
        <f t="shared" si="293"/>
        <v>$C$1:$C$92</v>
      </c>
      <c r="C3733" s="159" t="str">
        <f t="shared" si="294"/>
        <v>January!$B$1:$B$92</v>
      </c>
      <c r="D3733" s="159" t="str">
        <f t="shared" si="295"/>
        <v>January!$C$1:$C$92</v>
      </c>
      <c r="E3733" t="s">
        <v>8</v>
      </c>
      <c r="F3733" t="s">
        <v>48</v>
      </c>
      <c r="G3733" t="s">
        <v>13</v>
      </c>
      <c r="H3733" t="s">
        <v>44</v>
      </c>
      <c r="I3733" t="e">
        <f t="shared" ca="1" si="296"/>
        <v>#REF!</v>
      </c>
      <c r="J3733" t="str">
        <f>VLOOKUP($G3733,DefinitionArrays!$I$6:$J$12,2,FALSE)</f>
        <v>Workweek</v>
      </c>
    </row>
    <row r="3734" spans="1:10">
      <c r="A3734" s="159" t="str">
        <f t="shared" si="292"/>
        <v>$E$1:$E$92</v>
      </c>
      <c r="B3734" s="159" t="str">
        <f t="shared" si="293"/>
        <v>$F$1:$F$92</v>
      </c>
      <c r="C3734" s="159" t="str">
        <f t="shared" si="294"/>
        <v>January!$E$1:$E$92</v>
      </c>
      <c r="D3734" s="159" t="str">
        <f t="shared" si="295"/>
        <v>January!$F$1:$F$92</v>
      </c>
      <c r="E3734" t="s">
        <v>8</v>
      </c>
      <c r="F3734" t="s">
        <v>48</v>
      </c>
      <c r="G3734" t="s">
        <v>142</v>
      </c>
      <c r="H3734" t="s">
        <v>159</v>
      </c>
      <c r="I3734" t="e">
        <f t="shared" ca="1" si="296"/>
        <v>#REF!</v>
      </c>
      <c r="J3734" t="str">
        <f>VLOOKUP($G3734,DefinitionArrays!$I$6:$J$12,2,FALSE)</f>
        <v>Workweek</v>
      </c>
    </row>
    <row r="3735" spans="1:10">
      <c r="A3735" s="159" t="str">
        <f t="shared" si="292"/>
        <v>$E$1:$E$92</v>
      </c>
      <c r="B3735" s="159" t="str">
        <f t="shared" si="293"/>
        <v>$F$1:$F$92</v>
      </c>
      <c r="C3735" s="159" t="str">
        <f t="shared" si="294"/>
        <v>January!$E$1:$E$92</v>
      </c>
      <c r="D3735" s="159" t="str">
        <f t="shared" si="295"/>
        <v>January!$F$1:$F$92</v>
      </c>
      <c r="E3735" t="s">
        <v>8</v>
      </c>
      <c r="F3735" t="s">
        <v>48</v>
      </c>
      <c r="G3735" t="s">
        <v>142</v>
      </c>
      <c r="H3735" t="s">
        <v>18</v>
      </c>
      <c r="I3735" t="e">
        <f t="shared" ca="1" si="296"/>
        <v>#REF!</v>
      </c>
      <c r="J3735" t="str">
        <f>VLOOKUP($G3735,DefinitionArrays!$I$6:$J$12,2,FALSE)</f>
        <v>Workweek</v>
      </c>
    </row>
    <row r="3736" spans="1:10">
      <c r="A3736" s="159" t="str">
        <f t="shared" si="292"/>
        <v>$E$1:$E$92</v>
      </c>
      <c r="B3736" s="159" t="str">
        <f t="shared" si="293"/>
        <v>$F$1:$F$92</v>
      </c>
      <c r="C3736" s="159" t="str">
        <f t="shared" si="294"/>
        <v>January!$E$1:$E$92</v>
      </c>
      <c r="D3736" s="159" t="str">
        <f t="shared" si="295"/>
        <v>January!$F$1:$F$92</v>
      </c>
      <c r="E3736" t="s">
        <v>8</v>
      </c>
      <c r="F3736" t="s">
        <v>48</v>
      </c>
      <c r="G3736" t="s">
        <v>142</v>
      </c>
      <c r="H3736" t="s">
        <v>153</v>
      </c>
      <c r="I3736" t="e">
        <f t="shared" ca="1" si="296"/>
        <v>#REF!</v>
      </c>
      <c r="J3736" t="str">
        <f>VLOOKUP($G3736,DefinitionArrays!$I$6:$J$12,2,FALSE)</f>
        <v>Workweek</v>
      </c>
    </row>
    <row r="3737" spans="1:10">
      <c r="A3737" s="159" t="str">
        <f t="shared" si="292"/>
        <v>$E$1:$E$92</v>
      </c>
      <c r="B3737" s="159" t="str">
        <f t="shared" si="293"/>
        <v>$F$1:$F$92</v>
      </c>
      <c r="C3737" s="159" t="str">
        <f t="shared" si="294"/>
        <v>January!$E$1:$E$92</v>
      </c>
      <c r="D3737" s="159" t="str">
        <f t="shared" si="295"/>
        <v>January!$F$1:$F$92</v>
      </c>
      <c r="E3737" t="s">
        <v>8</v>
      </c>
      <c r="F3737" t="s">
        <v>48</v>
      </c>
      <c r="G3737" t="s">
        <v>142</v>
      </c>
      <c r="H3737" t="s">
        <v>19</v>
      </c>
      <c r="I3737" t="e">
        <f t="shared" ca="1" si="296"/>
        <v>#REF!</v>
      </c>
      <c r="J3737" t="str">
        <f>VLOOKUP($G3737,DefinitionArrays!$I$6:$J$12,2,FALSE)</f>
        <v>Workweek</v>
      </c>
    </row>
    <row r="3738" spans="1:10">
      <c r="A3738" s="159" t="str">
        <f t="shared" si="292"/>
        <v>$E$1:$E$92</v>
      </c>
      <c r="B3738" s="159" t="str">
        <f t="shared" si="293"/>
        <v>$F$1:$F$92</v>
      </c>
      <c r="C3738" s="159" t="str">
        <f t="shared" si="294"/>
        <v>January!$E$1:$E$92</v>
      </c>
      <c r="D3738" s="159" t="str">
        <f t="shared" si="295"/>
        <v>January!$F$1:$F$92</v>
      </c>
      <c r="E3738" t="s">
        <v>8</v>
      </c>
      <c r="F3738" t="s">
        <v>48</v>
      </c>
      <c r="G3738" t="s">
        <v>142</v>
      </c>
      <c r="H3738" t="s">
        <v>20</v>
      </c>
      <c r="I3738" t="e">
        <f t="shared" ca="1" si="296"/>
        <v>#REF!</v>
      </c>
      <c r="J3738" t="str">
        <f>VLOOKUP($G3738,DefinitionArrays!$I$6:$J$12,2,FALSE)</f>
        <v>Workweek</v>
      </c>
    </row>
    <row r="3739" spans="1:10">
      <c r="A3739" s="159" t="str">
        <f t="shared" si="292"/>
        <v>$E$1:$E$92</v>
      </c>
      <c r="B3739" s="159" t="str">
        <f t="shared" si="293"/>
        <v>$F$1:$F$92</v>
      </c>
      <c r="C3739" s="159" t="str">
        <f t="shared" si="294"/>
        <v>January!$E$1:$E$92</v>
      </c>
      <c r="D3739" s="159" t="str">
        <f t="shared" si="295"/>
        <v>January!$F$1:$F$92</v>
      </c>
      <c r="E3739" t="s">
        <v>8</v>
      </c>
      <c r="F3739" t="s">
        <v>48</v>
      </c>
      <c r="G3739" t="s">
        <v>142</v>
      </c>
      <c r="H3739" t="s">
        <v>21</v>
      </c>
      <c r="I3739" t="e">
        <f t="shared" ca="1" si="296"/>
        <v>#REF!</v>
      </c>
      <c r="J3739" t="str">
        <f>VLOOKUP($G3739,DefinitionArrays!$I$6:$J$12,2,FALSE)</f>
        <v>Workweek</v>
      </c>
    </row>
    <row r="3740" spans="1:10">
      <c r="A3740" s="159" t="str">
        <f t="shared" si="292"/>
        <v>$E$1:$E$92</v>
      </c>
      <c r="B3740" s="159" t="str">
        <f t="shared" si="293"/>
        <v>$F$1:$F$92</v>
      </c>
      <c r="C3740" s="159" t="str">
        <f t="shared" si="294"/>
        <v>January!$E$1:$E$92</v>
      </c>
      <c r="D3740" s="159" t="str">
        <f t="shared" si="295"/>
        <v>January!$F$1:$F$92</v>
      </c>
      <c r="E3740" t="s">
        <v>8</v>
      </c>
      <c r="F3740" t="s">
        <v>48</v>
      </c>
      <c r="G3740" t="s">
        <v>142</v>
      </c>
      <c r="H3740" t="s">
        <v>22</v>
      </c>
      <c r="I3740" t="e">
        <f t="shared" ca="1" si="296"/>
        <v>#REF!</v>
      </c>
      <c r="J3740" t="str">
        <f>VLOOKUP($G3740,DefinitionArrays!$I$6:$J$12,2,FALSE)</f>
        <v>Workweek</v>
      </c>
    </row>
    <row r="3741" spans="1:10">
      <c r="A3741" s="159" t="str">
        <f t="shared" si="292"/>
        <v>$E$1:$E$92</v>
      </c>
      <c r="B3741" s="159" t="str">
        <f t="shared" si="293"/>
        <v>$F$1:$F$92</v>
      </c>
      <c r="C3741" s="159" t="str">
        <f t="shared" si="294"/>
        <v>January!$E$1:$E$92</v>
      </c>
      <c r="D3741" s="159" t="str">
        <f t="shared" si="295"/>
        <v>January!$F$1:$F$92</v>
      </c>
      <c r="E3741" t="s">
        <v>8</v>
      </c>
      <c r="F3741" t="s">
        <v>48</v>
      </c>
      <c r="G3741" t="s">
        <v>142</v>
      </c>
      <c r="H3741" t="s">
        <v>23</v>
      </c>
      <c r="I3741" t="e">
        <f t="shared" ca="1" si="296"/>
        <v>#REF!</v>
      </c>
      <c r="J3741" t="str">
        <f>VLOOKUP($G3741,DefinitionArrays!$I$6:$J$12,2,FALSE)</f>
        <v>Workweek</v>
      </c>
    </row>
    <row r="3742" spans="1:10">
      <c r="A3742" s="159" t="str">
        <f t="shared" si="292"/>
        <v>$E$1:$E$92</v>
      </c>
      <c r="B3742" s="159" t="str">
        <f t="shared" si="293"/>
        <v>$F$1:$F$92</v>
      </c>
      <c r="C3742" s="159" t="str">
        <f t="shared" si="294"/>
        <v>January!$E$1:$E$92</v>
      </c>
      <c r="D3742" s="159" t="str">
        <f t="shared" si="295"/>
        <v>January!$F$1:$F$92</v>
      </c>
      <c r="E3742" t="s">
        <v>8</v>
      </c>
      <c r="F3742" t="s">
        <v>48</v>
      </c>
      <c r="G3742" t="s">
        <v>142</v>
      </c>
      <c r="H3742" t="s">
        <v>24</v>
      </c>
      <c r="I3742" t="e">
        <f t="shared" ca="1" si="296"/>
        <v>#REF!</v>
      </c>
      <c r="J3742" t="str">
        <f>VLOOKUP($G3742,DefinitionArrays!$I$6:$J$12,2,FALSE)</f>
        <v>Workweek</v>
      </c>
    </row>
    <row r="3743" spans="1:10">
      <c r="A3743" s="159" t="str">
        <f t="shared" si="292"/>
        <v>$E$1:$E$92</v>
      </c>
      <c r="B3743" s="159" t="str">
        <f t="shared" si="293"/>
        <v>$F$1:$F$92</v>
      </c>
      <c r="C3743" s="159" t="str">
        <f t="shared" si="294"/>
        <v>January!$E$1:$E$92</v>
      </c>
      <c r="D3743" s="159" t="str">
        <f t="shared" si="295"/>
        <v>January!$F$1:$F$92</v>
      </c>
      <c r="E3743" t="s">
        <v>8</v>
      </c>
      <c r="F3743" t="s">
        <v>48</v>
      </c>
      <c r="G3743" t="s">
        <v>142</v>
      </c>
      <c r="H3743" t="s">
        <v>179</v>
      </c>
      <c r="I3743" t="e">
        <f t="shared" ca="1" si="296"/>
        <v>#REF!</v>
      </c>
      <c r="J3743" t="str">
        <f>VLOOKUP($G3743,DefinitionArrays!$I$6:$J$12,2,FALSE)</f>
        <v>Workweek</v>
      </c>
    </row>
    <row r="3744" spans="1:10">
      <c r="A3744" s="159" t="str">
        <f t="shared" si="292"/>
        <v>$E$1:$E$92</v>
      </c>
      <c r="B3744" s="159" t="str">
        <f t="shared" si="293"/>
        <v>$F$1:$F$92</v>
      </c>
      <c r="C3744" s="159" t="str">
        <f t="shared" si="294"/>
        <v>January!$E$1:$E$92</v>
      </c>
      <c r="D3744" s="159" t="str">
        <f t="shared" si="295"/>
        <v>January!$F$1:$F$92</v>
      </c>
      <c r="E3744" t="s">
        <v>8</v>
      </c>
      <c r="F3744" t="s">
        <v>48</v>
      </c>
      <c r="G3744" t="s">
        <v>142</v>
      </c>
      <c r="H3744" t="s">
        <v>180</v>
      </c>
      <c r="I3744" t="e">
        <f t="shared" ca="1" si="296"/>
        <v>#REF!</v>
      </c>
      <c r="J3744" t="str">
        <f>VLOOKUP($G3744,DefinitionArrays!$I$6:$J$12,2,FALSE)</f>
        <v>Workweek</v>
      </c>
    </row>
    <row r="3745" spans="1:10">
      <c r="A3745" s="159" t="str">
        <f t="shared" si="292"/>
        <v>$E$1:$E$92</v>
      </c>
      <c r="B3745" s="159" t="str">
        <f t="shared" si="293"/>
        <v>$F$1:$F$92</v>
      </c>
      <c r="C3745" s="159" t="str">
        <f t="shared" si="294"/>
        <v>January!$E$1:$E$92</v>
      </c>
      <c r="D3745" s="159" t="str">
        <f t="shared" si="295"/>
        <v>January!$F$1:$F$92</v>
      </c>
      <c r="E3745" t="s">
        <v>8</v>
      </c>
      <c r="F3745" t="s">
        <v>48</v>
      </c>
      <c r="G3745" t="s">
        <v>142</v>
      </c>
      <c r="H3745" t="s">
        <v>44</v>
      </c>
      <c r="I3745" t="e">
        <f t="shared" ca="1" si="296"/>
        <v>#REF!</v>
      </c>
      <c r="J3745" t="str">
        <f>VLOOKUP($G3745,DefinitionArrays!$I$6:$J$12,2,FALSE)</f>
        <v>Workweek</v>
      </c>
    </row>
    <row r="3746" spans="1:10">
      <c r="A3746" s="159" t="str">
        <f t="shared" si="292"/>
        <v>$H$1:$H$92</v>
      </c>
      <c r="B3746" s="159" t="str">
        <f t="shared" si="293"/>
        <v>$I$1:$I$92</v>
      </c>
      <c r="C3746" s="159" t="str">
        <f t="shared" si="294"/>
        <v>January!$H$1:$H$92</v>
      </c>
      <c r="D3746" s="159" t="str">
        <f t="shared" si="295"/>
        <v>January!$I$1:$I$92</v>
      </c>
      <c r="E3746" t="s">
        <v>8</v>
      </c>
      <c r="F3746" t="s">
        <v>48</v>
      </c>
      <c r="G3746" t="s">
        <v>143</v>
      </c>
      <c r="H3746" t="s">
        <v>159</v>
      </c>
      <c r="I3746" t="e">
        <f t="shared" ca="1" si="296"/>
        <v>#REF!</v>
      </c>
      <c r="J3746" t="str">
        <f>VLOOKUP($G3746,DefinitionArrays!$I$6:$J$12,2,FALSE)</f>
        <v>Workweek</v>
      </c>
    </row>
    <row r="3747" spans="1:10">
      <c r="A3747" s="159" t="str">
        <f t="shared" si="292"/>
        <v>$H$1:$H$92</v>
      </c>
      <c r="B3747" s="159" t="str">
        <f t="shared" si="293"/>
        <v>$I$1:$I$92</v>
      </c>
      <c r="C3747" s="159" t="str">
        <f t="shared" si="294"/>
        <v>January!$H$1:$H$92</v>
      </c>
      <c r="D3747" s="159" t="str">
        <f t="shared" si="295"/>
        <v>January!$I$1:$I$92</v>
      </c>
      <c r="E3747" t="s">
        <v>8</v>
      </c>
      <c r="F3747" t="s">
        <v>48</v>
      </c>
      <c r="G3747" t="s">
        <v>143</v>
      </c>
      <c r="H3747" t="s">
        <v>18</v>
      </c>
      <c r="I3747" t="e">
        <f t="shared" ca="1" si="296"/>
        <v>#REF!</v>
      </c>
      <c r="J3747" t="str">
        <f>VLOOKUP($G3747,DefinitionArrays!$I$6:$J$12,2,FALSE)</f>
        <v>Workweek</v>
      </c>
    </row>
    <row r="3748" spans="1:10">
      <c r="A3748" s="159" t="str">
        <f t="shared" si="292"/>
        <v>$H$1:$H$92</v>
      </c>
      <c r="B3748" s="159" t="str">
        <f t="shared" si="293"/>
        <v>$I$1:$I$92</v>
      </c>
      <c r="C3748" s="159" t="str">
        <f t="shared" si="294"/>
        <v>January!$H$1:$H$92</v>
      </c>
      <c r="D3748" s="159" t="str">
        <f t="shared" si="295"/>
        <v>January!$I$1:$I$92</v>
      </c>
      <c r="E3748" t="s">
        <v>8</v>
      </c>
      <c r="F3748" t="s">
        <v>48</v>
      </c>
      <c r="G3748" t="s">
        <v>143</v>
      </c>
      <c r="H3748" t="s">
        <v>153</v>
      </c>
      <c r="I3748" t="e">
        <f t="shared" ca="1" si="296"/>
        <v>#REF!</v>
      </c>
      <c r="J3748" t="str">
        <f>VLOOKUP($G3748,DefinitionArrays!$I$6:$J$12,2,FALSE)</f>
        <v>Workweek</v>
      </c>
    </row>
    <row r="3749" spans="1:10">
      <c r="A3749" s="159" t="str">
        <f t="shared" si="292"/>
        <v>$H$1:$H$92</v>
      </c>
      <c r="B3749" s="159" t="str">
        <f t="shared" si="293"/>
        <v>$I$1:$I$92</v>
      </c>
      <c r="C3749" s="159" t="str">
        <f t="shared" si="294"/>
        <v>January!$H$1:$H$92</v>
      </c>
      <c r="D3749" s="159" t="str">
        <f t="shared" si="295"/>
        <v>January!$I$1:$I$92</v>
      </c>
      <c r="E3749" t="s">
        <v>8</v>
      </c>
      <c r="F3749" t="s">
        <v>48</v>
      </c>
      <c r="G3749" t="s">
        <v>143</v>
      </c>
      <c r="H3749" t="s">
        <v>19</v>
      </c>
      <c r="I3749" t="e">
        <f t="shared" ca="1" si="296"/>
        <v>#REF!</v>
      </c>
      <c r="J3749" t="str">
        <f>VLOOKUP($G3749,DefinitionArrays!$I$6:$J$12,2,FALSE)</f>
        <v>Workweek</v>
      </c>
    </row>
    <row r="3750" spans="1:10">
      <c r="A3750" s="159" t="str">
        <f t="shared" si="292"/>
        <v>$H$1:$H$92</v>
      </c>
      <c r="B3750" s="159" t="str">
        <f t="shared" si="293"/>
        <v>$I$1:$I$92</v>
      </c>
      <c r="C3750" s="159" t="str">
        <f t="shared" si="294"/>
        <v>January!$H$1:$H$92</v>
      </c>
      <c r="D3750" s="159" t="str">
        <f t="shared" si="295"/>
        <v>January!$I$1:$I$92</v>
      </c>
      <c r="E3750" t="s">
        <v>8</v>
      </c>
      <c r="F3750" t="s">
        <v>48</v>
      </c>
      <c r="G3750" t="s">
        <v>143</v>
      </c>
      <c r="H3750" t="s">
        <v>20</v>
      </c>
      <c r="I3750" t="e">
        <f t="shared" ca="1" si="296"/>
        <v>#REF!</v>
      </c>
      <c r="J3750" t="str">
        <f>VLOOKUP($G3750,DefinitionArrays!$I$6:$J$12,2,FALSE)</f>
        <v>Workweek</v>
      </c>
    </row>
    <row r="3751" spans="1:10">
      <c r="A3751" s="159" t="str">
        <f t="shared" si="292"/>
        <v>$H$1:$H$92</v>
      </c>
      <c r="B3751" s="159" t="str">
        <f t="shared" si="293"/>
        <v>$I$1:$I$92</v>
      </c>
      <c r="C3751" s="159" t="str">
        <f t="shared" si="294"/>
        <v>January!$H$1:$H$92</v>
      </c>
      <c r="D3751" s="159" t="str">
        <f t="shared" si="295"/>
        <v>January!$I$1:$I$92</v>
      </c>
      <c r="E3751" t="s">
        <v>8</v>
      </c>
      <c r="F3751" t="s">
        <v>48</v>
      </c>
      <c r="G3751" t="s">
        <v>143</v>
      </c>
      <c r="H3751" t="s">
        <v>21</v>
      </c>
      <c r="I3751" t="e">
        <f t="shared" ca="1" si="296"/>
        <v>#REF!</v>
      </c>
      <c r="J3751" t="str">
        <f>VLOOKUP($G3751,DefinitionArrays!$I$6:$J$12,2,FALSE)</f>
        <v>Workweek</v>
      </c>
    </row>
    <row r="3752" spans="1:10">
      <c r="A3752" s="159" t="str">
        <f t="shared" si="292"/>
        <v>$H$1:$H$92</v>
      </c>
      <c r="B3752" s="159" t="str">
        <f t="shared" si="293"/>
        <v>$I$1:$I$92</v>
      </c>
      <c r="C3752" s="159" t="str">
        <f t="shared" si="294"/>
        <v>January!$H$1:$H$92</v>
      </c>
      <c r="D3752" s="159" t="str">
        <f t="shared" si="295"/>
        <v>January!$I$1:$I$92</v>
      </c>
      <c r="E3752" t="s">
        <v>8</v>
      </c>
      <c r="F3752" t="s">
        <v>48</v>
      </c>
      <c r="G3752" t="s">
        <v>143</v>
      </c>
      <c r="H3752" t="s">
        <v>22</v>
      </c>
      <c r="I3752" t="e">
        <f t="shared" ca="1" si="296"/>
        <v>#REF!</v>
      </c>
      <c r="J3752" t="str">
        <f>VLOOKUP($G3752,DefinitionArrays!$I$6:$J$12,2,FALSE)</f>
        <v>Workweek</v>
      </c>
    </row>
    <row r="3753" spans="1:10">
      <c r="A3753" s="159" t="str">
        <f t="shared" si="292"/>
        <v>$H$1:$H$92</v>
      </c>
      <c r="B3753" s="159" t="str">
        <f t="shared" si="293"/>
        <v>$I$1:$I$92</v>
      </c>
      <c r="C3753" s="159" t="str">
        <f t="shared" si="294"/>
        <v>January!$H$1:$H$92</v>
      </c>
      <c r="D3753" s="159" t="str">
        <f t="shared" si="295"/>
        <v>January!$I$1:$I$92</v>
      </c>
      <c r="E3753" t="s">
        <v>8</v>
      </c>
      <c r="F3753" t="s">
        <v>48</v>
      </c>
      <c r="G3753" t="s">
        <v>143</v>
      </c>
      <c r="H3753" t="s">
        <v>23</v>
      </c>
      <c r="I3753" t="e">
        <f t="shared" ca="1" si="296"/>
        <v>#REF!</v>
      </c>
      <c r="J3753" t="str">
        <f>VLOOKUP($G3753,DefinitionArrays!$I$6:$J$12,2,FALSE)</f>
        <v>Workweek</v>
      </c>
    </row>
    <row r="3754" spans="1:10">
      <c r="A3754" s="159" t="str">
        <f t="shared" si="292"/>
        <v>$H$1:$H$92</v>
      </c>
      <c r="B3754" s="159" t="str">
        <f t="shared" si="293"/>
        <v>$I$1:$I$92</v>
      </c>
      <c r="C3754" s="159" t="str">
        <f t="shared" si="294"/>
        <v>January!$H$1:$H$92</v>
      </c>
      <c r="D3754" s="159" t="str">
        <f t="shared" si="295"/>
        <v>January!$I$1:$I$92</v>
      </c>
      <c r="E3754" t="s">
        <v>8</v>
      </c>
      <c r="F3754" t="s">
        <v>48</v>
      </c>
      <c r="G3754" t="s">
        <v>143</v>
      </c>
      <c r="H3754" t="s">
        <v>24</v>
      </c>
      <c r="I3754" t="e">
        <f t="shared" ca="1" si="296"/>
        <v>#REF!</v>
      </c>
      <c r="J3754" t="str">
        <f>VLOOKUP($G3754,DefinitionArrays!$I$6:$J$12,2,FALSE)</f>
        <v>Workweek</v>
      </c>
    </row>
    <row r="3755" spans="1:10">
      <c r="A3755" s="159" t="str">
        <f t="shared" si="292"/>
        <v>$H$1:$H$92</v>
      </c>
      <c r="B3755" s="159" t="str">
        <f t="shared" si="293"/>
        <v>$I$1:$I$92</v>
      </c>
      <c r="C3755" s="159" t="str">
        <f t="shared" si="294"/>
        <v>January!$H$1:$H$92</v>
      </c>
      <c r="D3755" s="159" t="str">
        <f t="shared" si="295"/>
        <v>January!$I$1:$I$92</v>
      </c>
      <c r="E3755" t="s">
        <v>8</v>
      </c>
      <c r="F3755" t="s">
        <v>48</v>
      </c>
      <c r="G3755" t="s">
        <v>143</v>
      </c>
      <c r="H3755" t="s">
        <v>179</v>
      </c>
      <c r="I3755" t="e">
        <f t="shared" ca="1" si="296"/>
        <v>#REF!</v>
      </c>
      <c r="J3755" t="str">
        <f>VLOOKUP($G3755,DefinitionArrays!$I$6:$J$12,2,FALSE)</f>
        <v>Workweek</v>
      </c>
    </row>
    <row r="3756" spans="1:10">
      <c r="A3756" s="159" t="str">
        <f t="shared" si="292"/>
        <v>$H$1:$H$92</v>
      </c>
      <c r="B3756" s="159" t="str">
        <f t="shared" si="293"/>
        <v>$I$1:$I$92</v>
      </c>
      <c r="C3756" s="159" t="str">
        <f t="shared" si="294"/>
        <v>January!$H$1:$H$92</v>
      </c>
      <c r="D3756" s="159" t="str">
        <f t="shared" si="295"/>
        <v>January!$I$1:$I$92</v>
      </c>
      <c r="E3756" t="s">
        <v>8</v>
      </c>
      <c r="F3756" t="s">
        <v>48</v>
      </c>
      <c r="G3756" t="s">
        <v>143</v>
      </c>
      <c r="H3756" t="s">
        <v>180</v>
      </c>
      <c r="I3756" t="e">
        <f t="shared" ca="1" si="296"/>
        <v>#REF!</v>
      </c>
      <c r="J3756" t="str">
        <f>VLOOKUP($G3756,DefinitionArrays!$I$6:$J$12,2,FALSE)</f>
        <v>Workweek</v>
      </c>
    </row>
    <row r="3757" spans="1:10">
      <c r="A3757" s="159" t="str">
        <f t="shared" si="292"/>
        <v>$H$1:$H$92</v>
      </c>
      <c r="B3757" s="159" t="str">
        <f t="shared" si="293"/>
        <v>$I$1:$I$92</v>
      </c>
      <c r="C3757" s="159" t="str">
        <f t="shared" si="294"/>
        <v>January!$H$1:$H$92</v>
      </c>
      <c r="D3757" s="159" t="str">
        <f t="shared" si="295"/>
        <v>January!$I$1:$I$92</v>
      </c>
      <c r="E3757" t="s">
        <v>8</v>
      </c>
      <c r="F3757" t="s">
        <v>48</v>
      </c>
      <c r="G3757" t="s">
        <v>143</v>
      </c>
      <c r="H3757" t="s">
        <v>44</v>
      </c>
      <c r="I3757" t="e">
        <f t="shared" ca="1" si="296"/>
        <v>#REF!</v>
      </c>
      <c r="J3757" t="str">
        <f>VLOOKUP($G3757,DefinitionArrays!$I$6:$J$12,2,FALSE)</f>
        <v>Workweek</v>
      </c>
    </row>
    <row r="3758" spans="1:10">
      <c r="A3758" s="159" t="str">
        <f t="shared" si="292"/>
        <v>$K$1:$K$92</v>
      </c>
      <c r="B3758" s="159" t="str">
        <f t="shared" si="293"/>
        <v>$L$1:$L$92</v>
      </c>
      <c r="C3758" s="159" t="str">
        <f t="shared" si="294"/>
        <v>January!$K$1:$K$92</v>
      </c>
      <c r="D3758" s="159" t="str">
        <f t="shared" si="295"/>
        <v>January!$L$1:$L$92</v>
      </c>
      <c r="E3758" t="s">
        <v>8</v>
      </c>
      <c r="F3758" t="s">
        <v>48</v>
      </c>
      <c r="G3758" t="s">
        <v>144</v>
      </c>
      <c r="H3758" t="s">
        <v>159</v>
      </c>
      <c r="I3758" t="e">
        <f t="shared" ca="1" si="296"/>
        <v>#REF!</v>
      </c>
      <c r="J3758" t="str">
        <f>VLOOKUP($G3758,DefinitionArrays!$I$6:$J$12,2,FALSE)</f>
        <v>Workweek</v>
      </c>
    </row>
    <row r="3759" spans="1:10">
      <c r="A3759" s="159" t="str">
        <f t="shared" si="292"/>
        <v>$K$1:$K$92</v>
      </c>
      <c r="B3759" s="159" t="str">
        <f t="shared" si="293"/>
        <v>$L$1:$L$92</v>
      </c>
      <c r="C3759" s="159" t="str">
        <f t="shared" si="294"/>
        <v>January!$K$1:$K$92</v>
      </c>
      <c r="D3759" s="159" t="str">
        <f t="shared" si="295"/>
        <v>January!$L$1:$L$92</v>
      </c>
      <c r="E3759" t="s">
        <v>8</v>
      </c>
      <c r="F3759" t="s">
        <v>48</v>
      </c>
      <c r="G3759" t="s">
        <v>144</v>
      </c>
      <c r="H3759" t="s">
        <v>18</v>
      </c>
      <c r="I3759" t="e">
        <f t="shared" ca="1" si="296"/>
        <v>#REF!</v>
      </c>
      <c r="J3759" t="str">
        <f>VLOOKUP($G3759,DefinitionArrays!$I$6:$J$12,2,FALSE)</f>
        <v>Workweek</v>
      </c>
    </row>
    <row r="3760" spans="1:10">
      <c r="A3760" s="159" t="str">
        <f t="shared" si="292"/>
        <v>$K$1:$K$92</v>
      </c>
      <c r="B3760" s="159" t="str">
        <f t="shared" si="293"/>
        <v>$L$1:$L$92</v>
      </c>
      <c r="C3760" s="159" t="str">
        <f t="shared" si="294"/>
        <v>January!$K$1:$K$92</v>
      </c>
      <c r="D3760" s="159" t="str">
        <f t="shared" si="295"/>
        <v>January!$L$1:$L$92</v>
      </c>
      <c r="E3760" t="s">
        <v>8</v>
      </c>
      <c r="F3760" t="s">
        <v>48</v>
      </c>
      <c r="G3760" t="s">
        <v>144</v>
      </c>
      <c r="H3760" t="s">
        <v>153</v>
      </c>
      <c r="I3760" t="e">
        <f t="shared" ca="1" si="296"/>
        <v>#REF!</v>
      </c>
      <c r="J3760" t="str">
        <f>VLOOKUP($G3760,DefinitionArrays!$I$6:$J$12,2,FALSE)</f>
        <v>Workweek</v>
      </c>
    </row>
    <row r="3761" spans="1:10">
      <c r="A3761" s="159" t="str">
        <f t="shared" si="292"/>
        <v>$K$1:$K$92</v>
      </c>
      <c r="B3761" s="159" t="str">
        <f t="shared" si="293"/>
        <v>$L$1:$L$92</v>
      </c>
      <c r="C3761" s="159" t="str">
        <f t="shared" si="294"/>
        <v>January!$K$1:$K$92</v>
      </c>
      <c r="D3761" s="159" t="str">
        <f t="shared" si="295"/>
        <v>January!$L$1:$L$92</v>
      </c>
      <c r="E3761" t="s">
        <v>8</v>
      </c>
      <c r="F3761" t="s">
        <v>48</v>
      </c>
      <c r="G3761" t="s">
        <v>144</v>
      </c>
      <c r="H3761" t="s">
        <v>19</v>
      </c>
      <c r="I3761" t="e">
        <f t="shared" ca="1" si="296"/>
        <v>#REF!</v>
      </c>
      <c r="J3761" t="str">
        <f>VLOOKUP($G3761,DefinitionArrays!$I$6:$J$12,2,FALSE)</f>
        <v>Workweek</v>
      </c>
    </row>
    <row r="3762" spans="1:10">
      <c r="A3762" s="159" t="str">
        <f t="shared" si="292"/>
        <v>$K$1:$K$92</v>
      </c>
      <c r="B3762" s="159" t="str">
        <f t="shared" si="293"/>
        <v>$L$1:$L$92</v>
      </c>
      <c r="C3762" s="159" t="str">
        <f t="shared" si="294"/>
        <v>January!$K$1:$K$92</v>
      </c>
      <c r="D3762" s="159" t="str">
        <f t="shared" si="295"/>
        <v>January!$L$1:$L$92</v>
      </c>
      <c r="E3762" t="s">
        <v>8</v>
      </c>
      <c r="F3762" t="s">
        <v>48</v>
      </c>
      <c r="G3762" t="s">
        <v>144</v>
      </c>
      <c r="H3762" t="s">
        <v>20</v>
      </c>
      <c r="I3762" t="e">
        <f t="shared" ca="1" si="296"/>
        <v>#REF!</v>
      </c>
      <c r="J3762" t="str">
        <f>VLOOKUP($G3762,DefinitionArrays!$I$6:$J$12,2,FALSE)</f>
        <v>Workweek</v>
      </c>
    </row>
    <row r="3763" spans="1:10">
      <c r="A3763" s="159" t="str">
        <f t="shared" si="292"/>
        <v>$K$1:$K$92</v>
      </c>
      <c r="B3763" s="159" t="str">
        <f t="shared" si="293"/>
        <v>$L$1:$L$92</v>
      </c>
      <c r="C3763" s="159" t="str">
        <f t="shared" si="294"/>
        <v>January!$K$1:$K$92</v>
      </c>
      <c r="D3763" s="159" t="str">
        <f t="shared" si="295"/>
        <v>January!$L$1:$L$92</v>
      </c>
      <c r="E3763" t="s">
        <v>8</v>
      </c>
      <c r="F3763" t="s">
        <v>48</v>
      </c>
      <c r="G3763" t="s">
        <v>144</v>
      </c>
      <c r="H3763" t="s">
        <v>21</v>
      </c>
      <c r="I3763" t="e">
        <f t="shared" ca="1" si="296"/>
        <v>#REF!</v>
      </c>
      <c r="J3763" t="str">
        <f>VLOOKUP($G3763,DefinitionArrays!$I$6:$J$12,2,FALSE)</f>
        <v>Workweek</v>
      </c>
    </row>
    <row r="3764" spans="1:10">
      <c r="A3764" s="159" t="str">
        <f t="shared" si="292"/>
        <v>$K$1:$K$92</v>
      </c>
      <c r="B3764" s="159" t="str">
        <f t="shared" si="293"/>
        <v>$L$1:$L$92</v>
      </c>
      <c r="C3764" s="159" t="str">
        <f t="shared" si="294"/>
        <v>January!$K$1:$K$92</v>
      </c>
      <c r="D3764" s="159" t="str">
        <f t="shared" si="295"/>
        <v>January!$L$1:$L$92</v>
      </c>
      <c r="E3764" t="s">
        <v>8</v>
      </c>
      <c r="F3764" t="s">
        <v>48</v>
      </c>
      <c r="G3764" t="s">
        <v>144</v>
      </c>
      <c r="H3764" t="s">
        <v>22</v>
      </c>
      <c r="I3764" t="e">
        <f t="shared" ca="1" si="296"/>
        <v>#REF!</v>
      </c>
      <c r="J3764" t="str">
        <f>VLOOKUP($G3764,DefinitionArrays!$I$6:$J$12,2,FALSE)</f>
        <v>Workweek</v>
      </c>
    </row>
    <row r="3765" spans="1:10">
      <c r="A3765" s="159" t="str">
        <f t="shared" si="292"/>
        <v>$K$1:$K$92</v>
      </c>
      <c r="B3765" s="159" t="str">
        <f t="shared" si="293"/>
        <v>$L$1:$L$92</v>
      </c>
      <c r="C3765" s="159" t="str">
        <f t="shared" si="294"/>
        <v>January!$K$1:$K$92</v>
      </c>
      <c r="D3765" s="159" t="str">
        <f t="shared" si="295"/>
        <v>January!$L$1:$L$92</v>
      </c>
      <c r="E3765" t="s">
        <v>8</v>
      </c>
      <c r="F3765" t="s">
        <v>48</v>
      </c>
      <c r="G3765" t="s">
        <v>144</v>
      </c>
      <c r="H3765" t="s">
        <v>23</v>
      </c>
      <c r="I3765" t="e">
        <f t="shared" ca="1" si="296"/>
        <v>#REF!</v>
      </c>
      <c r="J3765" t="str">
        <f>VLOOKUP($G3765,DefinitionArrays!$I$6:$J$12,2,FALSE)</f>
        <v>Workweek</v>
      </c>
    </row>
    <row r="3766" spans="1:10">
      <c r="A3766" s="159" t="str">
        <f t="shared" si="292"/>
        <v>$K$1:$K$92</v>
      </c>
      <c r="B3766" s="159" t="str">
        <f t="shared" si="293"/>
        <v>$L$1:$L$92</v>
      </c>
      <c r="C3766" s="159" t="str">
        <f t="shared" si="294"/>
        <v>January!$K$1:$K$92</v>
      </c>
      <c r="D3766" s="159" t="str">
        <f t="shared" si="295"/>
        <v>January!$L$1:$L$92</v>
      </c>
      <c r="E3766" t="s">
        <v>8</v>
      </c>
      <c r="F3766" t="s">
        <v>48</v>
      </c>
      <c r="G3766" t="s">
        <v>144</v>
      </c>
      <c r="H3766" t="s">
        <v>24</v>
      </c>
      <c r="I3766" t="e">
        <f t="shared" ca="1" si="296"/>
        <v>#REF!</v>
      </c>
      <c r="J3766" t="str">
        <f>VLOOKUP($G3766,DefinitionArrays!$I$6:$J$12,2,FALSE)</f>
        <v>Workweek</v>
      </c>
    </row>
    <row r="3767" spans="1:10">
      <c r="A3767" s="159" t="str">
        <f t="shared" si="292"/>
        <v>$K$1:$K$92</v>
      </c>
      <c r="B3767" s="159" t="str">
        <f t="shared" si="293"/>
        <v>$L$1:$L$92</v>
      </c>
      <c r="C3767" s="159" t="str">
        <f t="shared" si="294"/>
        <v>January!$K$1:$K$92</v>
      </c>
      <c r="D3767" s="159" t="str">
        <f t="shared" si="295"/>
        <v>January!$L$1:$L$92</v>
      </c>
      <c r="E3767" t="s">
        <v>8</v>
      </c>
      <c r="F3767" t="s">
        <v>48</v>
      </c>
      <c r="G3767" t="s">
        <v>144</v>
      </c>
      <c r="H3767" t="s">
        <v>179</v>
      </c>
      <c r="I3767" t="e">
        <f t="shared" ca="1" si="296"/>
        <v>#REF!</v>
      </c>
      <c r="J3767" t="str">
        <f>VLOOKUP($G3767,DefinitionArrays!$I$6:$J$12,2,FALSE)</f>
        <v>Workweek</v>
      </c>
    </row>
    <row r="3768" spans="1:10">
      <c r="A3768" s="159" t="str">
        <f t="shared" si="292"/>
        <v>$K$1:$K$92</v>
      </c>
      <c r="B3768" s="159" t="str">
        <f t="shared" si="293"/>
        <v>$L$1:$L$92</v>
      </c>
      <c r="C3768" s="159" t="str">
        <f t="shared" si="294"/>
        <v>January!$K$1:$K$92</v>
      </c>
      <c r="D3768" s="159" t="str">
        <f t="shared" si="295"/>
        <v>January!$L$1:$L$92</v>
      </c>
      <c r="E3768" t="s">
        <v>8</v>
      </c>
      <c r="F3768" t="s">
        <v>48</v>
      </c>
      <c r="G3768" t="s">
        <v>144</v>
      </c>
      <c r="H3768" t="s">
        <v>180</v>
      </c>
      <c r="I3768" t="e">
        <f t="shared" ca="1" si="296"/>
        <v>#REF!</v>
      </c>
      <c r="J3768" t="str">
        <f>VLOOKUP($G3768,DefinitionArrays!$I$6:$J$12,2,FALSE)</f>
        <v>Workweek</v>
      </c>
    </row>
    <row r="3769" spans="1:10">
      <c r="A3769" s="159" t="str">
        <f t="shared" si="292"/>
        <v>$K$1:$K$92</v>
      </c>
      <c r="B3769" s="159" t="str">
        <f t="shared" si="293"/>
        <v>$L$1:$L$92</v>
      </c>
      <c r="C3769" s="159" t="str">
        <f t="shared" si="294"/>
        <v>January!$K$1:$K$92</v>
      </c>
      <c r="D3769" s="159" t="str">
        <f t="shared" si="295"/>
        <v>January!$L$1:$L$92</v>
      </c>
      <c r="E3769" t="s">
        <v>8</v>
      </c>
      <c r="F3769" t="s">
        <v>48</v>
      </c>
      <c r="G3769" t="s">
        <v>144</v>
      </c>
      <c r="H3769" t="s">
        <v>44</v>
      </c>
      <c r="I3769" t="e">
        <f t="shared" ca="1" si="296"/>
        <v>#REF!</v>
      </c>
      <c r="J3769" t="str">
        <f>VLOOKUP($G3769,DefinitionArrays!$I$6:$J$12,2,FALSE)</f>
        <v>Workweek</v>
      </c>
    </row>
    <row r="3770" spans="1:10">
      <c r="A3770" s="159" t="str">
        <f t="shared" si="292"/>
        <v>$N$1:$N$92</v>
      </c>
      <c r="B3770" s="159" t="str">
        <f t="shared" si="293"/>
        <v>$O$1:$O$92</v>
      </c>
      <c r="C3770" s="159" t="str">
        <f t="shared" si="294"/>
        <v>January!$N$1:$N$92</v>
      </c>
      <c r="D3770" s="159" t="str">
        <f t="shared" si="295"/>
        <v>January!$O$1:$O$92</v>
      </c>
      <c r="E3770" t="s">
        <v>8</v>
      </c>
      <c r="F3770" t="s">
        <v>48</v>
      </c>
      <c r="G3770" t="s">
        <v>145</v>
      </c>
      <c r="H3770" t="s">
        <v>159</v>
      </c>
      <c r="I3770" t="e">
        <f t="shared" ca="1" si="296"/>
        <v>#REF!</v>
      </c>
      <c r="J3770" t="str">
        <f>VLOOKUP($G3770,DefinitionArrays!$I$6:$J$12,2,FALSE)</f>
        <v>Weekend</v>
      </c>
    </row>
    <row r="3771" spans="1:10">
      <c r="A3771" s="159" t="str">
        <f t="shared" si="292"/>
        <v>$N$1:$N$92</v>
      </c>
      <c r="B3771" s="159" t="str">
        <f t="shared" si="293"/>
        <v>$O$1:$O$92</v>
      </c>
      <c r="C3771" s="159" t="str">
        <f t="shared" si="294"/>
        <v>January!$N$1:$N$92</v>
      </c>
      <c r="D3771" s="159" t="str">
        <f t="shared" si="295"/>
        <v>January!$O$1:$O$92</v>
      </c>
      <c r="E3771" t="s">
        <v>8</v>
      </c>
      <c r="F3771" t="s">
        <v>48</v>
      </c>
      <c r="G3771" t="s">
        <v>145</v>
      </c>
      <c r="H3771" t="s">
        <v>18</v>
      </c>
      <c r="I3771" t="e">
        <f t="shared" ca="1" si="296"/>
        <v>#REF!</v>
      </c>
      <c r="J3771" t="str">
        <f>VLOOKUP($G3771,DefinitionArrays!$I$6:$J$12,2,FALSE)</f>
        <v>Weekend</v>
      </c>
    </row>
    <row r="3772" spans="1:10">
      <c r="A3772" s="159" t="str">
        <f t="shared" si="292"/>
        <v>$N$1:$N$92</v>
      </c>
      <c r="B3772" s="159" t="str">
        <f t="shared" si="293"/>
        <v>$O$1:$O$92</v>
      </c>
      <c r="C3772" s="159" t="str">
        <f t="shared" si="294"/>
        <v>January!$N$1:$N$92</v>
      </c>
      <c r="D3772" s="159" t="str">
        <f t="shared" si="295"/>
        <v>January!$O$1:$O$92</v>
      </c>
      <c r="E3772" t="s">
        <v>8</v>
      </c>
      <c r="F3772" t="s">
        <v>48</v>
      </c>
      <c r="G3772" t="s">
        <v>145</v>
      </c>
      <c r="H3772" t="s">
        <v>153</v>
      </c>
      <c r="I3772" t="e">
        <f t="shared" ca="1" si="296"/>
        <v>#REF!</v>
      </c>
      <c r="J3772" t="str">
        <f>VLOOKUP($G3772,DefinitionArrays!$I$6:$J$12,2,FALSE)</f>
        <v>Weekend</v>
      </c>
    </row>
    <row r="3773" spans="1:10">
      <c r="A3773" s="159" t="str">
        <f t="shared" si="292"/>
        <v>$N$1:$N$92</v>
      </c>
      <c r="B3773" s="159" t="str">
        <f t="shared" si="293"/>
        <v>$O$1:$O$92</v>
      </c>
      <c r="C3773" s="159" t="str">
        <f t="shared" si="294"/>
        <v>January!$N$1:$N$92</v>
      </c>
      <c r="D3773" s="159" t="str">
        <f t="shared" si="295"/>
        <v>January!$O$1:$O$92</v>
      </c>
      <c r="E3773" t="s">
        <v>8</v>
      </c>
      <c r="F3773" t="s">
        <v>48</v>
      </c>
      <c r="G3773" t="s">
        <v>145</v>
      </c>
      <c r="H3773" t="s">
        <v>19</v>
      </c>
      <c r="I3773" t="e">
        <f t="shared" ca="1" si="296"/>
        <v>#REF!</v>
      </c>
      <c r="J3773" t="str">
        <f>VLOOKUP($G3773,DefinitionArrays!$I$6:$J$12,2,FALSE)</f>
        <v>Weekend</v>
      </c>
    </row>
    <row r="3774" spans="1:10">
      <c r="A3774" s="159" t="str">
        <f t="shared" si="292"/>
        <v>$N$1:$N$92</v>
      </c>
      <c r="B3774" s="159" t="str">
        <f t="shared" si="293"/>
        <v>$O$1:$O$92</v>
      </c>
      <c r="C3774" s="159" t="str">
        <f t="shared" si="294"/>
        <v>January!$N$1:$N$92</v>
      </c>
      <c r="D3774" s="159" t="str">
        <f t="shared" si="295"/>
        <v>January!$O$1:$O$92</v>
      </c>
      <c r="E3774" t="s">
        <v>8</v>
      </c>
      <c r="F3774" t="s">
        <v>48</v>
      </c>
      <c r="G3774" t="s">
        <v>145</v>
      </c>
      <c r="H3774" t="s">
        <v>20</v>
      </c>
      <c r="I3774" t="e">
        <f t="shared" ca="1" si="296"/>
        <v>#REF!</v>
      </c>
      <c r="J3774" t="str">
        <f>VLOOKUP($G3774,DefinitionArrays!$I$6:$J$12,2,FALSE)</f>
        <v>Weekend</v>
      </c>
    </row>
    <row r="3775" spans="1:10">
      <c r="A3775" s="159" t="str">
        <f t="shared" si="292"/>
        <v>$N$1:$N$92</v>
      </c>
      <c r="B3775" s="159" t="str">
        <f t="shared" si="293"/>
        <v>$O$1:$O$92</v>
      </c>
      <c r="C3775" s="159" t="str">
        <f t="shared" si="294"/>
        <v>January!$N$1:$N$92</v>
      </c>
      <c r="D3775" s="159" t="str">
        <f t="shared" si="295"/>
        <v>January!$O$1:$O$92</v>
      </c>
      <c r="E3775" t="s">
        <v>8</v>
      </c>
      <c r="F3775" t="s">
        <v>48</v>
      </c>
      <c r="G3775" t="s">
        <v>145</v>
      </c>
      <c r="H3775" t="s">
        <v>21</v>
      </c>
      <c r="I3775" t="e">
        <f t="shared" ca="1" si="296"/>
        <v>#REF!</v>
      </c>
      <c r="J3775" t="str">
        <f>VLOOKUP($G3775,DefinitionArrays!$I$6:$J$12,2,FALSE)</f>
        <v>Weekend</v>
      </c>
    </row>
    <row r="3776" spans="1:10">
      <c r="A3776" s="159" t="str">
        <f t="shared" si="292"/>
        <v>$N$1:$N$92</v>
      </c>
      <c r="B3776" s="159" t="str">
        <f t="shared" si="293"/>
        <v>$O$1:$O$92</v>
      </c>
      <c r="C3776" s="159" t="str">
        <f t="shared" si="294"/>
        <v>January!$N$1:$N$92</v>
      </c>
      <c r="D3776" s="159" t="str">
        <f t="shared" si="295"/>
        <v>January!$O$1:$O$92</v>
      </c>
      <c r="E3776" t="s">
        <v>8</v>
      </c>
      <c r="F3776" t="s">
        <v>48</v>
      </c>
      <c r="G3776" t="s">
        <v>145</v>
      </c>
      <c r="H3776" t="s">
        <v>22</v>
      </c>
      <c r="I3776" t="e">
        <f t="shared" ca="1" si="296"/>
        <v>#REF!</v>
      </c>
      <c r="J3776" t="str">
        <f>VLOOKUP($G3776,DefinitionArrays!$I$6:$J$12,2,FALSE)</f>
        <v>Weekend</v>
      </c>
    </row>
    <row r="3777" spans="1:10">
      <c r="A3777" s="159" t="str">
        <f t="shared" si="292"/>
        <v>$N$1:$N$92</v>
      </c>
      <c r="B3777" s="159" t="str">
        <f t="shared" si="293"/>
        <v>$O$1:$O$92</v>
      </c>
      <c r="C3777" s="159" t="str">
        <f t="shared" si="294"/>
        <v>January!$N$1:$N$92</v>
      </c>
      <c r="D3777" s="159" t="str">
        <f t="shared" si="295"/>
        <v>January!$O$1:$O$92</v>
      </c>
      <c r="E3777" t="s">
        <v>8</v>
      </c>
      <c r="F3777" t="s">
        <v>48</v>
      </c>
      <c r="G3777" t="s">
        <v>145</v>
      </c>
      <c r="H3777" t="s">
        <v>23</v>
      </c>
      <c r="I3777" t="e">
        <f t="shared" ca="1" si="296"/>
        <v>#REF!</v>
      </c>
      <c r="J3777" t="str">
        <f>VLOOKUP($G3777,DefinitionArrays!$I$6:$J$12,2,FALSE)</f>
        <v>Weekend</v>
      </c>
    </row>
    <row r="3778" spans="1:10">
      <c r="A3778" s="159" t="str">
        <f t="shared" ref="A3778:A3841" si="297">VLOOKUP($G3778,Fx_Code,2,FALSE)</f>
        <v>$N$1:$N$92</v>
      </c>
      <c r="B3778" s="159" t="str">
        <f t="shared" ref="B3778:B3841" si="298">VLOOKUP($G3778,Fx_Code,3,FALSE)</f>
        <v>$O$1:$O$92</v>
      </c>
      <c r="C3778" s="159" t="str">
        <f t="shared" ref="C3778:C3841" si="299">CONCATENATE($F3778,$K$1,A3778)</f>
        <v>January!$N$1:$N$92</v>
      </c>
      <c r="D3778" s="159" t="str">
        <f t="shared" ref="D3778:D3841" si="300">CONCATENATE($F3778,$K$1,B3778)</f>
        <v>January!$O$1:$O$92</v>
      </c>
      <c r="E3778" t="s">
        <v>8</v>
      </c>
      <c r="F3778" t="s">
        <v>48</v>
      </c>
      <c r="G3778" t="s">
        <v>145</v>
      </c>
      <c r="H3778" t="s">
        <v>24</v>
      </c>
      <c r="I3778" t="e">
        <f t="shared" ca="1" si="296"/>
        <v>#REF!</v>
      </c>
      <c r="J3778" t="str">
        <f>VLOOKUP($G3778,DefinitionArrays!$I$6:$J$12,2,FALSE)</f>
        <v>Weekend</v>
      </c>
    </row>
    <row r="3779" spans="1:10">
      <c r="A3779" s="159" t="str">
        <f t="shared" si="297"/>
        <v>$N$1:$N$92</v>
      </c>
      <c r="B3779" s="159" t="str">
        <f t="shared" si="298"/>
        <v>$O$1:$O$92</v>
      </c>
      <c r="C3779" s="159" t="str">
        <f t="shared" si="299"/>
        <v>January!$N$1:$N$92</v>
      </c>
      <c r="D3779" s="159" t="str">
        <f t="shared" si="300"/>
        <v>January!$O$1:$O$92</v>
      </c>
      <c r="E3779" t="s">
        <v>8</v>
      </c>
      <c r="F3779" t="s">
        <v>48</v>
      </c>
      <c r="G3779" t="s">
        <v>145</v>
      </c>
      <c r="H3779" t="s">
        <v>179</v>
      </c>
      <c r="I3779" t="e">
        <f t="shared" ca="1" si="296"/>
        <v>#REF!</v>
      </c>
      <c r="J3779" t="str">
        <f>VLOOKUP($G3779,DefinitionArrays!$I$6:$J$12,2,FALSE)</f>
        <v>Weekend</v>
      </c>
    </row>
    <row r="3780" spans="1:10">
      <c r="A3780" s="159" t="str">
        <f t="shared" si="297"/>
        <v>$N$1:$N$92</v>
      </c>
      <c r="B3780" s="159" t="str">
        <f t="shared" si="298"/>
        <v>$O$1:$O$92</v>
      </c>
      <c r="C3780" s="159" t="str">
        <f t="shared" si="299"/>
        <v>January!$N$1:$N$92</v>
      </c>
      <c r="D3780" s="159" t="str">
        <f t="shared" si="300"/>
        <v>January!$O$1:$O$92</v>
      </c>
      <c r="E3780" t="s">
        <v>8</v>
      </c>
      <c r="F3780" t="s">
        <v>48</v>
      </c>
      <c r="G3780" t="s">
        <v>145</v>
      </c>
      <c r="H3780" t="s">
        <v>180</v>
      </c>
      <c r="I3780" t="e">
        <f t="shared" ca="1" si="296"/>
        <v>#REF!</v>
      </c>
      <c r="J3780" t="str">
        <f>VLOOKUP($G3780,DefinitionArrays!$I$6:$J$12,2,FALSE)</f>
        <v>Weekend</v>
      </c>
    </row>
    <row r="3781" spans="1:10">
      <c r="A3781" s="159" t="str">
        <f t="shared" si="297"/>
        <v>$N$1:$N$92</v>
      </c>
      <c r="B3781" s="159" t="str">
        <f t="shared" si="298"/>
        <v>$O$1:$O$92</v>
      </c>
      <c r="C3781" s="159" t="str">
        <f t="shared" si="299"/>
        <v>January!$N$1:$N$92</v>
      </c>
      <c r="D3781" s="159" t="str">
        <f t="shared" si="300"/>
        <v>January!$O$1:$O$92</v>
      </c>
      <c r="E3781" t="s">
        <v>8</v>
      </c>
      <c r="F3781" t="s">
        <v>48</v>
      </c>
      <c r="G3781" t="s">
        <v>145</v>
      </c>
      <c r="H3781" t="s">
        <v>44</v>
      </c>
      <c r="I3781" t="e">
        <f t="shared" ca="1" si="296"/>
        <v>#REF!</v>
      </c>
      <c r="J3781" t="str">
        <f>VLOOKUP($G3781,DefinitionArrays!$I$6:$J$12,2,FALSE)</f>
        <v>Weekend</v>
      </c>
    </row>
    <row r="3782" spans="1:10">
      <c r="A3782" s="159" t="str">
        <f t="shared" si="297"/>
        <v>$Q$1:$Q$92</v>
      </c>
      <c r="B3782" s="159" t="str">
        <f t="shared" si="298"/>
        <v>$R$1:$R$92</v>
      </c>
      <c r="C3782" s="159" t="str">
        <f t="shared" si="299"/>
        <v>January!$Q$1:$Q$92</v>
      </c>
      <c r="D3782" s="159" t="str">
        <f t="shared" si="300"/>
        <v>January!$R$1:$R$92</v>
      </c>
      <c r="E3782" t="s">
        <v>8</v>
      </c>
      <c r="F3782" t="s">
        <v>48</v>
      </c>
      <c r="G3782" t="s">
        <v>146</v>
      </c>
      <c r="H3782" t="s">
        <v>159</v>
      </c>
      <c r="I3782" t="e">
        <f t="shared" ca="1" si="296"/>
        <v>#REF!</v>
      </c>
      <c r="J3782" t="str">
        <f>VLOOKUP($G3782,DefinitionArrays!$I$6:$J$12,2,FALSE)</f>
        <v>Weekend</v>
      </c>
    </row>
    <row r="3783" spans="1:10">
      <c r="A3783" s="159" t="str">
        <f t="shared" si="297"/>
        <v>$T$1:$T$92</v>
      </c>
      <c r="B3783" s="159" t="str">
        <f t="shared" si="298"/>
        <v>$U$1:$U$92</v>
      </c>
      <c r="C3783" s="159" t="str">
        <f t="shared" si="299"/>
        <v>January!$T$1:$T$92</v>
      </c>
      <c r="D3783" s="159" t="str">
        <f t="shared" si="300"/>
        <v>January!$U$1:$U$92</v>
      </c>
      <c r="E3783" t="s">
        <v>8</v>
      </c>
      <c r="F3783" t="s">
        <v>48</v>
      </c>
      <c r="G3783" t="s">
        <v>141</v>
      </c>
      <c r="H3783" t="s">
        <v>159</v>
      </c>
      <c r="I3783" t="e">
        <f t="shared" ca="1" si="296"/>
        <v>#REF!</v>
      </c>
      <c r="J3783" t="str">
        <f>VLOOKUP($G3783,DefinitionArrays!$I$6:$J$12,2,FALSE)</f>
        <v>Weekend</v>
      </c>
    </row>
    <row r="3784" spans="1:10">
      <c r="A3784" s="159" t="str">
        <f t="shared" si="297"/>
        <v>$B$1:$B$92</v>
      </c>
      <c r="B3784" s="159" t="str">
        <f t="shared" si="298"/>
        <v>$C$1:$C$92</v>
      </c>
      <c r="C3784" s="159" t="str">
        <f t="shared" si="299"/>
        <v>February!$B$1:$B$92</v>
      </c>
      <c r="D3784" s="159" t="str">
        <f t="shared" si="300"/>
        <v>February!$C$1:$C$92</v>
      </c>
      <c r="E3784" t="s">
        <v>8</v>
      </c>
      <c r="F3784" t="s">
        <v>121</v>
      </c>
      <c r="G3784" t="s">
        <v>13</v>
      </c>
      <c r="H3784" t="s">
        <v>159</v>
      </c>
      <c r="I3784" t="e">
        <f ca="1">COUNTIFS(INDIRECT($C3784),$E3784,INDIRECT($D3784),$H3784)</f>
        <v>#REF!</v>
      </c>
      <c r="J3784" t="str">
        <f>VLOOKUP($G3784,DefinitionArrays!$I$6:$J$12,2,FALSE)</f>
        <v>Workweek</v>
      </c>
    </row>
    <row r="3785" spans="1:10">
      <c r="A3785" s="159" t="str">
        <f t="shared" si="297"/>
        <v>$B$1:$B$92</v>
      </c>
      <c r="B3785" s="159" t="str">
        <f t="shared" si="298"/>
        <v>$C$1:$C$92</v>
      </c>
      <c r="C3785" s="159" t="str">
        <f t="shared" si="299"/>
        <v>February!$B$1:$B$92</v>
      </c>
      <c r="D3785" s="159" t="str">
        <f t="shared" si="300"/>
        <v>February!$C$1:$C$92</v>
      </c>
      <c r="E3785" t="s">
        <v>8</v>
      </c>
      <c r="F3785" t="s">
        <v>121</v>
      </c>
      <c r="G3785" t="s">
        <v>13</v>
      </c>
      <c r="H3785" t="s">
        <v>18</v>
      </c>
      <c r="I3785" t="e">
        <f t="shared" ref="I3785:I3845" ca="1" si="301">COUNTIFS(INDIRECT($C3785),$E3785,INDIRECT($D3785),$H3785)</f>
        <v>#REF!</v>
      </c>
      <c r="J3785" t="str">
        <f>VLOOKUP($G3785,DefinitionArrays!$I$6:$J$12,2,FALSE)</f>
        <v>Workweek</v>
      </c>
    </row>
    <row r="3786" spans="1:10">
      <c r="A3786" s="159" t="str">
        <f t="shared" si="297"/>
        <v>$B$1:$B$92</v>
      </c>
      <c r="B3786" s="159" t="str">
        <f t="shared" si="298"/>
        <v>$C$1:$C$92</v>
      </c>
      <c r="C3786" s="159" t="str">
        <f t="shared" si="299"/>
        <v>February!$B$1:$B$92</v>
      </c>
      <c r="D3786" s="159" t="str">
        <f t="shared" si="300"/>
        <v>February!$C$1:$C$92</v>
      </c>
      <c r="E3786" t="s">
        <v>8</v>
      </c>
      <c r="F3786" t="s">
        <v>121</v>
      </c>
      <c r="G3786" t="s">
        <v>13</v>
      </c>
      <c r="H3786" t="s">
        <v>153</v>
      </c>
      <c r="I3786" t="e">
        <f t="shared" ca="1" si="301"/>
        <v>#REF!</v>
      </c>
      <c r="J3786" t="str">
        <f>VLOOKUP($G3786,DefinitionArrays!$I$6:$J$12,2,FALSE)</f>
        <v>Workweek</v>
      </c>
    </row>
    <row r="3787" spans="1:10">
      <c r="A3787" s="159" t="str">
        <f t="shared" si="297"/>
        <v>$B$1:$B$92</v>
      </c>
      <c r="B3787" s="159" t="str">
        <f t="shared" si="298"/>
        <v>$C$1:$C$92</v>
      </c>
      <c r="C3787" s="159" t="str">
        <f t="shared" si="299"/>
        <v>February!$B$1:$B$92</v>
      </c>
      <c r="D3787" s="159" t="str">
        <f t="shared" si="300"/>
        <v>February!$C$1:$C$92</v>
      </c>
      <c r="E3787" t="s">
        <v>8</v>
      </c>
      <c r="F3787" t="s">
        <v>121</v>
      </c>
      <c r="G3787" t="s">
        <v>13</v>
      </c>
      <c r="H3787" t="s">
        <v>19</v>
      </c>
      <c r="I3787" t="e">
        <f t="shared" ca="1" si="301"/>
        <v>#REF!</v>
      </c>
      <c r="J3787" t="str">
        <f>VLOOKUP($G3787,DefinitionArrays!$I$6:$J$12,2,FALSE)</f>
        <v>Workweek</v>
      </c>
    </row>
    <row r="3788" spans="1:10">
      <c r="A3788" s="159" t="str">
        <f t="shared" si="297"/>
        <v>$B$1:$B$92</v>
      </c>
      <c r="B3788" s="159" t="str">
        <f t="shared" si="298"/>
        <v>$C$1:$C$92</v>
      </c>
      <c r="C3788" s="159" t="str">
        <f t="shared" si="299"/>
        <v>February!$B$1:$B$92</v>
      </c>
      <c r="D3788" s="159" t="str">
        <f t="shared" si="300"/>
        <v>February!$C$1:$C$92</v>
      </c>
      <c r="E3788" t="s">
        <v>8</v>
      </c>
      <c r="F3788" t="s">
        <v>121</v>
      </c>
      <c r="G3788" t="s">
        <v>13</v>
      </c>
      <c r="H3788" t="s">
        <v>20</v>
      </c>
      <c r="I3788" t="e">
        <f t="shared" ca="1" si="301"/>
        <v>#REF!</v>
      </c>
      <c r="J3788" t="str">
        <f>VLOOKUP($G3788,DefinitionArrays!$I$6:$J$12,2,FALSE)</f>
        <v>Workweek</v>
      </c>
    </row>
    <row r="3789" spans="1:10">
      <c r="A3789" s="159" t="str">
        <f t="shared" si="297"/>
        <v>$B$1:$B$92</v>
      </c>
      <c r="B3789" s="159" t="str">
        <f t="shared" si="298"/>
        <v>$C$1:$C$92</v>
      </c>
      <c r="C3789" s="159" t="str">
        <f t="shared" si="299"/>
        <v>February!$B$1:$B$92</v>
      </c>
      <c r="D3789" s="159" t="str">
        <f t="shared" si="300"/>
        <v>February!$C$1:$C$92</v>
      </c>
      <c r="E3789" t="s">
        <v>8</v>
      </c>
      <c r="F3789" t="s">
        <v>121</v>
      </c>
      <c r="G3789" t="s">
        <v>13</v>
      </c>
      <c r="H3789" t="s">
        <v>21</v>
      </c>
      <c r="I3789" t="e">
        <f t="shared" ca="1" si="301"/>
        <v>#REF!</v>
      </c>
      <c r="J3789" t="str">
        <f>VLOOKUP($G3789,DefinitionArrays!$I$6:$J$12,2,FALSE)</f>
        <v>Workweek</v>
      </c>
    </row>
    <row r="3790" spans="1:10">
      <c r="A3790" s="159" t="str">
        <f t="shared" si="297"/>
        <v>$B$1:$B$92</v>
      </c>
      <c r="B3790" s="159" t="str">
        <f t="shared" si="298"/>
        <v>$C$1:$C$92</v>
      </c>
      <c r="C3790" s="159" t="str">
        <f t="shared" si="299"/>
        <v>February!$B$1:$B$92</v>
      </c>
      <c r="D3790" s="159" t="str">
        <f t="shared" si="300"/>
        <v>February!$C$1:$C$92</v>
      </c>
      <c r="E3790" t="s">
        <v>8</v>
      </c>
      <c r="F3790" t="s">
        <v>121</v>
      </c>
      <c r="G3790" t="s">
        <v>13</v>
      </c>
      <c r="H3790" t="s">
        <v>22</v>
      </c>
      <c r="I3790" t="e">
        <f t="shared" ca="1" si="301"/>
        <v>#REF!</v>
      </c>
      <c r="J3790" t="str">
        <f>VLOOKUP($G3790,DefinitionArrays!$I$6:$J$12,2,FALSE)</f>
        <v>Workweek</v>
      </c>
    </row>
    <row r="3791" spans="1:10">
      <c r="A3791" s="159" t="str">
        <f t="shared" si="297"/>
        <v>$B$1:$B$92</v>
      </c>
      <c r="B3791" s="159" t="str">
        <f t="shared" si="298"/>
        <v>$C$1:$C$92</v>
      </c>
      <c r="C3791" s="159" t="str">
        <f t="shared" si="299"/>
        <v>February!$B$1:$B$92</v>
      </c>
      <c r="D3791" s="159" t="str">
        <f t="shared" si="300"/>
        <v>February!$C$1:$C$92</v>
      </c>
      <c r="E3791" t="s">
        <v>8</v>
      </c>
      <c r="F3791" t="s">
        <v>121</v>
      </c>
      <c r="G3791" t="s">
        <v>13</v>
      </c>
      <c r="H3791" t="s">
        <v>23</v>
      </c>
      <c r="I3791" t="e">
        <f t="shared" ca="1" si="301"/>
        <v>#REF!</v>
      </c>
      <c r="J3791" t="str">
        <f>VLOOKUP($G3791,DefinitionArrays!$I$6:$J$12,2,FALSE)</f>
        <v>Workweek</v>
      </c>
    </row>
    <row r="3792" spans="1:10">
      <c r="A3792" s="159" t="str">
        <f t="shared" si="297"/>
        <v>$B$1:$B$92</v>
      </c>
      <c r="B3792" s="159" t="str">
        <f t="shared" si="298"/>
        <v>$C$1:$C$92</v>
      </c>
      <c r="C3792" s="159" t="str">
        <f t="shared" si="299"/>
        <v>February!$B$1:$B$92</v>
      </c>
      <c r="D3792" s="159" t="str">
        <f t="shared" si="300"/>
        <v>February!$C$1:$C$92</v>
      </c>
      <c r="E3792" t="s">
        <v>8</v>
      </c>
      <c r="F3792" t="s">
        <v>121</v>
      </c>
      <c r="G3792" t="s">
        <v>13</v>
      </c>
      <c r="H3792" t="s">
        <v>24</v>
      </c>
      <c r="I3792" t="e">
        <f t="shared" ca="1" si="301"/>
        <v>#REF!</v>
      </c>
      <c r="J3792" t="str">
        <f>VLOOKUP($G3792,DefinitionArrays!$I$6:$J$12,2,FALSE)</f>
        <v>Workweek</v>
      </c>
    </row>
    <row r="3793" spans="1:10">
      <c r="A3793" s="159" t="str">
        <f t="shared" si="297"/>
        <v>$B$1:$B$92</v>
      </c>
      <c r="B3793" s="159" t="str">
        <f t="shared" si="298"/>
        <v>$C$1:$C$92</v>
      </c>
      <c r="C3793" s="159" t="str">
        <f t="shared" si="299"/>
        <v>February!$B$1:$B$92</v>
      </c>
      <c r="D3793" s="159" t="str">
        <f t="shared" si="300"/>
        <v>February!$C$1:$C$92</v>
      </c>
      <c r="E3793" t="s">
        <v>8</v>
      </c>
      <c r="F3793" t="s">
        <v>121</v>
      </c>
      <c r="G3793" t="s">
        <v>13</v>
      </c>
      <c r="H3793" t="s">
        <v>179</v>
      </c>
      <c r="I3793" t="e">
        <f t="shared" ca="1" si="301"/>
        <v>#REF!</v>
      </c>
      <c r="J3793" t="str">
        <f>VLOOKUP($G3793,DefinitionArrays!$I$6:$J$12,2,FALSE)</f>
        <v>Workweek</v>
      </c>
    </row>
    <row r="3794" spans="1:10">
      <c r="A3794" s="159" t="str">
        <f t="shared" si="297"/>
        <v>$B$1:$B$92</v>
      </c>
      <c r="B3794" s="159" t="str">
        <f t="shared" si="298"/>
        <v>$C$1:$C$92</v>
      </c>
      <c r="C3794" s="159" t="str">
        <f t="shared" si="299"/>
        <v>February!$B$1:$B$92</v>
      </c>
      <c r="D3794" s="159" t="str">
        <f t="shared" si="300"/>
        <v>February!$C$1:$C$92</v>
      </c>
      <c r="E3794" t="s">
        <v>8</v>
      </c>
      <c r="F3794" t="s">
        <v>121</v>
      </c>
      <c r="G3794" t="s">
        <v>13</v>
      </c>
      <c r="H3794" t="s">
        <v>180</v>
      </c>
      <c r="I3794" t="e">
        <f t="shared" ca="1" si="301"/>
        <v>#REF!</v>
      </c>
      <c r="J3794" t="str">
        <f>VLOOKUP($G3794,DefinitionArrays!$I$6:$J$12,2,FALSE)</f>
        <v>Workweek</v>
      </c>
    </row>
    <row r="3795" spans="1:10">
      <c r="A3795" s="159" t="str">
        <f t="shared" si="297"/>
        <v>$B$1:$B$92</v>
      </c>
      <c r="B3795" s="159" t="str">
        <f t="shared" si="298"/>
        <v>$C$1:$C$92</v>
      </c>
      <c r="C3795" s="159" t="str">
        <f t="shared" si="299"/>
        <v>February!$B$1:$B$92</v>
      </c>
      <c r="D3795" s="159" t="str">
        <f t="shared" si="300"/>
        <v>February!$C$1:$C$92</v>
      </c>
      <c r="E3795" t="s">
        <v>8</v>
      </c>
      <c r="F3795" t="s">
        <v>121</v>
      </c>
      <c r="G3795" t="s">
        <v>13</v>
      </c>
      <c r="H3795" t="s">
        <v>44</v>
      </c>
      <c r="I3795" t="e">
        <f t="shared" ca="1" si="301"/>
        <v>#REF!</v>
      </c>
      <c r="J3795" t="str">
        <f>VLOOKUP($G3795,DefinitionArrays!$I$6:$J$12,2,FALSE)</f>
        <v>Workweek</v>
      </c>
    </row>
    <row r="3796" spans="1:10">
      <c r="A3796" s="159" t="str">
        <f t="shared" si="297"/>
        <v>$E$1:$E$92</v>
      </c>
      <c r="B3796" s="159" t="str">
        <f t="shared" si="298"/>
        <v>$F$1:$F$92</v>
      </c>
      <c r="C3796" s="159" t="str">
        <f t="shared" si="299"/>
        <v>February!$E$1:$E$92</v>
      </c>
      <c r="D3796" s="159" t="str">
        <f t="shared" si="300"/>
        <v>February!$F$1:$F$92</v>
      </c>
      <c r="E3796" t="s">
        <v>8</v>
      </c>
      <c r="F3796" t="s">
        <v>121</v>
      </c>
      <c r="G3796" t="s">
        <v>142</v>
      </c>
      <c r="H3796" t="s">
        <v>159</v>
      </c>
      <c r="I3796" t="e">
        <f t="shared" ca="1" si="301"/>
        <v>#REF!</v>
      </c>
      <c r="J3796" t="str">
        <f>VLOOKUP($G3796,DefinitionArrays!$I$6:$J$12,2,FALSE)</f>
        <v>Workweek</v>
      </c>
    </row>
    <row r="3797" spans="1:10">
      <c r="A3797" s="159" t="str">
        <f t="shared" si="297"/>
        <v>$E$1:$E$92</v>
      </c>
      <c r="B3797" s="159" t="str">
        <f t="shared" si="298"/>
        <v>$F$1:$F$92</v>
      </c>
      <c r="C3797" s="159" t="str">
        <f t="shared" si="299"/>
        <v>February!$E$1:$E$92</v>
      </c>
      <c r="D3797" s="159" t="str">
        <f t="shared" si="300"/>
        <v>February!$F$1:$F$92</v>
      </c>
      <c r="E3797" t="s">
        <v>8</v>
      </c>
      <c r="F3797" t="s">
        <v>121</v>
      </c>
      <c r="G3797" t="s">
        <v>142</v>
      </c>
      <c r="H3797" t="s">
        <v>18</v>
      </c>
      <c r="I3797" t="e">
        <f t="shared" ca="1" si="301"/>
        <v>#REF!</v>
      </c>
      <c r="J3797" t="str">
        <f>VLOOKUP($G3797,DefinitionArrays!$I$6:$J$12,2,FALSE)</f>
        <v>Workweek</v>
      </c>
    </row>
    <row r="3798" spans="1:10">
      <c r="A3798" s="159" t="str">
        <f t="shared" si="297"/>
        <v>$E$1:$E$92</v>
      </c>
      <c r="B3798" s="159" t="str">
        <f t="shared" si="298"/>
        <v>$F$1:$F$92</v>
      </c>
      <c r="C3798" s="159" t="str">
        <f t="shared" si="299"/>
        <v>February!$E$1:$E$92</v>
      </c>
      <c r="D3798" s="159" t="str">
        <f t="shared" si="300"/>
        <v>February!$F$1:$F$92</v>
      </c>
      <c r="E3798" t="s">
        <v>8</v>
      </c>
      <c r="F3798" t="s">
        <v>121</v>
      </c>
      <c r="G3798" t="s">
        <v>142</v>
      </c>
      <c r="H3798" t="s">
        <v>153</v>
      </c>
      <c r="I3798" t="e">
        <f t="shared" ca="1" si="301"/>
        <v>#REF!</v>
      </c>
      <c r="J3798" t="str">
        <f>VLOOKUP($G3798,DefinitionArrays!$I$6:$J$12,2,FALSE)</f>
        <v>Workweek</v>
      </c>
    </row>
    <row r="3799" spans="1:10">
      <c r="A3799" s="159" t="str">
        <f t="shared" si="297"/>
        <v>$E$1:$E$92</v>
      </c>
      <c r="B3799" s="159" t="str">
        <f t="shared" si="298"/>
        <v>$F$1:$F$92</v>
      </c>
      <c r="C3799" s="159" t="str">
        <f t="shared" si="299"/>
        <v>February!$E$1:$E$92</v>
      </c>
      <c r="D3799" s="159" t="str">
        <f t="shared" si="300"/>
        <v>February!$F$1:$F$92</v>
      </c>
      <c r="E3799" t="s">
        <v>8</v>
      </c>
      <c r="F3799" t="s">
        <v>121</v>
      </c>
      <c r="G3799" t="s">
        <v>142</v>
      </c>
      <c r="H3799" t="s">
        <v>19</v>
      </c>
      <c r="I3799" t="e">
        <f t="shared" ca="1" si="301"/>
        <v>#REF!</v>
      </c>
      <c r="J3799" t="str">
        <f>VLOOKUP($G3799,DefinitionArrays!$I$6:$J$12,2,FALSE)</f>
        <v>Workweek</v>
      </c>
    </row>
    <row r="3800" spans="1:10">
      <c r="A3800" s="159" t="str">
        <f t="shared" si="297"/>
        <v>$E$1:$E$92</v>
      </c>
      <c r="B3800" s="159" t="str">
        <f t="shared" si="298"/>
        <v>$F$1:$F$92</v>
      </c>
      <c r="C3800" s="159" t="str">
        <f t="shared" si="299"/>
        <v>February!$E$1:$E$92</v>
      </c>
      <c r="D3800" s="159" t="str">
        <f t="shared" si="300"/>
        <v>February!$F$1:$F$92</v>
      </c>
      <c r="E3800" t="s">
        <v>8</v>
      </c>
      <c r="F3800" t="s">
        <v>121</v>
      </c>
      <c r="G3800" t="s">
        <v>142</v>
      </c>
      <c r="H3800" t="s">
        <v>20</v>
      </c>
      <c r="I3800" t="e">
        <f t="shared" ca="1" si="301"/>
        <v>#REF!</v>
      </c>
      <c r="J3800" t="str">
        <f>VLOOKUP($G3800,DefinitionArrays!$I$6:$J$12,2,FALSE)</f>
        <v>Workweek</v>
      </c>
    </row>
    <row r="3801" spans="1:10">
      <c r="A3801" s="159" t="str">
        <f t="shared" si="297"/>
        <v>$E$1:$E$92</v>
      </c>
      <c r="B3801" s="159" t="str">
        <f t="shared" si="298"/>
        <v>$F$1:$F$92</v>
      </c>
      <c r="C3801" s="159" t="str">
        <f t="shared" si="299"/>
        <v>February!$E$1:$E$92</v>
      </c>
      <c r="D3801" s="159" t="str">
        <f t="shared" si="300"/>
        <v>February!$F$1:$F$92</v>
      </c>
      <c r="E3801" t="s">
        <v>8</v>
      </c>
      <c r="F3801" t="s">
        <v>121</v>
      </c>
      <c r="G3801" t="s">
        <v>142</v>
      </c>
      <c r="H3801" t="s">
        <v>21</v>
      </c>
      <c r="I3801" t="e">
        <f t="shared" ca="1" si="301"/>
        <v>#REF!</v>
      </c>
      <c r="J3801" t="str">
        <f>VLOOKUP($G3801,DefinitionArrays!$I$6:$J$12,2,FALSE)</f>
        <v>Workweek</v>
      </c>
    </row>
    <row r="3802" spans="1:10">
      <c r="A3802" s="159" t="str">
        <f t="shared" si="297"/>
        <v>$E$1:$E$92</v>
      </c>
      <c r="B3802" s="159" t="str">
        <f t="shared" si="298"/>
        <v>$F$1:$F$92</v>
      </c>
      <c r="C3802" s="159" t="str">
        <f t="shared" si="299"/>
        <v>February!$E$1:$E$92</v>
      </c>
      <c r="D3802" s="159" t="str">
        <f t="shared" si="300"/>
        <v>February!$F$1:$F$92</v>
      </c>
      <c r="E3802" t="s">
        <v>8</v>
      </c>
      <c r="F3802" t="s">
        <v>121</v>
      </c>
      <c r="G3802" t="s">
        <v>142</v>
      </c>
      <c r="H3802" t="s">
        <v>22</v>
      </c>
      <c r="I3802" t="e">
        <f t="shared" ca="1" si="301"/>
        <v>#REF!</v>
      </c>
      <c r="J3802" t="str">
        <f>VLOOKUP($G3802,DefinitionArrays!$I$6:$J$12,2,FALSE)</f>
        <v>Workweek</v>
      </c>
    </row>
    <row r="3803" spans="1:10">
      <c r="A3803" s="159" t="str">
        <f t="shared" si="297"/>
        <v>$E$1:$E$92</v>
      </c>
      <c r="B3803" s="159" t="str">
        <f t="shared" si="298"/>
        <v>$F$1:$F$92</v>
      </c>
      <c r="C3803" s="159" t="str">
        <f t="shared" si="299"/>
        <v>February!$E$1:$E$92</v>
      </c>
      <c r="D3803" s="159" t="str">
        <f t="shared" si="300"/>
        <v>February!$F$1:$F$92</v>
      </c>
      <c r="E3803" t="s">
        <v>8</v>
      </c>
      <c r="F3803" t="s">
        <v>121</v>
      </c>
      <c r="G3803" t="s">
        <v>142</v>
      </c>
      <c r="H3803" t="s">
        <v>23</v>
      </c>
      <c r="I3803" t="e">
        <f t="shared" ca="1" si="301"/>
        <v>#REF!</v>
      </c>
      <c r="J3803" t="str">
        <f>VLOOKUP($G3803,DefinitionArrays!$I$6:$J$12,2,FALSE)</f>
        <v>Workweek</v>
      </c>
    </row>
    <row r="3804" spans="1:10">
      <c r="A3804" s="159" t="str">
        <f t="shared" si="297"/>
        <v>$E$1:$E$92</v>
      </c>
      <c r="B3804" s="159" t="str">
        <f t="shared" si="298"/>
        <v>$F$1:$F$92</v>
      </c>
      <c r="C3804" s="159" t="str">
        <f t="shared" si="299"/>
        <v>February!$E$1:$E$92</v>
      </c>
      <c r="D3804" s="159" t="str">
        <f t="shared" si="300"/>
        <v>February!$F$1:$F$92</v>
      </c>
      <c r="E3804" t="s">
        <v>8</v>
      </c>
      <c r="F3804" t="s">
        <v>121</v>
      </c>
      <c r="G3804" t="s">
        <v>142</v>
      </c>
      <c r="H3804" t="s">
        <v>24</v>
      </c>
      <c r="I3804" t="e">
        <f t="shared" ca="1" si="301"/>
        <v>#REF!</v>
      </c>
      <c r="J3804" t="str">
        <f>VLOOKUP($G3804,DefinitionArrays!$I$6:$J$12,2,FALSE)</f>
        <v>Workweek</v>
      </c>
    </row>
    <row r="3805" spans="1:10">
      <c r="A3805" s="159" t="str">
        <f t="shared" si="297"/>
        <v>$E$1:$E$92</v>
      </c>
      <c r="B3805" s="159" t="str">
        <f t="shared" si="298"/>
        <v>$F$1:$F$92</v>
      </c>
      <c r="C3805" s="159" t="str">
        <f t="shared" si="299"/>
        <v>February!$E$1:$E$92</v>
      </c>
      <c r="D3805" s="159" t="str">
        <f t="shared" si="300"/>
        <v>February!$F$1:$F$92</v>
      </c>
      <c r="E3805" t="s">
        <v>8</v>
      </c>
      <c r="F3805" t="s">
        <v>121</v>
      </c>
      <c r="G3805" t="s">
        <v>142</v>
      </c>
      <c r="H3805" t="s">
        <v>179</v>
      </c>
      <c r="I3805" t="e">
        <f t="shared" ca="1" si="301"/>
        <v>#REF!</v>
      </c>
      <c r="J3805" t="str">
        <f>VLOOKUP($G3805,DefinitionArrays!$I$6:$J$12,2,FALSE)</f>
        <v>Workweek</v>
      </c>
    </row>
    <row r="3806" spans="1:10">
      <c r="A3806" s="159" t="str">
        <f t="shared" si="297"/>
        <v>$E$1:$E$92</v>
      </c>
      <c r="B3806" s="159" t="str">
        <f t="shared" si="298"/>
        <v>$F$1:$F$92</v>
      </c>
      <c r="C3806" s="159" t="str">
        <f t="shared" si="299"/>
        <v>February!$E$1:$E$92</v>
      </c>
      <c r="D3806" s="159" t="str">
        <f t="shared" si="300"/>
        <v>February!$F$1:$F$92</v>
      </c>
      <c r="E3806" t="s">
        <v>8</v>
      </c>
      <c r="F3806" t="s">
        <v>121</v>
      </c>
      <c r="G3806" t="s">
        <v>142</v>
      </c>
      <c r="H3806" t="s">
        <v>180</v>
      </c>
      <c r="I3806" t="e">
        <f t="shared" ca="1" si="301"/>
        <v>#REF!</v>
      </c>
      <c r="J3806" t="str">
        <f>VLOOKUP($G3806,DefinitionArrays!$I$6:$J$12,2,FALSE)</f>
        <v>Workweek</v>
      </c>
    </row>
    <row r="3807" spans="1:10">
      <c r="A3807" s="159" t="str">
        <f t="shared" si="297"/>
        <v>$E$1:$E$92</v>
      </c>
      <c r="B3807" s="159" t="str">
        <f t="shared" si="298"/>
        <v>$F$1:$F$92</v>
      </c>
      <c r="C3807" s="159" t="str">
        <f t="shared" si="299"/>
        <v>February!$E$1:$E$92</v>
      </c>
      <c r="D3807" s="159" t="str">
        <f t="shared" si="300"/>
        <v>February!$F$1:$F$92</v>
      </c>
      <c r="E3807" t="s">
        <v>8</v>
      </c>
      <c r="F3807" t="s">
        <v>121</v>
      </c>
      <c r="G3807" t="s">
        <v>142</v>
      </c>
      <c r="H3807" t="s">
        <v>44</v>
      </c>
      <c r="I3807" t="e">
        <f t="shared" ca="1" si="301"/>
        <v>#REF!</v>
      </c>
      <c r="J3807" t="str">
        <f>VLOOKUP($G3807,DefinitionArrays!$I$6:$J$12,2,FALSE)</f>
        <v>Workweek</v>
      </c>
    </row>
    <row r="3808" spans="1:10">
      <c r="A3808" s="159" t="str">
        <f t="shared" si="297"/>
        <v>$H$1:$H$92</v>
      </c>
      <c r="B3808" s="159" t="str">
        <f t="shared" si="298"/>
        <v>$I$1:$I$92</v>
      </c>
      <c r="C3808" s="159" t="str">
        <f t="shared" si="299"/>
        <v>February!$H$1:$H$92</v>
      </c>
      <c r="D3808" s="159" t="str">
        <f t="shared" si="300"/>
        <v>February!$I$1:$I$92</v>
      </c>
      <c r="E3808" t="s">
        <v>8</v>
      </c>
      <c r="F3808" t="s">
        <v>121</v>
      </c>
      <c r="G3808" t="s">
        <v>143</v>
      </c>
      <c r="H3808" t="s">
        <v>159</v>
      </c>
      <c r="I3808" t="e">
        <f t="shared" ca="1" si="301"/>
        <v>#REF!</v>
      </c>
      <c r="J3808" t="str">
        <f>VLOOKUP($G3808,DefinitionArrays!$I$6:$J$12,2,FALSE)</f>
        <v>Workweek</v>
      </c>
    </row>
    <row r="3809" spans="1:10">
      <c r="A3809" s="159" t="str">
        <f t="shared" si="297"/>
        <v>$H$1:$H$92</v>
      </c>
      <c r="B3809" s="159" t="str">
        <f t="shared" si="298"/>
        <v>$I$1:$I$92</v>
      </c>
      <c r="C3809" s="159" t="str">
        <f t="shared" si="299"/>
        <v>February!$H$1:$H$92</v>
      </c>
      <c r="D3809" s="159" t="str">
        <f t="shared" si="300"/>
        <v>February!$I$1:$I$92</v>
      </c>
      <c r="E3809" t="s">
        <v>8</v>
      </c>
      <c r="F3809" t="s">
        <v>121</v>
      </c>
      <c r="G3809" t="s">
        <v>143</v>
      </c>
      <c r="H3809" t="s">
        <v>18</v>
      </c>
      <c r="I3809" t="e">
        <f t="shared" ca="1" si="301"/>
        <v>#REF!</v>
      </c>
      <c r="J3809" t="str">
        <f>VLOOKUP($G3809,DefinitionArrays!$I$6:$J$12,2,FALSE)</f>
        <v>Workweek</v>
      </c>
    </row>
    <row r="3810" spans="1:10">
      <c r="A3810" s="159" t="str">
        <f t="shared" si="297"/>
        <v>$H$1:$H$92</v>
      </c>
      <c r="B3810" s="159" t="str">
        <f t="shared" si="298"/>
        <v>$I$1:$I$92</v>
      </c>
      <c r="C3810" s="159" t="str">
        <f t="shared" si="299"/>
        <v>February!$H$1:$H$92</v>
      </c>
      <c r="D3810" s="159" t="str">
        <f t="shared" si="300"/>
        <v>February!$I$1:$I$92</v>
      </c>
      <c r="E3810" t="s">
        <v>8</v>
      </c>
      <c r="F3810" t="s">
        <v>121</v>
      </c>
      <c r="G3810" t="s">
        <v>143</v>
      </c>
      <c r="H3810" t="s">
        <v>153</v>
      </c>
      <c r="I3810" t="e">
        <f t="shared" ca="1" si="301"/>
        <v>#REF!</v>
      </c>
      <c r="J3810" t="str">
        <f>VLOOKUP($G3810,DefinitionArrays!$I$6:$J$12,2,FALSE)</f>
        <v>Workweek</v>
      </c>
    </row>
    <row r="3811" spans="1:10">
      <c r="A3811" s="159" t="str">
        <f t="shared" si="297"/>
        <v>$H$1:$H$92</v>
      </c>
      <c r="B3811" s="159" t="str">
        <f t="shared" si="298"/>
        <v>$I$1:$I$92</v>
      </c>
      <c r="C3811" s="159" t="str">
        <f t="shared" si="299"/>
        <v>February!$H$1:$H$92</v>
      </c>
      <c r="D3811" s="159" t="str">
        <f t="shared" si="300"/>
        <v>February!$I$1:$I$92</v>
      </c>
      <c r="E3811" t="s">
        <v>8</v>
      </c>
      <c r="F3811" t="s">
        <v>121</v>
      </c>
      <c r="G3811" t="s">
        <v>143</v>
      </c>
      <c r="H3811" t="s">
        <v>19</v>
      </c>
      <c r="I3811" t="e">
        <f t="shared" ca="1" si="301"/>
        <v>#REF!</v>
      </c>
      <c r="J3811" t="str">
        <f>VLOOKUP($G3811,DefinitionArrays!$I$6:$J$12,2,FALSE)</f>
        <v>Workweek</v>
      </c>
    </row>
    <row r="3812" spans="1:10">
      <c r="A3812" s="159" t="str">
        <f t="shared" si="297"/>
        <v>$H$1:$H$92</v>
      </c>
      <c r="B3812" s="159" t="str">
        <f t="shared" si="298"/>
        <v>$I$1:$I$92</v>
      </c>
      <c r="C3812" s="159" t="str">
        <f t="shared" si="299"/>
        <v>February!$H$1:$H$92</v>
      </c>
      <c r="D3812" s="159" t="str">
        <f t="shared" si="300"/>
        <v>February!$I$1:$I$92</v>
      </c>
      <c r="E3812" t="s">
        <v>8</v>
      </c>
      <c r="F3812" t="s">
        <v>121</v>
      </c>
      <c r="G3812" t="s">
        <v>143</v>
      </c>
      <c r="H3812" t="s">
        <v>20</v>
      </c>
      <c r="I3812" t="e">
        <f t="shared" ca="1" si="301"/>
        <v>#REF!</v>
      </c>
      <c r="J3812" t="str">
        <f>VLOOKUP($G3812,DefinitionArrays!$I$6:$J$12,2,FALSE)</f>
        <v>Workweek</v>
      </c>
    </row>
    <row r="3813" spans="1:10">
      <c r="A3813" s="159" t="str">
        <f t="shared" si="297"/>
        <v>$H$1:$H$92</v>
      </c>
      <c r="B3813" s="159" t="str">
        <f t="shared" si="298"/>
        <v>$I$1:$I$92</v>
      </c>
      <c r="C3813" s="159" t="str">
        <f t="shared" si="299"/>
        <v>February!$H$1:$H$92</v>
      </c>
      <c r="D3813" s="159" t="str">
        <f t="shared" si="300"/>
        <v>February!$I$1:$I$92</v>
      </c>
      <c r="E3813" t="s">
        <v>8</v>
      </c>
      <c r="F3813" t="s">
        <v>121</v>
      </c>
      <c r="G3813" t="s">
        <v>143</v>
      </c>
      <c r="H3813" t="s">
        <v>21</v>
      </c>
      <c r="I3813" t="e">
        <f t="shared" ca="1" si="301"/>
        <v>#REF!</v>
      </c>
      <c r="J3813" t="str">
        <f>VLOOKUP($G3813,DefinitionArrays!$I$6:$J$12,2,FALSE)</f>
        <v>Workweek</v>
      </c>
    </row>
    <row r="3814" spans="1:10">
      <c r="A3814" s="159" t="str">
        <f t="shared" si="297"/>
        <v>$H$1:$H$92</v>
      </c>
      <c r="B3814" s="159" t="str">
        <f t="shared" si="298"/>
        <v>$I$1:$I$92</v>
      </c>
      <c r="C3814" s="159" t="str">
        <f t="shared" si="299"/>
        <v>February!$H$1:$H$92</v>
      </c>
      <c r="D3814" s="159" t="str">
        <f t="shared" si="300"/>
        <v>February!$I$1:$I$92</v>
      </c>
      <c r="E3814" t="s">
        <v>8</v>
      </c>
      <c r="F3814" t="s">
        <v>121</v>
      </c>
      <c r="G3814" t="s">
        <v>143</v>
      </c>
      <c r="H3814" t="s">
        <v>22</v>
      </c>
      <c r="I3814" t="e">
        <f t="shared" ca="1" si="301"/>
        <v>#REF!</v>
      </c>
      <c r="J3814" t="str">
        <f>VLOOKUP($G3814,DefinitionArrays!$I$6:$J$12,2,FALSE)</f>
        <v>Workweek</v>
      </c>
    </row>
    <row r="3815" spans="1:10">
      <c r="A3815" s="159" t="str">
        <f t="shared" si="297"/>
        <v>$H$1:$H$92</v>
      </c>
      <c r="B3815" s="159" t="str">
        <f t="shared" si="298"/>
        <v>$I$1:$I$92</v>
      </c>
      <c r="C3815" s="159" t="str">
        <f t="shared" si="299"/>
        <v>February!$H$1:$H$92</v>
      </c>
      <c r="D3815" s="159" t="str">
        <f t="shared" si="300"/>
        <v>February!$I$1:$I$92</v>
      </c>
      <c r="E3815" t="s">
        <v>8</v>
      </c>
      <c r="F3815" t="s">
        <v>121</v>
      </c>
      <c r="G3815" t="s">
        <v>143</v>
      </c>
      <c r="H3815" t="s">
        <v>23</v>
      </c>
      <c r="I3815" t="e">
        <f t="shared" ca="1" si="301"/>
        <v>#REF!</v>
      </c>
      <c r="J3815" t="str">
        <f>VLOOKUP($G3815,DefinitionArrays!$I$6:$J$12,2,FALSE)</f>
        <v>Workweek</v>
      </c>
    </row>
    <row r="3816" spans="1:10">
      <c r="A3816" s="159" t="str">
        <f t="shared" si="297"/>
        <v>$H$1:$H$92</v>
      </c>
      <c r="B3816" s="159" t="str">
        <f t="shared" si="298"/>
        <v>$I$1:$I$92</v>
      </c>
      <c r="C3816" s="159" t="str">
        <f t="shared" si="299"/>
        <v>February!$H$1:$H$92</v>
      </c>
      <c r="D3816" s="159" t="str">
        <f t="shared" si="300"/>
        <v>February!$I$1:$I$92</v>
      </c>
      <c r="E3816" t="s">
        <v>8</v>
      </c>
      <c r="F3816" t="s">
        <v>121</v>
      </c>
      <c r="G3816" t="s">
        <v>143</v>
      </c>
      <c r="H3816" t="s">
        <v>24</v>
      </c>
      <c r="I3816" t="e">
        <f t="shared" ca="1" si="301"/>
        <v>#REF!</v>
      </c>
      <c r="J3816" t="str">
        <f>VLOOKUP($G3816,DefinitionArrays!$I$6:$J$12,2,FALSE)</f>
        <v>Workweek</v>
      </c>
    </row>
    <row r="3817" spans="1:10">
      <c r="A3817" s="159" t="str">
        <f t="shared" si="297"/>
        <v>$H$1:$H$92</v>
      </c>
      <c r="B3817" s="159" t="str">
        <f t="shared" si="298"/>
        <v>$I$1:$I$92</v>
      </c>
      <c r="C3817" s="159" t="str">
        <f t="shared" si="299"/>
        <v>February!$H$1:$H$92</v>
      </c>
      <c r="D3817" s="159" t="str">
        <f t="shared" si="300"/>
        <v>February!$I$1:$I$92</v>
      </c>
      <c r="E3817" t="s">
        <v>8</v>
      </c>
      <c r="F3817" t="s">
        <v>121</v>
      </c>
      <c r="G3817" t="s">
        <v>143</v>
      </c>
      <c r="H3817" t="s">
        <v>179</v>
      </c>
      <c r="I3817" t="e">
        <f t="shared" ca="1" si="301"/>
        <v>#REF!</v>
      </c>
      <c r="J3817" t="str">
        <f>VLOOKUP($G3817,DefinitionArrays!$I$6:$J$12,2,FALSE)</f>
        <v>Workweek</v>
      </c>
    </row>
    <row r="3818" spans="1:10">
      <c r="A3818" s="159" t="str">
        <f t="shared" si="297"/>
        <v>$H$1:$H$92</v>
      </c>
      <c r="B3818" s="159" t="str">
        <f t="shared" si="298"/>
        <v>$I$1:$I$92</v>
      </c>
      <c r="C3818" s="159" t="str">
        <f t="shared" si="299"/>
        <v>February!$H$1:$H$92</v>
      </c>
      <c r="D3818" s="159" t="str">
        <f t="shared" si="300"/>
        <v>February!$I$1:$I$92</v>
      </c>
      <c r="E3818" t="s">
        <v>8</v>
      </c>
      <c r="F3818" t="s">
        <v>121</v>
      </c>
      <c r="G3818" t="s">
        <v>143</v>
      </c>
      <c r="H3818" t="s">
        <v>180</v>
      </c>
      <c r="I3818" t="e">
        <f t="shared" ca="1" si="301"/>
        <v>#REF!</v>
      </c>
      <c r="J3818" t="str">
        <f>VLOOKUP($G3818,DefinitionArrays!$I$6:$J$12,2,FALSE)</f>
        <v>Workweek</v>
      </c>
    </row>
    <row r="3819" spans="1:10">
      <c r="A3819" s="159" t="str">
        <f t="shared" si="297"/>
        <v>$H$1:$H$92</v>
      </c>
      <c r="B3819" s="159" t="str">
        <f t="shared" si="298"/>
        <v>$I$1:$I$92</v>
      </c>
      <c r="C3819" s="159" t="str">
        <f t="shared" si="299"/>
        <v>February!$H$1:$H$92</v>
      </c>
      <c r="D3819" s="159" t="str">
        <f t="shared" si="300"/>
        <v>February!$I$1:$I$92</v>
      </c>
      <c r="E3819" t="s">
        <v>8</v>
      </c>
      <c r="F3819" t="s">
        <v>121</v>
      </c>
      <c r="G3819" t="s">
        <v>143</v>
      </c>
      <c r="H3819" t="s">
        <v>44</v>
      </c>
      <c r="I3819" t="e">
        <f t="shared" ca="1" si="301"/>
        <v>#REF!</v>
      </c>
      <c r="J3819" t="str">
        <f>VLOOKUP($G3819,DefinitionArrays!$I$6:$J$12,2,FALSE)</f>
        <v>Workweek</v>
      </c>
    </row>
    <row r="3820" spans="1:10">
      <c r="A3820" s="159" t="str">
        <f t="shared" si="297"/>
        <v>$K$1:$K$92</v>
      </c>
      <c r="B3820" s="159" t="str">
        <f t="shared" si="298"/>
        <v>$L$1:$L$92</v>
      </c>
      <c r="C3820" s="159" t="str">
        <f t="shared" si="299"/>
        <v>February!$K$1:$K$92</v>
      </c>
      <c r="D3820" s="159" t="str">
        <f t="shared" si="300"/>
        <v>February!$L$1:$L$92</v>
      </c>
      <c r="E3820" t="s">
        <v>8</v>
      </c>
      <c r="F3820" t="s">
        <v>121</v>
      </c>
      <c r="G3820" t="s">
        <v>144</v>
      </c>
      <c r="H3820" t="s">
        <v>159</v>
      </c>
      <c r="I3820" t="e">
        <f t="shared" ca="1" si="301"/>
        <v>#REF!</v>
      </c>
      <c r="J3820" t="str">
        <f>VLOOKUP($G3820,DefinitionArrays!$I$6:$J$12,2,FALSE)</f>
        <v>Workweek</v>
      </c>
    </row>
    <row r="3821" spans="1:10">
      <c r="A3821" s="159" t="str">
        <f t="shared" si="297"/>
        <v>$K$1:$K$92</v>
      </c>
      <c r="B3821" s="159" t="str">
        <f t="shared" si="298"/>
        <v>$L$1:$L$92</v>
      </c>
      <c r="C3821" s="159" t="str">
        <f t="shared" si="299"/>
        <v>February!$K$1:$K$92</v>
      </c>
      <c r="D3821" s="159" t="str">
        <f t="shared" si="300"/>
        <v>February!$L$1:$L$92</v>
      </c>
      <c r="E3821" t="s">
        <v>8</v>
      </c>
      <c r="F3821" t="s">
        <v>121</v>
      </c>
      <c r="G3821" t="s">
        <v>144</v>
      </c>
      <c r="H3821" t="s">
        <v>18</v>
      </c>
      <c r="I3821" t="e">
        <f t="shared" ca="1" si="301"/>
        <v>#REF!</v>
      </c>
      <c r="J3821" t="str">
        <f>VLOOKUP($G3821,DefinitionArrays!$I$6:$J$12,2,FALSE)</f>
        <v>Workweek</v>
      </c>
    </row>
    <row r="3822" spans="1:10">
      <c r="A3822" s="159" t="str">
        <f t="shared" si="297"/>
        <v>$K$1:$K$92</v>
      </c>
      <c r="B3822" s="159" t="str">
        <f t="shared" si="298"/>
        <v>$L$1:$L$92</v>
      </c>
      <c r="C3822" s="159" t="str">
        <f t="shared" si="299"/>
        <v>February!$K$1:$K$92</v>
      </c>
      <c r="D3822" s="159" t="str">
        <f t="shared" si="300"/>
        <v>February!$L$1:$L$92</v>
      </c>
      <c r="E3822" t="s">
        <v>8</v>
      </c>
      <c r="F3822" t="s">
        <v>121</v>
      </c>
      <c r="G3822" t="s">
        <v>144</v>
      </c>
      <c r="H3822" t="s">
        <v>153</v>
      </c>
      <c r="I3822" t="e">
        <f t="shared" ca="1" si="301"/>
        <v>#REF!</v>
      </c>
      <c r="J3822" t="str">
        <f>VLOOKUP($G3822,DefinitionArrays!$I$6:$J$12,2,FALSE)</f>
        <v>Workweek</v>
      </c>
    </row>
    <row r="3823" spans="1:10">
      <c r="A3823" s="159" t="str">
        <f t="shared" si="297"/>
        <v>$K$1:$K$92</v>
      </c>
      <c r="B3823" s="159" t="str">
        <f t="shared" si="298"/>
        <v>$L$1:$L$92</v>
      </c>
      <c r="C3823" s="159" t="str">
        <f t="shared" si="299"/>
        <v>February!$K$1:$K$92</v>
      </c>
      <c r="D3823" s="159" t="str">
        <f t="shared" si="300"/>
        <v>February!$L$1:$L$92</v>
      </c>
      <c r="E3823" t="s">
        <v>8</v>
      </c>
      <c r="F3823" t="s">
        <v>121</v>
      </c>
      <c r="G3823" t="s">
        <v>144</v>
      </c>
      <c r="H3823" t="s">
        <v>19</v>
      </c>
      <c r="I3823" t="e">
        <f t="shared" ca="1" si="301"/>
        <v>#REF!</v>
      </c>
      <c r="J3823" t="str">
        <f>VLOOKUP($G3823,DefinitionArrays!$I$6:$J$12,2,FALSE)</f>
        <v>Workweek</v>
      </c>
    </row>
    <row r="3824" spans="1:10">
      <c r="A3824" s="159" t="str">
        <f t="shared" si="297"/>
        <v>$K$1:$K$92</v>
      </c>
      <c r="B3824" s="159" t="str">
        <f t="shared" si="298"/>
        <v>$L$1:$L$92</v>
      </c>
      <c r="C3824" s="159" t="str">
        <f t="shared" si="299"/>
        <v>February!$K$1:$K$92</v>
      </c>
      <c r="D3824" s="159" t="str">
        <f t="shared" si="300"/>
        <v>February!$L$1:$L$92</v>
      </c>
      <c r="E3824" t="s">
        <v>8</v>
      </c>
      <c r="F3824" t="s">
        <v>121</v>
      </c>
      <c r="G3824" t="s">
        <v>144</v>
      </c>
      <c r="H3824" t="s">
        <v>20</v>
      </c>
      <c r="I3824" t="e">
        <f t="shared" ca="1" si="301"/>
        <v>#REF!</v>
      </c>
      <c r="J3824" t="str">
        <f>VLOOKUP($G3824,DefinitionArrays!$I$6:$J$12,2,FALSE)</f>
        <v>Workweek</v>
      </c>
    </row>
    <row r="3825" spans="1:10">
      <c r="A3825" s="159" t="str">
        <f t="shared" si="297"/>
        <v>$K$1:$K$92</v>
      </c>
      <c r="B3825" s="159" t="str">
        <f t="shared" si="298"/>
        <v>$L$1:$L$92</v>
      </c>
      <c r="C3825" s="159" t="str">
        <f t="shared" si="299"/>
        <v>February!$K$1:$K$92</v>
      </c>
      <c r="D3825" s="159" t="str">
        <f t="shared" si="300"/>
        <v>February!$L$1:$L$92</v>
      </c>
      <c r="E3825" t="s">
        <v>8</v>
      </c>
      <c r="F3825" t="s">
        <v>121</v>
      </c>
      <c r="G3825" t="s">
        <v>144</v>
      </c>
      <c r="H3825" t="s">
        <v>21</v>
      </c>
      <c r="I3825" t="e">
        <f t="shared" ca="1" si="301"/>
        <v>#REF!</v>
      </c>
      <c r="J3825" t="str">
        <f>VLOOKUP($G3825,DefinitionArrays!$I$6:$J$12,2,FALSE)</f>
        <v>Workweek</v>
      </c>
    </row>
    <row r="3826" spans="1:10">
      <c r="A3826" s="159" t="str">
        <f t="shared" si="297"/>
        <v>$K$1:$K$92</v>
      </c>
      <c r="B3826" s="159" t="str">
        <f t="shared" si="298"/>
        <v>$L$1:$L$92</v>
      </c>
      <c r="C3826" s="159" t="str">
        <f t="shared" si="299"/>
        <v>February!$K$1:$K$92</v>
      </c>
      <c r="D3826" s="159" t="str">
        <f t="shared" si="300"/>
        <v>February!$L$1:$L$92</v>
      </c>
      <c r="E3826" t="s">
        <v>8</v>
      </c>
      <c r="F3826" t="s">
        <v>121</v>
      </c>
      <c r="G3826" t="s">
        <v>144</v>
      </c>
      <c r="H3826" t="s">
        <v>22</v>
      </c>
      <c r="I3826" t="e">
        <f t="shared" ca="1" si="301"/>
        <v>#REF!</v>
      </c>
      <c r="J3826" t="str">
        <f>VLOOKUP($G3826,DefinitionArrays!$I$6:$J$12,2,FALSE)</f>
        <v>Workweek</v>
      </c>
    </row>
    <row r="3827" spans="1:10">
      <c r="A3827" s="159" t="str">
        <f t="shared" si="297"/>
        <v>$K$1:$K$92</v>
      </c>
      <c r="B3827" s="159" t="str">
        <f t="shared" si="298"/>
        <v>$L$1:$L$92</v>
      </c>
      <c r="C3827" s="159" t="str">
        <f t="shared" si="299"/>
        <v>February!$K$1:$K$92</v>
      </c>
      <c r="D3827" s="159" t="str">
        <f t="shared" si="300"/>
        <v>February!$L$1:$L$92</v>
      </c>
      <c r="E3827" t="s">
        <v>8</v>
      </c>
      <c r="F3827" t="s">
        <v>121</v>
      </c>
      <c r="G3827" t="s">
        <v>144</v>
      </c>
      <c r="H3827" t="s">
        <v>23</v>
      </c>
      <c r="I3827" t="e">
        <f t="shared" ca="1" si="301"/>
        <v>#REF!</v>
      </c>
      <c r="J3827" t="str">
        <f>VLOOKUP($G3827,DefinitionArrays!$I$6:$J$12,2,FALSE)</f>
        <v>Workweek</v>
      </c>
    </row>
    <row r="3828" spans="1:10">
      <c r="A3828" s="159" t="str">
        <f t="shared" si="297"/>
        <v>$K$1:$K$92</v>
      </c>
      <c r="B3828" s="159" t="str">
        <f t="shared" si="298"/>
        <v>$L$1:$L$92</v>
      </c>
      <c r="C3828" s="159" t="str">
        <f t="shared" si="299"/>
        <v>February!$K$1:$K$92</v>
      </c>
      <c r="D3828" s="159" t="str">
        <f t="shared" si="300"/>
        <v>February!$L$1:$L$92</v>
      </c>
      <c r="E3828" t="s">
        <v>8</v>
      </c>
      <c r="F3828" t="s">
        <v>121</v>
      </c>
      <c r="G3828" t="s">
        <v>144</v>
      </c>
      <c r="H3828" t="s">
        <v>24</v>
      </c>
      <c r="I3828" t="e">
        <f t="shared" ca="1" si="301"/>
        <v>#REF!</v>
      </c>
      <c r="J3828" t="str">
        <f>VLOOKUP($G3828,DefinitionArrays!$I$6:$J$12,2,FALSE)</f>
        <v>Workweek</v>
      </c>
    </row>
    <row r="3829" spans="1:10">
      <c r="A3829" s="159" t="str">
        <f t="shared" si="297"/>
        <v>$K$1:$K$92</v>
      </c>
      <c r="B3829" s="159" t="str">
        <f t="shared" si="298"/>
        <v>$L$1:$L$92</v>
      </c>
      <c r="C3829" s="159" t="str">
        <f t="shared" si="299"/>
        <v>February!$K$1:$K$92</v>
      </c>
      <c r="D3829" s="159" t="str">
        <f t="shared" si="300"/>
        <v>February!$L$1:$L$92</v>
      </c>
      <c r="E3829" t="s">
        <v>8</v>
      </c>
      <c r="F3829" t="s">
        <v>121</v>
      </c>
      <c r="G3829" t="s">
        <v>144</v>
      </c>
      <c r="H3829" t="s">
        <v>179</v>
      </c>
      <c r="I3829" t="e">
        <f t="shared" ca="1" si="301"/>
        <v>#REF!</v>
      </c>
      <c r="J3829" t="str">
        <f>VLOOKUP($G3829,DefinitionArrays!$I$6:$J$12,2,FALSE)</f>
        <v>Workweek</v>
      </c>
    </row>
    <row r="3830" spans="1:10">
      <c r="A3830" s="159" t="str">
        <f t="shared" si="297"/>
        <v>$K$1:$K$92</v>
      </c>
      <c r="B3830" s="159" t="str">
        <f t="shared" si="298"/>
        <v>$L$1:$L$92</v>
      </c>
      <c r="C3830" s="159" t="str">
        <f t="shared" si="299"/>
        <v>February!$K$1:$K$92</v>
      </c>
      <c r="D3830" s="159" t="str">
        <f t="shared" si="300"/>
        <v>February!$L$1:$L$92</v>
      </c>
      <c r="E3830" t="s">
        <v>8</v>
      </c>
      <c r="F3830" t="s">
        <v>121</v>
      </c>
      <c r="G3830" t="s">
        <v>144</v>
      </c>
      <c r="H3830" t="s">
        <v>180</v>
      </c>
      <c r="I3830" t="e">
        <f t="shared" ca="1" si="301"/>
        <v>#REF!</v>
      </c>
      <c r="J3830" t="str">
        <f>VLOOKUP($G3830,DefinitionArrays!$I$6:$J$12,2,FALSE)</f>
        <v>Workweek</v>
      </c>
    </row>
    <row r="3831" spans="1:10">
      <c r="A3831" s="159" t="str">
        <f t="shared" si="297"/>
        <v>$K$1:$K$92</v>
      </c>
      <c r="B3831" s="159" t="str">
        <f t="shared" si="298"/>
        <v>$L$1:$L$92</v>
      </c>
      <c r="C3831" s="159" t="str">
        <f t="shared" si="299"/>
        <v>February!$K$1:$K$92</v>
      </c>
      <c r="D3831" s="159" t="str">
        <f t="shared" si="300"/>
        <v>February!$L$1:$L$92</v>
      </c>
      <c r="E3831" t="s">
        <v>8</v>
      </c>
      <c r="F3831" t="s">
        <v>121</v>
      </c>
      <c r="G3831" t="s">
        <v>144</v>
      </c>
      <c r="H3831" t="s">
        <v>44</v>
      </c>
      <c r="I3831" t="e">
        <f t="shared" ca="1" si="301"/>
        <v>#REF!</v>
      </c>
      <c r="J3831" t="str">
        <f>VLOOKUP($G3831,DefinitionArrays!$I$6:$J$12,2,FALSE)</f>
        <v>Workweek</v>
      </c>
    </row>
    <row r="3832" spans="1:10">
      <c r="A3832" s="159" t="str">
        <f t="shared" si="297"/>
        <v>$N$1:$N$92</v>
      </c>
      <c r="B3832" s="159" t="str">
        <f t="shared" si="298"/>
        <v>$O$1:$O$92</v>
      </c>
      <c r="C3832" s="159" t="str">
        <f t="shared" si="299"/>
        <v>February!$N$1:$N$92</v>
      </c>
      <c r="D3832" s="159" t="str">
        <f t="shared" si="300"/>
        <v>February!$O$1:$O$92</v>
      </c>
      <c r="E3832" t="s">
        <v>8</v>
      </c>
      <c r="F3832" t="s">
        <v>121</v>
      </c>
      <c r="G3832" t="s">
        <v>145</v>
      </c>
      <c r="H3832" t="s">
        <v>159</v>
      </c>
      <c r="I3832" t="e">
        <f t="shared" ca="1" si="301"/>
        <v>#REF!</v>
      </c>
      <c r="J3832" t="str">
        <f>VLOOKUP($G3832,DefinitionArrays!$I$6:$J$12,2,FALSE)</f>
        <v>Weekend</v>
      </c>
    </row>
    <row r="3833" spans="1:10">
      <c r="A3833" s="159" t="str">
        <f t="shared" si="297"/>
        <v>$N$1:$N$92</v>
      </c>
      <c r="B3833" s="159" t="str">
        <f t="shared" si="298"/>
        <v>$O$1:$O$92</v>
      </c>
      <c r="C3833" s="159" t="str">
        <f t="shared" si="299"/>
        <v>February!$N$1:$N$92</v>
      </c>
      <c r="D3833" s="159" t="str">
        <f t="shared" si="300"/>
        <v>February!$O$1:$O$92</v>
      </c>
      <c r="E3833" t="s">
        <v>8</v>
      </c>
      <c r="F3833" t="s">
        <v>121</v>
      </c>
      <c r="G3833" t="s">
        <v>145</v>
      </c>
      <c r="H3833" t="s">
        <v>18</v>
      </c>
      <c r="I3833" t="e">
        <f t="shared" ca="1" si="301"/>
        <v>#REF!</v>
      </c>
      <c r="J3833" t="str">
        <f>VLOOKUP($G3833,DefinitionArrays!$I$6:$J$12,2,FALSE)</f>
        <v>Weekend</v>
      </c>
    </row>
    <row r="3834" spans="1:10">
      <c r="A3834" s="159" t="str">
        <f t="shared" si="297"/>
        <v>$N$1:$N$92</v>
      </c>
      <c r="B3834" s="159" t="str">
        <f t="shared" si="298"/>
        <v>$O$1:$O$92</v>
      </c>
      <c r="C3834" s="159" t="str">
        <f t="shared" si="299"/>
        <v>February!$N$1:$N$92</v>
      </c>
      <c r="D3834" s="159" t="str">
        <f t="shared" si="300"/>
        <v>February!$O$1:$O$92</v>
      </c>
      <c r="E3834" t="s">
        <v>8</v>
      </c>
      <c r="F3834" t="s">
        <v>121</v>
      </c>
      <c r="G3834" t="s">
        <v>145</v>
      </c>
      <c r="H3834" t="s">
        <v>153</v>
      </c>
      <c r="I3834" t="e">
        <f t="shared" ca="1" si="301"/>
        <v>#REF!</v>
      </c>
      <c r="J3834" t="str">
        <f>VLOOKUP($G3834,DefinitionArrays!$I$6:$J$12,2,FALSE)</f>
        <v>Weekend</v>
      </c>
    </row>
    <row r="3835" spans="1:10">
      <c r="A3835" s="159" t="str">
        <f t="shared" si="297"/>
        <v>$N$1:$N$92</v>
      </c>
      <c r="B3835" s="159" t="str">
        <f t="shared" si="298"/>
        <v>$O$1:$O$92</v>
      </c>
      <c r="C3835" s="159" t="str">
        <f t="shared" si="299"/>
        <v>February!$N$1:$N$92</v>
      </c>
      <c r="D3835" s="159" t="str">
        <f t="shared" si="300"/>
        <v>February!$O$1:$O$92</v>
      </c>
      <c r="E3835" t="s">
        <v>8</v>
      </c>
      <c r="F3835" t="s">
        <v>121</v>
      </c>
      <c r="G3835" t="s">
        <v>145</v>
      </c>
      <c r="H3835" t="s">
        <v>19</v>
      </c>
      <c r="I3835" t="e">
        <f t="shared" ca="1" si="301"/>
        <v>#REF!</v>
      </c>
      <c r="J3835" t="str">
        <f>VLOOKUP($G3835,DefinitionArrays!$I$6:$J$12,2,FALSE)</f>
        <v>Weekend</v>
      </c>
    </row>
    <row r="3836" spans="1:10">
      <c r="A3836" s="159" t="str">
        <f t="shared" si="297"/>
        <v>$N$1:$N$92</v>
      </c>
      <c r="B3836" s="159" t="str">
        <f t="shared" si="298"/>
        <v>$O$1:$O$92</v>
      </c>
      <c r="C3836" s="159" t="str">
        <f t="shared" si="299"/>
        <v>February!$N$1:$N$92</v>
      </c>
      <c r="D3836" s="159" t="str">
        <f t="shared" si="300"/>
        <v>February!$O$1:$O$92</v>
      </c>
      <c r="E3836" t="s">
        <v>8</v>
      </c>
      <c r="F3836" t="s">
        <v>121</v>
      </c>
      <c r="G3836" t="s">
        <v>145</v>
      </c>
      <c r="H3836" t="s">
        <v>20</v>
      </c>
      <c r="I3836" t="e">
        <f t="shared" ca="1" si="301"/>
        <v>#REF!</v>
      </c>
      <c r="J3836" t="str">
        <f>VLOOKUP($G3836,DefinitionArrays!$I$6:$J$12,2,FALSE)</f>
        <v>Weekend</v>
      </c>
    </row>
    <row r="3837" spans="1:10">
      <c r="A3837" s="159" t="str">
        <f t="shared" si="297"/>
        <v>$N$1:$N$92</v>
      </c>
      <c r="B3837" s="159" t="str">
        <f t="shared" si="298"/>
        <v>$O$1:$O$92</v>
      </c>
      <c r="C3837" s="159" t="str">
        <f t="shared" si="299"/>
        <v>February!$N$1:$N$92</v>
      </c>
      <c r="D3837" s="159" t="str">
        <f t="shared" si="300"/>
        <v>February!$O$1:$O$92</v>
      </c>
      <c r="E3837" t="s">
        <v>8</v>
      </c>
      <c r="F3837" t="s">
        <v>121</v>
      </c>
      <c r="G3837" t="s">
        <v>145</v>
      </c>
      <c r="H3837" t="s">
        <v>21</v>
      </c>
      <c r="I3837" t="e">
        <f t="shared" ca="1" si="301"/>
        <v>#REF!</v>
      </c>
      <c r="J3837" t="str">
        <f>VLOOKUP($G3837,DefinitionArrays!$I$6:$J$12,2,FALSE)</f>
        <v>Weekend</v>
      </c>
    </row>
    <row r="3838" spans="1:10">
      <c r="A3838" s="159" t="str">
        <f t="shared" si="297"/>
        <v>$N$1:$N$92</v>
      </c>
      <c r="B3838" s="159" t="str">
        <f t="shared" si="298"/>
        <v>$O$1:$O$92</v>
      </c>
      <c r="C3838" s="159" t="str">
        <f t="shared" si="299"/>
        <v>February!$N$1:$N$92</v>
      </c>
      <c r="D3838" s="159" t="str">
        <f t="shared" si="300"/>
        <v>February!$O$1:$O$92</v>
      </c>
      <c r="E3838" t="s">
        <v>8</v>
      </c>
      <c r="F3838" t="s">
        <v>121</v>
      </c>
      <c r="G3838" t="s">
        <v>145</v>
      </c>
      <c r="H3838" t="s">
        <v>22</v>
      </c>
      <c r="I3838" t="e">
        <f t="shared" ca="1" si="301"/>
        <v>#REF!</v>
      </c>
      <c r="J3838" t="str">
        <f>VLOOKUP($G3838,DefinitionArrays!$I$6:$J$12,2,FALSE)</f>
        <v>Weekend</v>
      </c>
    </row>
    <row r="3839" spans="1:10">
      <c r="A3839" s="159" t="str">
        <f t="shared" si="297"/>
        <v>$N$1:$N$92</v>
      </c>
      <c r="B3839" s="159" t="str">
        <f t="shared" si="298"/>
        <v>$O$1:$O$92</v>
      </c>
      <c r="C3839" s="159" t="str">
        <f t="shared" si="299"/>
        <v>February!$N$1:$N$92</v>
      </c>
      <c r="D3839" s="159" t="str">
        <f t="shared" si="300"/>
        <v>February!$O$1:$O$92</v>
      </c>
      <c r="E3839" t="s">
        <v>8</v>
      </c>
      <c r="F3839" t="s">
        <v>121</v>
      </c>
      <c r="G3839" t="s">
        <v>145</v>
      </c>
      <c r="H3839" t="s">
        <v>23</v>
      </c>
      <c r="I3839" t="e">
        <f t="shared" ca="1" si="301"/>
        <v>#REF!</v>
      </c>
      <c r="J3839" t="str">
        <f>VLOOKUP($G3839,DefinitionArrays!$I$6:$J$12,2,FALSE)</f>
        <v>Weekend</v>
      </c>
    </row>
    <row r="3840" spans="1:10">
      <c r="A3840" s="159" t="str">
        <f t="shared" si="297"/>
        <v>$N$1:$N$92</v>
      </c>
      <c r="B3840" s="159" t="str">
        <f t="shared" si="298"/>
        <v>$O$1:$O$92</v>
      </c>
      <c r="C3840" s="159" t="str">
        <f t="shared" si="299"/>
        <v>February!$N$1:$N$92</v>
      </c>
      <c r="D3840" s="159" t="str">
        <f t="shared" si="300"/>
        <v>February!$O$1:$O$92</v>
      </c>
      <c r="E3840" t="s">
        <v>8</v>
      </c>
      <c r="F3840" t="s">
        <v>121</v>
      </c>
      <c r="G3840" t="s">
        <v>145</v>
      </c>
      <c r="H3840" t="s">
        <v>24</v>
      </c>
      <c r="I3840" t="e">
        <f t="shared" ca="1" si="301"/>
        <v>#REF!</v>
      </c>
      <c r="J3840" t="str">
        <f>VLOOKUP($G3840,DefinitionArrays!$I$6:$J$12,2,FALSE)</f>
        <v>Weekend</v>
      </c>
    </row>
    <row r="3841" spans="1:10">
      <c r="A3841" s="159" t="str">
        <f t="shared" si="297"/>
        <v>$N$1:$N$92</v>
      </c>
      <c r="B3841" s="159" t="str">
        <f t="shared" si="298"/>
        <v>$O$1:$O$92</v>
      </c>
      <c r="C3841" s="159" t="str">
        <f t="shared" si="299"/>
        <v>February!$N$1:$N$92</v>
      </c>
      <c r="D3841" s="159" t="str">
        <f t="shared" si="300"/>
        <v>February!$O$1:$O$92</v>
      </c>
      <c r="E3841" t="s">
        <v>8</v>
      </c>
      <c r="F3841" t="s">
        <v>121</v>
      </c>
      <c r="G3841" t="s">
        <v>145</v>
      </c>
      <c r="H3841" t="s">
        <v>179</v>
      </c>
      <c r="I3841" t="e">
        <f t="shared" ca="1" si="301"/>
        <v>#REF!</v>
      </c>
      <c r="J3841" t="str">
        <f>VLOOKUP($G3841,DefinitionArrays!$I$6:$J$12,2,FALSE)</f>
        <v>Weekend</v>
      </c>
    </row>
    <row r="3842" spans="1:10">
      <c r="A3842" s="159" t="str">
        <f t="shared" ref="A3842:A3905" si="302">VLOOKUP($G3842,Fx_Code,2,FALSE)</f>
        <v>$N$1:$N$92</v>
      </c>
      <c r="B3842" s="159" t="str">
        <f t="shared" ref="B3842:B3905" si="303">VLOOKUP($G3842,Fx_Code,3,FALSE)</f>
        <v>$O$1:$O$92</v>
      </c>
      <c r="C3842" s="159" t="str">
        <f t="shared" ref="C3842:C3905" si="304">CONCATENATE($F3842,$K$1,A3842)</f>
        <v>February!$N$1:$N$92</v>
      </c>
      <c r="D3842" s="159" t="str">
        <f t="shared" ref="D3842:D3905" si="305">CONCATENATE($F3842,$K$1,B3842)</f>
        <v>February!$O$1:$O$92</v>
      </c>
      <c r="E3842" t="s">
        <v>8</v>
      </c>
      <c r="F3842" t="s">
        <v>121</v>
      </c>
      <c r="G3842" t="s">
        <v>145</v>
      </c>
      <c r="H3842" t="s">
        <v>180</v>
      </c>
      <c r="I3842" t="e">
        <f t="shared" ca="1" si="301"/>
        <v>#REF!</v>
      </c>
      <c r="J3842" t="str">
        <f>VLOOKUP($G3842,DefinitionArrays!$I$6:$J$12,2,FALSE)</f>
        <v>Weekend</v>
      </c>
    </row>
    <row r="3843" spans="1:10">
      <c r="A3843" s="159" t="str">
        <f t="shared" si="302"/>
        <v>$N$1:$N$92</v>
      </c>
      <c r="B3843" s="159" t="str">
        <f t="shared" si="303"/>
        <v>$O$1:$O$92</v>
      </c>
      <c r="C3843" s="159" t="str">
        <f t="shared" si="304"/>
        <v>February!$N$1:$N$92</v>
      </c>
      <c r="D3843" s="159" t="str">
        <f t="shared" si="305"/>
        <v>February!$O$1:$O$92</v>
      </c>
      <c r="E3843" t="s">
        <v>8</v>
      </c>
      <c r="F3843" t="s">
        <v>121</v>
      </c>
      <c r="G3843" t="s">
        <v>145</v>
      </c>
      <c r="H3843" t="s">
        <v>44</v>
      </c>
      <c r="I3843" t="e">
        <f t="shared" ca="1" si="301"/>
        <v>#REF!</v>
      </c>
      <c r="J3843" t="str">
        <f>VLOOKUP($G3843,DefinitionArrays!$I$6:$J$12,2,FALSE)</f>
        <v>Weekend</v>
      </c>
    </row>
    <row r="3844" spans="1:10">
      <c r="A3844" s="159" t="str">
        <f t="shared" si="302"/>
        <v>$Q$1:$Q$92</v>
      </c>
      <c r="B3844" s="159" t="str">
        <f t="shared" si="303"/>
        <v>$R$1:$R$92</v>
      </c>
      <c r="C3844" s="159" t="str">
        <f t="shared" si="304"/>
        <v>February!$Q$1:$Q$92</v>
      </c>
      <c r="D3844" s="159" t="str">
        <f t="shared" si="305"/>
        <v>February!$R$1:$R$92</v>
      </c>
      <c r="E3844" t="s">
        <v>8</v>
      </c>
      <c r="F3844" t="s">
        <v>121</v>
      </c>
      <c r="G3844" t="s">
        <v>146</v>
      </c>
      <c r="H3844" t="s">
        <v>159</v>
      </c>
      <c r="I3844" t="e">
        <f t="shared" ca="1" si="301"/>
        <v>#REF!</v>
      </c>
      <c r="J3844" t="str">
        <f>VLOOKUP($G3844,DefinitionArrays!$I$6:$J$12,2,FALSE)</f>
        <v>Weekend</v>
      </c>
    </row>
    <row r="3845" spans="1:10">
      <c r="A3845" s="159" t="str">
        <f t="shared" si="302"/>
        <v>$T$1:$T$92</v>
      </c>
      <c r="B3845" s="159" t="str">
        <f t="shared" si="303"/>
        <v>$U$1:$U$92</v>
      </c>
      <c r="C3845" s="159" t="str">
        <f t="shared" si="304"/>
        <v>February!$T$1:$T$92</v>
      </c>
      <c r="D3845" s="159" t="str">
        <f t="shared" si="305"/>
        <v>February!$U$1:$U$92</v>
      </c>
      <c r="E3845" t="s">
        <v>8</v>
      </c>
      <c r="F3845" t="s">
        <v>121</v>
      </c>
      <c r="G3845" t="s">
        <v>141</v>
      </c>
      <c r="H3845" t="s">
        <v>159</v>
      </c>
      <c r="I3845" t="e">
        <f t="shared" ca="1" si="301"/>
        <v>#REF!</v>
      </c>
      <c r="J3845" t="str">
        <f>VLOOKUP($G3845,DefinitionArrays!$I$6:$J$12,2,FALSE)</f>
        <v>Weekend</v>
      </c>
    </row>
    <row r="3846" spans="1:10">
      <c r="A3846" s="159" t="str">
        <f t="shared" si="302"/>
        <v>$B$1:$B$92</v>
      </c>
      <c r="B3846" s="159" t="str">
        <f t="shared" si="303"/>
        <v>$C$1:$C$92</v>
      </c>
      <c r="C3846" s="159" t="str">
        <f t="shared" si="304"/>
        <v>March!$B$1:$B$92</v>
      </c>
      <c r="D3846" s="159" t="str">
        <f t="shared" si="305"/>
        <v>March!$C$1:$C$92</v>
      </c>
      <c r="E3846" t="s">
        <v>8</v>
      </c>
      <c r="F3846" t="s">
        <v>122</v>
      </c>
      <c r="G3846" t="s">
        <v>13</v>
      </c>
      <c r="H3846" t="s">
        <v>159</v>
      </c>
      <c r="I3846" t="e">
        <f ca="1">COUNTIFS(INDIRECT($C3846),$E3846,INDIRECT($D3846),$H3846)</f>
        <v>#REF!</v>
      </c>
      <c r="J3846" t="str">
        <f>VLOOKUP($G3846,DefinitionArrays!$I$6:$J$12,2,FALSE)</f>
        <v>Workweek</v>
      </c>
    </row>
    <row r="3847" spans="1:10">
      <c r="A3847" s="159" t="str">
        <f t="shared" si="302"/>
        <v>$B$1:$B$92</v>
      </c>
      <c r="B3847" s="159" t="str">
        <f t="shared" si="303"/>
        <v>$C$1:$C$92</v>
      </c>
      <c r="C3847" s="159" t="str">
        <f t="shared" si="304"/>
        <v>March!$B$1:$B$92</v>
      </c>
      <c r="D3847" s="159" t="str">
        <f t="shared" si="305"/>
        <v>March!$C$1:$C$92</v>
      </c>
      <c r="E3847" t="s">
        <v>8</v>
      </c>
      <c r="F3847" t="s">
        <v>122</v>
      </c>
      <c r="G3847" t="s">
        <v>13</v>
      </c>
      <c r="H3847" t="s">
        <v>18</v>
      </c>
      <c r="I3847" t="e">
        <f t="shared" ref="I3847:I3907" ca="1" si="306">COUNTIFS(INDIRECT($C3847),$E3847,INDIRECT($D3847),$H3847)</f>
        <v>#REF!</v>
      </c>
      <c r="J3847" t="str">
        <f>VLOOKUP($G3847,DefinitionArrays!$I$6:$J$12,2,FALSE)</f>
        <v>Workweek</v>
      </c>
    </row>
    <row r="3848" spans="1:10">
      <c r="A3848" s="159" t="str">
        <f t="shared" si="302"/>
        <v>$B$1:$B$92</v>
      </c>
      <c r="B3848" s="159" t="str">
        <f t="shared" si="303"/>
        <v>$C$1:$C$92</v>
      </c>
      <c r="C3848" s="159" t="str">
        <f t="shared" si="304"/>
        <v>March!$B$1:$B$92</v>
      </c>
      <c r="D3848" s="159" t="str">
        <f t="shared" si="305"/>
        <v>March!$C$1:$C$92</v>
      </c>
      <c r="E3848" t="s">
        <v>8</v>
      </c>
      <c r="F3848" t="s">
        <v>122</v>
      </c>
      <c r="G3848" t="s">
        <v>13</v>
      </c>
      <c r="H3848" t="s">
        <v>153</v>
      </c>
      <c r="I3848" t="e">
        <f t="shared" ca="1" si="306"/>
        <v>#REF!</v>
      </c>
      <c r="J3848" t="str">
        <f>VLOOKUP($G3848,DefinitionArrays!$I$6:$J$12,2,FALSE)</f>
        <v>Workweek</v>
      </c>
    </row>
    <row r="3849" spans="1:10">
      <c r="A3849" s="159" t="str">
        <f t="shared" si="302"/>
        <v>$B$1:$B$92</v>
      </c>
      <c r="B3849" s="159" t="str">
        <f t="shared" si="303"/>
        <v>$C$1:$C$92</v>
      </c>
      <c r="C3849" s="159" t="str">
        <f t="shared" si="304"/>
        <v>March!$B$1:$B$92</v>
      </c>
      <c r="D3849" s="159" t="str">
        <f t="shared" si="305"/>
        <v>March!$C$1:$C$92</v>
      </c>
      <c r="E3849" t="s">
        <v>8</v>
      </c>
      <c r="F3849" t="s">
        <v>122</v>
      </c>
      <c r="G3849" t="s">
        <v>13</v>
      </c>
      <c r="H3849" t="s">
        <v>19</v>
      </c>
      <c r="I3849" t="e">
        <f t="shared" ca="1" si="306"/>
        <v>#REF!</v>
      </c>
      <c r="J3849" t="str">
        <f>VLOOKUP($G3849,DefinitionArrays!$I$6:$J$12,2,FALSE)</f>
        <v>Workweek</v>
      </c>
    </row>
    <row r="3850" spans="1:10">
      <c r="A3850" s="159" t="str">
        <f t="shared" si="302"/>
        <v>$B$1:$B$92</v>
      </c>
      <c r="B3850" s="159" t="str">
        <f t="shared" si="303"/>
        <v>$C$1:$C$92</v>
      </c>
      <c r="C3850" s="159" t="str">
        <f t="shared" si="304"/>
        <v>March!$B$1:$B$92</v>
      </c>
      <c r="D3850" s="159" t="str">
        <f t="shared" si="305"/>
        <v>March!$C$1:$C$92</v>
      </c>
      <c r="E3850" t="s">
        <v>8</v>
      </c>
      <c r="F3850" t="s">
        <v>122</v>
      </c>
      <c r="G3850" t="s">
        <v>13</v>
      </c>
      <c r="H3850" t="s">
        <v>20</v>
      </c>
      <c r="I3850" t="e">
        <f t="shared" ca="1" si="306"/>
        <v>#REF!</v>
      </c>
      <c r="J3850" t="str">
        <f>VLOOKUP($G3850,DefinitionArrays!$I$6:$J$12,2,FALSE)</f>
        <v>Workweek</v>
      </c>
    </row>
    <row r="3851" spans="1:10">
      <c r="A3851" s="159" t="str">
        <f t="shared" si="302"/>
        <v>$B$1:$B$92</v>
      </c>
      <c r="B3851" s="159" t="str">
        <f t="shared" si="303"/>
        <v>$C$1:$C$92</v>
      </c>
      <c r="C3851" s="159" t="str">
        <f t="shared" si="304"/>
        <v>March!$B$1:$B$92</v>
      </c>
      <c r="D3851" s="159" t="str">
        <f t="shared" si="305"/>
        <v>March!$C$1:$C$92</v>
      </c>
      <c r="E3851" t="s">
        <v>8</v>
      </c>
      <c r="F3851" t="s">
        <v>122</v>
      </c>
      <c r="G3851" t="s">
        <v>13</v>
      </c>
      <c r="H3851" t="s">
        <v>21</v>
      </c>
      <c r="I3851" t="e">
        <f t="shared" ca="1" si="306"/>
        <v>#REF!</v>
      </c>
      <c r="J3851" t="str">
        <f>VLOOKUP($G3851,DefinitionArrays!$I$6:$J$12,2,FALSE)</f>
        <v>Workweek</v>
      </c>
    </row>
    <row r="3852" spans="1:10">
      <c r="A3852" s="159" t="str">
        <f t="shared" si="302"/>
        <v>$B$1:$B$92</v>
      </c>
      <c r="B3852" s="159" t="str">
        <f t="shared" si="303"/>
        <v>$C$1:$C$92</v>
      </c>
      <c r="C3852" s="159" t="str">
        <f t="shared" si="304"/>
        <v>March!$B$1:$B$92</v>
      </c>
      <c r="D3852" s="159" t="str">
        <f t="shared" si="305"/>
        <v>March!$C$1:$C$92</v>
      </c>
      <c r="E3852" t="s">
        <v>8</v>
      </c>
      <c r="F3852" t="s">
        <v>122</v>
      </c>
      <c r="G3852" t="s">
        <v>13</v>
      </c>
      <c r="H3852" t="s">
        <v>22</v>
      </c>
      <c r="I3852" t="e">
        <f t="shared" ca="1" si="306"/>
        <v>#REF!</v>
      </c>
      <c r="J3852" t="str">
        <f>VLOOKUP($G3852,DefinitionArrays!$I$6:$J$12,2,FALSE)</f>
        <v>Workweek</v>
      </c>
    </row>
    <row r="3853" spans="1:10">
      <c r="A3853" s="159" t="str">
        <f t="shared" si="302"/>
        <v>$B$1:$B$92</v>
      </c>
      <c r="B3853" s="159" t="str">
        <f t="shared" si="303"/>
        <v>$C$1:$C$92</v>
      </c>
      <c r="C3853" s="159" t="str">
        <f t="shared" si="304"/>
        <v>March!$B$1:$B$92</v>
      </c>
      <c r="D3853" s="159" t="str">
        <f t="shared" si="305"/>
        <v>March!$C$1:$C$92</v>
      </c>
      <c r="E3853" t="s">
        <v>8</v>
      </c>
      <c r="F3853" t="s">
        <v>122</v>
      </c>
      <c r="G3853" t="s">
        <v>13</v>
      </c>
      <c r="H3853" t="s">
        <v>23</v>
      </c>
      <c r="I3853" t="e">
        <f t="shared" ca="1" si="306"/>
        <v>#REF!</v>
      </c>
      <c r="J3853" t="str">
        <f>VLOOKUP($G3853,DefinitionArrays!$I$6:$J$12,2,FALSE)</f>
        <v>Workweek</v>
      </c>
    </row>
    <row r="3854" spans="1:10">
      <c r="A3854" s="159" t="str">
        <f t="shared" si="302"/>
        <v>$B$1:$B$92</v>
      </c>
      <c r="B3854" s="159" t="str">
        <f t="shared" si="303"/>
        <v>$C$1:$C$92</v>
      </c>
      <c r="C3854" s="159" t="str">
        <f t="shared" si="304"/>
        <v>March!$B$1:$B$92</v>
      </c>
      <c r="D3854" s="159" t="str">
        <f t="shared" si="305"/>
        <v>March!$C$1:$C$92</v>
      </c>
      <c r="E3854" t="s">
        <v>8</v>
      </c>
      <c r="F3854" t="s">
        <v>122</v>
      </c>
      <c r="G3854" t="s">
        <v>13</v>
      </c>
      <c r="H3854" t="s">
        <v>24</v>
      </c>
      <c r="I3854" t="e">
        <f t="shared" ca="1" si="306"/>
        <v>#REF!</v>
      </c>
      <c r="J3854" t="str">
        <f>VLOOKUP($G3854,DefinitionArrays!$I$6:$J$12,2,FALSE)</f>
        <v>Workweek</v>
      </c>
    </row>
    <row r="3855" spans="1:10">
      <c r="A3855" s="159" t="str">
        <f t="shared" si="302"/>
        <v>$B$1:$B$92</v>
      </c>
      <c r="B3855" s="159" t="str">
        <f t="shared" si="303"/>
        <v>$C$1:$C$92</v>
      </c>
      <c r="C3855" s="159" t="str">
        <f t="shared" si="304"/>
        <v>March!$B$1:$B$92</v>
      </c>
      <c r="D3855" s="159" t="str">
        <f t="shared" si="305"/>
        <v>March!$C$1:$C$92</v>
      </c>
      <c r="E3855" t="s">
        <v>8</v>
      </c>
      <c r="F3855" t="s">
        <v>122</v>
      </c>
      <c r="G3855" t="s">
        <v>13</v>
      </c>
      <c r="H3855" t="s">
        <v>179</v>
      </c>
      <c r="I3855" t="e">
        <f t="shared" ca="1" si="306"/>
        <v>#REF!</v>
      </c>
      <c r="J3855" t="str">
        <f>VLOOKUP($G3855,DefinitionArrays!$I$6:$J$12,2,FALSE)</f>
        <v>Workweek</v>
      </c>
    </row>
    <row r="3856" spans="1:10">
      <c r="A3856" s="159" t="str">
        <f t="shared" si="302"/>
        <v>$B$1:$B$92</v>
      </c>
      <c r="B3856" s="159" t="str">
        <f t="shared" si="303"/>
        <v>$C$1:$C$92</v>
      </c>
      <c r="C3856" s="159" t="str">
        <f t="shared" si="304"/>
        <v>March!$B$1:$B$92</v>
      </c>
      <c r="D3856" s="159" t="str">
        <f t="shared" si="305"/>
        <v>March!$C$1:$C$92</v>
      </c>
      <c r="E3856" t="s">
        <v>8</v>
      </c>
      <c r="F3856" t="s">
        <v>122</v>
      </c>
      <c r="G3856" t="s">
        <v>13</v>
      </c>
      <c r="H3856" t="s">
        <v>180</v>
      </c>
      <c r="I3856" t="e">
        <f t="shared" ca="1" si="306"/>
        <v>#REF!</v>
      </c>
      <c r="J3856" t="str">
        <f>VLOOKUP($G3856,DefinitionArrays!$I$6:$J$12,2,FALSE)</f>
        <v>Workweek</v>
      </c>
    </row>
    <row r="3857" spans="1:10">
      <c r="A3857" s="159" t="str">
        <f t="shared" si="302"/>
        <v>$B$1:$B$92</v>
      </c>
      <c r="B3857" s="159" t="str">
        <f t="shared" si="303"/>
        <v>$C$1:$C$92</v>
      </c>
      <c r="C3857" s="159" t="str">
        <f t="shared" si="304"/>
        <v>March!$B$1:$B$92</v>
      </c>
      <c r="D3857" s="159" t="str">
        <f t="shared" si="305"/>
        <v>March!$C$1:$C$92</v>
      </c>
      <c r="E3857" t="s">
        <v>8</v>
      </c>
      <c r="F3857" t="s">
        <v>122</v>
      </c>
      <c r="G3857" t="s">
        <v>13</v>
      </c>
      <c r="H3857" t="s">
        <v>44</v>
      </c>
      <c r="I3857" t="e">
        <f t="shared" ca="1" si="306"/>
        <v>#REF!</v>
      </c>
      <c r="J3857" t="str">
        <f>VLOOKUP($G3857,DefinitionArrays!$I$6:$J$12,2,FALSE)</f>
        <v>Workweek</v>
      </c>
    </row>
    <row r="3858" spans="1:10">
      <c r="A3858" s="159" t="str">
        <f t="shared" si="302"/>
        <v>$E$1:$E$92</v>
      </c>
      <c r="B3858" s="159" t="str">
        <f t="shared" si="303"/>
        <v>$F$1:$F$92</v>
      </c>
      <c r="C3858" s="159" t="str">
        <f t="shared" si="304"/>
        <v>March!$E$1:$E$92</v>
      </c>
      <c r="D3858" s="159" t="str">
        <f t="shared" si="305"/>
        <v>March!$F$1:$F$92</v>
      </c>
      <c r="E3858" t="s">
        <v>8</v>
      </c>
      <c r="F3858" t="s">
        <v>122</v>
      </c>
      <c r="G3858" t="s">
        <v>142</v>
      </c>
      <c r="H3858" t="s">
        <v>159</v>
      </c>
      <c r="I3858" t="e">
        <f t="shared" ca="1" si="306"/>
        <v>#REF!</v>
      </c>
      <c r="J3858" t="str">
        <f>VLOOKUP($G3858,DefinitionArrays!$I$6:$J$12,2,FALSE)</f>
        <v>Workweek</v>
      </c>
    </row>
    <row r="3859" spans="1:10">
      <c r="A3859" s="159" t="str">
        <f t="shared" si="302"/>
        <v>$E$1:$E$92</v>
      </c>
      <c r="B3859" s="159" t="str">
        <f t="shared" si="303"/>
        <v>$F$1:$F$92</v>
      </c>
      <c r="C3859" s="159" t="str">
        <f t="shared" si="304"/>
        <v>March!$E$1:$E$92</v>
      </c>
      <c r="D3859" s="159" t="str">
        <f t="shared" si="305"/>
        <v>March!$F$1:$F$92</v>
      </c>
      <c r="E3859" t="s">
        <v>8</v>
      </c>
      <c r="F3859" t="s">
        <v>122</v>
      </c>
      <c r="G3859" t="s">
        <v>142</v>
      </c>
      <c r="H3859" t="s">
        <v>18</v>
      </c>
      <c r="I3859" t="e">
        <f t="shared" ca="1" si="306"/>
        <v>#REF!</v>
      </c>
      <c r="J3859" t="str">
        <f>VLOOKUP($G3859,DefinitionArrays!$I$6:$J$12,2,FALSE)</f>
        <v>Workweek</v>
      </c>
    </row>
    <row r="3860" spans="1:10">
      <c r="A3860" s="159" t="str">
        <f t="shared" si="302"/>
        <v>$E$1:$E$92</v>
      </c>
      <c r="B3860" s="159" t="str">
        <f t="shared" si="303"/>
        <v>$F$1:$F$92</v>
      </c>
      <c r="C3860" s="159" t="str">
        <f t="shared" si="304"/>
        <v>March!$E$1:$E$92</v>
      </c>
      <c r="D3860" s="159" t="str">
        <f t="shared" si="305"/>
        <v>March!$F$1:$F$92</v>
      </c>
      <c r="E3860" t="s">
        <v>8</v>
      </c>
      <c r="F3860" t="s">
        <v>122</v>
      </c>
      <c r="G3860" t="s">
        <v>142</v>
      </c>
      <c r="H3860" t="s">
        <v>153</v>
      </c>
      <c r="I3860" t="e">
        <f t="shared" ca="1" si="306"/>
        <v>#REF!</v>
      </c>
      <c r="J3860" t="str">
        <f>VLOOKUP($G3860,DefinitionArrays!$I$6:$J$12,2,FALSE)</f>
        <v>Workweek</v>
      </c>
    </row>
    <row r="3861" spans="1:10">
      <c r="A3861" s="159" t="str">
        <f t="shared" si="302"/>
        <v>$E$1:$E$92</v>
      </c>
      <c r="B3861" s="159" t="str">
        <f t="shared" si="303"/>
        <v>$F$1:$F$92</v>
      </c>
      <c r="C3861" s="159" t="str">
        <f t="shared" si="304"/>
        <v>March!$E$1:$E$92</v>
      </c>
      <c r="D3861" s="159" t="str">
        <f t="shared" si="305"/>
        <v>March!$F$1:$F$92</v>
      </c>
      <c r="E3861" t="s">
        <v>8</v>
      </c>
      <c r="F3861" t="s">
        <v>122</v>
      </c>
      <c r="G3861" t="s">
        <v>142</v>
      </c>
      <c r="H3861" t="s">
        <v>19</v>
      </c>
      <c r="I3861" t="e">
        <f t="shared" ca="1" si="306"/>
        <v>#REF!</v>
      </c>
      <c r="J3861" t="str">
        <f>VLOOKUP($G3861,DefinitionArrays!$I$6:$J$12,2,FALSE)</f>
        <v>Workweek</v>
      </c>
    </row>
    <row r="3862" spans="1:10">
      <c r="A3862" s="159" t="str">
        <f t="shared" si="302"/>
        <v>$E$1:$E$92</v>
      </c>
      <c r="B3862" s="159" t="str">
        <f t="shared" si="303"/>
        <v>$F$1:$F$92</v>
      </c>
      <c r="C3862" s="159" t="str">
        <f t="shared" si="304"/>
        <v>March!$E$1:$E$92</v>
      </c>
      <c r="D3862" s="159" t="str">
        <f t="shared" si="305"/>
        <v>March!$F$1:$F$92</v>
      </c>
      <c r="E3862" t="s">
        <v>8</v>
      </c>
      <c r="F3862" t="s">
        <v>122</v>
      </c>
      <c r="G3862" t="s">
        <v>142</v>
      </c>
      <c r="H3862" t="s">
        <v>20</v>
      </c>
      <c r="I3862" t="e">
        <f t="shared" ca="1" si="306"/>
        <v>#REF!</v>
      </c>
      <c r="J3862" t="str">
        <f>VLOOKUP($G3862,DefinitionArrays!$I$6:$J$12,2,FALSE)</f>
        <v>Workweek</v>
      </c>
    </row>
    <row r="3863" spans="1:10">
      <c r="A3863" s="159" t="str">
        <f t="shared" si="302"/>
        <v>$E$1:$E$92</v>
      </c>
      <c r="B3863" s="159" t="str">
        <f t="shared" si="303"/>
        <v>$F$1:$F$92</v>
      </c>
      <c r="C3863" s="159" t="str">
        <f t="shared" si="304"/>
        <v>March!$E$1:$E$92</v>
      </c>
      <c r="D3863" s="159" t="str">
        <f t="shared" si="305"/>
        <v>March!$F$1:$F$92</v>
      </c>
      <c r="E3863" t="s">
        <v>8</v>
      </c>
      <c r="F3863" t="s">
        <v>122</v>
      </c>
      <c r="G3863" t="s">
        <v>142</v>
      </c>
      <c r="H3863" t="s">
        <v>21</v>
      </c>
      <c r="I3863" t="e">
        <f t="shared" ca="1" si="306"/>
        <v>#REF!</v>
      </c>
      <c r="J3863" t="str">
        <f>VLOOKUP($G3863,DefinitionArrays!$I$6:$J$12,2,FALSE)</f>
        <v>Workweek</v>
      </c>
    </row>
    <row r="3864" spans="1:10">
      <c r="A3864" s="159" t="str">
        <f t="shared" si="302"/>
        <v>$E$1:$E$92</v>
      </c>
      <c r="B3864" s="159" t="str">
        <f t="shared" si="303"/>
        <v>$F$1:$F$92</v>
      </c>
      <c r="C3864" s="159" t="str">
        <f t="shared" si="304"/>
        <v>March!$E$1:$E$92</v>
      </c>
      <c r="D3864" s="159" t="str">
        <f t="shared" si="305"/>
        <v>March!$F$1:$F$92</v>
      </c>
      <c r="E3864" t="s">
        <v>8</v>
      </c>
      <c r="F3864" t="s">
        <v>122</v>
      </c>
      <c r="G3864" t="s">
        <v>142</v>
      </c>
      <c r="H3864" t="s">
        <v>22</v>
      </c>
      <c r="I3864" t="e">
        <f t="shared" ca="1" si="306"/>
        <v>#REF!</v>
      </c>
      <c r="J3864" t="str">
        <f>VLOOKUP($G3864,DefinitionArrays!$I$6:$J$12,2,FALSE)</f>
        <v>Workweek</v>
      </c>
    </row>
    <row r="3865" spans="1:10">
      <c r="A3865" s="159" t="str">
        <f t="shared" si="302"/>
        <v>$E$1:$E$92</v>
      </c>
      <c r="B3865" s="159" t="str">
        <f t="shared" si="303"/>
        <v>$F$1:$F$92</v>
      </c>
      <c r="C3865" s="159" t="str">
        <f t="shared" si="304"/>
        <v>March!$E$1:$E$92</v>
      </c>
      <c r="D3865" s="159" t="str">
        <f t="shared" si="305"/>
        <v>March!$F$1:$F$92</v>
      </c>
      <c r="E3865" t="s">
        <v>8</v>
      </c>
      <c r="F3865" t="s">
        <v>122</v>
      </c>
      <c r="G3865" t="s">
        <v>142</v>
      </c>
      <c r="H3865" t="s">
        <v>23</v>
      </c>
      <c r="I3865" t="e">
        <f t="shared" ca="1" si="306"/>
        <v>#REF!</v>
      </c>
      <c r="J3865" t="str">
        <f>VLOOKUP($G3865,DefinitionArrays!$I$6:$J$12,2,FALSE)</f>
        <v>Workweek</v>
      </c>
    </row>
    <row r="3866" spans="1:10">
      <c r="A3866" s="159" t="str">
        <f t="shared" si="302"/>
        <v>$E$1:$E$92</v>
      </c>
      <c r="B3866" s="159" t="str">
        <f t="shared" si="303"/>
        <v>$F$1:$F$92</v>
      </c>
      <c r="C3866" s="159" t="str">
        <f t="shared" si="304"/>
        <v>March!$E$1:$E$92</v>
      </c>
      <c r="D3866" s="159" t="str">
        <f t="shared" si="305"/>
        <v>March!$F$1:$F$92</v>
      </c>
      <c r="E3866" t="s">
        <v>8</v>
      </c>
      <c r="F3866" t="s">
        <v>122</v>
      </c>
      <c r="G3866" t="s">
        <v>142</v>
      </c>
      <c r="H3866" t="s">
        <v>24</v>
      </c>
      <c r="I3866" t="e">
        <f t="shared" ca="1" si="306"/>
        <v>#REF!</v>
      </c>
      <c r="J3866" t="str">
        <f>VLOOKUP($G3866,DefinitionArrays!$I$6:$J$12,2,FALSE)</f>
        <v>Workweek</v>
      </c>
    </row>
    <row r="3867" spans="1:10">
      <c r="A3867" s="159" t="str">
        <f t="shared" si="302"/>
        <v>$E$1:$E$92</v>
      </c>
      <c r="B3867" s="159" t="str">
        <f t="shared" si="303"/>
        <v>$F$1:$F$92</v>
      </c>
      <c r="C3867" s="159" t="str">
        <f t="shared" si="304"/>
        <v>March!$E$1:$E$92</v>
      </c>
      <c r="D3867" s="159" t="str">
        <f t="shared" si="305"/>
        <v>March!$F$1:$F$92</v>
      </c>
      <c r="E3867" t="s">
        <v>8</v>
      </c>
      <c r="F3867" t="s">
        <v>122</v>
      </c>
      <c r="G3867" t="s">
        <v>142</v>
      </c>
      <c r="H3867" t="s">
        <v>179</v>
      </c>
      <c r="I3867" t="e">
        <f t="shared" ca="1" si="306"/>
        <v>#REF!</v>
      </c>
      <c r="J3867" t="str">
        <f>VLOOKUP($G3867,DefinitionArrays!$I$6:$J$12,2,FALSE)</f>
        <v>Workweek</v>
      </c>
    </row>
    <row r="3868" spans="1:10">
      <c r="A3868" s="159" t="str">
        <f t="shared" si="302"/>
        <v>$E$1:$E$92</v>
      </c>
      <c r="B3868" s="159" t="str">
        <f t="shared" si="303"/>
        <v>$F$1:$F$92</v>
      </c>
      <c r="C3868" s="159" t="str">
        <f t="shared" si="304"/>
        <v>March!$E$1:$E$92</v>
      </c>
      <c r="D3868" s="159" t="str">
        <f t="shared" si="305"/>
        <v>March!$F$1:$F$92</v>
      </c>
      <c r="E3868" t="s">
        <v>8</v>
      </c>
      <c r="F3868" t="s">
        <v>122</v>
      </c>
      <c r="G3868" t="s">
        <v>142</v>
      </c>
      <c r="H3868" t="s">
        <v>180</v>
      </c>
      <c r="I3868" t="e">
        <f t="shared" ca="1" si="306"/>
        <v>#REF!</v>
      </c>
      <c r="J3868" t="str">
        <f>VLOOKUP($G3868,DefinitionArrays!$I$6:$J$12,2,FALSE)</f>
        <v>Workweek</v>
      </c>
    </row>
    <row r="3869" spans="1:10">
      <c r="A3869" s="159" t="str">
        <f t="shared" si="302"/>
        <v>$E$1:$E$92</v>
      </c>
      <c r="B3869" s="159" t="str">
        <f t="shared" si="303"/>
        <v>$F$1:$F$92</v>
      </c>
      <c r="C3869" s="159" t="str">
        <f t="shared" si="304"/>
        <v>March!$E$1:$E$92</v>
      </c>
      <c r="D3869" s="159" t="str">
        <f t="shared" si="305"/>
        <v>March!$F$1:$F$92</v>
      </c>
      <c r="E3869" t="s">
        <v>8</v>
      </c>
      <c r="F3869" t="s">
        <v>122</v>
      </c>
      <c r="G3869" t="s">
        <v>142</v>
      </c>
      <c r="H3869" t="s">
        <v>44</v>
      </c>
      <c r="I3869" t="e">
        <f t="shared" ca="1" si="306"/>
        <v>#REF!</v>
      </c>
      <c r="J3869" t="str">
        <f>VLOOKUP($G3869,DefinitionArrays!$I$6:$J$12,2,FALSE)</f>
        <v>Workweek</v>
      </c>
    </row>
    <row r="3870" spans="1:10">
      <c r="A3870" s="159" t="str">
        <f t="shared" si="302"/>
        <v>$H$1:$H$92</v>
      </c>
      <c r="B3870" s="159" t="str">
        <f t="shared" si="303"/>
        <v>$I$1:$I$92</v>
      </c>
      <c r="C3870" s="159" t="str">
        <f t="shared" si="304"/>
        <v>March!$H$1:$H$92</v>
      </c>
      <c r="D3870" s="159" t="str">
        <f t="shared" si="305"/>
        <v>March!$I$1:$I$92</v>
      </c>
      <c r="E3870" t="s">
        <v>8</v>
      </c>
      <c r="F3870" t="s">
        <v>122</v>
      </c>
      <c r="G3870" t="s">
        <v>143</v>
      </c>
      <c r="H3870" t="s">
        <v>159</v>
      </c>
      <c r="I3870" t="e">
        <f t="shared" ca="1" si="306"/>
        <v>#REF!</v>
      </c>
      <c r="J3870" t="str">
        <f>VLOOKUP($G3870,DefinitionArrays!$I$6:$J$12,2,FALSE)</f>
        <v>Workweek</v>
      </c>
    </row>
    <row r="3871" spans="1:10">
      <c r="A3871" s="159" t="str">
        <f t="shared" si="302"/>
        <v>$H$1:$H$92</v>
      </c>
      <c r="B3871" s="159" t="str">
        <f t="shared" si="303"/>
        <v>$I$1:$I$92</v>
      </c>
      <c r="C3871" s="159" t="str">
        <f t="shared" si="304"/>
        <v>March!$H$1:$H$92</v>
      </c>
      <c r="D3871" s="159" t="str">
        <f t="shared" si="305"/>
        <v>March!$I$1:$I$92</v>
      </c>
      <c r="E3871" t="s">
        <v>8</v>
      </c>
      <c r="F3871" t="s">
        <v>122</v>
      </c>
      <c r="G3871" t="s">
        <v>143</v>
      </c>
      <c r="H3871" t="s">
        <v>18</v>
      </c>
      <c r="I3871" t="e">
        <f t="shared" ca="1" si="306"/>
        <v>#REF!</v>
      </c>
      <c r="J3871" t="str">
        <f>VLOOKUP($G3871,DefinitionArrays!$I$6:$J$12,2,FALSE)</f>
        <v>Workweek</v>
      </c>
    </row>
    <row r="3872" spans="1:10">
      <c r="A3872" s="159" t="str">
        <f t="shared" si="302"/>
        <v>$H$1:$H$92</v>
      </c>
      <c r="B3872" s="159" t="str">
        <f t="shared" si="303"/>
        <v>$I$1:$I$92</v>
      </c>
      <c r="C3872" s="159" t="str">
        <f t="shared" si="304"/>
        <v>March!$H$1:$H$92</v>
      </c>
      <c r="D3872" s="159" t="str">
        <f t="shared" si="305"/>
        <v>March!$I$1:$I$92</v>
      </c>
      <c r="E3872" t="s">
        <v>8</v>
      </c>
      <c r="F3872" t="s">
        <v>122</v>
      </c>
      <c r="G3872" t="s">
        <v>143</v>
      </c>
      <c r="H3872" t="s">
        <v>153</v>
      </c>
      <c r="I3872" t="e">
        <f t="shared" ca="1" si="306"/>
        <v>#REF!</v>
      </c>
      <c r="J3872" t="str">
        <f>VLOOKUP($G3872,DefinitionArrays!$I$6:$J$12,2,FALSE)</f>
        <v>Workweek</v>
      </c>
    </row>
    <row r="3873" spans="1:10">
      <c r="A3873" s="159" t="str">
        <f t="shared" si="302"/>
        <v>$H$1:$H$92</v>
      </c>
      <c r="B3873" s="159" t="str">
        <f t="shared" si="303"/>
        <v>$I$1:$I$92</v>
      </c>
      <c r="C3873" s="159" t="str">
        <f t="shared" si="304"/>
        <v>March!$H$1:$H$92</v>
      </c>
      <c r="D3873" s="159" t="str">
        <f t="shared" si="305"/>
        <v>March!$I$1:$I$92</v>
      </c>
      <c r="E3873" t="s">
        <v>8</v>
      </c>
      <c r="F3873" t="s">
        <v>122</v>
      </c>
      <c r="G3873" t="s">
        <v>143</v>
      </c>
      <c r="H3873" t="s">
        <v>19</v>
      </c>
      <c r="I3873" t="e">
        <f t="shared" ca="1" si="306"/>
        <v>#REF!</v>
      </c>
      <c r="J3873" t="str">
        <f>VLOOKUP($G3873,DefinitionArrays!$I$6:$J$12,2,FALSE)</f>
        <v>Workweek</v>
      </c>
    </row>
    <row r="3874" spans="1:10">
      <c r="A3874" s="159" t="str">
        <f t="shared" si="302"/>
        <v>$H$1:$H$92</v>
      </c>
      <c r="B3874" s="159" t="str">
        <f t="shared" si="303"/>
        <v>$I$1:$I$92</v>
      </c>
      <c r="C3874" s="159" t="str">
        <f t="shared" si="304"/>
        <v>March!$H$1:$H$92</v>
      </c>
      <c r="D3874" s="159" t="str">
        <f t="shared" si="305"/>
        <v>March!$I$1:$I$92</v>
      </c>
      <c r="E3874" t="s">
        <v>8</v>
      </c>
      <c r="F3874" t="s">
        <v>122</v>
      </c>
      <c r="G3874" t="s">
        <v>143</v>
      </c>
      <c r="H3874" t="s">
        <v>20</v>
      </c>
      <c r="I3874" t="e">
        <f t="shared" ca="1" si="306"/>
        <v>#REF!</v>
      </c>
      <c r="J3874" t="str">
        <f>VLOOKUP($G3874,DefinitionArrays!$I$6:$J$12,2,FALSE)</f>
        <v>Workweek</v>
      </c>
    </row>
    <row r="3875" spans="1:10">
      <c r="A3875" s="159" t="str">
        <f t="shared" si="302"/>
        <v>$H$1:$H$92</v>
      </c>
      <c r="B3875" s="159" t="str">
        <f t="shared" si="303"/>
        <v>$I$1:$I$92</v>
      </c>
      <c r="C3875" s="159" t="str">
        <f t="shared" si="304"/>
        <v>March!$H$1:$H$92</v>
      </c>
      <c r="D3875" s="159" t="str">
        <f t="shared" si="305"/>
        <v>March!$I$1:$I$92</v>
      </c>
      <c r="E3875" t="s">
        <v>8</v>
      </c>
      <c r="F3875" t="s">
        <v>122</v>
      </c>
      <c r="G3875" t="s">
        <v>143</v>
      </c>
      <c r="H3875" t="s">
        <v>21</v>
      </c>
      <c r="I3875" t="e">
        <f t="shared" ca="1" si="306"/>
        <v>#REF!</v>
      </c>
      <c r="J3875" t="str">
        <f>VLOOKUP($G3875,DefinitionArrays!$I$6:$J$12,2,FALSE)</f>
        <v>Workweek</v>
      </c>
    </row>
    <row r="3876" spans="1:10">
      <c r="A3876" s="159" t="str">
        <f t="shared" si="302"/>
        <v>$H$1:$H$92</v>
      </c>
      <c r="B3876" s="159" t="str">
        <f t="shared" si="303"/>
        <v>$I$1:$I$92</v>
      </c>
      <c r="C3876" s="159" t="str">
        <f t="shared" si="304"/>
        <v>March!$H$1:$H$92</v>
      </c>
      <c r="D3876" s="159" t="str">
        <f t="shared" si="305"/>
        <v>March!$I$1:$I$92</v>
      </c>
      <c r="E3876" t="s">
        <v>8</v>
      </c>
      <c r="F3876" t="s">
        <v>122</v>
      </c>
      <c r="G3876" t="s">
        <v>143</v>
      </c>
      <c r="H3876" t="s">
        <v>22</v>
      </c>
      <c r="I3876" t="e">
        <f t="shared" ca="1" si="306"/>
        <v>#REF!</v>
      </c>
      <c r="J3876" t="str">
        <f>VLOOKUP($G3876,DefinitionArrays!$I$6:$J$12,2,FALSE)</f>
        <v>Workweek</v>
      </c>
    </row>
    <row r="3877" spans="1:10">
      <c r="A3877" s="159" t="str">
        <f t="shared" si="302"/>
        <v>$H$1:$H$92</v>
      </c>
      <c r="B3877" s="159" t="str">
        <f t="shared" si="303"/>
        <v>$I$1:$I$92</v>
      </c>
      <c r="C3877" s="159" t="str">
        <f t="shared" si="304"/>
        <v>March!$H$1:$H$92</v>
      </c>
      <c r="D3877" s="159" t="str">
        <f t="shared" si="305"/>
        <v>March!$I$1:$I$92</v>
      </c>
      <c r="E3877" t="s">
        <v>8</v>
      </c>
      <c r="F3877" t="s">
        <v>122</v>
      </c>
      <c r="G3877" t="s">
        <v>143</v>
      </c>
      <c r="H3877" t="s">
        <v>23</v>
      </c>
      <c r="I3877" t="e">
        <f t="shared" ca="1" si="306"/>
        <v>#REF!</v>
      </c>
      <c r="J3877" t="str">
        <f>VLOOKUP($G3877,DefinitionArrays!$I$6:$J$12,2,FALSE)</f>
        <v>Workweek</v>
      </c>
    </row>
    <row r="3878" spans="1:10">
      <c r="A3878" s="159" t="str">
        <f t="shared" si="302"/>
        <v>$H$1:$H$92</v>
      </c>
      <c r="B3878" s="159" t="str">
        <f t="shared" si="303"/>
        <v>$I$1:$I$92</v>
      </c>
      <c r="C3878" s="159" t="str">
        <f t="shared" si="304"/>
        <v>March!$H$1:$H$92</v>
      </c>
      <c r="D3878" s="159" t="str">
        <f t="shared" si="305"/>
        <v>March!$I$1:$I$92</v>
      </c>
      <c r="E3878" t="s">
        <v>8</v>
      </c>
      <c r="F3878" t="s">
        <v>122</v>
      </c>
      <c r="G3878" t="s">
        <v>143</v>
      </c>
      <c r="H3878" t="s">
        <v>24</v>
      </c>
      <c r="I3878" t="e">
        <f t="shared" ca="1" si="306"/>
        <v>#REF!</v>
      </c>
      <c r="J3878" t="str">
        <f>VLOOKUP($G3878,DefinitionArrays!$I$6:$J$12,2,FALSE)</f>
        <v>Workweek</v>
      </c>
    </row>
    <row r="3879" spans="1:10">
      <c r="A3879" s="159" t="str">
        <f t="shared" si="302"/>
        <v>$H$1:$H$92</v>
      </c>
      <c r="B3879" s="159" t="str">
        <f t="shared" si="303"/>
        <v>$I$1:$I$92</v>
      </c>
      <c r="C3879" s="159" t="str">
        <f t="shared" si="304"/>
        <v>March!$H$1:$H$92</v>
      </c>
      <c r="D3879" s="159" t="str">
        <f t="shared" si="305"/>
        <v>March!$I$1:$I$92</v>
      </c>
      <c r="E3879" t="s">
        <v>8</v>
      </c>
      <c r="F3879" t="s">
        <v>122</v>
      </c>
      <c r="G3879" t="s">
        <v>143</v>
      </c>
      <c r="H3879" t="s">
        <v>179</v>
      </c>
      <c r="I3879" t="e">
        <f t="shared" ca="1" si="306"/>
        <v>#REF!</v>
      </c>
      <c r="J3879" t="str">
        <f>VLOOKUP($G3879,DefinitionArrays!$I$6:$J$12,2,FALSE)</f>
        <v>Workweek</v>
      </c>
    </row>
    <row r="3880" spans="1:10">
      <c r="A3880" s="159" t="str">
        <f t="shared" si="302"/>
        <v>$H$1:$H$92</v>
      </c>
      <c r="B3880" s="159" t="str">
        <f t="shared" si="303"/>
        <v>$I$1:$I$92</v>
      </c>
      <c r="C3880" s="159" t="str">
        <f t="shared" si="304"/>
        <v>March!$H$1:$H$92</v>
      </c>
      <c r="D3880" s="159" t="str">
        <f t="shared" si="305"/>
        <v>March!$I$1:$I$92</v>
      </c>
      <c r="E3880" t="s">
        <v>8</v>
      </c>
      <c r="F3880" t="s">
        <v>122</v>
      </c>
      <c r="G3880" t="s">
        <v>143</v>
      </c>
      <c r="H3880" t="s">
        <v>180</v>
      </c>
      <c r="I3880" t="e">
        <f t="shared" ca="1" si="306"/>
        <v>#REF!</v>
      </c>
      <c r="J3880" t="str">
        <f>VLOOKUP($G3880,DefinitionArrays!$I$6:$J$12,2,FALSE)</f>
        <v>Workweek</v>
      </c>
    </row>
    <row r="3881" spans="1:10">
      <c r="A3881" s="159" t="str">
        <f t="shared" si="302"/>
        <v>$H$1:$H$92</v>
      </c>
      <c r="B3881" s="159" t="str">
        <f t="shared" si="303"/>
        <v>$I$1:$I$92</v>
      </c>
      <c r="C3881" s="159" t="str">
        <f t="shared" si="304"/>
        <v>March!$H$1:$H$92</v>
      </c>
      <c r="D3881" s="159" t="str">
        <f t="shared" si="305"/>
        <v>March!$I$1:$I$92</v>
      </c>
      <c r="E3881" t="s">
        <v>8</v>
      </c>
      <c r="F3881" t="s">
        <v>122</v>
      </c>
      <c r="G3881" t="s">
        <v>143</v>
      </c>
      <c r="H3881" t="s">
        <v>44</v>
      </c>
      <c r="I3881" t="e">
        <f t="shared" ca="1" si="306"/>
        <v>#REF!</v>
      </c>
      <c r="J3881" t="str">
        <f>VLOOKUP($G3881,DefinitionArrays!$I$6:$J$12,2,FALSE)</f>
        <v>Workweek</v>
      </c>
    </row>
    <row r="3882" spans="1:10">
      <c r="A3882" s="159" t="str">
        <f t="shared" si="302"/>
        <v>$K$1:$K$92</v>
      </c>
      <c r="B3882" s="159" t="str">
        <f t="shared" si="303"/>
        <v>$L$1:$L$92</v>
      </c>
      <c r="C3882" s="159" t="str">
        <f t="shared" si="304"/>
        <v>March!$K$1:$K$92</v>
      </c>
      <c r="D3882" s="159" t="str">
        <f t="shared" si="305"/>
        <v>March!$L$1:$L$92</v>
      </c>
      <c r="E3882" t="s">
        <v>8</v>
      </c>
      <c r="F3882" t="s">
        <v>122</v>
      </c>
      <c r="G3882" t="s">
        <v>144</v>
      </c>
      <c r="H3882" t="s">
        <v>159</v>
      </c>
      <c r="I3882" t="e">
        <f t="shared" ca="1" si="306"/>
        <v>#REF!</v>
      </c>
      <c r="J3882" t="str">
        <f>VLOOKUP($G3882,DefinitionArrays!$I$6:$J$12,2,FALSE)</f>
        <v>Workweek</v>
      </c>
    </row>
    <row r="3883" spans="1:10">
      <c r="A3883" s="159" t="str">
        <f t="shared" si="302"/>
        <v>$K$1:$K$92</v>
      </c>
      <c r="B3883" s="159" t="str">
        <f t="shared" si="303"/>
        <v>$L$1:$L$92</v>
      </c>
      <c r="C3883" s="159" t="str">
        <f t="shared" si="304"/>
        <v>March!$K$1:$K$92</v>
      </c>
      <c r="D3883" s="159" t="str">
        <f t="shared" si="305"/>
        <v>March!$L$1:$L$92</v>
      </c>
      <c r="E3883" t="s">
        <v>8</v>
      </c>
      <c r="F3883" t="s">
        <v>122</v>
      </c>
      <c r="G3883" t="s">
        <v>144</v>
      </c>
      <c r="H3883" t="s">
        <v>18</v>
      </c>
      <c r="I3883" t="e">
        <f t="shared" ca="1" si="306"/>
        <v>#REF!</v>
      </c>
      <c r="J3883" t="str">
        <f>VLOOKUP($G3883,DefinitionArrays!$I$6:$J$12,2,FALSE)</f>
        <v>Workweek</v>
      </c>
    </row>
    <row r="3884" spans="1:10">
      <c r="A3884" s="159" t="str">
        <f t="shared" si="302"/>
        <v>$K$1:$K$92</v>
      </c>
      <c r="B3884" s="159" t="str">
        <f t="shared" si="303"/>
        <v>$L$1:$L$92</v>
      </c>
      <c r="C3884" s="159" t="str">
        <f t="shared" si="304"/>
        <v>March!$K$1:$K$92</v>
      </c>
      <c r="D3884" s="159" t="str">
        <f t="shared" si="305"/>
        <v>March!$L$1:$L$92</v>
      </c>
      <c r="E3884" t="s">
        <v>8</v>
      </c>
      <c r="F3884" t="s">
        <v>122</v>
      </c>
      <c r="G3884" t="s">
        <v>144</v>
      </c>
      <c r="H3884" t="s">
        <v>153</v>
      </c>
      <c r="I3884" t="e">
        <f t="shared" ca="1" si="306"/>
        <v>#REF!</v>
      </c>
      <c r="J3884" t="str">
        <f>VLOOKUP($G3884,DefinitionArrays!$I$6:$J$12,2,FALSE)</f>
        <v>Workweek</v>
      </c>
    </row>
    <row r="3885" spans="1:10">
      <c r="A3885" s="159" t="str">
        <f t="shared" si="302"/>
        <v>$K$1:$K$92</v>
      </c>
      <c r="B3885" s="159" t="str">
        <f t="shared" si="303"/>
        <v>$L$1:$L$92</v>
      </c>
      <c r="C3885" s="159" t="str">
        <f t="shared" si="304"/>
        <v>March!$K$1:$K$92</v>
      </c>
      <c r="D3885" s="159" t="str">
        <f t="shared" si="305"/>
        <v>March!$L$1:$L$92</v>
      </c>
      <c r="E3885" t="s">
        <v>8</v>
      </c>
      <c r="F3885" t="s">
        <v>122</v>
      </c>
      <c r="G3885" t="s">
        <v>144</v>
      </c>
      <c r="H3885" t="s">
        <v>19</v>
      </c>
      <c r="I3885" t="e">
        <f t="shared" ca="1" si="306"/>
        <v>#REF!</v>
      </c>
      <c r="J3885" t="str">
        <f>VLOOKUP($G3885,DefinitionArrays!$I$6:$J$12,2,FALSE)</f>
        <v>Workweek</v>
      </c>
    </row>
    <row r="3886" spans="1:10">
      <c r="A3886" s="159" t="str">
        <f t="shared" si="302"/>
        <v>$K$1:$K$92</v>
      </c>
      <c r="B3886" s="159" t="str">
        <f t="shared" si="303"/>
        <v>$L$1:$L$92</v>
      </c>
      <c r="C3886" s="159" t="str">
        <f t="shared" si="304"/>
        <v>March!$K$1:$K$92</v>
      </c>
      <c r="D3886" s="159" t="str">
        <f t="shared" si="305"/>
        <v>March!$L$1:$L$92</v>
      </c>
      <c r="E3886" t="s">
        <v>8</v>
      </c>
      <c r="F3886" t="s">
        <v>122</v>
      </c>
      <c r="G3886" t="s">
        <v>144</v>
      </c>
      <c r="H3886" t="s">
        <v>20</v>
      </c>
      <c r="I3886" t="e">
        <f t="shared" ca="1" si="306"/>
        <v>#REF!</v>
      </c>
      <c r="J3886" t="str">
        <f>VLOOKUP($G3886,DefinitionArrays!$I$6:$J$12,2,FALSE)</f>
        <v>Workweek</v>
      </c>
    </row>
    <row r="3887" spans="1:10">
      <c r="A3887" s="159" t="str">
        <f t="shared" si="302"/>
        <v>$K$1:$K$92</v>
      </c>
      <c r="B3887" s="159" t="str">
        <f t="shared" si="303"/>
        <v>$L$1:$L$92</v>
      </c>
      <c r="C3887" s="159" t="str">
        <f t="shared" si="304"/>
        <v>March!$K$1:$K$92</v>
      </c>
      <c r="D3887" s="159" t="str">
        <f t="shared" si="305"/>
        <v>March!$L$1:$L$92</v>
      </c>
      <c r="E3887" t="s">
        <v>8</v>
      </c>
      <c r="F3887" t="s">
        <v>122</v>
      </c>
      <c r="G3887" t="s">
        <v>144</v>
      </c>
      <c r="H3887" t="s">
        <v>21</v>
      </c>
      <c r="I3887" t="e">
        <f t="shared" ca="1" si="306"/>
        <v>#REF!</v>
      </c>
      <c r="J3887" t="str">
        <f>VLOOKUP($G3887,DefinitionArrays!$I$6:$J$12,2,FALSE)</f>
        <v>Workweek</v>
      </c>
    </row>
    <row r="3888" spans="1:10">
      <c r="A3888" s="159" t="str">
        <f t="shared" si="302"/>
        <v>$K$1:$K$92</v>
      </c>
      <c r="B3888" s="159" t="str">
        <f t="shared" si="303"/>
        <v>$L$1:$L$92</v>
      </c>
      <c r="C3888" s="159" t="str">
        <f t="shared" si="304"/>
        <v>March!$K$1:$K$92</v>
      </c>
      <c r="D3888" s="159" t="str">
        <f t="shared" si="305"/>
        <v>March!$L$1:$L$92</v>
      </c>
      <c r="E3888" t="s">
        <v>8</v>
      </c>
      <c r="F3888" t="s">
        <v>122</v>
      </c>
      <c r="G3888" t="s">
        <v>144</v>
      </c>
      <c r="H3888" t="s">
        <v>22</v>
      </c>
      <c r="I3888" t="e">
        <f t="shared" ca="1" si="306"/>
        <v>#REF!</v>
      </c>
      <c r="J3888" t="str">
        <f>VLOOKUP($G3888,DefinitionArrays!$I$6:$J$12,2,FALSE)</f>
        <v>Workweek</v>
      </c>
    </row>
    <row r="3889" spans="1:10">
      <c r="A3889" s="159" t="str">
        <f t="shared" si="302"/>
        <v>$K$1:$K$92</v>
      </c>
      <c r="B3889" s="159" t="str">
        <f t="shared" si="303"/>
        <v>$L$1:$L$92</v>
      </c>
      <c r="C3889" s="159" t="str">
        <f t="shared" si="304"/>
        <v>March!$K$1:$K$92</v>
      </c>
      <c r="D3889" s="159" t="str">
        <f t="shared" si="305"/>
        <v>March!$L$1:$L$92</v>
      </c>
      <c r="E3889" t="s">
        <v>8</v>
      </c>
      <c r="F3889" t="s">
        <v>122</v>
      </c>
      <c r="G3889" t="s">
        <v>144</v>
      </c>
      <c r="H3889" t="s">
        <v>23</v>
      </c>
      <c r="I3889" t="e">
        <f t="shared" ca="1" si="306"/>
        <v>#REF!</v>
      </c>
      <c r="J3889" t="str">
        <f>VLOOKUP($G3889,DefinitionArrays!$I$6:$J$12,2,FALSE)</f>
        <v>Workweek</v>
      </c>
    </row>
    <row r="3890" spans="1:10">
      <c r="A3890" s="159" t="str">
        <f t="shared" si="302"/>
        <v>$K$1:$K$92</v>
      </c>
      <c r="B3890" s="159" t="str">
        <f t="shared" si="303"/>
        <v>$L$1:$L$92</v>
      </c>
      <c r="C3890" s="159" t="str">
        <f t="shared" si="304"/>
        <v>March!$K$1:$K$92</v>
      </c>
      <c r="D3890" s="159" t="str">
        <f t="shared" si="305"/>
        <v>March!$L$1:$L$92</v>
      </c>
      <c r="E3890" t="s">
        <v>8</v>
      </c>
      <c r="F3890" t="s">
        <v>122</v>
      </c>
      <c r="G3890" t="s">
        <v>144</v>
      </c>
      <c r="H3890" t="s">
        <v>24</v>
      </c>
      <c r="I3890" t="e">
        <f t="shared" ca="1" si="306"/>
        <v>#REF!</v>
      </c>
      <c r="J3890" t="str">
        <f>VLOOKUP($G3890,DefinitionArrays!$I$6:$J$12,2,FALSE)</f>
        <v>Workweek</v>
      </c>
    </row>
    <row r="3891" spans="1:10">
      <c r="A3891" s="159" t="str">
        <f t="shared" si="302"/>
        <v>$K$1:$K$92</v>
      </c>
      <c r="B3891" s="159" t="str">
        <f t="shared" si="303"/>
        <v>$L$1:$L$92</v>
      </c>
      <c r="C3891" s="159" t="str">
        <f t="shared" si="304"/>
        <v>March!$K$1:$K$92</v>
      </c>
      <c r="D3891" s="159" t="str">
        <f t="shared" si="305"/>
        <v>March!$L$1:$L$92</v>
      </c>
      <c r="E3891" t="s">
        <v>8</v>
      </c>
      <c r="F3891" t="s">
        <v>122</v>
      </c>
      <c r="G3891" t="s">
        <v>144</v>
      </c>
      <c r="H3891" t="s">
        <v>179</v>
      </c>
      <c r="I3891" t="e">
        <f t="shared" ca="1" si="306"/>
        <v>#REF!</v>
      </c>
      <c r="J3891" t="str">
        <f>VLOOKUP($G3891,DefinitionArrays!$I$6:$J$12,2,FALSE)</f>
        <v>Workweek</v>
      </c>
    </row>
    <row r="3892" spans="1:10">
      <c r="A3892" s="159" t="str">
        <f t="shared" si="302"/>
        <v>$K$1:$K$92</v>
      </c>
      <c r="B3892" s="159" t="str">
        <f t="shared" si="303"/>
        <v>$L$1:$L$92</v>
      </c>
      <c r="C3892" s="159" t="str">
        <f t="shared" si="304"/>
        <v>March!$K$1:$K$92</v>
      </c>
      <c r="D3892" s="159" t="str">
        <f t="shared" si="305"/>
        <v>March!$L$1:$L$92</v>
      </c>
      <c r="E3892" t="s">
        <v>8</v>
      </c>
      <c r="F3892" t="s">
        <v>122</v>
      </c>
      <c r="G3892" t="s">
        <v>144</v>
      </c>
      <c r="H3892" t="s">
        <v>180</v>
      </c>
      <c r="I3892" t="e">
        <f t="shared" ca="1" si="306"/>
        <v>#REF!</v>
      </c>
      <c r="J3892" t="str">
        <f>VLOOKUP($G3892,DefinitionArrays!$I$6:$J$12,2,FALSE)</f>
        <v>Workweek</v>
      </c>
    </row>
    <row r="3893" spans="1:10">
      <c r="A3893" s="159" t="str">
        <f t="shared" si="302"/>
        <v>$K$1:$K$92</v>
      </c>
      <c r="B3893" s="159" t="str">
        <f t="shared" si="303"/>
        <v>$L$1:$L$92</v>
      </c>
      <c r="C3893" s="159" t="str">
        <f t="shared" si="304"/>
        <v>March!$K$1:$K$92</v>
      </c>
      <c r="D3893" s="159" t="str">
        <f t="shared" si="305"/>
        <v>March!$L$1:$L$92</v>
      </c>
      <c r="E3893" t="s">
        <v>8</v>
      </c>
      <c r="F3893" t="s">
        <v>122</v>
      </c>
      <c r="G3893" t="s">
        <v>144</v>
      </c>
      <c r="H3893" t="s">
        <v>44</v>
      </c>
      <c r="I3893" t="e">
        <f t="shared" ca="1" si="306"/>
        <v>#REF!</v>
      </c>
      <c r="J3893" t="str">
        <f>VLOOKUP($G3893,DefinitionArrays!$I$6:$J$12,2,FALSE)</f>
        <v>Workweek</v>
      </c>
    </row>
    <row r="3894" spans="1:10">
      <c r="A3894" s="159" t="str">
        <f t="shared" si="302"/>
        <v>$N$1:$N$92</v>
      </c>
      <c r="B3894" s="159" t="str">
        <f t="shared" si="303"/>
        <v>$O$1:$O$92</v>
      </c>
      <c r="C3894" s="159" t="str">
        <f t="shared" si="304"/>
        <v>March!$N$1:$N$92</v>
      </c>
      <c r="D3894" s="159" t="str">
        <f t="shared" si="305"/>
        <v>March!$O$1:$O$92</v>
      </c>
      <c r="E3894" t="s">
        <v>8</v>
      </c>
      <c r="F3894" t="s">
        <v>122</v>
      </c>
      <c r="G3894" t="s">
        <v>145</v>
      </c>
      <c r="H3894" t="s">
        <v>159</v>
      </c>
      <c r="I3894" t="e">
        <f t="shared" ca="1" si="306"/>
        <v>#REF!</v>
      </c>
      <c r="J3894" t="str">
        <f>VLOOKUP($G3894,DefinitionArrays!$I$6:$J$12,2,FALSE)</f>
        <v>Weekend</v>
      </c>
    </row>
    <row r="3895" spans="1:10">
      <c r="A3895" s="159" t="str">
        <f t="shared" si="302"/>
        <v>$N$1:$N$92</v>
      </c>
      <c r="B3895" s="159" t="str">
        <f t="shared" si="303"/>
        <v>$O$1:$O$92</v>
      </c>
      <c r="C3895" s="159" t="str">
        <f t="shared" si="304"/>
        <v>March!$N$1:$N$92</v>
      </c>
      <c r="D3895" s="159" t="str">
        <f t="shared" si="305"/>
        <v>March!$O$1:$O$92</v>
      </c>
      <c r="E3895" t="s">
        <v>8</v>
      </c>
      <c r="F3895" t="s">
        <v>122</v>
      </c>
      <c r="G3895" t="s">
        <v>145</v>
      </c>
      <c r="H3895" t="s">
        <v>18</v>
      </c>
      <c r="I3895" t="e">
        <f t="shared" ca="1" si="306"/>
        <v>#REF!</v>
      </c>
      <c r="J3895" t="str">
        <f>VLOOKUP($G3895,DefinitionArrays!$I$6:$J$12,2,FALSE)</f>
        <v>Weekend</v>
      </c>
    </row>
    <row r="3896" spans="1:10">
      <c r="A3896" s="159" t="str">
        <f t="shared" si="302"/>
        <v>$N$1:$N$92</v>
      </c>
      <c r="B3896" s="159" t="str">
        <f t="shared" si="303"/>
        <v>$O$1:$O$92</v>
      </c>
      <c r="C3896" s="159" t="str">
        <f t="shared" si="304"/>
        <v>March!$N$1:$N$92</v>
      </c>
      <c r="D3896" s="159" t="str">
        <f t="shared" si="305"/>
        <v>March!$O$1:$O$92</v>
      </c>
      <c r="E3896" t="s">
        <v>8</v>
      </c>
      <c r="F3896" t="s">
        <v>122</v>
      </c>
      <c r="G3896" t="s">
        <v>145</v>
      </c>
      <c r="H3896" t="s">
        <v>153</v>
      </c>
      <c r="I3896" t="e">
        <f t="shared" ca="1" si="306"/>
        <v>#REF!</v>
      </c>
      <c r="J3896" t="str">
        <f>VLOOKUP($G3896,DefinitionArrays!$I$6:$J$12,2,FALSE)</f>
        <v>Weekend</v>
      </c>
    </row>
    <row r="3897" spans="1:10">
      <c r="A3897" s="159" t="str">
        <f t="shared" si="302"/>
        <v>$N$1:$N$92</v>
      </c>
      <c r="B3897" s="159" t="str">
        <f t="shared" si="303"/>
        <v>$O$1:$O$92</v>
      </c>
      <c r="C3897" s="159" t="str">
        <f t="shared" si="304"/>
        <v>March!$N$1:$N$92</v>
      </c>
      <c r="D3897" s="159" t="str">
        <f t="shared" si="305"/>
        <v>March!$O$1:$O$92</v>
      </c>
      <c r="E3897" t="s">
        <v>8</v>
      </c>
      <c r="F3897" t="s">
        <v>122</v>
      </c>
      <c r="G3897" t="s">
        <v>145</v>
      </c>
      <c r="H3897" t="s">
        <v>19</v>
      </c>
      <c r="I3897" t="e">
        <f t="shared" ca="1" si="306"/>
        <v>#REF!</v>
      </c>
      <c r="J3897" t="str">
        <f>VLOOKUP($G3897,DefinitionArrays!$I$6:$J$12,2,FALSE)</f>
        <v>Weekend</v>
      </c>
    </row>
    <row r="3898" spans="1:10">
      <c r="A3898" s="159" t="str">
        <f t="shared" si="302"/>
        <v>$N$1:$N$92</v>
      </c>
      <c r="B3898" s="159" t="str">
        <f t="shared" si="303"/>
        <v>$O$1:$O$92</v>
      </c>
      <c r="C3898" s="159" t="str">
        <f t="shared" si="304"/>
        <v>March!$N$1:$N$92</v>
      </c>
      <c r="D3898" s="159" t="str">
        <f t="shared" si="305"/>
        <v>March!$O$1:$O$92</v>
      </c>
      <c r="E3898" t="s">
        <v>8</v>
      </c>
      <c r="F3898" t="s">
        <v>122</v>
      </c>
      <c r="G3898" t="s">
        <v>145</v>
      </c>
      <c r="H3898" t="s">
        <v>20</v>
      </c>
      <c r="I3898" t="e">
        <f t="shared" ca="1" si="306"/>
        <v>#REF!</v>
      </c>
      <c r="J3898" t="str">
        <f>VLOOKUP($G3898,DefinitionArrays!$I$6:$J$12,2,FALSE)</f>
        <v>Weekend</v>
      </c>
    </row>
    <row r="3899" spans="1:10">
      <c r="A3899" s="159" t="str">
        <f t="shared" si="302"/>
        <v>$N$1:$N$92</v>
      </c>
      <c r="B3899" s="159" t="str">
        <f t="shared" si="303"/>
        <v>$O$1:$O$92</v>
      </c>
      <c r="C3899" s="159" t="str">
        <f t="shared" si="304"/>
        <v>March!$N$1:$N$92</v>
      </c>
      <c r="D3899" s="159" t="str">
        <f t="shared" si="305"/>
        <v>March!$O$1:$O$92</v>
      </c>
      <c r="E3899" t="s">
        <v>8</v>
      </c>
      <c r="F3899" t="s">
        <v>122</v>
      </c>
      <c r="G3899" t="s">
        <v>145</v>
      </c>
      <c r="H3899" t="s">
        <v>21</v>
      </c>
      <c r="I3899" t="e">
        <f t="shared" ca="1" si="306"/>
        <v>#REF!</v>
      </c>
      <c r="J3899" t="str">
        <f>VLOOKUP($G3899,DefinitionArrays!$I$6:$J$12,2,FALSE)</f>
        <v>Weekend</v>
      </c>
    </row>
    <row r="3900" spans="1:10">
      <c r="A3900" s="159" t="str">
        <f t="shared" si="302"/>
        <v>$N$1:$N$92</v>
      </c>
      <c r="B3900" s="159" t="str">
        <f t="shared" si="303"/>
        <v>$O$1:$O$92</v>
      </c>
      <c r="C3900" s="159" t="str">
        <f t="shared" si="304"/>
        <v>March!$N$1:$N$92</v>
      </c>
      <c r="D3900" s="159" t="str">
        <f t="shared" si="305"/>
        <v>March!$O$1:$O$92</v>
      </c>
      <c r="E3900" t="s">
        <v>8</v>
      </c>
      <c r="F3900" t="s">
        <v>122</v>
      </c>
      <c r="G3900" t="s">
        <v>145</v>
      </c>
      <c r="H3900" t="s">
        <v>22</v>
      </c>
      <c r="I3900" t="e">
        <f t="shared" ca="1" si="306"/>
        <v>#REF!</v>
      </c>
      <c r="J3900" t="str">
        <f>VLOOKUP($G3900,DefinitionArrays!$I$6:$J$12,2,FALSE)</f>
        <v>Weekend</v>
      </c>
    </row>
    <row r="3901" spans="1:10">
      <c r="A3901" s="159" t="str">
        <f t="shared" si="302"/>
        <v>$N$1:$N$92</v>
      </c>
      <c r="B3901" s="159" t="str">
        <f t="shared" si="303"/>
        <v>$O$1:$O$92</v>
      </c>
      <c r="C3901" s="159" t="str">
        <f t="shared" si="304"/>
        <v>March!$N$1:$N$92</v>
      </c>
      <c r="D3901" s="159" t="str">
        <f t="shared" si="305"/>
        <v>March!$O$1:$O$92</v>
      </c>
      <c r="E3901" t="s">
        <v>8</v>
      </c>
      <c r="F3901" t="s">
        <v>122</v>
      </c>
      <c r="G3901" t="s">
        <v>145</v>
      </c>
      <c r="H3901" t="s">
        <v>23</v>
      </c>
      <c r="I3901" t="e">
        <f t="shared" ca="1" si="306"/>
        <v>#REF!</v>
      </c>
      <c r="J3901" t="str">
        <f>VLOOKUP($G3901,DefinitionArrays!$I$6:$J$12,2,FALSE)</f>
        <v>Weekend</v>
      </c>
    </row>
    <row r="3902" spans="1:10">
      <c r="A3902" s="159" t="str">
        <f t="shared" si="302"/>
        <v>$N$1:$N$92</v>
      </c>
      <c r="B3902" s="159" t="str">
        <f t="shared" si="303"/>
        <v>$O$1:$O$92</v>
      </c>
      <c r="C3902" s="159" t="str">
        <f t="shared" si="304"/>
        <v>March!$N$1:$N$92</v>
      </c>
      <c r="D3902" s="159" t="str">
        <f t="shared" si="305"/>
        <v>March!$O$1:$O$92</v>
      </c>
      <c r="E3902" t="s">
        <v>8</v>
      </c>
      <c r="F3902" t="s">
        <v>122</v>
      </c>
      <c r="G3902" t="s">
        <v>145</v>
      </c>
      <c r="H3902" t="s">
        <v>24</v>
      </c>
      <c r="I3902" t="e">
        <f t="shared" ca="1" si="306"/>
        <v>#REF!</v>
      </c>
      <c r="J3902" t="str">
        <f>VLOOKUP($G3902,DefinitionArrays!$I$6:$J$12,2,FALSE)</f>
        <v>Weekend</v>
      </c>
    </row>
    <row r="3903" spans="1:10">
      <c r="A3903" s="159" t="str">
        <f t="shared" si="302"/>
        <v>$N$1:$N$92</v>
      </c>
      <c r="B3903" s="159" t="str">
        <f t="shared" si="303"/>
        <v>$O$1:$O$92</v>
      </c>
      <c r="C3903" s="159" t="str">
        <f t="shared" si="304"/>
        <v>March!$N$1:$N$92</v>
      </c>
      <c r="D3903" s="159" t="str">
        <f t="shared" si="305"/>
        <v>March!$O$1:$O$92</v>
      </c>
      <c r="E3903" t="s">
        <v>8</v>
      </c>
      <c r="F3903" t="s">
        <v>122</v>
      </c>
      <c r="G3903" t="s">
        <v>145</v>
      </c>
      <c r="H3903" t="s">
        <v>179</v>
      </c>
      <c r="I3903" t="e">
        <f t="shared" ca="1" si="306"/>
        <v>#REF!</v>
      </c>
      <c r="J3903" t="str">
        <f>VLOOKUP($G3903,DefinitionArrays!$I$6:$J$12,2,FALSE)</f>
        <v>Weekend</v>
      </c>
    </row>
    <row r="3904" spans="1:10">
      <c r="A3904" s="159" t="str">
        <f t="shared" si="302"/>
        <v>$N$1:$N$92</v>
      </c>
      <c r="B3904" s="159" t="str">
        <f t="shared" si="303"/>
        <v>$O$1:$O$92</v>
      </c>
      <c r="C3904" s="159" t="str">
        <f t="shared" si="304"/>
        <v>March!$N$1:$N$92</v>
      </c>
      <c r="D3904" s="159" t="str">
        <f t="shared" si="305"/>
        <v>March!$O$1:$O$92</v>
      </c>
      <c r="E3904" t="s">
        <v>8</v>
      </c>
      <c r="F3904" t="s">
        <v>122</v>
      </c>
      <c r="G3904" t="s">
        <v>145</v>
      </c>
      <c r="H3904" t="s">
        <v>180</v>
      </c>
      <c r="I3904" t="e">
        <f t="shared" ca="1" si="306"/>
        <v>#REF!</v>
      </c>
      <c r="J3904" t="str">
        <f>VLOOKUP($G3904,DefinitionArrays!$I$6:$J$12,2,FALSE)</f>
        <v>Weekend</v>
      </c>
    </row>
    <row r="3905" spans="1:10">
      <c r="A3905" s="159" t="str">
        <f t="shared" si="302"/>
        <v>$N$1:$N$92</v>
      </c>
      <c r="B3905" s="159" t="str">
        <f t="shared" si="303"/>
        <v>$O$1:$O$92</v>
      </c>
      <c r="C3905" s="159" t="str">
        <f t="shared" si="304"/>
        <v>March!$N$1:$N$92</v>
      </c>
      <c r="D3905" s="159" t="str">
        <f t="shared" si="305"/>
        <v>March!$O$1:$O$92</v>
      </c>
      <c r="E3905" t="s">
        <v>8</v>
      </c>
      <c r="F3905" t="s">
        <v>122</v>
      </c>
      <c r="G3905" t="s">
        <v>145</v>
      </c>
      <c r="H3905" t="s">
        <v>44</v>
      </c>
      <c r="I3905" t="e">
        <f t="shared" ca="1" si="306"/>
        <v>#REF!</v>
      </c>
      <c r="J3905" t="str">
        <f>VLOOKUP($G3905,DefinitionArrays!$I$6:$J$12,2,FALSE)</f>
        <v>Weekend</v>
      </c>
    </row>
    <row r="3906" spans="1:10">
      <c r="A3906" s="159" t="str">
        <f t="shared" ref="A3906:A3969" si="307">VLOOKUP($G3906,Fx_Code,2,FALSE)</f>
        <v>$Q$1:$Q$92</v>
      </c>
      <c r="B3906" s="159" t="str">
        <f t="shared" ref="B3906:B3969" si="308">VLOOKUP($G3906,Fx_Code,3,FALSE)</f>
        <v>$R$1:$R$92</v>
      </c>
      <c r="C3906" s="159" t="str">
        <f t="shared" ref="C3906:C3969" si="309">CONCATENATE($F3906,$K$1,A3906)</f>
        <v>March!$Q$1:$Q$92</v>
      </c>
      <c r="D3906" s="159" t="str">
        <f t="shared" ref="D3906:D3969" si="310">CONCATENATE($F3906,$K$1,B3906)</f>
        <v>March!$R$1:$R$92</v>
      </c>
      <c r="E3906" t="s">
        <v>8</v>
      </c>
      <c r="F3906" t="s">
        <v>122</v>
      </c>
      <c r="G3906" t="s">
        <v>146</v>
      </c>
      <c r="H3906" t="s">
        <v>159</v>
      </c>
      <c r="I3906" t="e">
        <f t="shared" ca="1" si="306"/>
        <v>#REF!</v>
      </c>
      <c r="J3906" t="str">
        <f>VLOOKUP($G3906,DefinitionArrays!$I$6:$J$12,2,FALSE)</f>
        <v>Weekend</v>
      </c>
    </row>
    <row r="3907" spans="1:10">
      <c r="A3907" s="159" t="str">
        <f t="shared" si="307"/>
        <v>$T$1:$T$92</v>
      </c>
      <c r="B3907" s="159" t="str">
        <f t="shared" si="308"/>
        <v>$U$1:$U$92</v>
      </c>
      <c r="C3907" s="159" t="str">
        <f t="shared" si="309"/>
        <v>March!$T$1:$T$92</v>
      </c>
      <c r="D3907" s="159" t="str">
        <f t="shared" si="310"/>
        <v>March!$U$1:$U$92</v>
      </c>
      <c r="E3907" t="s">
        <v>8</v>
      </c>
      <c r="F3907" t="s">
        <v>122</v>
      </c>
      <c r="G3907" t="s">
        <v>141</v>
      </c>
      <c r="H3907" t="s">
        <v>159</v>
      </c>
      <c r="I3907" t="e">
        <f t="shared" ca="1" si="306"/>
        <v>#REF!</v>
      </c>
      <c r="J3907" t="str">
        <f>VLOOKUP($G3907,DefinitionArrays!$I$6:$J$12,2,FALSE)</f>
        <v>Weekend</v>
      </c>
    </row>
    <row r="3908" spans="1:10">
      <c r="A3908" s="159" t="str">
        <f t="shared" si="307"/>
        <v>$B$1:$B$92</v>
      </c>
      <c r="B3908" s="159" t="str">
        <f t="shared" si="308"/>
        <v>$C$1:$C$92</v>
      </c>
      <c r="C3908" s="159" t="str">
        <f t="shared" si="309"/>
        <v>April!$B$1:$B$92</v>
      </c>
      <c r="D3908" s="159" t="str">
        <f t="shared" si="310"/>
        <v>April!$C$1:$C$92</v>
      </c>
      <c r="E3908" t="s">
        <v>8</v>
      </c>
      <c r="F3908" t="s">
        <v>123</v>
      </c>
      <c r="G3908" t="s">
        <v>13</v>
      </c>
      <c r="H3908" t="s">
        <v>159</v>
      </c>
      <c r="I3908" t="e">
        <f ca="1">COUNTIFS(INDIRECT($C3908),$E3908,INDIRECT($D3908),$H3908)</f>
        <v>#REF!</v>
      </c>
      <c r="J3908" t="str">
        <f>VLOOKUP($G3908,DefinitionArrays!$I$6:$J$12,2,FALSE)</f>
        <v>Workweek</v>
      </c>
    </row>
    <row r="3909" spans="1:10">
      <c r="A3909" s="159" t="str">
        <f t="shared" si="307"/>
        <v>$B$1:$B$92</v>
      </c>
      <c r="B3909" s="159" t="str">
        <f t="shared" si="308"/>
        <v>$C$1:$C$92</v>
      </c>
      <c r="C3909" s="159" t="str">
        <f t="shared" si="309"/>
        <v>April!$B$1:$B$92</v>
      </c>
      <c r="D3909" s="159" t="str">
        <f t="shared" si="310"/>
        <v>April!$C$1:$C$92</v>
      </c>
      <c r="E3909" t="s">
        <v>8</v>
      </c>
      <c r="F3909" t="s">
        <v>123</v>
      </c>
      <c r="G3909" t="s">
        <v>13</v>
      </c>
      <c r="H3909" t="s">
        <v>18</v>
      </c>
      <c r="I3909" t="e">
        <f t="shared" ref="I3909:I3969" ca="1" si="311">COUNTIFS(INDIRECT($C3909),$E3909,INDIRECT($D3909),$H3909)</f>
        <v>#REF!</v>
      </c>
      <c r="J3909" t="str">
        <f>VLOOKUP($G3909,DefinitionArrays!$I$6:$J$12,2,FALSE)</f>
        <v>Workweek</v>
      </c>
    </row>
    <row r="3910" spans="1:10">
      <c r="A3910" s="159" t="str">
        <f t="shared" si="307"/>
        <v>$B$1:$B$92</v>
      </c>
      <c r="B3910" s="159" t="str">
        <f t="shared" si="308"/>
        <v>$C$1:$C$92</v>
      </c>
      <c r="C3910" s="159" t="str">
        <f t="shared" si="309"/>
        <v>April!$B$1:$B$92</v>
      </c>
      <c r="D3910" s="159" t="str">
        <f t="shared" si="310"/>
        <v>April!$C$1:$C$92</v>
      </c>
      <c r="E3910" t="s">
        <v>8</v>
      </c>
      <c r="F3910" t="s">
        <v>123</v>
      </c>
      <c r="G3910" t="s">
        <v>13</v>
      </c>
      <c r="H3910" t="s">
        <v>153</v>
      </c>
      <c r="I3910" t="e">
        <f t="shared" ca="1" si="311"/>
        <v>#REF!</v>
      </c>
      <c r="J3910" t="str">
        <f>VLOOKUP($G3910,DefinitionArrays!$I$6:$J$12,2,FALSE)</f>
        <v>Workweek</v>
      </c>
    </row>
    <row r="3911" spans="1:10">
      <c r="A3911" s="159" t="str">
        <f t="shared" si="307"/>
        <v>$B$1:$B$92</v>
      </c>
      <c r="B3911" s="159" t="str">
        <f t="shared" si="308"/>
        <v>$C$1:$C$92</v>
      </c>
      <c r="C3911" s="159" t="str">
        <f t="shared" si="309"/>
        <v>April!$B$1:$B$92</v>
      </c>
      <c r="D3911" s="159" t="str">
        <f t="shared" si="310"/>
        <v>April!$C$1:$C$92</v>
      </c>
      <c r="E3911" t="s">
        <v>8</v>
      </c>
      <c r="F3911" t="s">
        <v>123</v>
      </c>
      <c r="G3911" t="s">
        <v>13</v>
      </c>
      <c r="H3911" t="s">
        <v>19</v>
      </c>
      <c r="I3911" t="e">
        <f t="shared" ca="1" si="311"/>
        <v>#REF!</v>
      </c>
      <c r="J3911" t="str">
        <f>VLOOKUP($G3911,DefinitionArrays!$I$6:$J$12,2,FALSE)</f>
        <v>Workweek</v>
      </c>
    </row>
    <row r="3912" spans="1:10">
      <c r="A3912" s="159" t="str">
        <f t="shared" si="307"/>
        <v>$B$1:$B$92</v>
      </c>
      <c r="B3912" s="159" t="str">
        <f t="shared" si="308"/>
        <v>$C$1:$C$92</v>
      </c>
      <c r="C3912" s="159" t="str">
        <f t="shared" si="309"/>
        <v>April!$B$1:$B$92</v>
      </c>
      <c r="D3912" s="159" t="str">
        <f t="shared" si="310"/>
        <v>April!$C$1:$C$92</v>
      </c>
      <c r="E3912" t="s">
        <v>8</v>
      </c>
      <c r="F3912" t="s">
        <v>123</v>
      </c>
      <c r="G3912" t="s">
        <v>13</v>
      </c>
      <c r="H3912" t="s">
        <v>20</v>
      </c>
      <c r="I3912" t="e">
        <f t="shared" ca="1" si="311"/>
        <v>#REF!</v>
      </c>
      <c r="J3912" t="str">
        <f>VLOOKUP($G3912,DefinitionArrays!$I$6:$J$12,2,FALSE)</f>
        <v>Workweek</v>
      </c>
    </row>
    <row r="3913" spans="1:10">
      <c r="A3913" s="159" t="str">
        <f t="shared" si="307"/>
        <v>$B$1:$B$92</v>
      </c>
      <c r="B3913" s="159" t="str">
        <f t="shared" si="308"/>
        <v>$C$1:$C$92</v>
      </c>
      <c r="C3913" s="159" t="str">
        <f t="shared" si="309"/>
        <v>April!$B$1:$B$92</v>
      </c>
      <c r="D3913" s="159" t="str">
        <f t="shared" si="310"/>
        <v>April!$C$1:$C$92</v>
      </c>
      <c r="E3913" t="s">
        <v>8</v>
      </c>
      <c r="F3913" t="s">
        <v>123</v>
      </c>
      <c r="G3913" t="s">
        <v>13</v>
      </c>
      <c r="H3913" t="s">
        <v>21</v>
      </c>
      <c r="I3913" t="e">
        <f t="shared" ca="1" si="311"/>
        <v>#REF!</v>
      </c>
      <c r="J3913" t="str">
        <f>VLOOKUP($G3913,DefinitionArrays!$I$6:$J$12,2,FALSE)</f>
        <v>Workweek</v>
      </c>
    </row>
    <row r="3914" spans="1:10">
      <c r="A3914" s="159" t="str">
        <f t="shared" si="307"/>
        <v>$B$1:$B$92</v>
      </c>
      <c r="B3914" s="159" t="str">
        <f t="shared" si="308"/>
        <v>$C$1:$C$92</v>
      </c>
      <c r="C3914" s="159" t="str">
        <f t="shared" si="309"/>
        <v>April!$B$1:$B$92</v>
      </c>
      <c r="D3914" s="159" t="str">
        <f t="shared" si="310"/>
        <v>April!$C$1:$C$92</v>
      </c>
      <c r="E3914" t="s">
        <v>8</v>
      </c>
      <c r="F3914" t="s">
        <v>123</v>
      </c>
      <c r="G3914" t="s">
        <v>13</v>
      </c>
      <c r="H3914" t="s">
        <v>22</v>
      </c>
      <c r="I3914" t="e">
        <f t="shared" ca="1" si="311"/>
        <v>#REF!</v>
      </c>
      <c r="J3914" t="str">
        <f>VLOOKUP($G3914,DefinitionArrays!$I$6:$J$12,2,FALSE)</f>
        <v>Workweek</v>
      </c>
    </row>
    <row r="3915" spans="1:10">
      <c r="A3915" s="159" t="str">
        <f t="shared" si="307"/>
        <v>$B$1:$B$92</v>
      </c>
      <c r="B3915" s="159" t="str">
        <f t="shared" si="308"/>
        <v>$C$1:$C$92</v>
      </c>
      <c r="C3915" s="159" t="str">
        <f t="shared" si="309"/>
        <v>April!$B$1:$B$92</v>
      </c>
      <c r="D3915" s="159" t="str">
        <f t="shared" si="310"/>
        <v>April!$C$1:$C$92</v>
      </c>
      <c r="E3915" t="s">
        <v>8</v>
      </c>
      <c r="F3915" t="s">
        <v>123</v>
      </c>
      <c r="G3915" t="s">
        <v>13</v>
      </c>
      <c r="H3915" t="s">
        <v>23</v>
      </c>
      <c r="I3915" t="e">
        <f t="shared" ca="1" si="311"/>
        <v>#REF!</v>
      </c>
      <c r="J3915" t="str">
        <f>VLOOKUP($G3915,DefinitionArrays!$I$6:$J$12,2,FALSE)</f>
        <v>Workweek</v>
      </c>
    </row>
    <row r="3916" spans="1:10">
      <c r="A3916" s="159" t="str">
        <f t="shared" si="307"/>
        <v>$B$1:$B$92</v>
      </c>
      <c r="B3916" s="159" t="str">
        <f t="shared" si="308"/>
        <v>$C$1:$C$92</v>
      </c>
      <c r="C3916" s="159" t="str">
        <f t="shared" si="309"/>
        <v>April!$B$1:$B$92</v>
      </c>
      <c r="D3916" s="159" t="str">
        <f t="shared" si="310"/>
        <v>April!$C$1:$C$92</v>
      </c>
      <c r="E3916" t="s">
        <v>8</v>
      </c>
      <c r="F3916" t="s">
        <v>123</v>
      </c>
      <c r="G3916" t="s">
        <v>13</v>
      </c>
      <c r="H3916" t="s">
        <v>24</v>
      </c>
      <c r="I3916" t="e">
        <f t="shared" ca="1" si="311"/>
        <v>#REF!</v>
      </c>
      <c r="J3916" t="str">
        <f>VLOOKUP($G3916,DefinitionArrays!$I$6:$J$12,2,FALSE)</f>
        <v>Workweek</v>
      </c>
    </row>
    <row r="3917" spans="1:10">
      <c r="A3917" s="159" t="str">
        <f t="shared" si="307"/>
        <v>$B$1:$B$92</v>
      </c>
      <c r="B3917" s="159" t="str">
        <f t="shared" si="308"/>
        <v>$C$1:$C$92</v>
      </c>
      <c r="C3917" s="159" t="str">
        <f t="shared" si="309"/>
        <v>April!$B$1:$B$92</v>
      </c>
      <c r="D3917" s="159" t="str">
        <f t="shared" si="310"/>
        <v>April!$C$1:$C$92</v>
      </c>
      <c r="E3917" t="s">
        <v>8</v>
      </c>
      <c r="F3917" t="s">
        <v>123</v>
      </c>
      <c r="G3917" t="s">
        <v>13</v>
      </c>
      <c r="H3917" t="s">
        <v>179</v>
      </c>
      <c r="I3917" t="e">
        <f t="shared" ca="1" si="311"/>
        <v>#REF!</v>
      </c>
      <c r="J3917" t="str">
        <f>VLOOKUP($G3917,DefinitionArrays!$I$6:$J$12,2,FALSE)</f>
        <v>Workweek</v>
      </c>
    </row>
    <row r="3918" spans="1:10">
      <c r="A3918" s="159" t="str">
        <f t="shared" si="307"/>
        <v>$B$1:$B$92</v>
      </c>
      <c r="B3918" s="159" t="str">
        <f t="shared" si="308"/>
        <v>$C$1:$C$92</v>
      </c>
      <c r="C3918" s="159" t="str">
        <f t="shared" si="309"/>
        <v>April!$B$1:$B$92</v>
      </c>
      <c r="D3918" s="159" t="str">
        <f t="shared" si="310"/>
        <v>April!$C$1:$C$92</v>
      </c>
      <c r="E3918" t="s">
        <v>8</v>
      </c>
      <c r="F3918" t="s">
        <v>123</v>
      </c>
      <c r="G3918" t="s">
        <v>13</v>
      </c>
      <c r="H3918" t="s">
        <v>180</v>
      </c>
      <c r="I3918" t="e">
        <f t="shared" ca="1" si="311"/>
        <v>#REF!</v>
      </c>
      <c r="J3918" t="str">
        <f>VLOOKUP($G3918,DefinitionArrays!$I$6:$J$12,2,FALSE)</f>
        <v>Workweek</v>
      </c>
    </row>
    <row r="3919" spans="1:10">
      <c r="A3919" s="159" t="str">
        <f t="shared" si="307"/>
        <v>$B$1:$B$92</v>
      </c>
      <c r="B3919" s="159" t="str">
        <f t="shared" si="308"/>
        <v>$C$1:$C$92</v>
      </c>
      <c r="C3919" s="159" t="str">
        <f t="shared" si="309"/>
        <v>April!$B$1:$B$92</v>
      </c>
      <c r="D3919" s="159" t="str">
        <f t="shared" si="310"/>
        <v>April!$C$1:$C$92</v>
      </c>
      <c r="E3919" t="s">
        <v>8</v>
      </c>
      <c r="F3919" t="s">
        <v>123</v>
      </c>
      <c r="G3919" t="s">
        <v>13</v>
      </c>
      <c r="H3919" t="s">
        <v>44</v>
      </c>
      <c r="I3919" t="e">
        <f t="shared" ca="1" si="311"/>
        <v>#REF!</v>
      </c>
      <c r="J3919" t="str">
        <f>VLOOKUP($G3919,DefinitionArrays!$I$6:$J$12,2,FALSE)</f>
        <v>Workweek</v>
      </c>
    </row>
    <row r="3920" spans="1:10">
      <c r="A3920" s="159" t="str">
        <f t="shared" si="307"/>
        <v>$E$1:$E$92</v>
      </c>
      <c r="B3920" s="159" t="str">
        <f t="shared" si="308"/>
        <v>$F$1:$F$92</v>
      </c>
      <c r="C3920" s="159" t="str">
        <f t="shared" si="309"/>
        <v>April!$E$1:$E$92</v>
      </c>
      <c r="D3920" s="159" t="str">
        <f t="shared" si="310"/>
        <v>April!$F$1:$F$92</v>
      </c>
      <c r="E3920" t="s">
        <v>8</v>
      </c>
      <c r="F3920" t="s">
        <v>123</v>
      </c>
      <c r="G3920" t="s">
        <v>142</v>
      </c>
      <c r="H3920" t="s">
        <v>159</v>
      </c>
      <c r="I3920" t="e">
        <f t="shared" ca="1" si="311"/>
        <v>#REF!</v>
      </c>
      <c r="J3920" t="str">
        <f>VLOOKUP($G3920,DefinitionArrays!$I$6:$J$12,2,FALSE)</f>
        <v>Workweek</v>
      </c>
    </row>
    <row r="3921" spans="1:10">
      <c r="A3921" s="159" t="str">
        <f t="shared" si="307"/>
        <v>$E$1:$E$92</v>
      </c>
      <c r="B3921" s="159" t="str">
        <f t="shared" si="308"/>
        <v>$F$1:$F$92</v>
      </c>
      <c r="C3921" s="159" t="str">
        <f t="shared" si="309"/>
        <v>April!$E$1:$E$92</v>
      </c>
      <c r="D3921" s="159" t="str">
        <f t="shared" si="310"/>
        <v>April!$F$1:$F$92</v>
      </c>
      <c r="E3921" t="s">
        <v>8</v>
      </c>
      <c r="F3921" t="s">
        <v>123</v>
      </c>
      <c r="G3921" t="s">
        <v>142</v>
      </c>
      <c r="H3921" t="s">
        <v>18</v>
      </c>
      <c r="I3921" t="e">
        <f t="shared" ca="1" si="311"/>
        <v>#REF!</v>
      </c>
      <c r="J3921" t="str">
        <f>VLOOKUP($G3921,DefinitionArrays!$I$6:$J$12,2,FALSE)</f>
        <v>Workweek</v>
      </c>
    </row>
    <row r="3922" spans="1:10">
      <c r="A3922" s="159" t="str">
        <f t="shared" si="307"/>
        <v>$E$1:$E$92</v>
      </c>
      <c r="B3922" s="159" t="str">
        <f t="shared" si="308"/>
        <v>$F$1:$F$92</v>
      </c>
      <c r="C3922" s="159" t="str">
        <f t="shared" si="309"/>
        <v>April!$E$1:$E$92</v>
      </c>
      <c r="D3922" s="159" t="str">
        <f t="shared" si="310"/>
        <v>April!$F$1:$F$92</v>
      </c>
      <c r="E3922" t="s">
        <v>8</v>
      </c>
      <c r="F3922" t="s">
        <v>123</v>
      </c>
      <c r="G3922" t="s">
        <v>142</v>
      </c>
      <c r="H3922" t="s">
        <v>153</v>
      </c>
      <c r="I3922" t="e">
        <f t="shared" ca="1" si="311"/>
        <v>#REF!</v>
      </c>
      <c r="J3922" t="str">
        <f>VLOOKUP($G3922,DefinitionArrays!$I$6:$J$12,2,FALSE)</f>
        <v>Workweek</v>
      </c>
    </row>
    <row r="3923" spans="1:10">
      <c r="A3923" s="159" t="str">
        <f t="shared" si="307"/>
        <v>$E$1:$E$92</v>
      </c>
      <c r="B3923" s="159" t="str">
        <f t="shared" si="308"/>
        <v>$F$1:$F$92</v>
      </c>
      <c r="C3923" s="159" t="str">
        <f t="shared" si="309"/>
        <v>April!$E$1:$E$92</v>
      </c>
      <c r="D3923" s="159" t="str">
        <f t="shared" si="310"/>
        <v>April!$F$1:$F$92</v>
      </c>
      <c r="E3923" t="s">
        <v>8</v>
      </c>
      <c r="F3923" t="s">
        <v>123</v>
      </c>
      <c r="G3923" t="s">
        <v>142</v>
      </c>
      <c r="H3923" t="s">
        <v>19</v>
      </c>
      <c r="I3923" t="e">
        <f t="shared" ca="1" si="311"/>
        <v>#REF!</v>
      </c>
      <c r="J3923" t="str">
        <f>VLOOKUP($G3923,DefinitionArrays!$I$6:$J$12,2,FALSE)</f>
        <v>Workweek</v>
      </c>
    </row>
    <row r="3924" spans="1:10">
      <c r="A3924" s="159" t="str">
        <f t="shared" si="307"/>
        <v>$E$1:$E$92</v>
      </c>
      <c r="B3924" s="159" t="str">
        <f t="shared" si="308"/>
        <v>$F$1:$F$92</v>
      </c>
      <c r="C3924" s="159" t="str">
        <f t="shared" si="309"/>
        <v>April!$E$1:$E$92</v>
      </c>
      <c r="D3924" s="159" t="str">
        <f t="shared" si="310"/>
        <v>April!$F$1:$F$92</v>
      </c>
      <c r="E3924" t="s">
        <v>8</v>
      </c>
      <c r="F3924" t="s">
        <v>123</v>
      </c>
      <c r="G3924" t="s">
        <v>142</v>
      </c>
      <c r="H3924" t="s">
        <v>20</v>
      </c>
      <c r="I3924" t="e">
        <f t="shared" ca="1" si="311"/>
        <v>#REF!</v>
      </c>
      <c r="J3924" t="str">
        <f>VLOOKUP($G3924,DefinitionArrays!$I$6:$J$12,2,FALSE)</f>
        <v>Workweek</v>
      </c>
    </row>
    <row r="3925" spans="1:10">
      <c r="A3925" s="159" t="str">
        <f t="shared" si="307"/>
        <v>$E$1:$E$92</v>
      </c>
      <c r="B3925" s="159" t="str">
        <f t="shared" si="308"/>
        <v>$F$1:$F$92</v>
      </c>
      <c r="C3925" s="159" t="str">
        <f t="shared" si="309"/>
        <v>April!$E$1:$E$92</v>
      </c>
      <c r="D3925" s="159" t="str">
        <f t="shared" si="310"/>
        <v>April!$F$1:$F$92</v>
      </c>
      <c r="E3925" t="s">
        <v>8</v>
      </c>
      <c r="F3925" t="s">
        <v>123</v>
      </c>
      <c r="G3925" t="s">
        <v>142</v>
      </c>
      <c r="H3925" t="s">
        <v>21</v>
      </c>
      <c r="I3925" t="e">
        <f t="shared" ca="1" si="311"/>
        <v>#REF!</v>
      </c>
      <c r="J3925" t="str">
        <f>VLOOKUP($G3925,DefinitionArrays!$I$6:$J$12,2,FALSE)</f>
        <v>Workweek</v>
      </c>
    </row>
    <row r="3926" spans="1:10">
      <c r="A3926" s="159" t="str">
        <f t="shared" si="307"/>
        <v>$E$1:$E$92</v>
      </c>
      <c r="B3926" s="159" t="str">
        <f t="shared" si="308"/>
        <v>$F$1:$F$92</v>
      </c>
      <c r="C3926" s="159" t="str">
        <f t="shared" si="309"/>
        <v>April!$E$1:$E$92</v>
      </c>
      <c r="D3926" s="159" t="str">
        <f t="shared" si="310"/>
        <v>April!$F$1:$F$92</v>
      </c>
      <c r="E3926" t="s">
        <v>8</v>
      </c>
      <c r="F3926" t="s">
        <v>123</v>
      </c>
      <c r="G3926" t="s">
        <v>142</v>
      </c>
      <c r="H3926" t="s">
        <v>22</v>
      </c>
      <c r="I3926" t="e">
        <f t="shared" ca="1" si="311"/>
        <v>#REF!</v>
      </c>
      <c r="J3926" t="str">
        <f>VLOOKUP($G3926,DefinitionArrays!$I$6:$J$12,2,FALSE)</f>
        <v>Workweek</v>
      </c>
    </row>
    <row r="3927" spans="1:10">
      <c r="A3927" s="159" t="str">
        <f t="shared" si="307"/>
        <v>$E$1:$E$92</v>
      </c>
      <c r="B3927" s="159" t="str">
        <f t="shared" si="308"/>
        <v>$F$1:$F$92</v>
      </c>
      <c r="C3927" s="159" t="str">
        <f t="shared" si="309"/>
        <v>April!$E$1:$E$92</v>
      </c>
      <c r="D3927" s="159" t="str">
        <f t="shared" si="310"/>
        <v>April!$F$1:$F$92</v>
      </c>
      <c r="E3927" t="s">
        <v>8</v>
      </c>
      <c r="F3927" t="s">
        <v>123</v>
      </c>
      <c r="G3927" t="s">
        <v>142</v>
      </c>
      <c r="H3927" t="s">
        <v>23</v>
      </c>
      <c r="I3927" t="e">
        <f t="shared" ca="1" si="311"/>
        <v>#REF!</v>
      </c>
      <c r="J3927" t="str">
        <f>VLOOKUP($G3927,DefinitionArrays!$I$6:$J$12,2,FALSE)</f>
        <v>Workweek</v>
      </c>
    </row>
    <row r="3928" spans="1:10">
      <c r="A3928" s="159" t="str">
        <f t="shared" si="307"/>
        <v>$E$1:$E$92</v>
      </c>
      <c r="B3928" s="159" t="str">
        <f t="shared" si="308"/>
        <v>$F$1:$F$92</v>
      </c>
      <c r="C3928" s="159" t="str">
        <f t="shared" si="309"/>
        <v>April!$E$1:$E$92</v>
      </c>
      <c r="D3928" s="159" t="str">
        <f t="shared" si="310"/>
        <v>April!$F$1:$F$92</v>
      </c>
      <c r="E3928" t="s">
        <v>8</v>
      </c>
      <c r="F3928" t="s">
        <v>123</v>
      </c>
      <c r="G3928" t="s">
        <v>142</v>
      </c>
      <c r="H3928" t="s">
        <v>24</v>
      </c>
      <c r="I3928" t="e">
        <f t="shared" ca="1" si="311"/>
        <v>#REF!</v>
      </c>
      <c r="J3928" t="str">
        <f>VLOOKUP($G3928,DefinitionArrays!$I$6:$J$12,2,FALSE)</f>
        <v>Workweek</v>
      </c>
    </row>
    <row r="3929" spans="1:10">
      <c r="A3929" s="159" t="str">
        <f t="shared" si="307"/>
        <v>$E$1:$E$92</v>
      </c>
      <c r="B3929" s="159" t="str">
        <f t="shared" si="308"/>
        <v>$F$1:$F$92</v>
      </c>
      <c r="C3929" s="159" t="str">
        <f t="shared" si="309"/>
        <v>April!$E$1:$E$92</v>
      </c>
      <c r="D3929" s="159" t="str">
        <f t="shared" si="310"/>
        <v>April!$F$1:$F$92</v>
      </c>
      <c r="E3929" t="s">
        <v>8</v>
      </c>
      <c r="F3929" t="s">
        <v>123</v>
      </c>
      <c r="G3929" t="s">
        <v>142</v>
      </c>
      <c r="H3929" t="s">
        <v>179</v>
      </c>
      <c r="I3929" t="e">
        <f t="shared" ca="1" si="311"/>
        <v>#REF!</v>
      </c>
      <c r="J3929" t="str">
        <f>VLOOKUP($G3929,DefinitionArrays!$I$6:$J$12,2,FALSE)</f>
        <v>Workweek</v>
      </c>
    </row>
    <row r="3930" spans="1:10">
      <c r="A3930" s="159" t="str">
        <f t="shared" si="307"/>
        <v>$E$1:$E$92</v>
      </c>
      <c r="B3930" s="159" t="str">
        <f t="shared" si="308"/>
        <v>$F$1:$F$92</v>
      </c>
      <c r="C3930" s="159" t="str">
        <f t="shared" si="309"/>
        <v>April!$E$1:$E$92</v>
      </c>
      <c r="D3930" s="159" t="str">
        <f t="shared" si="310"/>
        <v>April!$F$1:$F$92</v>
      </c>
      <c r="E3930" t="s">
        <v>8</v>
      </c>
      <c r="F3930" t="s">
        <v>123</v>
      </c>
      <c r="G3930" t="s">
        <v>142</v>
      </c>
      <c r="H3930" t="s">
        <v>180</v>
      </c>
      <c r="I3930" t="e">
        <f t="shared" ca="1" si="311"/>
        <v>#REF!</v>
      </c>
      <c r="J3930" t="str">
        <f>VLOOKUP($G3930,DefinitionArrays!$I$6:$J$12,2,FALSE)</f>
        <v>Workweek</v>
      </c>
    </row>
    <row r="3931" spans="1:10">
      <c r="A3931" s="159" t="str">
        <f t="shared" si="307"/>
        <v>$E$1:$E$92</v>
      </c>
      <c r="B3931" s="159" t="str">
        <f t="shared" si="308"/>
        <v>$F$1:$F$92</v>
      </c>
      <c r="C3931" s="159" t="str">
        <f t="shared" si="309"/>
        <v>April!$E$1:$E$92</v>
      </c>
      <c r="D3931" s="159" t="str">
        <f t="shared" si="310"/>
        <v>April!$F$1:$F$92</v>
      </c>
      <c r="E3931" t="s">
        <v>8</v>
      </c>
      <c r="F3931" t="s">
        <v>123</v>
      </c>
      <c r="G3931" t="s">
        <v>142</v>
      </c>
      <c r="H3931" t="s">
        <v>44</v>
      </c>
      <c r="I3931" t="e">
        <f t="shared" ca="1" si="311"/>
        <v>#REF!</v>
      </c>
      <c r="J3931" t="str">
        <f>VLOOKUP($G3931,DefinitionArrays!$I$6:$J$12,2,FALSE)</f>
        <v>Workweek</v>
      </c>
    </row>
    <row r="3932" spans="1:10">
      <c r="A3932" s="159" t="str">
        <f t="shared" si="307"/>
        <v>$H$1:$H$92</v>
      </c>
      <c r="B3932" s="159" t="str">
        <f t="shared" si="308"/>
        <v>$I$1:$I$92</v>
      </c>
      <c r="C3932" s="159" t="str">
        <f t="shared" si="309"/>
        <v>April!$H$1:$H$92</v>
      </c>
      <c r="D3932" s="159" t="str">
        <f t="shared" si="310"/>
        <v>April!$I$1:$I$92</v>
      </c>
      <c r="E3932" t="s">
        <v>8</v>
      </c>
      <c r="F3932" t="s">
        <v>123</v>
      </c>
      <c r="G3932" t="s">
        <v>143</v>
      </c>
      <c r="H3932" t="s">
        <v>159</v>
      </c>
      <c r="I3932" t="e">
        <f t="shared" ca="1" si="311"/>
        <v>#REF!</v>
      </c>
      <c r="J3932" t="str">
        <f>VLOOKUP($G3932,DefinitionArrays!$I$6:$J$12,2,FALSE)</f>
        <v>Workweek</v>
      </c>
    </row>
    <row r="3933" spans="1:10">
      <c r="A3933" s="159" t="str">
        <f t="shared" si="307"/>
        <v>$H$1:$H$92</v>
      </c>
      <c r="B3933" s="159" t="str">
        <f t="shared" si="308"/>
        <v>$I$1:$I$92</v>
      </c>
      <c r="C3933" s="159" t="str">
        <f t="shared" si="309"/>
        <v>April!$H$1:$H$92</v>
      </c>
      <c r="D3933" s="159" t="str">
        <f t="shared" si="310"/>
        <v>April!$I$1:$I$92</v>
      </c>
      <c r="E3933" t="s">
        <v>8</v>
      </c>
      <c r="F3933" t="s">
        <v>123</v>
      </c>
      <c r="G3933" t="s">
        <v>143</v>
      </c>
      <c r="H3933" t="s">
        <v>18</v>
      </c>
      <c r="I3933" t="e">
        <f t="shared" ca="1" si="311"/>
        <v>#REF!</v>
      </c>
      <c r="J3933" t="str">
        <f>VLOOKUP($G3933,DefinitionArrays!$I$6:$J$12,2,FALSE)</f>
        <v>Workweek</v>
      </c>
    </row>
    <row r="3934" spans="1:10">
      <c r="A3934" s="159" t="str">
        <f t="shared" si="307"/>
        <v>$H$1:$H$92</v>
      </c>
      <c r="B3934" s="159" t="str">
        <f t="shared" si="308"/>
        <v>$I$1:$I$92</v>
      </c>
      <c r="C3934" s="159" t="str">
        <f t="shared" si="309"/>
        <v>April!$H$1:$H$92</v>
      </c>
      <c r="D3934" s="159" t="str">
        <f t="shared" si="310"/>
        <v>April!$I$1:$I$92</v>
      </c>
      <c r="E3934" t="s">
        <v>8</v>
      </c>
      <c r="F3934" t="s">
        <v>123</v>
      </c>
      <c r="G3934" t="s">
        <v>143</v>
      </c>
      <c r="H3934" t="s">
        <v>153</v>
      </c>
      <c r="I3934" t="e">
        <f t="shared" ca="1" si="311"/>
        <v>#REF!</v>
      </c>
      <c r="J3934" t="str">
        <f>VLOOKUP($G3934,DefinitionArrays!$I$6:$J$12,2,FALSE)</f>
        <v>Workweek</v>
      </c>
    </row>
    <row r="3935" spans="1:10">
      <c r="A3935" s="159" t="str">
        <f t="shared" si="307"/>
        <v>$H$1:$H$92</v>
      </c>
      <c r="B3935" s="159" t="str">
        <f t="shared" si="308"/>
        <v>$I$1:$I$92</v>
      </c>
      <c r="C3935" s="159" t="str">
        <f t="shared" si="309"/>
        <v>April!$H$1:$H$92</v>
      </c>
      <c r="D3935" s="159" t="str">
        <f t="shared" si="310"/>
        <v>April!$I$1:$I$92</v>
      </c>
      <c r="E3935" t="s">
        <v>8</v>
      </c>
      <c r="F3935" t="s">
        <v>123</v>
      </c>
      <c r="G3935" t="s">
        <v>143</v>
      </c>
      <c r="H3935" t="s">
        <v>19</v>
      </c>
      <c r="I3935" t="e">
        <f t="shared" ca="1" si="311"/>
        <v>#REF!</v>
      </c>
      <c r="J3935" t="str">
        <f>VLOOKUP($G3935,DefinitionArrays!$I$6:$J$12,2,FALSE)</f>
        <v>Workweek</v>
      </c>
    </row>
    <row r="3936" spans="1:10">
      <c r="A3936" s="159" t="str">
        <f t="shared" si="307"/>
        <v>$H$1:$H$92</v>
      </c>
      <c r="B3936" s="159" t="str">
        <f t="shared" si="308"/>
        <v>$I$1:$I$92</v>
      </c>
      <c r="C3936" s="159" t="str">
        <f t="shared" si="309"/>
        <v>April!$H$1:$H$92</v>
      </c>
      <c r="D3936" s="159" t="str">
        <f t="shared" si="310"/>
        <v>April!$I$1:$I$92</v>
      </c>
      <c r="E3936" t="s">
        <v>8</v>
      </c>
      <c r="F3936" t="s">
        <v>123</v>
      </c>
      <c r="G3936" t="s">
        <v>143</v>
      </c>
      <c r="H3936" t="s">
        <v>20</v>
      </c>
      <c r="I3936" t="e">
        <f t="shared" ca="1" si="311"/>
        <v>#REF!</v>
      </c>
      <c r="J3936" t="str">
        <f>VLOOKUP($G3936,DefinitionArrays!$I$6:$J$12,2,FALSE)</f>
        <v>Workweek</v>
      </c>
    </row>
    <row r="3937" spans="1:10">
      <c r="A3937" s="159" t="str">
        <f t="shared" si="307"/>
        <v>$H$1:$H$92</v>
      </c>
      <c r="B3937" s="159" t="str">
        <f t="shared" si="308"/>
        <v>$I$1:$I$92</v>
      </c>
      <c r="C3937" s="159" t="str">
        <f t="shared" si="309"/>
        <v>April!$H$1:$H$92</v>
      </c>
      <c r="D3937" s="159" t="str">
        <f t="shared" si="310"/>
        <v>April!$I$1:$I$92</v>
      </c>
      <c r="E3937" t="s">
        <v>8</v>
      </c>
      <c r="F3937" t="s">
        <v>123</v>
      </c>
      <c r="G3937" t="s">
        <v>143</v>
      </c>
      <c r="H3937" t="s">
        <v>21</v>
      </c>
      <c r="I3937" t="e">
        <f t="shared" ca="1" si="311"/>
        <v>#REF!</v>
      </c>
      <c r="J3937" t="str">
        <f>VLOOKUP($G3937,DefinitionArrays!$I$6:$J$12,2,FALSE)</f>
        <v>Workweek</v>
      </c>
    </row>
    <row r="3938" spans="1:10">
      <c r="A3938" s="159" t="str">
        <f t="shared" si="307"/>
        <v>$H$1:$H$92</v>
      </c>
      <c r="B3938" s="159" t="str">
        <f t="shared" si="308"/>
        <v>$I$1:$I$92</v>
      </c>
      <c r="C3938" s="159" t="str">
        <f t="shared" si="309"/>
        <v>April!$H$1:$H$92</v>
      </c>
      <c r="D3938" s="159" t="str">
        <f t="shared" si="310"/>
        <v>April!$I$1:$I$92</v>
      </c>
      <c r="E3938" t="s">
        <v>8</v>
      </c>
      <c r="F3938" t="s">
        <v>123</v>
      </c>
      <c r="G3938" t="s">
        <v>143</v>
      </c>
      <c r="H3938" t="s">
        <v>22</v>
      </c>
      <c r="I3938" t="e">
        <f t="shared" ca="1" si="311"/>
        <v>#REF!</v>
      </c>
      <c r="J3938" t="str">
        <f>VLOOKUP($G3938,DefinitionArrays!$I$6:$J$12,2,FALSE)</f>
        <v>Workweek</v>
      </c>
    </row>
    <row r="3939" spans="1:10">
      <c r="A3939" s="159" t="str">
        <f t="shared" si="307"/>
        <v>$H$1:$H$92</v>
      </c>
      <c r="B3939" s="159" t="str">
        <f t="shared" si="308"/>
        <v>$I$1:$I$92</v>
      </c>
      <c r="C3939" s="159" t="str">
        <f t="shared" si="309"/>
        <v>April!$H$1:$H$92</v>
      </c>
      <c r="D3939" s="159" t="str">
        <f t="shared" si="310"/>
        <v>April!$I$1:$I$92</v>
      </c>
      <c r="E3939" t="s">
        <v>8</v>
      </c>
      <c r="F3939" t="s">
        <v>123</v>
      </c>
      <c r="G3939" t="s">
        <v>143</v>
      </c>
      <c r="H3939" t="s">
        <v>23</v>
      </c>
      <c r="I3939" t="e">
        <f t="shared" ca="1" si="311"/>
        <v>#REF!</v>
      </c>
      <c r="J3939" t="str">
        <f>VLOOKUP($G3939,DefinitionArrays!$I$6:$J$12,2,FALSE)</f>
        <v>Workweek</v>
      </c>
    </row>
    <row r="3940" spans="1:10">
      <c r="A3940" s="159" t="str">
        <f t="shared" si="307"/>
        <v>$H$1:$H$92</v>
      </c>
      <c r="B3940" s="159" t="str">
        <f t="shared" si="308"/>
        <v>$I$1:$I$92</v>
      </c>
      <c r="C3940" s="159" t="str">
        <f t="shared" si="309"/>
        <v>April!$H$1:$H$92</v>
      </c>
      <c r="D3940" s="159" t="str">
        <f t="shared" si="310"/>
        <v>April!$I$1:$I$92</v>
      </c>
      <c r="E3940" t="s">
        <v>8</v>
      </c>
      <c r="F3940" t="s">
        <v>123</v>
      </c>
      <c r="G3940" t="s">
        <v>143</v>
      </c>
      <c r="H3940" t="s">
        <v>24</v>
      </c>
      <c r="I3940" t="e">
        <f t="shared" ca="1" si="311"/>
        <v>#REF!</v>
      </c>
      <c r="J3940" t="str">
        <f>VLOOKUP($G3940,DefinitionArrays!$I$6:$J$12,2,FALSE)</f>
        <v>Workweek</v>
      </c>
    </row>
    <row r="3941" spans="1:10">
      <c r="A3941" s="159" t="str">
        <f t="shared" si="307"/>
        <v>$H$1:$H$92</v>
      </c>
      <c r="B3941" s="159" t="str">
        <f t="shared" si="308"/>
        <v>$I$1:$I$92</v>
      </c>
      <c r="C3941" s="159" t="str">
        <f t="shared" si="309"/>
        <v>April!$H$1:$H$92</v>
      </c>
      <c r="D3941" s="159" t="str">
        <f t="shared" si="310"/>
        <v>April!$I$1:$I$92</v>
      </c>
      <c r="E3941" t="s">
        <v>8</v>
      </c>
      <c r="F3941" t="s">
        <v>123</v>
      </c>
      <c r="G3941" t="s">
        <v>143</v>
      </c>
      <c r="H3941" t="s">
        <v>179</v>
      </c>
      <c r="I3941" t="e">
        <f t="shared" ca="1" si="311"/>
        <v>#REF!</v>
      </c>
      <c r="J3941" t="str">
        <f>VLOOKUP($G3941,DefinitionArrays!$I$6:$J$12,2,FALSE)</f>
        <v>Workweek</v>
      </c>
    </row>
    <row r="3942" spans="1:10">
      <c r="A3942" s="159" t="str">
        <f t="shared" si="307"/>
        <v>$H$1:$H$92</v>
      </c>
      <c r="B3942" s="159" t="str">
        <f t="shared" si="308"/>
        <v>$I$1:$I$92</v>
      </c>
      <c r="C3942" s="159" t="str">
        <f t="shared" si="309"/>
        <v>April!$H$1:$H$92</v>
      </c>
      <c r="D3942" s="159" t="str">
        <f t="shared" si="310"/>
        <v>April!$I$1:$I$92</v>
      </c>
      <c r="E3942" t="s">
        <v>8</v>
      </c>
      <c r="F3942" t="s">
        <v>123</v>
      </c>
      <c r="G3942" t="s">
        <v>143</v>
      </c>
      <c r="H3942" t="s">
        <v>180</v>
      </c>
      <c r="I3942" t="e">
        <f t="shared" ca="1" si="311"/>
        <v>#REF!</v>
      </c>
      <c r="J3942" t="str">
        <f>VLOOKUP($G3942,DefinitionArrays!$I$6:$J$12,2,FALSE)</f>
        <v>Workweek</v>
      </c>
    </row>
    <row r="3943" spans="1:10">
      <c r="A3943" s="159" t="str">
        <f t="shared" si="307"/>
        <v>$H$1:$H$92</v>
      </c>
      <c r="B3943" s="159" t="str">
        <f t="shared" si="308"/>
        <v>$I$1:$I$92</v>
      </c>
      <c r="C3943" s="159" t="str">
        <f t="shared" si="309"/>
        <v>April!$H$1:$H$92</v>
      </c>
      <c r="D3943" s="159" t="str">
        <f t="shared" si="310"/>
        <v>April!$I$1:$I$92</v>
      </c>
      <c r="E3943" t="s">
        <v>8</v>
      </c>
      <c r="F3943" t="s">
        <v>123</v>
      </c>
      <c r="G3943" t="s">
        <v>143</v>
      </c>
      <c r="H3943" t="s">
        <v>44</v>
      </c>
      <c r="I3943" t="e">
        <f t="shared" ca="1" si="311"/>
        <v>#REF!</v>
      </c>
      <c r="J3943" t="str">
        <f>VLOOKUP($G3943,DefinitionArrays!$I$6:$J$12,2,FALSE)</f>
        <v>Workweek</v>
      </c>
    </row>
    <row r="3944" spans="1:10">
      <c r="A3944" s="159" t="str">
        <f t="shared" si="307"/>
        <v>$K$1:$K$92</v>
      </c>
      <c r="B3944" s="159" t="str">
        <f t="shared" si="308"/>
        <v>$L$1:$L$92</v>
      </c>
      <c r="C3944" s="159" t="str">
        <f t="shared" si="309"/>
        <v>April!$K$1:$K$92</v>
      </c>
      <c r="D3944" s="159" t="str">
        <f t="shared" si="310"/>
        <v>April!$L$1:$L$92</v>
      </c>
      <c r="E3944" t="s">
        <v>8</v>
      </c>
      <c r="F3944" t="s">
        <v>123</v>
      </c>
      <c r="G3944" t="s">
        <v>144</v>
      </c>
      <c r="H3944" t="s">
        <v>159</v>
      </c>
      <c r="I3944" t="e">
        <f t="shared" ca="1" si="311"/>
        <v>#REF!</v>
      </c>
      <c r="J3944" t="str">
        <f>VLOOKUP($G3944,DefinitionArrays!$I$6:$J$12,2,FALSE)</f>
        <v>Workweek</v>
      </c>
    </row>
    <row r="3945" spans="1:10">
      <c r="A3945" s="159" t="str">
        <f t="shared" si="307"/>
        <v>$K$1:$K$92</v>
      </c>
      <c r="B3945" s="159" t="str">
        <f t="shared" si="308"/>
        <v>$L$1:$L$92</v>
      </c>
      <c r="C3945" s="159" t="str">
        <f t="shared" si="309"/>
        <v>April!$K$1:$K$92</v>
      </c>
      <c r="D3945" s="159" t="str">
        <f t="shared" si="310"/>
        <v>April!$L$1:$L$92</v>
      </c>
      <c r="E3945" t="s">
        <v>8</v>
      </c>
      <c r="F3945" t="s">
        <v>123</v>
      </c>
      <c r="G3945" t="s">
        <v>144</v>
      </c>
      <c r="H3945" t="s">
        <v>18</v>
      </c>
      <c r="I3945" t="e">
        <f t="shared" ca="1" si="311"/>
        <v>#REF!</v>
      </c>
      <c r="J3945" t="str">
        <f>VLOOKUP($G3945,DefinitionArrays!$I$6:$J$12,2,FALSE)</f>
        <v>Workweek</v>
      </c>
    </row>
    <row r="3946" spans="1:10">
      <c r="A3946" s="159" t="str">
        <f t="shared" si="307"/>
        <v>$K$1:$K$92</v>
      </c>
      <c r="B3946" s="159" t="str">
        <f t="shared" si="308"/>
        <v>$L$1:$L$92</v>
      </c>
      <c r="C3946" s="159" t="str">
        <f t="shared" si="309"/>
        <v>April!$K$1:$K$92</v>
      </c>
      <c r="D3946" s="159" t="str">
        <f t="shared" si="310"/>
        <v>April!$L$1:$L$92</v>
      </c>
      <c r="E3946" t="s">
        <v>8</v>
      </c>
      <c r="F3946" t="s">
        <v>123</v>
      </c>
      <c r="G3946" t="s">
        <v>144</v>
      </c>
      <c r="H3946" t="s">
        <v>153</v>
      </c>
      <c r="I3946" t="e">
        <f t="shared" ca="1" si="311"/>
        <v>#REF!</v>
      </c>
      <c r="J3946" t="str">
        <f>VLOOKUP($G3946,DefinitionArrays!$I$6:$J$12,2,FALSE)</f>
        <v>Workweek</v>
      </c>
    </row>
    <row r="3947" spans="1:10">
      <c r="A3947" s="159" t="str">
        <f t="shared" si="307"/>
        <v>$K$1:$K$92</v>
      </c>
      <c r="B3947" s="159" t="str">
        <f t="shared" si="308"/>
        <v>$L$1:$L$92</v>
      </c>
      <c r="C3947" s="159" t="str">
        <f t="shared" si="309"/>
        <v>April!$K$1:$K$92</v>
      </c>
      <c r="D3947" s="159" t="str">
        <f t="shared" si="310"/>
        <v>April!$L$1:$L$92</v>
      </c>
      <c r="E3947" t="s">
        <v>8</v>
      </c>
      <c r="F3947" t="s">
        <v>123</v>
      </c>
      <c r="G3947" t="s">
        <v>144</v>
      </c>
      <c r="H3947" t="s">
        <v>19</v>
      </c>
      <c r="I3947" t="e">
        <f t="shared" ca="1" si="311"/>
        <v>#REF!</v>
      </c>
      <c r="J3947" t="str">
        <f>VLOOKUP($G3947,DefinitionArrays!$I$6:$J$12,2,FALSE)</f>
        <v>Workweek</v>
      </c>
    </row>
    <row r="3948" spans="1:10">
      <c r="A3948" s="159" t="str">
        <f t="shared" si="307"/>
        <v>$K$1:$K$92</v>
      </c>
      <c r="B3948" s="159" t="str">
        <f t="shared" si="308"/>
        <v>$L$1:$L$92</v>
      </c>
      <c r="C3948" s="159" t="str">
        <f t="shared" si="309"/>
        <v>April!$K$1:$K$92</v>
      </c>
      <c r="D3948" s="159" t="str">
        <f t="shared" si="310"/>
        <v>April!$L$1:$L$92</v>
      </c>
      <c r="E3948" t="s">
        <v>8</v>
      </c>
      <c r="F3948" t="s">
        <v>123</v>
      </c>
      <c r="G3948" t="s">
        <v>144</v>
      </c>
      <c r="H3948" t="s">
        <v>20</v>
      </c>
      <c r="I3948" t="e">
        <f t="shared" ca="1" si="311"/>
        <v>#REF!</v>
      </c>
      <c r="J3948" t="str">
        <f>VLOOKUP($G3948,DefinitionArrays!$I$6:$J$12,2,FALSE)</f>
        <v>Workweek</v>
      </c>
    </row>
    <row r="3949" spans="1:10">
      <c r="A3949" s="159" t="str">
        <f t="shared" si="307"/>
        <v>$K$1:$K$92</v>
      </c>
      <c r="B3949" s="159" t="str">
        <f t="shared" si="308"/>
        <v>$L$1:$L$92</v>
      </c>
      <c r="C3949" s="159" t="str">
        <f t="shared" si="309"/>
        <v>April!$K$1:$K$92</v>
      </c>
      <c r="D3949" s="159" t="str">
        <f t="shared" si="310"/>
        <v>April!$L$1:$L$92</v>
      </c>
      <c r="E3949" t="s">
        <v>8</v>
      </c>
      <c r="F3949" t="s">
        <v>123</v>
      </c>
      <c r="G3949" t="s">
        <v>144</v>
      </c>
      <c r="H3949" t="s">
        <v>21</v>
      </c>
      <c r="I3949" t="e">
        <f t="shared" ca="1" si="311"/>
        <v>#REF!</v>
      </c>
      <c r="J3949" t="str">
        <f>VLOOKUP($G3949,DefinitionArrays!$I$6:$J$12,2,FALSE)</f>
        <v>Workweek</v>
      </c>
    </row>
    <row r="3950" spans="1:10">
      <c r="A3950" s="159" t="str">
        <f t="shared" si="307"/>
        <v>$K$1:$K$92</v>
      </c>
      <c r="B3950" s="159" t="str">
        <f t="shared" si="308"/>
        <v>$L$1:$L$92</v>
      </c>
      <c r="C3950" s="159" t="str">
        <f t="shared" si="309"/>
        <v>April!$K$1:$K$92</v>
      </c>
      <c r="D3950" s="159" t="str">
        <f t="shared" si="310"/>
        <v>April!$L$1:$L$92</v>
      </c>
      <c r="E3950" t="s">
        <v>8</v>
      </c>
      <c r="F3950" t="s">
        <v>123</v>
      </c>
      <c r="G3950" t="s">
        <v>144</v>
      </c>
      <c r="H3950" t="s">
        <v>22</v>
      </c>
      <c r="I3950" t="e">
        <f t="shared" ca="1" si="311"/>
        <v>#REF!</v>
      </c>
      <c r="J3950" t="str">
        <f>VLOOKUP($G3950,DefinitionArrays!$I$6:$J$12,2,FALSE)</f>
        <v>Workweek</v>
      </c>
    </row>
    <row r="3951" spans="1:10">
      <c r="A3951" s="159" t="str">
        <f t="shared" si="307"/>
        <v>$K$1:$K$92</v>
      </c>
      <c r="B3951" s="159" t="str">
        <f t="shared" si="308"/>
        <v>$L$1:$L$92</v>
      </c>
      <c r="C3951" s="159" t="str">
        <f t="shared" si="309"/>
        <v>April!$K$1:$K$92</v>
      </c>
      <c r="D3951" s="159" t="str">
        <f t="shared" si="310"/>
        <v>April!$L$1:$L$92</v>
      </c>
      <c r="E3951" t="s">
        <v>8</v>
      </c>
      <c r="F3951" t="s">
        <v>123</v>
      </c>
      <c r="G3951" t="s">
        <v>144</v>
      </c>
      <c r="H3951" t="s">
        <v>23</v>
      </c>
      <c r="I3951" t="e">
        <f t="shared" ca="1" si="311"/>
        <v>#REF!</v>
      </c>
      <c r="J3951" t="str">
        <f>VLOOKUP($G3951,DefinitionArrays!$I$6:$J$12,2,FALSE)</f>
        <v>Workweek</v>
      </c>
    </row>
    <row r="3952" spans="1:10">
      <c r="A3952" s="159" t="str">
        <f t="shared" si="307"/>
        <v>$K$1:$K$92</v>
      </c>
      <c r="B3952" s="159" t="str">
        <f t="shared" si="308"/>
        <v>$L$1:$L$92</v>
      </c>
      <c r="C3952" s="159" t="str">
        <f t="shared" si="309"/>
        <v>April!$K$1:$K$92</v>
      </c>
      <c r="D3952" s="159" t="str">
        <f t="shared" si="310"/>
        <v>April!$L$1:$L$92</v>
      </c>
      <c r="E3952" t="s">
        <v>8</v>
      </c>
      <c r="F3952" t="s">
        <v>123</v>
      </c>
      <c r="G3952" t="s">
        <v>144</v>
      </c>
      <c r="H3952" t="s">
        <v>24</v>
      </c>
      <c r="I3952" t="e">
        <f t="shared" ca="1" si="311"/>
        <v>#REF!</v>
      </c>
      <c r="J3952" t="str">
        <f>VLOOKUP($G3952,DefinitionArrays!$I$6:$J$12,2,FALSE)</f>
        <v>Workweek</v>
      </c>
    </row>
    <row r="3953" spans="1:10">
      <c r="A3953" s="159" t="str">
        <f t="shared" si="307"/>
        <v>$K$1:$K$92</v>
      </c>
      <c r="B3953" s="159" t="str">
        <f t="shared" si="308"/>
        <v>$L$1:$L$92</v>
      </c>
      <c r="C3953" s="159" t="str">
        <f t="shared" si="309"/>
        <v>April!$K$1:$K$92</v>
      </c>
      <c r="D3953" s="159" t="str">
        <f t="shared" si="310"/>
        <v>April!$L$1:$L$92</v>
      </c>
      <c r="E3953" t="s">
        <v>8</v>
      </c>
      <c r="F3953" t="s">
        <v>123</v>
      </c>
      <c r="G3953" t="s">
        <v>144</v>
      </c>
      <c r="H3953" t="s">
        <v>179</v>
      </c>
      <c r="I3953" t="e">
        <f t="shared" ca="1" si="311"/>
        <v>#REF!</v>
      </c>
      <c r="J3953" t="str">
        <f>VLOOKUP($G3953,DefinitionArrays!$I$6:$J$12,2,FALSE)</f>
        <v>Workweek</v>
      </c>
    </row>
    <row r="3954" spans="1:10">
      <c r="A3954" s="159" t="str">
        <f t="shared" si="307"/>
        <v>$K$1:$K$92</v>
      </c>
      <c r="B3954" s="159" t="str">
        <f t="shared" si="308"/>
        <v>$L$1:$L$92</v>
      </c>
      <c r="C3954" s="159" t="str">
        <f t="shared" si="309"/>
        <v>April!$K$1:$K$92</v>
      </c>
      <c r="D3954" s="159" t="str">
        <f t="shared" si="310"/>
        <v>April!$L$1:$L$92</v>
      </c>
      <c r="E3954" t="s">
        <v>8</v>
      </c>
      <c r="F3954" t="s">
        <v>123</v>
      </c>
      <c r="G3954" t="s">
        <v>144</v>
      </c>
      <c r="H3954" t="s">
        <v>180</v>
      </c>
      <c r="I3954" t="e">
        <f t="shared" ca="1" si="311"/>
        <v>#REF!</v>
      </c>
      <c r="J3954" t="str">
        <f>VLOOKUP($G3954,DefinitionArrays!$I$6:$J$12,2,FALSE)</f>
        <v>Workweek</v>
      </c>
    </row>
    <row r="3955" spans="1:10">
      <c r="A3955" s="159" t="str">
        <f t="shared" si="307"/>
        <v>$K$1:$K$92</v>
      </c>
      <c r="B3955" s="159" t="str">
        <f t="shared" si="308"/>
        <v>$L$1:$L$92</v>
      </c>
      <c r="C3955" s="159" t="str">
        <f t="shared" si="309"/>
        <v>April!$K$1:$K$92</v>
      </c>
      <c r="D3955" s="159" t="str">
        <f t="shared" si="310"/>
        <v>April!$L$1:$L$92</v>
      </c>
      <c r="E3955" t="s">
        <v>8</v>
      </c>
      <c r="F3955" t="s">
        <v>123</v>
      </c>
      <c r="G3955" t="s">
        <v>144</v>
      </c>
      <c r="H3955" t="s">
        <v>44</v>
      </c>
      <c r="I3955" t="e">
        <f t="shared" ca="1" si="311"/>
        <v>#REF!</v>
      </c>
      <c r="J3955" t="str">
        <f>VLOOKUP($G3955,DefinitionArrays!$I$6:$J$12,2,FALSE)</f>
        <v>Workweek</v>
      </c>
    </row>
    <row r="3956" spans="1:10">
      <c r="A3956" s="159" t="str">
        <f t="shared" si="307"/>
        <v>$N$1:$N$92</v>
      </c>
      <c r="B3956" s="159" t="str">
        <f t="shared" si="308"/>
        <v>$O$1:$O$92</v>
      </c>
      <c r="C3956" s="159" t="str">
        <f t="shared" si="309"/>
        <v>April!$N$1:$N$92</v>
      </c>
      <c r="D3956" s="159" t="str">
        <f t="shared" si="310"/>
        <v>April!$O$1:$O$92</v>
      </c>
      <c r="E3956" t="s">
        <v>8</v>
      </c>
      <c r="F3956" t="s">
        <v>123</v>
      </c>
      <c r="G3956" t="s">
        <v>145</v>
      </c>
      <c r="H3956" t="s">
        <v>159</v>
      </c>
      <c r="I3956" t="e">
        <f t="shared" ca="1" si="311"/>
        <v>#REF!</v>
      </c>
      <c r="J3956" t="str">
        <f>VLOOKUP($G3956,DefinitionArrays!$I$6:$J$12,2,FALSE)</f>
        <v>Weekend</v>
      </c>
    </row>
    <row r="3957" spans="1:10">
      <c r="A3957" s="159" t="str">
        <f t="shared" si="307"/>
        <v>$N$1:$N$92</v>
      </c>
      <c r="B3957" s="159" t="str">
        <f t="shared" si="308"/>
        <v>$O$1:$O$92</v>
      </c>
      <c r="C3957" s="159" t="str">
        <f t="shared" si="309"/>
        <v>April!$N$1:$N$92</v>
      </c>
      <c r="D3957" s="159" t="str">
        <f t="shared" si="310"/>
        <v>April!$O$1:$O$92</v>
      </c>
      <c r="E3957" t="s">
        <v>8</v>
      </c>
      <c r="F3957" t="s">
        <v>123</v>
      </c>
      <c r="G3957" t="s">
        <v>145</v>
      </c>
      <c r="H3957" t="s">
        <v>18</v>
      </c>
      <c r="I3957" t="e">
        <f t="shared" ca="1" si="311"/>
        <v>#REF!</v>
      </c>
      <c r="J3957" t="str">
        <f>VLOOKUP($G3957,DefinitionArrays!$I$6:$J$12,2,FALSE)</f>
        <v>Weekend</v>
      </c>
    </row>
    <row r="3958" spans="1:10">
      <c r="A3958" s="159" t="str">
        <f t="shared" si="307"/>
        <v>$N$1:$N$92</v>
      </c>
      <c r="B3958" s="159" t="str">
        <f t="shared" si="308"/>
        <v>$O$1:$O$92</v>
      </c>
      <c r="C3958" s="159" t="str">
        <f t="shared" si="309"/>
        <v>April!$N$1:$N$92</v>
      </c>
      <c r="D3958" s="159" t="str">
        <f t="shared" si="310"/>
        <v>April!$O$1:$O$92</v>
      </c>
      <c r="E3958" t="s">
        <v>8</v>
      </c>
      <c r="F3958" t="s">
        <v>123</v>
      </c>
      <c r="G3958" t="s">
        <v>145</v>
      </c>
      <c r="H3958" t="s">
        <v>153</v>
      </c>
      <c r="I3958" t="e">
        <f t="shared" ca="1" si="311"/>
        <v>#REF!</v>
      </c>
      <c r="J3958" t="str">
        <f>VLOOKUP($G3958,DefinitionArrays!$I$6:$J$12,2,FALSE)</f>
        <v>Weekend</v>
      </c>
    </row>
    <row r="3959" spans="1:10">
      <c r="A3959" s="159" t="str">
        <f t="shared" si="307"/>
        <v>$N$1:$N$92</v>
      </c>
      <c r="B3959" s="159" t="str">
        <f t="shared" si="308"/>
        <v>$O$1:$O$92</v>
      </c>
      <c r="C3959" s="159" t="str">
        <f t="shared" si="309"/>
        <v>April!$N$1:$N$92</v>
      </c>
      <c r="D3959" s="159" t="str">
        <f t="shared" si="310"/>
        <v>April!$O$1:$O$92</v>
      </c>
      <c r="E3959" t="s">
        <v>8</v>
      </c>
      <c r="F3959" t="s">
        <v>123</v>
      </c>
      <c r="G3959" t="s">
        <v>145</v>
      </c>
      <c r="H3959" t="s">
        <v>19</v>
      </c>
      <c r="I3959" t="e">
        <f t="shared" ca="1" si="311"/>
        <v>#REF!</v>
      </c>
      <c r="J3959" t="str">
        <f>VLOOKUP($G3959,DefinitionArrays!$I$6:$J$12,2,FALSE)</f>
        <v>Weekend</v>
      </c>
    </row>
    <row r="3960" spans="1:10">
      <c r="A3960" s="159" t="str">
        <f t="shared" si="307"/>
        <v>$N$1:$N$92</v>
      </c>
      <c r="B3960" s="159" t="str">
        <f t="shared" si="308"/>
        <v>$O$1:$O$92</v>
      </c>
      <c r="C3960" s="159" t="str">
        <f t="shared" si="309"/>
        <v>April!$N$1:$N$92</v>
      </c>
      <c r="D3960" s="159" t="str">
        <f t="shared" si="310"/>
        <v>April!$O$1:$O$92</v>
      </c>
      <c r="E3960" t="s">
        <v>8</v>
      </c>
      <c r="F3960" t="s">
        <v>123</v>
      </c>
      <c r="G3960" t="s">
        <v>145</v>
      </c>
      <c r="H3960" t="s">
        <v>20</v>
      </c>
      <c r="I3960" t="e">
        <f t="shared" ca="1" si="311"/>
        <v>#REF!</v>
      </c>
      <c r="J3960" t="str">
        <f>VLOOKUP($G3960,DefinitionArrays!$I$6:$J$12,2,FALSE)</f>
        <v>Weekend</v>
      </c>
    </row>
    <row r="3961" spans="1:10">
      <c r="A3961" s="159" t="str">
        <f t="shared" si="307"/>
        <v>$N$1:$N$92</v>
      </c>
      <c r="B3961" s="159" t="str">
        <f t="shared" si="308"/>
        <v>$O$1:$O$92</v>
      </c>
      <c r="C3961" s="159" t="str">
        <f t="shared" si="309"/>
        <v>April!$N$1:$N$92</v>
      </c>
      <c r="D3961" s="159" t="str">
        <f t="shared" si="310"/>
        <v>April!$O$1:$O$92</v>
      </c>
      <c r="E3961" t="s">
        <v>8</v>
      </c>
      <c r="F3961" t="s">
        <v>123</v>
      </c>
      <c r="G3961" t="s">
        <v>145</v>
      </c>
      <c r="H3961" t="s">
        <v>21</v>
      </c>
      <c r="I3961" t="e">
        <f t="shared" ca="1" si="311"/>
        <v>#REF!</v>
      </c>
      <c r="J3961" t="str">
        <f>VLOOKUP($G3961,DefinitionArrays!$I$6:$J$12,2,FALSE)</f>
        <v>Weekend</v>
      </c>
    </row>
    <row r="3962" spans="1:10">
      <c r="A3962" s="159" t="str">
        <f t="shared" si="307"/>
        <v>$N$1:$N$92</v>
      </c>
      <c r="B3962" s="159" t="str">
        <f t="shared" si="308"/>
        <v>$O$1:$O$92</v>
      </c>
      <c r="C3962" s="159" t="str">
        <f t="shared" si="309"/>
        <v>April!$N$1:$N$92</v>
      </c>
      <c r="D3962" s="159" t="str">
        <f t="shared" si="310"/>
        <v>April!$O$1:$O$92</v>
      </c>
      <c r="E3962" t="s">
        <v>8</v>
      </c>
      <c r="F3962" t="s">
        <v>123</v>
      </c>
      <c r="G3962" t="s">
        <v>145</v>
      </c>
      <c r="H3962" t="s">
        <v>22</v>
      </c>
      <c r="I3962" t="e">
        <f t="shared" ca="1" si="311"/>
        <v>#REF!</v>
      </c>
      <c r="J3962" t="str">
        <f>VLOOKUP($G3962,DefinitionArrays!$I$6:$J$12,2,FALSE)</f>
        <v>Weekend</v>
      </c>
    </row>
    <row r="3963" spans="1:10">
      <c r="A3963" s="159" t="str">
        <f t="shared" si="307"/>
        <v>$N$1:$N$92</v>
      </c>
      <c r="B3963" s="159" t="str">
        <f t="shared" si="308"/>
        <v>$O$1:$O$92</v>
      </c>
      <c r="C3963" s="159" t="str">
        <f t="shared" si="309"/>
        <v>April!$N$1:$N$92</v>
      </c>
      <c r="D3963" s="159" t="str">
        <f t="shared" si="310"/>
        <v>April!$O$1:$O$92</v>
      </c>
      <c r="E3963" t="s">
        <v>8</v>
      </c>
      <c r="F3963" t="s">
        <v>123</v>
      </c>
      <c r="G3963" t="s">
        <v>145</v>
      </c>
      <c r="H3963" t="s">
        <v>23</v>
      </c>
      <c r="I3963" t="e">
        <f t="shared" ca="1" si="311"/>
        <v>#REF!</v>
      </c>
      <c r="J3963" t="str">
        <f>VLOOKUP($G3963,DefinitionArrays!$I$6:$J$12,2,FALSE)</f>
        <v>Weekend</v>
      </c>
    </row>
    <row r="3964" spans="1:10">
      <c r="A3964" s="159" t="str">
        <f t="shared" si="307"/>
        <v>$N$1:$N$92</v>
      </c>
      <c r="B3964" s="159" t="str">
        <f t="shared" si="308"/>
        <v>$O$1:$O$92</v>
      </c>
      <c r="C3964" s="159" t="str">
        <f t="shared" si="309"/>
        <v>April!$N$1:$N$92</v>
      </c>
      <c r="D3964" s="159" t="str">
        <f t="shared" si="310"/>
        <v>April!$O$1:$O$92</v>
      </c>
      <c r="E3964" t="s">
        <v>8</v>
      </c>
      <c r="F3964" t="s">
        <v>123</v>
      </c>
      <c r="G3964" t="s">
        <v>145</v>
      </c>
      <c r="H3964" t="s">
        <v>24</v>
      </c>
      <c r="I3964" t="e">
        <f t="shared" ca="1" si="311"/>
        <v>#REF!</v>
      </c>
      <c r="J3964" t="str">
        <f>VLOOKUP($G3964,DefinitionArrays!$I$6:$J$12,2,FALSE)</f>
        <v>Weekend</v>
      </c>
    </row>
    <row r="3965" spans="1:10">
      <c r="A3965" s="159" t="str">
        <f t="shared" si="307"/>
        <v>$N$1:$N$92</v>
      </c>
      <c r="B3965" s="159" t="str">
        <f t="shared" si="308"/>
        <v>$O$1:$O$92</v>
      </c>
      <c r="C3965" s="159" t="str">
        <f t="shared" si="309"/>
        <v>April!$N$1:$N$92</v>
      </c>
      <c r="D3965" s="159" t="str">
        <f t="shared" si="310"/>
        <v>April!$O$1:$O$92</v>
      </c>
      <c r="E3965" t="s">
        <v>8</v>
      </c>
      <c r="F3965" t="s">
        <v>123</v>
      </c>
      <c r="G3965" t="s">
        <v>145</v>
      </c>
      <c r="H3965" t="s">
        <v>179</v>
      </c>
      <c r="I3965" t="e">
        <f t="shared" ca="1" si="311"/>
        <v>#REF!</v>
      </c>
      <c r="J3965" t="str">
        <f>VLOOKUP($G3965,DefinitionArrays!$I$6:$J$12,2,FALSE)</f>
        <v>Weekend</v>
      </c>
    </row>
    <row r="3966" spans="1:10">
      <c r="A3966" s="159" t="str">
        <f t="shared" si="307"/>
        <v>$N$1:$N$92</v>
      </c>
      <c r="B3966" s="159" t="str">
        <f t="shared" si="308"/>
        <v>$O$1:$O$92</v>
      </c>
      <c r="C3966" s="159" t="str">
        <f t="shared" si="309"/>
        <v>April!$N$1:$N$92</v>
      </c>
      <c r="D3966" s="159" t="str">
        <f t="shared" si="310"/>
        <v>April!$O$1:$O$92</v>
      </c>
      <c r="E3966" t="s">
        <v>8</v>
      </c>
      <c r="F3966" t="s">
        <v>123</v>
      </c>
      <c r="G3966" t="s">
        <v>145</v>
      </c>
      <c r="H3966" t="s">
        <v>180</v>
      </c>
      <c r="I3966" t="e">
        <f t="shared" ca="1" si="311"/>
        <v>#REF!</v>
      </c>
      <c r="J3966" t="str">
        <f>VLOOKUP($G3966,DefinitionArrays!$I$6:$J$12,2,FALSE)</f>
        <v>Weekend</v>
      </c>
    </row>
    <row r="3967" spans="1:10">
      <c r="A3967" s="159" t="str">
        <f t="shared" si="307"/>
        <v>$N$1:$N$92</v>
      </c>
      <c r="B3967" s="159" t="str">
        <f t="shared" si="308"/>
        <v>$O$1:$O$92</v>
      </c>
      <c r="C3967" s="159" t="str">
        <f t="shared" si="309"/>
        <v>April!$N$1:$N$92</v>
      </c>
      <c r="D3967" s="159" t="str">
        <f t="shared" si="310"/>
        <v>April!$O$1:$O$92</v>
      </c>
      <c r="E3967" t="s">
        <v>8</v>
      </c>
      <c r="F3967" t="s">
        <v>123</v>
      </c>
      <c r="G3967" t="s">
        <v>145</v>
      </c>
      <c r="H3967" t="s">
        <v>44</v>
      </c>
      <c r="I3967" t="e">
        <f t="shared" ca="1" si="311"/>
        <v>#REF!</v>
      </c>
      <c r="J3967" t="str">
        <f>VLOOKUP($G3967,DefinitionArrays!$I$6:$J$12,2,FALSE)</f>
        <v>Weekend</v>
      </c>
    </row>
    <row r="3968" spans="1:10">
      <c r="A3968" s="159" t="str">
        <f t="shared" si="307"/>
        <v>$Q$1:$Q$92</v>
      </c>
      <c r="B3968" s="159" t="str">
        <f t="shared" si="308"/>
        <v>$R$1:$R$92</v>
      </c>
      <c r="C3968" s="159" t="str">
        <f t="shared" si="309"/>
        <v>April!$Q$1:$Q$92</v>
      </c>
      <c r="D3968" s="159" t="str">
        <f t="shared" si="310"/>
        <v>April!$R$1:$R$92</v>
      </c>
      <c r="E3968" t="s">
        <v>8</v>
      </c>
      <c r="F3968" t="s">
        <v>123</v>
      </c>
      <c r="G3968" t="s">
        <v>146</v>
      </c>
      <c r="H3968" t="s">
        <v>159</v>
      </c>
      <c r="I3968" t="e">
        <f t="shared" ca="1" si="311"/>
        <v>#REF!</v>
      </c>
      <c r="J3968" t="str">
        <f>VLOOKUP($G3968,DefinitionArrays!$I$6:$J$12,2,FALSE)</f>
        <v>Weekend</v>
      </c>
    </row>
    <row r="3969" spans="1:10">
      <c r="A3969" s="159" t="str">
        <f t="shared" si="307"/>
        <v>$T$1:$T$92</v>
      </c>
      <c r="B3969" s="159" t="str">
        <f t="shared" si="308"/>
        <v>$U$1:$U$92</v>
      </c>
      <c r="C3969" s="159" t="str">
        <f t="shared" si="309"/>
        <v>April!$T$1:$T$92</v>
      </c>
      <c r="D3969" s="159" t="str">
        <f t="shared" si="310"/>
        <v>April!$U$1:$U$92</v>
      </c>
      <c r="E3969" t="s">
        <v>8</v>
      </c>
      <c r="F3969" t="s">
        <v>123</v>
      </c>
      <c r="G3969" t="s">
        <v>141</v>
      </c>
      <c r="H3969" t="s">
        <v>159</v>
      </c>
      <c r="I3969" t="e">
        <f t="shared" ca="1" si="311"/>
        <v>#REF!</v>
      </c>
      <c r="J3969" t="str">
        <f>VLOOKUP($G3969,DefinitionArrays!$I$6:$J$12,2,FALSE)</f>
        <v>Weekend</v>
      </c>
    </row>
    <row r="3970" spans="1:10">
      <c r="A3970" s="159" t="str">
        <f t="shared" ref="A3970:A4033" si="312">VLOOKUP($G3970,Fx_Code,2,FALSE)</f>
        <v>$B$1:$B$92</v>
      </c>
      <c r="B3970" s="159" t="str">
        <f t="shared" ref="B3970:B4033" si="313">VLOOKUP($G3970,Fx_Code,3,FALSE)</f>
        <v>$C$1:$C$92</v>
      </c>
      <c r="C3970" s="159" t="str">
        <f t="shared" ref="C3970:C4033" si="314">CONCATENATE($F3970,$K$1,A3970)</f>
        <v>May!$B$1:$B$92</v>
      </c>
      <c r="D3970" s="159" t="str">
        <f t="shared" ref="D3970:D4033" si="315">CONCATENATE($F3970,$K$1,B3970)</f>
        <v>May!$C$1:$C$92</v>
      </c>
      <c r="E3970" t="s">
        <v>8</v>
      </c>
      <c r="F3970" t="s">
        <v>124</v>
      </c>
      <c r="G3970" t="s">
        <v>13</v>
      </c>
      <c r="H3970" t="s">
        <v>159</v>
      </c>
      <c r="I3970" t="e">
        <f ca="1">COUNTIFS(INDIRECT($C3970),$E3970,INDIRECT($D3970),$H3970)</f>
        <v>#REF!</v>
      </c>
      <c r="J3970" t="str">
        <f>VLOOKUP($G3970,DefinitionArrays!$I$6:$J$12,2,FALSE)</f>
        <v>Workweek</v>
      </c>
    </row>
    <row r="3971" spans="1:10">
      <c r="A3971" s="159" t="str">
        <f t="shared" si="312"/>
        <v>$B$1:$B$92</v>
      </c>
      <c r="B3971" s="159" t="str">
        <f t="shared" si="313"/>
        <v>$C$1:$C$92</v>
      </c>
      <c r="C3971" s="159" t="str">
        <f t="shared" si="314"/>
        <v>May!$B$1:$B$92</v>
      </c>
      <c r="D3971" s="159" t="str">
        <f t="shared" si="315"/>
        <v>May!$C$1:$C$92</v>
      </c>
      <c r="E3971" t="s">
        <v>8</v>
      </c>
      <c r="F3971" t="s">
        <v>124</v>
      </c>
      <c r="G3971" t="s">
        <v>13</v>
      </c>
      <c r="H3971" t="s">
        <v>18</v>
      </c>
      <c r="I3971" t="e">
        <f t="shared" ref="I3971:I4031" ca="1" si="316">COUNTIFS(INDIRECT($C3971),$E3971,INDIRECT($D3971),$H3971)</f>
        <v>#REF!</v>
      </c>
      <c r="J3971" t="str">
        <f>VLOOKUP($G3971,DefinitionArrays!$I$6:$J$12,2,FALSE)</f>
        <v>Workweek</v>
      </c>
    </row>
    <row r="3972" spans="1:10">
      <c r="A3972" s="159" t="str">
        <f t="shared" si="312"/>
        <v>$B$1:$B$92</v>
      </c>
      <c r="B3972" s="159" t="str">
        <f t="shared" si="313"/>
        <v>$C$1:$C$92</v>
      </c>
      <c r="C3972" s="159" t="str">
        <f t="shared" si="314"/>
        <v>May!$B$1:$B$92</v>
      </c>
      <c r="D3972" s="159" t="str">
        <f t="shared" si="315"/>
        <v>May!$C$1:$C$92</v>
      </c>
      <c r="E3972" t="s">
        <v>8</v>
      </c>
      <c r="F3972" t="s">
        <v>124</v>
      </c>
      <c r="G3972" t="s">
        <v>13</v>
      </c>
      <c r="H3972" t="s">
        <v>153</v>
      </c>
      <c r="I3972" t="e">
        <f t="shared" ca="1" si="316"/>
        <v>#REF!</v>
      </c>
      <c r="J3972" t="str">
        <f>VLOOKUP($G3972,DefinitionArrays!$I$6:$J$12,2,FALSE)</f>
        <v>Workweek</v>
      </c>
    </row>
    <row r="3973" spans="1:10">
      <c r="A3973" s="159" t="str">
        <f t="shared" si="312"/>
        <v>$B$1:$B$92</v>
      </c>
      <c r="B3973" s="159" t="str">
        <f t="shared" si="313"/>
        <v>$C$1:$C$92</v>
      </c>
      <c r="C3973" s="159" t="str">
        <f t="shared" si="314"/>
        <v>May!$B$1:$B$92</v>
      </c>
      <c r="D3973" s="159" t="str">
        <f t="shared" si="315"/>
        <v>May!$C$1:$C$92</v>
      </c>
      <c r="E3973" t="s">
        <v>8</v>
      </c>
      <c r="F3973" t="s">
        <v>124</v>
      </c>
      <c r="G3973" t="s">
        <v>13</v>
      </c>
      <c r="H3973" t="s">
        <v>19</v>
      </c>
      <c r="I3973" t="e">
        <f t="shared" ca="1" si="316"/>
        <v>#REF!</v>
      </c>
      <c r="J3973" t="str">
        <f>VLOOKUP($G3973,DefinitionArrays!$I$6:$J$12,2,FALSE)</f>
        <v>Workweek</v>
      </c>
    </row>
    <row r="3974" spans="1:10">
      <c r="A3974" s="159" t="str">
        <f t="shared" si="312"/>
        <v>$B$1:$B$92</v>
      </c>
      <c r="B3974" s="159" t="str">
        <f t="shared" si="313"/>
        <v>$C$1:$C$92</v>
      </c>
      <c r="C3974" s="159" t="str">
        <f t="shared" si="314"/>
        <v>May!$B$1:$B$92</v>
      </c>
      <c r="D3974" s="159" t="str">
        <f t="shared" si="315"/>
        <v>May!$C$1:$C$92</v>
      </c>
      <c r="E3974" t="s">
        <v>8</v>
      </c>
      <c r="F3974" t="s">
        <v>124</v>
      </c>
      <c r="G3974" t="s">
        <v>13</v>
      </c>
      <c r="H3974" t="s">
        <v>20</v>
      </c>
      <c r="I3974" t="e">
        <f t="shared" ca="1" si="316"/>
        <v>#REF!</v>
      </c>
      <c r="J3974" t="str">
        <f>VLOOKUP($G3974,DefinitionArrays!$I$6:$J$12,2,FALSE)</f>
        <v>Workweek</v>
      </c>
    </row>
    <row r="3975" spans="1:10">
      <c r="A3975" s="159" t="str">
        <f t="shared" si="312"/>
        <v>$B$1:$B$92</v>
      </c>
      <c r="B3975" s="159" t="str">
        <f t="shared" si="313"/>
        <v>$C$1:$C$92</v>
      </c>
      <c r="C3975" s="159" t="str">
        <f t="shared" si="314"/>
        <v>May!$B$1:$B$92</v>
      </c>
      <c r="D3975" s="159" t="str">
        <f t="shared" si="315"/>
        <v>May!$C$1:$C$92</v>
      </c>
      <c r="E3975" t="s">
        <v>8</v>
      </c>
      <c r="F3975" t="s">
        <v>124</v>
      </c>
      <c r="G3975" t="s">
        <v>13</v>
      </c>
      <c r="H3975" t="s">
        <v>21</v>
      </c>
      <c r="I3975" t="e">
        <f t="shared" ca="1" si="316"/>
        <v>#REF!</v>
      </c>
      <c r="J3975" t="str">
        <f>VLOOKUP($G3975,DefinitionArrays!$I$6:$J$12,2,FALSE)</f>
        <v>Workweek</v>
      </c>
    </row>
    <row r="3976" spans="1:10">
      <c r="A3976" s="159" t="str">
        <f t="shared" si="312"/>
        <v>$B$1:$B$92</v>
      </c>
      <c r="B3976" s="159" t="str">
        <f t="shared" si="313"/>
        <v>$C$1:$C$92</v>
      </c>
      <c r="C3976" s="159" t="str">
        <f t="shared" si="314"/>
        <v>May!$B$1:$B$92</v>
      </c>
      <c r="D3976" s="159" t="str">
        <f t="shared" si="315"/>
        <v>May!$C$1:$C$92</v>
      </c>
      <c r="E3976" t="s">
        <v>8</v>
      </c>
      <c r="F3976" t="s">
        <v>124</v>
      </c>
      <c r="G3976" t="s">
        <v>13</v>
      </c>
      <c r="H3976" t="s">
        <v>22</v>
      </c>
      <c r="I3976" t="e">
        <f t="shared" ca="1" si="316"/>
        <v>#REF!</v>
      </c>
      <c r="J3976" t="str">
        <f>VLOOKUP($G3976,DefinitionArrays!$I$6:$J$12,2,FALSE)</f>
        <v>Workweek</v>
      </c>
    </row>
    <row r="3977" spans="1:10">
      <c r="A3977" s="159" t="str">
        <f t="shared" si="312"/>
        <v>$B$1:$B$92</v>
      </c>
      <c r="B3977" s="159" t="str">
        <f t="shared" si="313"/>
        <v>$C$1:$C$92</v>
      </c>
      <c r="C3977" s="159" t="str">
        <f t="shared" si="314"/>
        <v>May!$B$1:$B$92</v>
      </c>
      <c r="D3977" s="159" t="str">
        <f t="shared" si="315"/>
        <v>May!$C$1:$C$92</v>
      </c>
      <c r="E3977" t="s">
        <v>8</v>
      </c>
      <c r="F3977" t="s">
        <v>124</v>
      </c>
      <c r="G3977" t="s">
        <v>13</v>
      </c>
      <c r="H3977" t="s">
        <v>23</v>
      </c>
      <c r="I3977" t="e">
        <f t="shared" ca="1" si="316"/>
        <v>#REF!</v>
      </c>
      <c r="J3977" t="str">
        <f>VLOOKUP($G3977,DefinitionArrays!$I$6:$J$12,2,FALSE)</f>
        <v>Workweek</v>
      </c>
    </row>
    <row r="3978" spans="1:10">
      <c r="A3978" s="159" t="str">
        <f t="shared" si="312"/>
        <v>$B$1:$B$92</v>
      </c>
      <c r="B3978" s="159" t="str">
        <f t="shared" si="313"/>
        <v>$C$1:$C$92</v>
      </c>
      <c r="C3978" s="159" t="str">
        <f t="shared" si="314"/>
        <v>May!$B$1:$B$92</v>
      </c>
      <c r="D3978" s="159" t="str">
        <f t="shared" si="315"/>
        <v>May!$C$1:$C$92</v>
      </c>
      <c r="E3978" t="s">
        <v>8</v>
      </c>
      <c r="F3978" t="s">
        <v>124</v>
      </c>
      <c r="G3978" t="s">
        <v>13</v>
      </c>
      <c r="H3978" t="s">
        <v>24</v>
      </c>
      <c r="I3978" t="e">
        <f t="shared" ca="1" si="316"/>
        <v>#REF!</v>
      </c>
      <c r="J3978" t="str">
        <f>VLOOKUP($G3978,DefinitionArrays!$I$6:$J$12,2,FALSE)</f>
        <v>Workweek</v>
      </c>
    </row>
    <row r="3979" spans="1:10">
      <c r="A3979" s="159" t="str">
        <f t="shared" si="312"/>
        <v>$B$1:$B$92</v>
      </c>
      <c r="B3979" s="159" t="str">
        <f t="shared" si="313"/>
        <v>$C$1:$C$92</v>
      </c>
      <c r="C3979" s="159" t="str">
        <f t="shared" si="314"/>
        <v>May!$B$1:$B$92</v>
      </c>
      <c r="D3979" s="159" t="str">
        <f t="shared" si="315"/>
        <v>May!$C$1:$C$92</v>
      </c>
      <c r="E3979" t="s">
        <v>8</v>
      </c>
      <c r="F3979" t="s">
        <v>124</v>
      </c>
      <c r="G3979" t="s">
        <v>13</v>
      </c>
      <c r="H3979" t="s">
        <v>179</v>
      </c>
      <c r="I3979" t="e">
        <f t="shared" ca="1" si="316"/>
        <v>#REF!</v>
      </c>
      <c r="J3979" t="str">
        <f>VLOOKUP($G3979,DefinitionArrays!$I$6:$J$12,2,FALSE)</f>
        <v>Workweek</v>
      </c>
    </row>
    <row r="3980" spans="1:10">
      <c r="A3980" s="159" t="str">
        <f t="shared" si="312"/>
        <v>$B$1:$B$92</v>
      </c>
      <c r="B3980" s="159" t="str">
        <f t="shared" si="313"/>
        <v>$C$1:$C$92</v>
      </c>
      <c r="C3980" s="159" t="str">
        <f t="shared" si="314"/>
        <v>May!$B$1:$B$92</v>
      </c>
      <c r="D3980" s="159" t="str">
        <f t="shared" si="315"/>
        <v>May!$C$1:$C$92</v>
      </c>
      <c r="E3980" t="s">
        <v>8</v>
      </c>
      <c r="F3980" t="s">
        <v>124</v>
      </c>
      <c r="G3980" t="s">
        <v>13</v>
      </c>
      <c r="H3980" t="s">
        <v>180</v>
      </c>
      <c r="I3980" t="e">
        <f t="shared" ca="1" si="316"/>
        <v>#REF!</v>
      </c>
      <c r="J3980" t="str">
        <f>VLOOKUP($G3980,DefinitionArrays!$I$6:$J$12,2,FALSE)</f>
        <v>Workweek</v>
      </c>
    </row>
    <row r="3981" spans="1:10">
      <c r="A3981" s="159" t="str">
        <f t="shared" si="312"/>
        <v>$B$1:$B$92</v>
      </c>
      <c r="B3981" s="159" t="str">
        <f t="shared" si="313"/>
        <v>$C$1:$C$92</v>
      </c>
      <c r="C3981" s="159" t="str">
        <f t="shared" si="314"/>
        <v>May!$B$1:$B$92</v>
      </c>
      <c r="D3981" s="159" t="str">
        <f t="shared" si="315"/>
        <v>May!$C$1:$C$92</v>
      </c>
      <c r="E3981" t="s">
        <v>8</v>
      </c>
      <c r="F3981" t="s">
        <v>124</v>
      </c>
      <c r="G3981" t="s">
        <v>13</v>
      </c>
      <c r="H3981" t="s">
        <v>44</v>
      </c>
      <c r="I3981" t="e">
        <f t="shared" ca="1" si="316"/>
        <v>#REF!</v>
      </c>
      <c r="J3981" t="str">
        <f>VLOOKUP($G3981,DefinitionArrays!$I$6:$J$12,2,FALSE)</f>
        <v>Workweek</v>
      </c>
    </row>
    <row r="3982" spans="1:10">
      <c r="A3982" s="159" t="str">
        <f t="shared" si="312"/>
        <v>$E$1:$E$92</v>
      </c>
      <c r="B3982" s="159" t="str">
        <f t="shared" si="313"/>
        <v>$F$1:$F$92</v>
      </c>
      <c r="C3982" s="159" t="str">
        <f t="shared" si="314"/>
        <v>May!$E$1:$E$92</v>
      </c>
      <c r="D3982" s="159" t="str">
        <f t="shared" si="315"/>
        <v>May!$F$1:$F$92</v>
      </c>
      <c r="E3982" t="s">
        <v>8</v>
      </c>
      <c r="F3982" t="s">
        <v>124</v>
      </c>
      <c r="G3982" t="s">
        <v>142</v>
      </c>
      <c r="H3982" t="s">
        <v>159</v>
      </c>
      <c r="I3982" t="e">
        <f t="shared" ca="1" si="316"/>
        <v>#REF!</v>
      </c>
      <c r="J3982" t="str">
        <f>VLOOKUP($G3982,DefinitionArrays!$I$6:$J$12,2,FALSE)</f>
        <v>Workweek</v>
      </c>
    </row>
    <row r="3983" spans="1:10">
      <c r="A3983" s="159" t="str">
        <f t="shared" si="312"/>
        <v>$E$1:$E$92</v>
      </c>
      <c r="B3983" s="159" t="str">
        <f t="shared" si="313"/>
        <v>$F$1:$F$92</v>
      </c>
      <c r="C3983" s="159" t="str">
        <f t="shared" si="314"/>
        <v>May!$E$1:$E$92</v>
      </c>
      <c r="D3983" s="159" t="str">
        <f t="shared" si="315"/>
        <v>May!$F$1:$F$92</v>
      </c>
      <c r="E3983" t="s">
        <v>8</v>
      </c>
      <c r="F3983" t="s">
        <v>124</v>
      </c>
      <c r="G3983" t="s">
        <v>142</v>
      </c>
      <c r="H3983" t="s">
        <v>18</v>
      </c>
      <c r="I3983" t="e">
        <f t="shared" ca="1" si="316"/>
        <v>#REF!</v>
      </c>
      <c r="J3983" t="str">
        <f>VLOOKUP($G3983,DefinitionArrays!$I$6:$J$12,2,FALSE)</f>
        <v>Workweek</v>
      </c>
    </row>
    <row r="3984" spans="1:10">
      <c r="A3984" s="159" t="str">
        <f t="shared" si="312"/>
        <v>$E$1:$E$92</v>
      </c>
      <c r="B3984" s="159" t="str">
        <f t="shared" si="313"/>
        <v>$F$1:$F$92</v>
      </c>
      <c r="C3984" s="159" t="str">
        <f t="shared" si="314"/>
        <v>May!$E$1:$E$92</v>
      </c>
      <c r="D3984" s="159" t="str">
        <f t="shared" si="315"/>
        <v>May!$F$1:$F$92</v>
      </c>
      <c r="E3984" t="s">
        <v>8</v>
      </c>
      <c r="F3984" t="s">
        <v>124</v>
      </c>
      <c r="G3984" t="s">
        <v>142</v>
      </c>
      <c r="H3984" t="s">
        <v>153</v>
      </c>
      <c r="I3984" t="e">
        <f t="shared" ca="1" si="316"/>
        <v>#REF!</v>
      </c>
      <c r="J3984" t="str">
        <f>VLOOKUP($G3984,DefinitionArrays!$I$6:$J$12,2,FALSE)</f>
        <v>Workweek</v>
      </c>
    </row>
    <row r="3985" spans="1:10">
      <c r="A3985" s="159" t="str">
        <f t="shared" si="312"/>
        <v>$E$1:$E$92</v>
      </c>
      <c r="B3985" s="159" t="str">
        <f t="shared" si="313"/>
        <v>$F$1:$F$92</v>
      </c>
      <c r="C3985" s="159" t="str">
        <f t="shared" si="314"/>
        <v>May!$E$1:$E$92</v>
      </c>
      <c r="D3985" s="159" t="str">
        <f t="shared" si="315"/>
        <v>May!$F$1:$F$92</v>
      </c>
      <c r="E3985" t="s">
        <v>8</v>
      </c>
      <c r="F3985" t="s">
        <v>124</v>
      </c>
      <c r="G3985" t="s">
        <v>142</v>
      </c>
      <c r="H3985" t="s">
        <v>19</v>
      </c>
      <c r="I3985" t="e">
        <f t="shared" ca="1" si="316"/>
        <v>#REF!</v>
      </c>
      <c r="J3985" t="str">
        <f>VLOOKUP($G3985,DefinitionArrays!$I$6:$J$12,2,FALSE)</f>
        <v>Workweek</v>
      </c>
    </row>
    <row r="3986" spans="1:10">
      <c r="A3986" s="159" t="str">
        <f t="shared" si="312"/>
        <v>$E$1:$E$92</v>
      </c>
      <c r="B3986" s="159" t="str">
        <f t="shared" si="313"/>
        <v>$F$1:$F$92</v>
      </c>
      <c r="C3986" s="159" t="str">
        <f t="shared" si="314"/>
        <v>May!$E$1:$E$92</v>
      </c>
      <c r="D3986" s="159" t="str">
        <f t="shared" si="315"/>
        <v>May!$F$1:$F$92</v>
      </c>
      <c r="E3986" t="s">
        <v>8</v>
      </c>
      <c r="F3986" t="s">
        <v>124</v>
      </c>
      <c r="G3986" t="s">
        <v>142</v>
      </c>
      <c r="H3986" t="s">
        <v>20</v>
      </c>
      <c r="I3986" t="e">
        <f t="shared" ca="1" si="316"/>
        <v>#REF!</v>
      </c>
      <c r="J3986" t="str">
        <f>VLOOKUP($G3986,DefinitionArrays!$I$6:$J$12,2,FALSE)</f>
        <v>Workweek</v>
      </c>
    </row>
    <row r="3987" spans="1:10">
      <c r="A3987" s="159" t="str">
        <f t="shared" si="312"/>
        <v>$E$1:$E$92</v>
      </c>
      <c r="B3987" s="159" t="str">
        <f t="shared" si="313"/>
        <v>$F$1:$F$92</v>
      </c>
      <c r="C3987" s="159" t="str">
        <f t="shared" si="314"/>
        <v>May!$E$1:$E$92</v>
      </c>
      <c r="D3987" s="159" t="str">
        <f t="shared" si="315"/>
        <v>May!$F$1:$F$92</v>
      </c>
      <c r="E3987" t="s">
        <v>8</v>
      </c>
      <c r="F3987" t="s">
        <v>124</v>
      </c>
      <c r="G3987" t="s">
        <v>142</v>
      </c>
      <c r="H3987" t="s">
        <v>21</v>
      </c>
      <c r="I3987" t="e">
        <f t="shared" ca="1" si="316"/>
        <v>#REF!</v>
      </c>
      <c r="J3987" t="str">
        <f>VLOOKUP($G3987,DefinitionArrays!$I$6:$J$12,2,FALSE)</f>
        <v>Workweek</v>
      </c>
    </row>
    <row r="3988" spans="1:10">
      <c r="A3988" s="159" t="str">
        <f t="shared" si="312"/>
        <v>$E$1:$E$92</v>
      </c>
      <c r="B3988" s="159" t="str">
        <f t="shared" si="313"/>
        <v>$F$1:$F$92</v>
      </c>
      <c r="C3988" s="159" t="str">
        <f t="shared" si="314"/>
        <v>May!$E$1:$E$92</v>
      </c>
      <c r="D3988" s="159" t="str">
        <f t="shared" si="315"/>
        <v>May!$F$1:$F$92</v>
      </c>
      <c r="E3988" t="s">
        <v>8</v>
      </c>
      <c r="F3988" t="s">
        <v>124</v>
      </c>
      <c r="G3988" t="s">
        <v>142</v>
      </c>
      <c r="H3988" t="s">
        <v>22</v>
      </c>
      <c r="I3988" t="e">
        <f t="shared" ca="1" si="316"/>
        <v>#REF!</v>
      </c>
      <c r="J3988" t="str">
        <f>VLOOKUP($G3988,DefinitionArrays!$I$6:$J$12,2,FALSE)</f>
        <v>Workweek</v>
      </c>
    </row>
    <row r="3989" spans="1:10">
      <c r="A3989" s="159" t="str">
        <f t="shared" si="312"/>
        <v>$E$1:$E$92</v>
      </c>
      <c r="B3989" s="159" t="str">
        <f t="shared" si="313"/>
        <v>$F$1:$F$92</v>
      </c>
      <c r="C3989" s="159" t="str">
        <f t="shared" si="314"/>
        <v>May!$E$1:$E$92</v>
      </c>
      <c r="D3989" s="159" t="str">
        <f t="shared" si="315"/>
        <v>May!$F$1:$F$92</v>
      </c>
      <c r="E3989" t="s">
        <v>8</v>
      </c>
      <c r="F3989" t="s">
        <v>124</v>
      </c>
      <c r="G3989" t="s">
        <v>142</v>
      </c>
      <c r="H3989" t="s">
        <v>23</v>
      </c>
      <c r="I3989" t="e">
        <f t="shared" ca="1" si="316"/>
        <v>#REF!</v>
      </c>
      <c r="J3989" t="str">
        <f>VLOOKUP($G3989,DefinitionArrays!$I$6:$J$12,2,FALSE)</f>
        <v>Workweek</v>
      </c>
    </row>
    <row r="3990" spans="1:10">
      <c r="A3990" s="159" t="str">
        <f t="shared" si="312"/>
        <v>$E$1:$E$92</v>
      </c>
      <c r="B3990" s="159" t="str">
        <f t="shared" si="313"/>
        <v>$F$1:$F$92</v>
      </c>
      <c r="C3990" s="159" t="str">
        <f t="shared" si="314"/>
        <v>May!$E$1:$E$92</v>
      </c>
      <c r="D3990" s="159" t="str">
        <f t="shared" si="315"/>
        <v>May!$F$1:$F$92</v>
      </c>
      <c r="E3990" t="s">
        <v>8</v>
      </c>
      <c r="F3990" t="s">
        <v>124</v>
      </c>
      <c r="G3990" t="s">
        <v>142</v>
      </c>
      <c r="H3990" t="s">
        <v>24</v>
      </c>
      <c r="I3990" t="e">
        <f t="shared" ca="1" si="316"/>
        <v>#REF!</v>
      </c>
      <c r="J3990" t="str">
        <f>VLOOKUP($G3990,DefinitionArrays!$I$6:$J$12,2,FALSE)</f>
        <v>Workweek</v>
      </c>
    </row>
    <row r="3991" spans="1:10">
      <c r="A3991" s="159" t="str">
        <f t="shared" si="312"/>
        <v>$E$1:$E$92</v>
      </c>
      <c r="B3991" s="159" t="str">
        <f t="shared" si="313"/>
        <v>$F$1:$F$92</v>
      </c>
      <c r="C3991" s="159" t="str">
        <f t="shared" si="314"/>
        <v>May!$E$1:$E$92</v>
      </c>
      <c r="D3991" s="159" t="str">
        <f t="shared" si="315"/>
        <v>May!$F$1:$F$92</v>
      </c>
      <c r="E3991" t="s">
        <v>8</v>
      </c>
      <c r="F3991" t="s">
        <v>124</v>
      </c>
      <c r="G3991" t="s">
        <v>142</v>
      </c>
      <c r="H3991" t="s">
        <v>179</v>
      </c>
      <c r="I3991" t="e">
        <f t="shared" ca="1" si="316"/>
        <v>#REF!</v>
      </c>
      <c r="J3991" t="str">
        <f>VLOOKUP($G3991,DefinitionArrays!$I$6:$J$12,2,FALSE)</f>
        <v>Workweek</v>
      </c>
    </row>
    <row r="3992" spans="1:10">
      <c r="A3992" s="159" t="str">
        <f t="shared" si="312"/>
        <v>$E$1:$E$92</v>
      </c>
      <c r="B3992" s="159" t="str">
        <f t="shared" si="313"/>
        <v>$F$1:$F$92</v>
      </c>
      <c r="C3992" s="159" t="str">
        <f t="shared" si="314"/>
        <v>May!$E$1:$E$92</v>
      </c>
      <c r="D3992" s="159" t="str">
        <f t="shared" si="315"/>
        <v>May!$F$1:$F$92</v>
      </c>
      <c r="E3992" t="s">
        <v>8</v>
      </c>
      <c r="F3992" t="s">
        <v>124</v>
      </c>
      <c r="G3992" t="s">
        <v>142</v>
      </c>
      <c r="H3992" t="s">
        <v>180</v>
      </c>
      <c r="I3992" t="e">
        <f t="shared" ca="1" si="316"/>
        <v>#REF!</v>
      </c>
      <c r="J3992" t="str">
        <f>VLOOKUP($G3992,DefinitionArrays!$I$6:$J$12,2,FALSE)</f>
        <v>Workweek</v>
      </c>
    </row>
    <row r="3993" spans="1:10">
      <c r="A3993" s="159" t="str">
        <f t="shared" si="312"/>
        <v>$E$1:$E$92</v>
      </c>
      <c r="B3993" s="159" t="str">
        <f t="shared" si="313"/>
        <v>$F$1:$F$92</v>
      </c>
      <c r="C3993" s="159" t="str">
        <f t="shared" si="314"/>
        <v>May!$E$1:$E$92</v>
      </c>
      <c r="D3993" s="159" t="str">
        <f t="shared" si="315"/>
        <v>May!$F$1:$F$92</v>
      </c>
      <c r="E3993" t="s">
        <v>8</v>
      </c>
      <c r="F3993" t="s">
        <v>124</v>
      </c>
      <c r="G3993" t="s">
        <v>142</v>
      </c>
      <c r="H3993" t="s">
        <v>44</v>
      </c>
      <c r="I3993" t="e">
        <f t="shared" ca="1" si="316"/>
        <v>#REF!</v>
      </c>
      <c r="J3993" t="str">
        <f>VLOOKUP($G3993,DefinitionArrays!$I$6:$J$12,2,FALSE)</f>
        <v>Workweek</v>
      </c>
    </row>
    <row r="3994" spans="1:10">
      <c r="A3994" s="159" t="str">
        <f t="shared" si="312"/>
        <v>$H$1:$H$92</v>
      </c>
      <c r="B3994" s="159" t="str">
        <f t="shared" si="313"/>
        <v>$I$1:$I$92</v>
      </c>
      <c r="C3994" s="159" t="str">
        <f t="shared" si="314"/>
        <v>May!$H$1:$H$92</v>
      </c>
      <c r="D3994" s="159" t="str">
        <f t="shared" si="315"/>
        <v>May!$I$1:$I$92</v>
      </c>
      <c r="E3994" t="s">
        <v>8</v>
      </c>
      <c r="F3994" t="s">
        <v>124</v>
      </c>
      <c r="G3994" t="s">
        <v>143</v>
      </c>
      <c r="H3994" t="s">
        <v>159</v>
      </c>
      <c r="I3994" t="e">
        <f t="shared" ca="1" si="316"/>
        <v>#REF!</v>
      </c>
      <c r="J3994" t="str">
        <f>VLOOKUP($G3994,DefinitionArrays!$I$6:$J$12,2,FALSE)</f>
        <v>Workweek</v>
      </c>
    </row>
    <row r="3995" spans="1:10">
      <c r="A3995" s="159" t="str">
        <f t="shared" si="312"/>
        <v>$H$1:$H$92</v>
      </c>
      <c r="B3995" s="159" t="str">
        <f t="shared" si="313"/>
        <v>$I$1:$I$92</v>
      </c>
      <c r="C3995" s="159" t="str">
        <f t="shared" si="314"/>
        <v>May!$H$1:$H$92</v>
      </c>
      <c r="D3995" s="159" t="str">
        <f t="shared" si="315"/>
        <v>May!$I$1:$I$92</v>
      </c>
      <c r="E3995" t="s">
        <v>8</v>
      </c>
      <c r="F3995" t="s">
        <v>124</v>
      </c>
      <c r="G3995" t="s">
        <v>143</v>
      </c>
      <c r="H3995" t="s">
        <v>18</v>
      </c>
      <c r="I3995" t="e">
        <f t="shared" ca="1" si="316"/>
        <v>#REF!</v>
      </c>
      <c r="J3995" t="str">
        <f>VLOOKUP($G3995,DefinitionArrays!$I$6:$J$12,2,FALSE)</f>
        <v>Workweek</v>
      </c>
    </row>
    <row r="3996" spans="1:10">
      <c r="A3996" s="159" t="str">
        <f t="shared" si="312"/>
        <v>$H$1:$H$92</v>
      </c>
      <c r="B3996" s="159" t="str">
        <f t="shared" si="313"/>
        <v>$I$1:$I$92</v>
      </c>
      <c r="C3996" s="159" t="str">
        <f t="shared" si="314"/>
        <v>May!$H$1:$H$92</v>
      </c>
      <c r="D3996" s="159" t="str">
        <f t="shared" si="315"/>
        <v>May!$I$1:$I$92</v>
      </c>
      <c r="E3996" t="s">
        <v>8</v>
      </c>
      <c r="F3996" t="s">
        <v>124</v>
      </c>
      <c r="G3996" t="s">
        <v>143</v>
      </c>
      <c r="H3996" t="s">
        <v>153</v>
      </c>
      <c r="I3996" t="e">
        <f t="shared" ca="1" si="316"/>
        <v>#REF!</v>
      </c>
      <c r="J3996" t="str">
        <f>VLOOKUP($G3996,DefinitionArrays!$I$6:$J$12,2,FALSE)</f>
        <v>Workweek</v>
      </c>
    </row>
    <row r="3997" spans="1:10">
      <c r="A3997" s="159" t="str">
        <f t="shared" si="312"/>
        <v>$H$1:$H$92</v>
      </c>
      <c r="B3997" s="159" t="str">
        <f t="shared" si="313"/>
        <v>$I$1:$I$92</v>
      </c>
      <c r="C3997" s="159" t="str">
        <f t="shared" si="314"/>
        <v>May!$H$1:$H$92</v>
      </c>
      <c r="D3997" s="159" t="str">
        <f t="shared" si="315"/>
        <v>May!$I$1:$I$92</v>
      </c>
      <c r="E3997" t="s">
        <v>8</v>
      </c>
      <c r="F3997" t="s">
        <v>124</v>
      </c>
      <c r="G3997" t="s">
        <v>143</v>
      </c>
      <c r="H3997" t="s">
        <v>19</v>
      </c>
      <c r="I3997" t="e">
        <f t="shared" ca="1" si="316"/>
        <v>#REF!</v>
      </c>
      <c r="J3997" t="str">
        <f>VLOOKUP($G3997,DefinitionArrays!$I$6:$J$12,2,FALSE)</f>
        <v>Workweek</v>
      </c>
    </row>
    <row r="3998" spans="1:10">
      <c r="A3998" s="159" t="str">
        <f t="shared" si="312"/>
        <v>$H$1:$H$92</v>
      </c>
      <c r="B3998" s="159" t="str">
        <f t="shared" si="313"/>
        <v>$I$1:$I$92</v>
      </c>
      <c r="C3998" s="159" t="str">
        <f t="shared" si="314"/>
        <v>May!$H$1:$H$92</v>
      </c>
      <c r="D3998" s="159" t="str">
        <f t="shared" si="315"/>
        <v>May!$I$1:$I$92</v>
      </c>
      <c r="E3998" t="s">
        <v>8</v>
      </c>
      <c r="F3998" t="s">
        <v>124</v>
      </c>
      <c r="G3998" t="s">
        <v>143</v>
      </c>
      <c r="H3998" t="s">
        <v>20</v>
      </c>
      <c r="I3998" t="e">
        <f t="shared" ca="1" si="316"/>
        <v>#REF!</v>
      </c>
      <c r="J3998" t="str">
        <f>VLOOKUP($G3998,DefinitionArrays!$I$6:$J$12,2,FALSE)</f>
        <v>Workweek</v>
      </c>
    </row>
    <row r="3999" spans="1:10">
      <c r="A3999" s="159" t="str">
        <f t="shared" si="312"/>
        <v>$H$1:$H$92</v>
      </c>
      <c r="B3999" s="159" t="str">
        <f t="shared" si="313"/>
        <v>$I$1:$I$92</v>
      </c>
      <c r="C3999" s="159" t="str">
        <f t="shared" si="314"/>
        <v>May!$H$1:$H$92</v>
      </c>
      <c r="D3999" s="159" t="str">
        <f t="shared" si="315"/>
        <v>May!$I$1:$I$92</v>
      </c>
      <c r="E3999" t="s">
        <v>8</v>
      </c>
      <c r="F3999" t="s">
        <v>124</v>
      </c>
      <c r="G3999" t="s">
        <v>143</v>
      </c>
      <c r="H3999" t="s">
        <v>21</v>
      </c>
      <c r="I3999" t="e">
        <f t="shared" ca="1" si="316"/>
        <v>#REF!</v>
      </c>
      <c r="J3999" t="str">
        <f>VLOOKUP($G3999,DefinitionArrays!$I$6:$J$12,2,FALSE)</f>
        <v>Workweek</v>
      </c>
    </row>
    <row r="4000" spans="1:10">
      <c r="A4000" s="159" t="str">
        <f t="shared" si="312"/>
        <v>$H$1:$H$92</v>
      </c>
      <c r="B4000" s="159" t="str">
        <f t="shared" si="313"/>
        <v>$I$1:$I$92</v>
      </c>
      <c r="C4000" s="159" t="str">
        <f t="shared" si="314"/>
        <v>May!$H$1:$H$92</v>
      </c>
      <c r="D4000" s="159" t="str">
        <f t="shared" si="315"/>
        <v>May!$I$1:$I$92</v>
      </c>
      <c r="E4000" t="s">
        <v>8</v>
      </c>
      <c r="F4000" t="s">
        <v>124</v>
      </c>
      <c r="G4000" t="s">
        <v>143</v>
      </c>
      <c r="H4000" t="s">
        <v>22</v>
      </c>
      <c r="I4000" t="e">
        <f t="shared" ca="1" si="316"/>
        <v>#REF!</v>
      </c>
      <c r="J4000" t="str">
        <f>VLOOKUP($G4000,DefinitionArrays!$I$6:$J$12,2,FALSE)</f>
        <v>Workweek</v>
      </c>
    </row>
    <row r="4001" spans="1:10">
      <c r="A4001" s="159" t="str">
        <f t="shared" si="312"/>
        <v>$H$1:$H$92</v>
      </c>
      <c r="B4001" s="159" t="str">
        <f t="shared" si="313"/>
        <v>$I$1:$I$92</v>
      </c>
      <c r="C4001" s="159" t="str">
        <f t="shared" si="314"/>
        <v>May!$H$1:$H$92</v>
      </c>
      <c r="D4001" s="159" t="str">
        <f t="shared" si="315"/>
        <v>May!$I$1:$I$92</v>
      </c>
      <c r="E4001" t="s">
        <v>8</v>
      </c>
      <c r="F4001" t="s">
        <v>124</v>
      </c>
      <c r="G4001" t="s">
        <v>143</v>
      </c>
      <c r="H4001" t="s">
        <v>23</v>
      </c>
      <c r="I4001" t="e">
        <f t="shared" ca="1" si="316"/>
        <v>#REF!</v>
      </c>
      <c r="J4001" t="str">
        <f>VLOOKUP($G4001,DefinitionArrays!$I$6:$J$12,2,FALSE)</f>
        <v>Workweek</v>
      </c>
    </row>
    <row r="4002" spans="1:10">
      <c r="A4002" s="159" t="str">
        <f t="shared" si="312"/>
        <v>$H$1:$H$92</v>
      </c>
      <c r="B4002" s="159" t="str">
        <f t="shared" si="313"/>
        <v>$I$1:$I$92</v>
      </c>
      <c r="C4002" s="159" t="str">
        <f t="shared" si="314"/>
        <v>May!$H$1:$H$92</v>
      </c>
      <c r="D4002" s="159" t="str">
        <f t="shared" si="315"/>
        <v>May!$I$1:$I$92</v>
      </c>
      <c r="E4002" t="s">
        <v>8</v>
      </c>
      <c r="F4002" t="s">
        <v>124</v>
      </c>
      <c r="G4002" t="s">
        <v>143</v>
      </c>
      <c r="H4002" t="s">
        <v>24</v>
      </c>
      <c r="I4002" t="e">
        <f t="shared" ca="1" si="316"/>
        <v>#REF!</v>
      </c>
      <c r="J4002" t="str">
        <f>VLOOKUP($G4002,DefinitionArrays!$I$6:$J$12,2,FALSE)</f>
        <v>Workweek</v>
      </c>
    </row>
    <row r="4003" spans="1:10">
      <c r="A4003" s="159" t="str">
        <f t="shared" si="312"/>
        <v>$H$1:$H$92</v>
      </c>
      <c r="B4003" s="159" t="str">
        <f t="shared" si="313"/>
        <v>$I$1:$I$92</v>
      </c>
      <c r="C4003" s="159" t="str">
        <f t="shared" si="314"/>
        <v>May!$H$1:$H$92</v>
      </c>
      <c r="D4003" s="159" t="str">
        <f t="shared" si="315"/>
        <v>May!$I$1:$I$92</v>
      </c>
      <c r="E4003" t="s">
        <v>8</v>
      </c>
      <c r="F4003" t="s">
        <v>124</v>
      </c>
      <c r="G4003" t="s">
        <v>143</v>
      </c>
      <c r="H4003" t="s">
        <v>179</v>
      </c>
      <c r="I4003" t="e">
        <f t="shared" ca="1" si="316"/>
        <v>#REF!</v>
      </c>
      <c r="J4003" t="str">
        <f>VLOOKUP($G4003,DefinitionArrays!$I$6:$J$12,2,FALSE)</f>
        <v>Workweek</v>
      </c>
    </row>
    <row r="4004" spans="1:10">
      <c r="A4004" s="159" t="str">
        <f t="shared" si="312"/>
        <v>$H$1:$H$92</v>
      </c>
      <c r="B4004" s="159" t="str">
        <f t="shared" si="313"/>
        <v>$I$1:$I$92</v>
      </c>
      <c r="C4004" s="159" t="str">
        <f t="shared" si="314"/>
        <v>May!$H$1:$H$92</v>
      </c>
      <c r="D4004" s="159" t="str">
        <f t="shared" si="315"/>
        <v>May!$I$1:$I$92</v>
      </c>
      <c r="E4004" t="s">
        <v>8</v>
      </c>
      <c r="F4004" t="s">
        <v>124</v>
      </c>
      <c r="G4004" t="s">
        <v>143</v>
      </c>
      <c r="H4004" t="s">
        <v>180</v>
      </c>
      <c r="I4004" t="e">
        <f t="shared" ca="1" si="316"/>
        <v>#REF!</v>
      </c>
      <c r="J4004" t="str">
        <f>VLOOKUP($G4004,DefinitionArrays!$I$6:$J$12,2,FALSE)</f>
        <v>Workweek</v>
      </c>
    </row>
    <row r="4005" spans="1:10">
      <c r="A4005" s="159" t="str">
        <f t="shared" si="312"/>
        <v>$H$1:$H$92</v>
      </c>
      <c r="B4005" s="159" t="str">
        <f t="shared" si="313"/>
        <v>$I$1:$I$92</v>
      </c>
      <c r="C4005" s="159" t="str">
        <f t="shared" si="314"/>
        <v>May!$H$1:$H$92</v>
      </c>
      <c r="D4005" s="159" t="str">
        <f t="shared" si="315"/>
        <v>May!$I$1:$I$92</v>
      </c>
      <c r="E4005" t="s">
        <v>8</v>
      </c>
      <c r="F4005" t="s">
        <v>124</v>
      </c>
      <c r="G4005" t="s">
        <v>143</v>
      </c>
      <c r="H4005" t="s">
        <v>44</v>
      </c>
      <c r="I4005" t="e">
        <f t="shared" ca="1" si="316"/>
        <v>#REF!</v>
      </c>
      <c r="J4005" t="str">
        <f>VLOOKUP($G4005,DefinitionArrays!$I$6:$J$12,2,FALSE)</f>
        <v>Workweek</v>
      </c>
    </row>
    <row r="4006" spans="1:10">
      <c r="A4006" s="159" t="str">
        <f t="shared" si="312"/>
        <v>$K$1:$K$92</v>
      </c>
      <c r="B4006" s="159" t="str">
        <f t="shared" si="313"/>
        <v>$L$1:$L$92</v>
      </c>
      <c r="C4006" s="159" t="str">
        <f t="shared" si="314"/>
        <v>May!$K$1:$K$92</v>
      </c>
      <c r="D4006" s="159" t="str">
        <f t="shared" si="315"/>
        <v>May!$L$1:$L$92</v>
      </c>
      <c r="E4006" t="s">
        <v>8</v>
      </c>
      <c r="F4006" t="s">
        <v>124</v>
      </c>
      <c r="G4006" t="s">
        <v>144</v>
      </c>
      <c r="H4006" t="s">
        <v>159</v>
      </c>
      <c r="I4006" t="e">
        <f t="shared" ca="1" si="316"/>
        <v>#REF!</v>
      </c>
      <c r="J4006" t="str">
        <f>VLOOKUP($G4006,DefinitionArrays!$I$6:$J$12,2,FALSE)</f>
        <v>Workweek</v>
      </c>
    </row>
    <row r="4007" spans="1:10">
      <c r="A4007" s="159" t="str">
        <f t="shared" si="312"/>
        <v>$K$1:$K$92</v>
      </c>
      <c r="B4007" s="159" t="str">
        <f t="shared" si="313"/>
        <v>$L$1:$L$92</v>
      </c>
      <c r="C4007" s="159" t="str">
        <f t="shared" si="314"/>
        <v>May!$K$1:$K$92</v>
      </c>
      <c r="D4007" s="159" t="str">
        <f t="shared" si="315"/>
        <v>May!$L$1:$L$92</v>
      </c>
      <c r="E4007" t="s">
        <v>8</v>
      </c>
      <c r="F4007" t="s">
        <v>124</v>
      </c>
      <c r="G4007" t="s">
        <v>144</v>
      </c>
      <c r="H4007" t="s">
        <v>18</v>
      </c>
      <c r="I4007" t="e">
        <f t="shared" ca="1" si="316"/>
        <v>#REF!</v>
      </c>
      <c r="J4007" t="str">
        <f>VLOOKUP($G4007,DefinitionArrays!$I$6:$J$12,2,FALSE)</f>
        <v>Workweek</v>
      </c>
    </row>
    <row r="4008" spans="1:10">
      <c r="A4008" s="159" t="str">
        <f t="shared" si="312"/>
        <v>$K$1:$K$92</v>
      </c>
      <c r="B4008" s="159" t="str">
        <f t="shared" si="313"/>
        <v>$L$1:$L$92</v>
      </c>
      <c r="C4008" s="159" t="str">
        <f t="shared" si="314"/>
        <v>May!$K$1:$K$92</v>
      </c>
      <c r="D4008" s="159" t="str">
        <f t="shared" si="315"/>
        <v>May!$L$1:$L$92</v>
      </c>
      <c r="E4008" t="s">
        <v>8</v>
      </c>
      <c r="F4008" t="s">
        <v>124</v>
      </c>
      <c r="G4008" t="s">
        <v>144</v>
      </c>
      <c r="H4008" t="s">
        <v>153</v>
      </c>
      <c r="I4008" t="e">
        <f t="shared" ca="1" si="316"/>
        <v>#REF!</v>
      </c>
      <c r="J4008" t="str">
        <f>VLOOKUP($G4008,DefinitionArrays!$I$6:$J$12,2,FALSE)</f>
        <v>Workweek</v>
      </c>
    </row>
    <row r="4009" spans="1:10">
      <c r="A4009" s="159" t="str">
        <f t="shared" si="312"/>
        <v>$K$1:$K$92</v>
      </c>
      <c r="B4009" s="159" t="str">
        <f t="shared" si="313"/>
        <v>$L$1:$L$92</v>
      </c>
      <c r="C4009" s="159" t="str">
        <f t="shared" si="314"/>
        <v>May!$K$1:$K$92</v>
      </c>
      <c r="D4009" s="159" t="str">
        <f t="shared" si="315"/>
        <v>May!$L$1:$L$92</v>
      </c>
      <c r="E4009" t="s">
        <v>8</v>
      </c>
      <c r="F4009" t="s">
        <v>124</v>
      </c>
      <c r="G4009" t="s">
        <v>144</v>
      </c>
      <c r="H4009" t="s">
        <v>19</v>
      </c>
      <c r="I4009" t="e">
        <f t="shared" ca="1" si="316"/>
        <v>#REF!</v>
      </c>
      <c r="J4009" t="str">
        <f>VLOOKUP($G4009,DefinitionArrays!$I$6:$J$12,2,FALSE)</f>
        <v>Workweek</v>
      </c>
    </row>
    <row r="4010" spans="1:10">
      <c r="A4010" s="159" t="str">
        <f t="shared" si="312"/>
        <v>$K$1:$K$92</v>
      </c>
      <c r="B4010" s="159" t="str">
        <f t="shared" si="313"/>
        <v>$L$1:$L$92</v>
      </c>
      <c r="C4010" s="159" t="str">
        <f t="shared" si="314"/>
        <v>May!$K$1:$K$92</v>
      </c>
      <c r="D4010" s="159" t="str">
        <f t="shared" si="315"/>
        <v>May!$L$1:$L$92</v>
      </c>
      <c r="E4010" t="s">
        <v>8</v>
      </c>
      <c r="F4010" t="s">
        <v>124</v>
      </c>
      <c r="G4010" t="s">
        <v>144</v>
      </c>
      <c r="H4010" t="s">
        <v>20</v>
      </c>
      <c r="I4010" t="e">
        <f t="shared" ca="1" si="316"/>
        <v>#REF!</v>
      </c>
      <c r="J4010" t="str">
        <f>VLOOKUP($G4010,DefinitionArrays!$I$6:$J$12,2,FALSE)</f>
        <v>Workweek</v>
      </c>
    </row>
    <row r="4011" spans="1:10">
      <c r="A4011" s="159" t="str">
        <f t="shared" si="312"/>
        <v>$K$1:$K$92</v>
      </c>
      <c r="B4011" s="159" t="str">
        <f t="shared" si="313"/>
        <v>$L$1:$L$92</v>
      </c>
      <c r="C4011" s="159" t="str">
        <f t="shared" si="314"/>
        <v>May!$K$1:$K$92</v>
      </c>
      <c r="D4011" s="159" t="str">
        <f t="shared" si="315"/>
        <v>May!$L$1:$L$92</v>
      </c>
      <c r="E4011" t="s">
        <v>8</v>
      </c>
      <c r="F4011" t="s">
        <v>124</v>
      </c>
      <c r="G4011" t="s">
        <v>144</v>
      </c>
      <c r="H4011" t="s">
        <v>21</v>
      </c>
      <c r="I4011" t="e">
        <f t="shared" ca="1" si="316"/>
        <v>#REF!</v>
      </c>
      <c r="J4011" t="str">
        <f>VLOOKUP($G4011,DefinitionArrays!$I$6:$J$12,2,FALSE)</f>
        <v>Workweek</v>
      </c>
    </row>
    <row r="4012" spans="1:10">
      <c r="A4012" s="159" t="str">
        <f t="shared" si="312"/>
        <v>$K$1:$K$92</v>
      </c>
      <c r="B4012" s="159" t="str">
        <f t="shared" si="313"/>
        <v>$L$1:$L$92</v>
      </c>
      <c r="C4012" s="159" t="str">
        <f t="shared" si="314"/>
        <v>May!$K$1:$K$92</v>
      </c>
      <c r="D4012" s="159" t="str">
        <f t="shared" si="315"/>
        <v>May!$L$1:$L$92</v>
      </c>
      <c r="E4012" t="s">
        <v>8</v>
      </c>
      <c r="F4012" t="s">
        <v>124</v>
      </c>
      <c r="G4012" t="s">
        <v>144</v>
      </c>
      <c r="H4012" t="s">
        <v>22</v>
      </c>
      <c r="I4012" t="e">
        <f t="shared" ca="1" si="316"/>
        <v>#REF!</v>
      </c>
      <c r="J4012" t="str">
        <f>VLOOKUP($G4012,DefinitionArrays!$I$6:$J$12,2,FALSE)</f>
        <v>Workweek</v>
      </c>
    </row>
    <row r="4013" spans="1:10">
      <c r="A4013" s="159" t="str">
        <f t="shared" si="312"/>
        <v>$K$1:$K$92</v>
      </c>
      <c r="B4013" s="159" t="str">
        <f t="shared" si="313"/>
        <v>$L$1:$L$92</v>
      </c>
      <c r="C4013" s="159" t="str">
        <f t="shared" si="314"/>
        <v>May!$K$1:$K$92</v>
      </c>
      <c r="D4013" s="159" t="str">
        <f t="shared" si="315"/>
        <v>May!$L$1:$L$92</v>
      </c>
      <c r="E4013" t="s">
        <v>8</v>
      </c>
      <c r="F4013" t="s">
        <v>124</v>
      </c>
      <c r="G4013" t="s">
        <v>144</v>
      </c>
      <c r="H4013" t="s">
        <v>23</v>
      </c>
      <c r="I4013" t="e">
        <f t="shared" ca="1" si="316"/>
        <v>#REF!</v>
      </c>
      <c r="J4013" t="str">
        <f>VLOOKUP($G4013,DefinitionArrays!$I$6:$J$12,2,FALSE)</f>
        <v>Workweek</v>
      </c>
    </row>
    <row r="4014" spans="1:10">
      <c r="A4014" s="159" t="str">
        <f t="shared" si="312"/>
        <v>$K$1:$K$92</v>
      </c>
      <c r="B4014" s="159" t="str">
        <f t="shared" si="313"/>
        <v>$L$1:$L$92</v>
      </c>
      <c r="C4014" s="159" t="str">
        <f t="shared" si="314"/>
        <v>May!$K$1:$K$92</v>
      </c>
      <c r="D4014" s="159" t="str">
        <f t="shared" si="315"/>
        <v>May!$L$1:$L$92</v>
      </c>
      <c r="E4014" t="s">
        <v>8</v>
      </c>
      <c r="F4014" t="s">
        <v>124</v>
      </c>
      <c r="G4014" t="s">
        <v>144</v>
      </c>
      <c r="H4014" t="s">
        <v>24</v>
      </c>
      <c r="I4014" t="e">
        <f t="shared" ca="1" si="316"/>
        <v>#REF!</v>
      </c>
      <c r="J4014" t="str">
        <f>VLOOKUP($G4014,DefinitionArrays!$I$6:$J$12,2,FALSE)</f>
        <v>Workweek</v>
      </c>
    </row>
    <row r="4015" spans="1:10">
      <c r="A4015" s="159" t="str">
        <f t="shared" si="312"/>
        <v>$K$1:$K$92</v>
      </c>
      <c r="B4015" s="159" t="str">
        <f t="shared" si="313"/>
        <v>$L$1:$L$92</v>
      </c>
      <c r="C4015" s="159" t="str">
        <f t="shared" si="314"/>
        <v>May!$K$1:$K$92</v>
      </c>
      <c r="D4015" s="159" t="str">
        <f t="shared" si="315"/>
        <v>May!$L$1:$L$92</v>
      </c>
      <c r="E4015" t="s">
        <v>8</v>
      </c>
      <c r="F4015" t="s">
        <v>124</v>
      </c>
      <c r="G4015" t="s">
        <v>144</v>
      </c>
      <c r="H4015" t="s">
        <v>179</v>
      </c>
      <c r="I4015" t="e">
        <f t="shared" ca="1" si="316"/>
        <v>#REF!</v>
      </c>
      <c r="J4015" t="str">
        <f>VLOOKUP($G4015,DefinitionArrays!$I$6:$J$12,2,FALSE)</f>
        <v>Workweek</v>
      </c>
    </row>
    <row r="4016" spans="1:10">
      <c r="A4016" s="159" t="str">
        <f t="shared" si="312"/>
        <v>$K$1:$K$92</v>
      </c>
      <c r="B4016" s="159" t="str">
        <f t="shared" si="313"/>
        <v>$L$1:$L$92</v>
      </c>
      <c r="C4016" s="159" t="str">
        <f t="shared" si="314"/>
        <v>May!$K$1:$K$92</v>
      </c>
      <c r="D4016" s="159" t="str">
        <f t="shared" si="315"/>
        <v>May!$L$1:$L$92</v>
      </c>
      <c r="E4016" t="s">
        <v>8</v>
      </c>
      <c r="F4016" t="s">
        <v>124</v>
      </c>
      <c r="G4016" t="s">
        <v>144</v>
      </c>
      <c r="H4016" t="s">
        <v>180</v>
      </c>
      <c r="I4016" t="e">
        <f t="shared" ca="1" si="316"/>
        <v>#REF!</v>
      </c>
      <c r="J4016" t="str">
        <f>VLOOKUP($G4016,DefinitionArrays!$I$6:$J$12,2,FALSE)</f>
        <v>Workweek</v>
      </c>
    </row>
    <row r="4017" spans="1:10">
      <c r="A4017" s="159" t="str">
        <f t="shared" si="312"/>
        <v>$K$1:$K$92</v>
      </c>
      <c r="B4017" s="159" t="str">
        <f t="shared" si="313"/>
        <v>$L$1:$L$92</v>
      </c>
      <c r="C4017" s="159" t="str">
        <f t="shared" si="314"/>
        <v>May!$K$1:$K$92</v>
      </c>
      <c r="D4017" s="159" t="str">
        <f t="shared" si="315"/>
        <v>May!$L$1:$L$92</v>
      </c>
      <c r="E4017" t="s">
        <v>8</v>
      </c>
      <c r="F4017" t="s">
        <v>124</v>
      </c>
      <c r="G4017" t="s">
        <v>144</v>
      </c>
      <c r="H4017" t="s">
        <v>44</v>
      </c>
      <c r="I4017" t="e">
        <f t="shared" ca="1" si="316"/>
        <v>#REF!</v>
      </c>
      <c r="J4017" t="str">
        <f>VLOOKUP($G4017,DefinitionArrays!$I$6:$J$12,2,FALSE)</f>
        <v>Workweek</v>
      </c>
    </row>
    <row r="4018" spans="1:10">
      <c r="A4018" s="159" t="str">
        <f t="shared" si="312"/>
        <v>$N$1:$N$92</v>
      </c>
      <c r="B4018" s="159" t="str">
        <f t="shared" si="313"/>
        <v>$O$1:$O$92</v>
      </c>
      <c r="C4018" s="159" t="str">
        <f t="shared" si="314"/>
        <v>May!$N$1:$N$92</v>
      </c>
      <c r="D4018" s="159" t="str">
        <f t="shared" si="315"/>
        <v>May!$O$1:$O$92</v>
      </c>
      <c r="E4018" t="s">
        <v>8</v>
      </c>
      <c r="F4018" t="s">
        <v>124</v>
      </c>
      <c r="G4018" t="s">
        <v>145</v>
      </c>
      <c r="H4018" t="s">
        <v>159</v>
      </c>
      <c r="I4018" t="e">
        <f t="shared" ca="1" si="316"/>
        <v>#REF!</v>
      </c>
      <c r="J4018" t="str">
        <f>VLOOKUP($G4018,DefinitionArrays!$I$6:$J$12,2,FALSE)</f>
        <v>Weekend</v>
      </c>
    </row>
    <row r="4019" spans="1:10">
      <c r="A4019" s="159" t="str">
        <f t="shared" si="312"/>
        <v>$N$1:$N$92</v>
      </c>
      <c r="B4019" s="159" t="str">
        <f t="shared" si="313"/>
        <v>$O$1:$O$92</v>
      </c>
      <c r="C4019" s="159" t="str">
        <f t="shared" si="314"/>
        <v>May!$N$1:$N$92</v>
      </c>
      <c r="D4019" s="159" t="str">
        <f t="shared" si="315"/>
        <v>May!$O$1:$O$92</v>
      </c>
      <c r="E4019" t="s">
        <v>8</v>
      </c>
      <c r="F4019" t="s">
        <v>124</v>
      </c>
      <c r="G4019" t="s">
        <v>145</v>
      </c>
      <c r="H4019" t="s">
        <v>18</v>
      </c>
      <c r="I4019" t="e">
        <f t="shared" ca="1" si="316"/>
        <v>#REF!</v>
      </c>
      <c r="J4019" t="str">
        <f>VLOOKUP($G4019,DefinitionArrays!$I$6:$J$12,2,FALSE)</f>
        <v>Weekend</v>
      </c>
    </row>
    <row r="4020" spans="1:10">
      <c r="A4020" s="159" t="str">
        <f t="shared" si="312"/>
        <v>$N$1:$N$92</v>
      </c>
      <c r="B4020" s="159" t="str">
        <f t="shared" si="313"/>
        <v>$O$1:$O$92</v>
      </c>
      <c r="C4020" s="159" t="str">
        <f t="shared" si="314"/>
        <v>May!$N$1:$N$92</v>
      </c>
      <c r="D4020" s="159" t="str">
        <f t="shared" si="315"/>
        <v>May!$O$1:$O$92</v>
      </c>
      <c r="E4020" t="s">
        <v>8</v>
      </c>
      <c r="F4020" t="s">
        <v>124</v>
      </c>
      <c r="G4020" t="s">
        <v>145</v>
      </c>
      <c r="H4020" t="s">
        <v>153</v>
      </c>
      <c r="I4020" t="e">
        <f t="shared" ca="1" si="316"/>
        <v>#REF!</v>
      </c>
      <c r="J4020" t="str">
        <f>VLOOKUP($G4020,DefinitionArrays!$I$6:$J$12,2,FALSE)</f>
        <v>Weekend</v>
      </c>
    </row>
    <row r="4021" spans="1:10">
      <c r="A4021" s="159" t="str">
        <f t="shared" si="312"/>
        <v>$N$1:$N$92</v>
      </c>
      <c r="B4021" s="159" t="str">
        <f t="shared" si="313"/>
        <v>$O$1:$O$92</v>
      </c>
      <c r="C4021" s="159" t="str">
        <f t="shared" si="314"/>
        <v>May!$N$1:$N$92</v>
      </c>
      <c r="D4021" s="159" t="str">
        <f t="shared" si="315"/>
        <v>May!$O$1:$O$92</v>
      </c>
      <c r="E4021" t="s">
        <v>8</v>
      </c>
      <c r="F4021" t="s">
        <v>124</v>
      </c>
      <c r="G4021" t="s">
        <v>145</v>
      </c>
      <c r="H4021" t="s">
        <v>19</v>
      </c>
      <c r="I4021" t="e">
        <f t="shared" ca="1" si="316"/>
        <v>#REF!</v>
      </c>
      <c r="J4021" t="str">
        <f>VLOOKUP($G4021,DefinitionArrays!$I$6:$J$12,2,FALSE)</f>
        <v>Weekend</v>
      </c>
    </row>
    <row r="4022" spans="1:10">
      <c r="A4022" s="159" t="str">
        <f t="shared" si="312"/>
        <v>$N$1:$N$92</v>
      </c>
      <c r="B4022" s="159" t="str">
        <f t="shared" si="313"/>
        <v>$O$1:$O$92</v>
      </c>
      <c r="C4022" s="159" t="str">
        <f t="shared" si="314"/>
        <v>May!$N$1:$N$92</v>
      </c>
      <c r="D4022" s="159" t="str">
        <f t="shared" si="315"/>
        <v>May!$O$1:$O$92</v>
      </c>
      <c r="E4022" t="s">
        <v>8</v>
      </c>
      <c r="F4022" t="s">
        <v>124</v>
      </c>
      <c r="G4022" t="s">
        <v>145</v>
      </c>
      <c r="H4022" t="s">
        <v>20</v>
      </c>
      <c r="I4022" t="e">
        <f t="shared" ca="1" si="316"/>
        <v>#REF!</v>
      </c>
      <c r="J4022" t="str">
        <f>VLOOKUP($G4022,DefinitionArrays!$I$6:$J$12,2,FALSE)</f>
        <v>Weekend</v>
      </c>
    </row>
    <row r="4023" spans="1:10">
      <c r="A4023" s="159" t="str">
        <f t="shared" si="312"/>
        <v>$N$1:$N$92</v>
      </c>
      <c r="B4023" s="159" t="str">
        <f t="shared" si="313"/>
        <v>$O$1:$O$92</v>
      </c>
      <c r="C4023" s="159" t="str">
        <f t="shared" si="314"/>
        <v>May!$N$1:$N$92</v>
      </c>
      <c r="D4023" s="159" t="str">
        <f t="shared" si="315"/>
        <v>May!$O$1:$O$92</v>
      </c>
      <c r="E4023" t="s">
        <v>8</v>
      </c>
      <c r="F4023" t="s">
        <v>124</v>
      </c>
      <c r="G4023" t="s">
        <v>145</v>
      </c>
      <c r="H4023" t="s">
        <v>21</v>
      </c>
      <c r="I4023" t="e">
        <f t="shared" ca="1" si="316"/>
        <v>#REF!</v>
      </c>
      <c r="J4023" t="str">
        <f>VLOOKUP($G4023,DefinitionArrays!$I$6:$J$12,2,FALSE)</f>
        <v>Weekend</v>
      </c>
    </row>
    <row r="4024" spans="1:10">
      <c r="A4024" s="159" t="str">
        <f t="shared" si="312"/>
        <v>$N$1:$N$92</v>
      </c>
      <c r="B4024" s="159" t="str">
        <f t="shared" si="313"/>
        <v>$O$1:$O$92</v>
      </c>
      <c r="C4024" s="159" t="str">
        <f t="shared" si="314"/>
        <v>May!$N$1:$N$92</v>
      </c>
      <c r="D4024" s="159" t="str">
        <f t="shared" si="315"/>
        <v>May!$O$1:$O$92</v>
      </c>
      <c r="E4024" t="s">
        <v>8</v>
      </c>
      <c r="F4024" t="s">
        <v>124</v>
      </c>
      <c r="G4024" t="s">
        <v>145</v>
      </c>
      <c r="H4024" t="s">
        <v>22</v>
      </c>
      <c r="I4024" t="e">
        <f t="shared" ca="1" si="316"/>
        <v>#REF!</v>
      </c>
      <c r="J4024" t="str">
        <f>VLOOKUP($G4024,DefinitionArrays!$I$6:$J$12,2,FALSE)</f>
        <v>Weekend</v>
      </c>
    </row>
    <row r="4025" spans="1:10">
      <c r="A4025" s="159" t="str">
        <f t="shared" si="312"/>
        <v>$N$1:$N$92</v>
      </c>
      <c r="B4025" s="159" t="str">
        <f t="shared" si="313"/>
        <v>$O$1:$O$92</v>
      </c>
      <c r="C4025" s="159" t="str">
        <f t="shared" si="314"/>
        <v>May!$N$1:$N$92</v>
      </c>
      <c r="D4025" s="159" t="str">
        <f t="shared" si="315"/>
        <v>May!$O$1:$O$92</v>
      </c>
      <c r="E4025" t="s">
        <v>8</v>
      </c>
      <c r="F4025" t="s">
        <v>124</v>
      </c>
      <c r="G4025" t="s">
        <v>145</v>
      </c>
      <c r="H4025" t="s">
        <v>23</v>
      </c>
      <c r="I4025" t="e">
        <f t="shared" ca="1" si="316"/>
        <v>#REF!</v>
      </c>
      <c r="J4025" t="str">
        <f>VLOOKUP($G4025,DefinitionArrays!$I$6:$J$12,2,FALSE)</f>
        <v>Weekend</v>
      </c>
    </row>
    <row r="4026" spans="1:10">
      <c r="A4026" s="159" t="str">
        <f t="shared" si="312"/>
        <v>$N$1:$N$92</v>
      </c>
      <c r="B4026" s="159" t="str">
        <f t="shared" si="313"/>
        <v>$O$1:$O$92</v>
      </c>
      <c r="C4026" s="159" t="str">
        <f t="shared" si="314"/>
        <v>May!$N$1:$N$92</v>
      </c>
      <c r="D4026" s="159" t="str">
        <f t="shared" si="315"/>
        <v>May!$O$1:$O$92</v>
      </c>
      <c r="E4026" t="s">
        <v>8</v>
      </c>
      <c r="F4026" t="s">
        <v>124</v>
      </c>
      <c r="G4026" t="s">
        <v>145</v>
      </c>
      <c r="H4026" t="s">
        <v>24</v>
      </c>
      <c r="I4026" t="e">
        <f t="shared" ca="1" si="316"/>
        <v>#REF!</v>
      </c>
      <c r="J4026" t="str">
        <f>VLOOKUP($G4026,DefinitionArrays!$I$6:$J$12,2,FALSE)</f>
        <v>Weekend</v>
      </c>
    </row>
    <row r="4027" spans="1:10">
      <c r="A4027" s="159" t="str">
        <f t="shared" si="312"/>
        <v>$N$1:$N$92</v>
      </c>
      <c r="B4027" s="159" t="str">
        <f t="shared" si="313"/>
        <v>$O$1:$O$92</v>
      </c>
      <c r="C4027" s="159" t="str">
        <f t="shared" si="314"/>
        <v>May!$N$1:$N$92</v>
      </c>
      <c r="D4027" s="159" t="str">
        <f t="shared" si="315"/>
        <v>May!$O$1:$O$92</v>
      </c>
      <c r="E4027" t="s">
        <v>8</v>
      </c>
      <c r="F4027" t="s">
        <v>124</v>
      </c>
      <c r="G4027" t="s">
        <v>145</v>
      </c>
      <c r="H4027" t="s">
        <v>179</v>
      </c>
      <c r="I4027" t="e">
        <f t="shared" ca="1" si="316"/>
        <v>#REF!</v>
      </c>
      <c r="J4027" t="str">
        <f>VLOOKUP($G4027,DefinitionArrays!$I$6:$J$12,2,FALSE)</f>
        <v>Weekend</v>
      </c>
    </row>
    <row r="4028" spans="1:10">
      <c r="A4028" s="159" t="str">
        <f t="shared" si="312"/>
        <v>$N$1:$N$92</v>
      </c>
      <c r="B4028" s="159" t="str">
        <f t="shared" si="313"/>
        <v>$O$1:$O$92</v>
      </c>
      <c r="C4028" s="159" t="str">
        <f t="shared" si="314"/>
        <v>May!$N$1:$N$92</v>
      </c>
      <c r="D4028" s="159" t="str">
        <f t="shared" si="315"/>
        <v>May!$O$1:$O$92</v>
      </c>
      <c r="E4028" t="s">
        <v>8</v>
      </c>
      <c r="F4028" t="s">
        <v>124</v>
      </c>
      <c r="G4028" t="s">
        <v>145</v>
      </c>
      <c r="H4028" t="s">
        <v>180</v>
      </c>
      <c r="I4028" t="e">
        <f t="shared" ca="1" si="316"/>
        <v>#REF!</v>
      </c>
      <c r="J4028" t="str">
        <f>VLOOKUP($G4028,DefinitionArrays!$I$6:$J$12,2,FALSE)</f>
        <v>Weekend</v>
      </c>
    </row>
    <row r="4029" spans="1:10">
      <c r="A4029" s="159" t="str">
        <f t="shared" si="312"/>
        <v>$N$1:$N$92</v>
      </c>
      <c r="B4029" s="159" t="str">
        <f t="shared" si="313"/>
        <v>$O$1:$O$92</v>
      </c>
      <c r="C4029" s="159" t="str">
        <f t="shared" si="314"/>
        <v>May!$N$1:$N$92</v>
      </c>
      <c r="D4029" s="159" t="str">
        <f t="shared" si="315"/>
        <v>May!$O$1:$O$92</v>
      </c>
      <c r="E4029" t="s">
        <v>8</v>
      </c>
      <c r="F4029" t="s">
        <v>124</v>
      </c>
      <c r="G4029" t="s">
        <v>145</v>
      </c>
      <c r="H4029" t="s">
        <v>44</v>
      </c>
      <c r="I4029" t="e">
        <f t="shared" ca="1" si="316"/>
        <v>#REF!</v>
      </c>
      <c r="J4029" t="str">
        <f>VLOOKUP($G4029,DefinitionArrays!$I$6:$J$12,2,FALSE)</f>
        <v>Weekend</v>
      </c>
    </row>
    <row r="4030" spans="1:10">
      <c r="A4030" s="159" t="str">
        <f t="shared" si="312"/>
        <v>$Q$1:$Q$92</v>
      </c>
      <c r="B4030" s="159" t="str">
        <f t="shared" si="313"/>
        <v>$R$1:$R$92</v>
      </c>
      <c r="C4030" s="159" t="str">
        <f t="shared" si="314"/>
        <v>May!$Q$1:$Q$92</v>
      </c>
      <c r="D4030" s="159" t="str">
        <f t="shared" si="315"/>
        <v>May!$R$1:$R$92</v>
      </c>
      <c r="E4030" t="s">
        <v>8</v>
      </c>
      <c r="F4030" t="s">
        <v>124</v>
      </c>
      <c r="G4030" t="s">
        <v>146</v>
      </c>
      <c r="H4030" t="s">
        <v>159</v>
      </c>
      <c r="I4030" t="e">
        <f t="shared" ca="1" si="316"/>
        <v>#REF!</v>
      </c>
      <c r="J4030" t="str">
        <f>VLOOKUP($G4030,DefinitionArrays!$I$6:$J$12,2,FALSE)</f>
        <v>Weekend</v>
      </c>
    </row>
    <row r="4031" spans="1:10">
      <c r="A4031" s="159" t="str">
        <f t="shared" si="312"/>
        <v>$T$1:$T$92</v>
      </c>
      <c r="B4031" s="159" t="str">
        <f t="shared" si="313"/>
        <v>$U$1:$U$92</v>
      </c>
      <c r="C4031" s="159" t="str">
        <f t="shared" si="314"/>
        <v>May!$T$1:$T$92</v>
      </c>
      <c r="D4031" s="159" t="str">
        <f t="shared" si="315"/>
        <v>May!$U$1:$U$92</v>
      </c>
      <c r="E4031" t="s">
        <v>8</v>
      </c>
      <c r="F4031" t="s">
        <v>124</v>
      </c>
      <c r="G4031" t="s">
        <v>141</v>
      </c>
      <c r="H4031" t="s">
        <v>159</v>
      </c>
      <c r="I4031" t="e">
        <f t="shared" ca="1" si="316"/>
        <v>#REF!</v>
      </c>
      <c r="J4031" t="str">
        <f>VLOOKUP($G4031,DefinitionArrays!$I$6:$J$12,2,FALSE)</f>
        <v>Weekend</v>
      </c>
    </row>
    <row r="4032" spans="1:10">
      <c r="A4032" s="159" t="str">
        <f t="shared" si="312"/>
        <v>$B$1:$B$92</v>
      </c>
      <c r="B4032" s="159" t="str">
        <f t="shared" si="313"/>
        <v>$C$1:$C$92</v>
      </c>
      <c r="C4032" s="159" t="str">
        <f t="shared" si="314"/>
        <v>June!$B$1:$B$92</v>
      </c>
      <c r="D4032" s="159" t="str">
        <f t="shared" si="315"/>
        <v>June!$C$1:$C$92</v>
      </c>
      <c r="E4032" t="s">
        <v>8</v>
      </c>
      <c r="F4032" t="s">
        <v>125</v>
      </c>
      <c r="G4032" t="s">
        <v>13</v>
      </c>
      <c r="H4032" t="s">
        <v>159</v>
      </c>
      <c r="I4032" t="e">
        <f ca="1">COUNTIFS(INDIRECT($C4032),$E4032,INDIRECT($D4032),$H4032)</f>
        <v>#REF!</v>
      </c>
      <c r="J4032" t="str">
        <f>VLOOKUP($G4032,DefinitionArrays!$I$6:$J$12,2,FALSE)</f>
        <v>Workweek</v>
      </c>
    </row>
    <row r="4033" spans="1:10">
      <c r="A4033" s="159" t="str">
        <f t="shared" si="312"/>
        <v>$B$1:$B$92</v>
      </c>
      <c r="B4033" s="159" t="str">
        <f t="shared" si="313"/>
        <v>$C$1:$C$92</v>
      </c>
      <c r="C4033" s="159" t="str">
        <f t="shared" si="314"/>
        <v>June!$B$1:$B$92</v>
      </c>
      <c r="D4033" s="159" t="str">
        <f t="shared" si="315"/>
        <v>June!$C$1:$C$92</v>
      </c>
      <c r="E4033" t="s">
        <v>8</v>
      </c>
      <c r="F4033" t="s">
        <v>125</v>
      </c>
      <c r="G4033" t="s">
        <v>13</v>
      </c>
      <c r="H4033" t="s">
        <v>18</v>
      </c>
      <c r="I4033" t="e">
        <f t="shared" ref="I4033:I4093" ca="1" si="317">COUNTIFS(INDIRECT($C4033),$E4033,INDIRECT($D4033),$H4033)</f>
        <v>#REF!</v>
      </c>
      <c r="J4033" t="str">
        <f>VLOOKUP($G4033,DefinitionArrays!$I$6:$J$12,2,FALSE)</f>
        <v>Workweek</v>
      </c>
    </row>
    <row r="4034" spans="1:10">
      <c r="A4034" s="159" t="str">
        <f t="shared" ref="A4034:A4097" si="318">VLOOKUP($G4034,Fx_Code,2,FALSE)</f>
        <v>$B$1:$B$92</v>
      </c>
      <c r="B4034" s="159" t="str">
        <f t="shared" ref="B4034:B4097" si="319">VLOOKUP($G4034,Fx_Code,3,FALSE)</f>
        <v>$C$1:$C$92</v>
      </c>
      <c r="C4034" s="159" t="str">
        <f t="shared" ref="C4034:C4097" si="320">CONCATENATE($F4034,$K$1,A4034)</f>
        <v>June!$B$1:$B$92</v>
      </c>
      <c r="D4034" s="159" t="str">
        <f t="shared" ref="D4034:D4097" si="321">CONCATENATE($F4034,$K$1,B4034)</f>
        <v>June!$C$1:$C$92</v>
      </c>
      <c r="E4034" t="s">
        <v>8</v>
      </c>
      <c r="F4034" t="s">
        <v>125</v>
      </c>
      <c r="G4034" t="s">
        <v>13</v>
      </c>
      <c r="H4034" t="s">
        <v>153</v>
      </c>
      <c r="I4034" t="e">
        <f t="shared" ca="1" si="317"/>
        <v>#REF!</v>
      </c>
      <c r="J4034" t="str">
        <f>VLOOKUP($G4034,DefinitionArrays!$I$6:$J$12,2,FALSE)</f>
        <v>Workweek</v>
      </c>
    </row>
    <row r="4035" spans="1:10">
      <c r="A4035" s="159" t="str">
        <f t="shared" si="318"/>
        <v>$B$1:$B$92</v>
      </c>
      <c r="B4035" s="159" t="str">
        <f t="shared" si="319"/>
        <v>$C$1:$C$92</v>
      </c>
      <c r="C4035" s="159" t="str">
        <f t="shared" si="320"/>
        <v>June!$B$1:$B$92</v>
      </c>
      <c r="D4035" s="159" t="str">
        <f t="shared" si="321"/>
        <v>June!$C$1:$C$92</v>
      </c>
      <c r="E4035" t="s">
        <v>8</v>
      </c>
      <c r="F4035" t="s">
        <v>125</v>
      </c>
      <c r="G4035" t="s">
        <v>13</v>
      </c>
      <c r="H4035" t="s">
        <v>19</v>
      </c>
      <c r="I4035" t="e">
        <f t="shared" ca="1" si="317"/>
        <v>#REF!</v>
      </c>
      <c r="J4035" t="str">
        <f>VLOOKUP($G4035,DefinitionArrays!$I$6:$J$12,2,FALSE)</f>
        <v>Workweek</v>
      </c>
    </row>
    <row r="4036" spans="1:10">
      <c r="A4036" s="159" t="str">
        <f t="shared" si="318"/>
        <v>$B$1:$B$92</v>
      </c>
      <c r="B4036" s="159" t="str">
        <f t="shared" si="319"/>
        <v>$C$1:$C$92</v>
      </c>
      <c r="C4036" s="159" t="str">
        <f t="shared" si="320"/>
        <v>June!$B$1:$B$92</v>
      </c>
      <c r="D4036" s="159" t="str">
        <f t="shared" si="321"/>
        <v>June!$C$1:$C$92</v>
      </c>
      <c r="E4036" t="s">
        <v>8</v>
      </c>
      <c r="F4036" t="s">
        <v>125</v>
      </c>
      <c r="G4036" t="s">
        <v>13</v>
      </c>
      <c r="H4036" t="s">
        <v>20</v>
      </c>
      <c r="I4036" t="e">
        <f t="shared" ca="1" si="317"/>
        <v>#REF!</v>
      </c>
      <c r="J4036" t="str">
        <f>VLOOKUP($G4036,DefinitionArrays!$I$6:$J$12,2,FALSE)</f>
        <v>Workweek</v>
      </c>
    </row>
    <row r="4037" spans="1:10">
      <c r="A4037" s="159" t="str">
        <f t="shared" si="318"/>
        <v>$B$1:$B$92</v>
      </c>
      <c r="B4037" s="159" t="str">
        <f t="shared" si="319"/>
        <v>$C$1:$C$92</v>
      </c>
      <c r="C4037" s="159" t="str">
        <f t="shared" si="320"/>
        <v>June!$B$1:$B$92</v>
      </c>
      <c r="D4037" s="159" t="str">
        <f t="shared" si="321"/>
        <v>June!$C$1:$C$92</v>
      </c>
      <c r="E4037" t="s">
        <v>8</v>
      </c>
      <c r="F4037" t="s">
        <v>125</v>
      </c>
      <c r="G4037" t="s">
        <v>13</v>
      </c>
      <c r="H4037" t="s">
        <v>21</v>
      </c>
      <c r="I4037" t="e">
        <f t="shared" ca="1" si="317"/>
        <v>#REF!</v>
      </c>
      <c r="J4037" t="str">
        <f>VLOOKUP($G4037,DefinitionArrays!$I$6:$J$12,2,FALSE)</f>
        <v>Workweek</v>
      </c>
    </row>
    <row r="4038" spans="1:10">
      <c r="A4038" s="159" t="str">
        <f t="shared" si="318"/>
        <v>$B$1:$B$92</v>
      </c>
      <c r="B4038" s="159" t="str">
        <f t="shared" si="319"/>
        <v>$C$1:$C$92</v>
      </c>
      <c r="C4038" s="159" t="str">
        <f t="shared" si="320"/>
        <v>June!$B$1:$B$92</v>
      </c>
      <c r="D4038" s="159" t="str">
        <f t="shared" si="321"/>
        <v>June!$C$1:$C$92</v>
      </c>
      <c r="E4038" t="s">
        <v>8</v>
      </c>
      <c r="F4038" t="s">
        <v>125</v>
      </c>
      <c r="G4038" t="s">
        <v>13</v>
      </c>
      <c r="H4038" t="s">
        <v>22</v>
      </c>
      <c r="I4038" t="e">
        <f t="shared" ca="1" si="317"/>
        <v>#REF!</v>
      </c>
      <c r="J4038" t="str">
        <f>VLOOKUP($G4038,DefinitionArrays!$I$6:$J$12,2,FALSE)</f>
        <v>Workweek</v>
      </c>
    </row>
    <row r="4039" spans="1:10">
      <c r="A4039" s="159" t="str">
        <f t="shared" si="318"/>
        <v>$B$1:$B$92</v>
      </c>
      <c r="B4039" s="159" t="str">
        <f t="shared" si="319"/>
        <v>$C$1:$C$92</v>
      </c>
      <c r="C4039" s="159" t="str">
        <f t="shared" si="320"/>
        <v>June!$B$1:$B$92</v>
      </c>
      <c r="D4039" s="159" t="str">
        <f t="shared" si="321"/>
        <v>June!$C$1:$C$92</v>
      </c>
      <c r="E4039" t="s">
        <v>8</v>
      </c>
      <c r="F4039" t="s">
        <v>125</v>
      </c>
      <c r="G4039" t="s">
        <v>13</v>
      </c>
      <c r="H4039" t="s">
        <v>23</v>
      </c>
      <c r="I4039" t="e">
        <f t="shared" ca="1" si="317"/>
        <v>#REF!</v>
      </c>
      <c r="J4039" t="str">
        <f>VLOOKUP($G4039,DefinitionArrays!$I$6:$J$12,2,FALSE)</f>
        <v>Workweek</v>
      </c>
    </row>
    <row r="4040" spans="1:10">
      <c r="A4040" s="159" t="str">
        <f t="shared" si="318"/>
        <v>$B$1:$B$92</v>
      </c>
      <c r="B4040" s="159" t="str">
        <f t="shared" si="319"/>
        <v>$C$1:$C$92</v>
      </c>
      <c r="C4040" s="159" t="str">
        <f t="shared" si="320"/>
        <v>June!$B$1:$B$92</v>
      </c>
      <c r="D4040" s="159" t="str">
        <f t="shared" si="321"/>
        <v>June!$C$1:$C$92</v>
      </c>
      <c r="E4040" t="s">
        <v>8</v>
      </c>
      <c r="F4040" t="s">
        <v>125</v>
      </c>
      <c r="G4040" t="s">
        <v>13</v>
      </c>
      <c r="H4040" t="s">
        <v>24</v>
      </c>
      <c r="I4040" t="e">
        <f t="shared" ca="1" si="317"/>
        <v>#REF!</v>
      </c>
      <c r="J4040" t="str">
        <f>VLOOKUP($G4040,DefinitionArrays!$I$6:$J$12,2,FALSE)</f>
        <v>Workweek</v>
      </c>
    </row>
    <row r="4041" spans="1:10">
      <c r="A4041" s="159" t="str">
        <f t="shared" si="318"/>
        <v>$B$1:$B$92</v>
      </c>
      <c r="B4041" s="159" t="str">
        <f t="shared" si="319"/>
        <v>$C$1:$C$92</v>
      </c>
      <c r="C4041" s="159" t="str">
        <f t="shared" si="320"/>
        <v>June!$B$1:$B$92</v>
      </c>
      <c r="D4041" s="159" t="str">
        <f t="shared" si="321"/>
        <v>June!$C$1:$C$92</v>
      </c>
      <c r="E4041" t="s">
        <v>8</v>
      </c>
      <c r="F4041" t="s">
        <v>125</v>
      </c>
      <c r="G4041" t="s">
        <v>13</v>
      </c>
      <c r="H4041" t="s">
        <v>179</v>
      </c>
      <c r="I4041" t="e">
        <f t="shared" ca="1" si="317"/>
        <v>#REF!</v>
      </c>
      <c r="J4041" t="str">
        <f>VLOOKUP($G4041,DefinitionArrays!$I$6:$J$12,2,FALSE)</f>
        <v>Workweek</v>
      </c>
    </row>
    <row r="4042" spans="1:10">
      <c r="A4042" s="159" t="str">
        <f t="shared" si="318"/>
        <v>$B$1:$B$92</v>
      </c>
      <c r="B4042" s="159" t="str">
        <f t="shared" si="319"/>
        <v>$C$1:$C$92</v>
      </c>
      <c r="C4042" s="159" t="str">
        <f t="shared" si="320"/>
        <v>June!$B$1:$B$92</v>
      </c>
      <c r="D4042" s="159" t="str">
        <f t="shared" si="321"/>
        <v>June!$C$1:$C$92</v>
      </c>
      <c r="E4042" t="s">
        <v>8</v>
      </c>
      <c r="F4042" t="s">
        <v>125</v>
      </c>
      <c r="G4042" t="s">
        <v>13</v>
      </c>
      <c r="H4042" t="s">
        <v>180</v>
      </c>
      <c r="I4042" t="e">
        <f t="shared" ca="1" si="317"/>
        <v>#REF!</v>
      </c>
      <c r="J4042" t="str">
        <f>VLOOKUP($G4042,DefinitionArrays!$I$6:$J$12,2,FALSE)</f>
        <v>Workweek</v>
      </c>
    </row>
    <row r="4043" spans="1:10">
      <c r="A4043" s="159" t="str">
        <f t="shared" si="318"/>
        <v>$B$1:$B$92</v>
      </c>
      <c r="B4043" s="159" t="str">
        <f t="shared" si="319"/>
        <v>$C$1:$C$92</v>
      </c>
      <c r="C4043" s="159" t="str">
        <f t="shared" si="320"/>
        <v>June!$B$1:$B$92</v>
      </c>
      <c r="D4043" s="159" t="str">
        <f t="shared" si="321"/>
        <v>June!$C$1:$C$92</v>
      </c>
      <c r="E4043" t="s">
        <v>8</v>
      </c>
      <c r="F4043" t="s">
        <v>125</v>
      </c>
      <c r="G4043" t="s">
        <v>13</v>
      </c>
      <c r="H4043" t="s">
        <v>44</v>
      </c>
      <c r="I4043" t="e">
        <f t="shared" ca="1" si="317"/>
        <v>#REF!</v>
      </c>
      <c r="J4043" t="str">
        <f>VLOOKUP($G4043,DefinitionArrays!$I$6:$J$12,2,FALSE)</f>
        <v>Workweek</v>
      </c>
    </row>
    <row r="4044" spans="1:10">
      <c r="A4044" s="159" t="str">
        <f t="shared" si="318"/>
        <v>$E$1:$E$92</v>
      </c>
      <c r="B4044" s="159" t="str">
        <f t="shared" si="319"/>
        <v>$F$1:$F$92</v>
      </c>
      <c r="C4044" s="159" t="str">
        <f t="shared" si="320"/>
        <v>June!$E$1:$E$92</v>
      </c>
      <c r="D4044" s="159" t="str">
        <f t="shared" si="321"/>
        <v>June!$F$1:$F$92</v>
      </c>
      <c r="E4044" t="s">
        <v>8</v>
      </c>
      <c r="F4044" t="s">
        <v>125</v>
      </c>
      <c r="G4044" t="s">
        <v>142</v>
      </c>
      <c r="H4044" t="s">
        <v>159</v>
      </c>
      <c r="I4044" t="e">
        <f t="shared" ca="1" si="317"/>
        <v>#REF!</v>
      </c>
      <c r="J4044" t="str">
        <f>VLOOKUP($G4044,DefinitionArrays!$I$6:$J$12,2,FALSE)</f>
        <v>Workweek</v>
      </c>
    </row>
    <row r="4045" spans="1:10">
      <c r="A4045" s="159" t="str">
        <f t="shared" si="318"/>
        <v>$E$1:$E$92</v>
      </c>
      <c r="B4045" s="159" t="str">
        <f t="shared" si="319"/>
        <v>$F$1:$F$92</v>
      </c>
      <c r="C4045" s="159" t="str">
        <f t="shared" si="320"/>
        <v>June!$E$1:$E$92</v>
      </c>
      <c r="D4045" s="159" t="str">
        <f t="shared" si="321"/>
        <v>June!$F$1:$F$92</v>
      </c>
      <c r="E4045" t="s">
        <v>8</v>
      </c>
      <c r="F4045" t="s">
        <v>125</v>
      </c>
      <c r="G4045" t="s">
        <v>142</v>
      </c>
      <c r="H4045" t="s">
        <v>18</v>
      </c>
      <c r="I4045" t="e">
        <f t="shared" ca="1" si="317"/>
        <v>#REF!</v>
      </c>
      <c r="J4045" t="str">
        <f>VLOOKUP($G4045,DefinitionArrays!$I$6:$J$12,2,FALSE)</f>
        <v>Workweek</v>
      </c>
    </row>
    <row r="4046" spans="1:10">
      <c r="A4046" s="159" t="str">
        <f t="shared" si="318"/>
        <v>$E$1:$E$92</v>
      </c>
      <c r="B4046" s="159" t="str">
        <f t="shared" si="319"/>
        <v>$F$1:$F$92</v>
      </c>
      <c r="C4046" s="159" t="str">
        <f t="shared" si="320"/>
        <v>June!$E$1:$E$92</v>
      </c>
      <c r="D4046" s="159" t="str">
        <f t="shared" si="321"/>
        <v>June!$F$1:$F$92</v>
      </c>
      <c r="E4046" t="s">
        <v>8</v>
      </c>
      <c r="F4046" t="s">
        <v>125</v>
      </c>
      <c r="G4046" t="s">
        <v>142</v>
      </c>
      <c r="H4046" t="s">
        <v>153</v>
      </c>
      <c r="I4046" t="e">
        <f t="shared" ca="1" si="317"/>
        <v>#REF!</v>
      </c>
      <c r="J4046" t="str">
        <f>VLOOKUP($G4046,DefinitionArrays!$I$6:$J$12,2,FALSE)</f>
        <v>Workweek</v>
      </c>
    </row>
    <row r="4047" spans="1:10">
      <c r="A4047" s="159" t="str">
        <f t="shared" si="318"/>
        <v>$E$1:$E$92</v>
      </c>
      <c r="B4047" s="159" t="str">
        <f t="shared" si="319"/>
        <v>$F$1:$F$92</v>
      </c>
      <c r="C4047" s="159" t="str">
        <f t="shared" si="320"/>
        <v>June!$E$1:$E$92</v>
      </c>
      <c r="D4047" s="159" t="str">
        <f t="shared" si="321"/>
        <v>June!$F$1:$F$92</v>
      </c>
      <c r="E4047" t="s">
        <v>8</v>
      </c>
      <c r="F4047" t="s">
        <v>125</v>
      </c>
      <c r="G4047" t="s">
        <v>142</v>
      </c>
      <c r="H4047" t="s">
        <v>19</v>
      </c>
      <c r="I4047" t="e">
        <f t="shared" ca="1" si="317"/>
        <v>#REF!</v>
      </c>
      <c r="J4047" t="str">
        <f>VLOOKUP($G4047,DefinitionArrays!$I$6:$J$12,2,FALSE)</f>
        <v>Workweek</v>
      </c>
    </row>
    <row r="4048" spans="1:10">
      <c r="A4048" s="159" t="str">
        <f t="shared" si="318"/>
        <v>$E$1:$E$92</v>
      </c>
      <c r="B4048" s="159" t="str">
        <f t="shared" si="319"/>
        <v>$F$1:$F$92</v>
      </c>
      <c r="C4048" s="159" t="str">
        <f t="shared" si="320"/>
        <v>June!$E$1:$E$92</v>
      </c>
      <c r="D4048" s="159" t="str">
        <f t="shared" si="321"/>
        <v>June!$F$1:$F$92</v>
      </c>
      <c r="E4048" t="s">
        <v>8</v>
      </c>
      <c r="F4048" t="s">
        <v>125</v>
      </c>
      <c r="G4048" t="s">
        <v>142</v>
      </c>
      <c r="H4048" t="s">
        <v>20</v>
      </c>
      <c r="I4048" t="e">
        <f t="shared" ca="1" si="317"/>
        <v>#REF!</v>
      </c>
      <c r="J4048" t="str">
        <f>VLOOKUP($G4048,DefinitionArrays!$I$6:$J$12,2,FALSE)</f>
        <v>Workweek</v>
      </c>
    </row>
    <row r="4049" spans="1:10">
      <c r="A4049" s="159" t="str">
        <f t="shared" si="318"/>
        <v>$E$1:$E$92</v>
      </c>
      <c r="B4049" s="159" t="str">
        <f t="shared" si="319"/>
        <v>$F$1:$F$92</v>
      </c>
      <c r="C4049" s="159" t="str">
        <f t="shared" si="320"/>
        <v>June!$E$1:$E$92</v>
      </c>
      <c r="D4049" s="159" t="str">
        <f t="shared" si="321"/>
        <v>June!$F$1:$F$92</v>
      </c>
      <c r="E4049" t="s">
        <v>8</v>
      </c>
      <c r="F4049" t="s">
        <v>125</v>
      </c>
      <c r="G4049" t="s">
        <v>142</v>
      </c>
      <c r="H4049" t="s">
        <v>21</v>
      </c>
      <c r="I4049" t="e">
        <f t="shared" ca="1" si="317"/>
        <v>#REF!</v>
      </c>
      <c r="J4049" t="str">
        <f>VLOOKUP($G4049,DefinitionArrays!$I$6:$J$12,2,FALSE)</f>
        <v>Workweek</v>
      </c>
    </row>
    <row r="4050" spans="1:10">
      <c r="A4050" s="159" t="str">
        <f t="shared" si="318"/>
        <v>$E$1:$E$92</v>
      </c>
      <c r="B4050" s="159" t="str">
        <f t="shared" si="319"/>
        <v>$F$1:$F$92</v>
      </c>
      <c r="C4050" s="159" t="str">
        <f t="shared" si="320"/>
        <v>June!$E$1:$E$92</v>
      </c>
      <c r="D4050" s="159" t="str">
        <f t="shared" si="321"/>
        <v>June!$F$1:$F$92</v>
      </c>
      <c r="E4050" t="s">
        <v>8</v>
      </c>
      <c r="F4050" t="s">
        <v>125</v>
      </c>
      <c r="G4050" t="s">
        <v>142</v>
      </c>
      <c r="H4050" t="s">
        <v>22</v>
      </c>
      <c r="I4050" t="e">
        <f t="shared" ca="1" si="317"/>
        <v>#REF!</v>
      </c>
      <c r="J4050" t="str">
        <f>VLOOKUP($G4050,DefinitionArrays!$I$6:$J$12,2,FALSE)</f>
        <v>Workweek</v>
      </c>
    </row>
    <row r="4051" spans="1:10">
      <c r="A4051" s="159" t="str">
        <f t="shared" si="318"/>
        <v>$E$1:$E$92</v>
      </c>
      <c r="B4051" s="159" t="str">
        <f t="shared" si="319"/>
        <v>$F$1:$F$92</v>
      </c>
      <c r="C4051" s="159" t="str">
        <f t="shared" si="320"/>
        <v>June!$E$1:$E$92</v>
      </c>
      <c r="D4051" s="159" t="str">
        <f t="shared" si="321"/>
        <v>June!$F$1:$F$92</v>
      </c>
      <c r="E4051" t="s">
        <v>8</v>
      </c>
      <c r="F4051" t="s">
        <v>125</v>
      </c>
      <c r="G4051" t="s">
        <v>142</v>
      </c>
      <c r="H4051" t="s">
        <v>23</v>
      </c>
      <c r="I4051" t="e">
        <f t="shared" ca="1" si="317"/>
        <v>#REF!</v>
      </c>
      <c r="J4051" t="str">
        <f>VLOOKUP($G4051,DefinitionArrays!$I$6:$J$12,2,FALSE)</f>
        <v>Workweek</v>
      </c>
    </row>
    <row r="4052" spans="1:10">
      <c r="A4052" s="159" t="str">
        <f t="shared" si="318"/>
        <v>$E$1:$E$92</v>
      </c>
      <c r="B4052" s="159" t="str">
        <f t="shared" si="319"/>
        <v>$F$1:$F$92</v>
      </c>
      <c r="C4052" s="159" t="str">
        <f t="shared" si="320"/>
        <v>June!$E$1:$E$92</v>
      </c>
      <c r="D4052" s="159" t="str">
        <f t="shared" si="321"/>
        <v>June!$F$1:$F$92</v>
      </c>
      <c r="E4052" t="s">
        <v>8</v>
      </c>
      <c r="F4052" t="s">
        <v>125</v>
      </c>
      <c r="G4052" t="s">
        <v>142</v>
      </c>
      <c r="H4052" t="s">
        <v>24</v>
      </c>
      <c r="I4052" t="e">
        <f t="shared" ca="1" si="317"/>
        <v>#REF!</v>
      </c>
      <c r="J4052" t="str">
        <f>VLOOKUP($G4052,DefinitionArrays!$I$6:$J$12,2,FALSE)</f>
        <v>Workweek</v>
      </c>
    </row>
    <row r="4053" spans="1:10">
      <c r="A4053" s="159" t="str">
        <f t="shared" si="318"/>
        <v>$E$1:$E$92</v>
      </c>
      <c r="B4053" s="159" t="str">
        <f t="shared" si="319"/>
        <v>$F$1:$F$92</v>
      </c>
      <c r="C4053" s="159" t="str">
        <f t="shared" si="320"/>
        <v>June!$E$1:$E$92</v>
      </c>
      <c r="D4053" s="159" t="str">
        <f t="shared" si="321"/>
        <v>June!$F$1:$F$92</v>
      </c>
      <c r="E4053" t="s">
        <v>8</v>
      </c>
      <c r="F4053" t="s">
        <v>125</v>
      </c>
      <c r="G4053" t="s">
        <v>142</v>
      </c>
      <c r="H4053" t="s">
        <v>179</v>
      </c>
      <c r="I4053" t="e">
        <f t="shared" ca="1" si="317"/>
        <v>#REF!</v>
      </c>
      <c r="J4053" t="str">
        <f>VLOOKUP($G4053,DefinitionArrays!$I$6:$J$12,2,FALSE)</f>
        <v>Workweek</v>
      </c>
    </row>
    <row r="4054" spans="1:10">
      <c r="A4054" s="159" t="str">
        <f t="shared" si="318"/>
        <v>$E$1:$E$92</v>
      </c>
      <c r="B4054" s="159" t="str">
        <f t="shared" si="319"/>
        <v>$F$1:$F$92</v>
      </c>
      <c r="C4054" s="159" t="str">
        <f t="shared" si="320"/>
        <v>June!$E$1:$E$92</v>
      </c>
      <c r="D4054" s="159" t="str">
        <f t="shared" si="321"/>
        <v>June!$F$1:$F$92</v>
      </c>
      <c r="E4054" t="s">
        <v>8</v>
      </c>
      <c r="F4054" t="s">
        <v>125</v>
      </c>
      <c r="G4054" t="s">
        <v>142</v>
      </c>
      <c r="H4054" t="s">
        <v>180</v>
      </c>
      <c r="I4054" t="e">
        <f t="shared" ca="1" si="317"/>
        <v>#REF!</v>
      </c>
      <c r="J4054" t="str">
        <f>VLOOKUP($G4054,DefinitionArrays!$I$6:$J$12,2,FALSE)</f>
        <v>Workweek</v>
      </c>
    </row>
    <row r="4055" spans="1:10">
      <c r="A4055" s="159" t="str">
        <f t="shared" si="318"/>
        <v>$E$1:$E$92</v>
      </c>
      <c r="B4055" s="159" t="str">
        <f t="shared" si="319"/>
        <v>$F$1:$F$92</v>
      </c>
      <c r="C4055" s="159" t="str">
        <f t="shared" si="320"/>
        <v>June!$E$1:$E$92</v>
      </c>
      <c r="D4055" s="159" t="str">
        <f t="shared" si="321"/>
        <v>June!$F$1:$F$92</v>
      </c>
      <c r="E4055" t="s">
        <v>8</v>
      </c>
      <c r="F4055" t="s">
        <v>125</v>
      </c>
      <c r="G4055" t="s">
        <v>142</v>
      </c>
      <c r="H4055" t="s">
        <v>44</v>
      </c>
      <c r="I4055" t="e">
        <f t="shared" ca="1" si="317"/>
        <v>#REF!</v>
      </c>
      <c r="J4055" t="str">
        <f>VLOOKUP($G4055,DefinitionArrays!$I$6:$J$12,2,FALSE)</f>
        <v>Workweek</v>
      </c>
    </row>
    <row r="4056" spans="1:10">
      <c r="A4056" s="159" t="str">
        <f t="shared" si="318"/>
        <v>$H$1:$H$92</v>
      </c>
      <c r="B4056" s="159" t="str">
        <f t="shared" si="319"/>
        <v>$I$1:$I$92</v>
      </c>
      <c r="C4056" s="159" t="str">
        <f t="shared" si="320"/>
        <v>June!$H$1:$H$92</v>
      </c>
      <c r="D4056" s="159" t="str">
        <f t="shared" si="321"/>
        <v>June!$I$1:$I$92</v>
      </c>
      <c r="E4056" t="s">
        <v>8</v>
      </c>
      <c r="F4056" t="s">
        <v>125</v>
      </c>
      <c r="G4056" t="s">
        <v>143</v>
      </c>
      <c r="H4056" t="s">
        <v>159</v>
      </c>
      <c r="I4056" t="e">
        <f t="shared" ca="1" si="317"/>
        <v>#REF!</v>
      </c>
      <c r="J4056" t="str">
        <f>VLOOKUP($G4056,DefinitionArrays!$I$6:$J$12,2,FALSE)</f>
        <v>Workweek</v>
      </c>
    </row>
    <row r="4057" spans="1:10">
      <c r="A4057" s="159" t="str">
        <f t="shared" si="318"/>
        <v>$H$1:$H$92</v>
      </c>
      <c r="B4057" s="159" t="str">
        <f t="shared" si="319"/>
        <v>$I$1:$I$92</v>
      </c>
      <c r="C4057" s="159" t="str">
        <f t="shared" si="320"/>
        <v>June!$H$1:$H$92</v>
      </c>
      <c r="D4057" s="159" t="str">
        <f t="shared" si="321"/>
        <v>June!$I$1:$I$92</v>
      </c>
      <c r="E4057" t="s">
        <v>8</v>
      </c>
      <c r="F4057" t="s">
        <v>125</v>
      </c>
      <c r="G4057" t="s">
        <v>143</v>
      </c>
      <c r="H4057" t="s">
        <v>18</v>
      </c>
      <c r="I4057" t="e">
        <f t="shared" ca="1" si="317"/>
        <v>#REF!</v>
      </c>
      <c r="J4057" t="str">
        <f>VLOOKUP($G4057,DefinitionArrays!$I$6:$J$12,2,FALSE)</f>
        <v>Workweek</v>
      </c>
    </row>
    <row r="4058" spans="1:10">
      <c r="A4058" s="159" t="str">
        <f t="shared" si="318"/>
        <v>$H$1:$H$92</v>
      </c>
      <c r="B4058" s="159" t="str">
        <f t="shared" si="319"/>
        <v>$I$1:$I$92</v>
      </c>
      <c r="C4058" s="159" t="str">
        <f t="shared" si="320"/>
        <v>June!$H$1:$H$92</v>
      </c>
      <c r="D4058" s="159" t="str">
        <f t="shared" si="321"/>
        <v>June!$I$1:$I$92</v>
      </c>
      <c r="E4058" t="s">
        <v>8</v>
      </c>
      <c r="F4058" t="s">
        <v>125</v>
      </c>
      <c r="G4058" t="s">
        <v>143</v>
      </c>
      <c r="H4058" t="s">
        <v>153</v>
      </c>
      <c r="I4058" t="e">
        <f t="shared" ca="1" si="317"/>
        <v>#REF!</v>
      </c>
      <c r="J4058" t="str">
        <f>VLOOKUP($G4058,DefinitionArrays!$I$6:$J$12,2,FALSE)</f>
        <v>Workweek</v>
      </c>
    </row>
    <row r="4059" spans="1:10">
      <c r="A4059" s="159" t="str">
        <f t="shared" si="318"/>
        <v>$H$1:$H$92</v>
      </c>
      <c r="B4059" s="159" t="str">
        <f t="shared" si="319"/>
        <v>$I$1:$I$92</v>
      </c>
      <c r="C4059" s="159" t="str">
        <f t="shared" si="320"/>
        <v>June!$H$1:$H$92</v>
      </c>
      <c r="D4059" s="159" t="str">
        <f t="shared" si="321"/>
        <v>June!$I$1:$I$92</v>
      </c>
      <c r="E4059" t="s">
        <v>8</v>
      </c>
      <c r="F4059" t="s">
        <v>125</v>
      </c>
      <c r="G4059" t="s">
        <v>143</v>
      </c>
      <c r="H4059" t="s">
        <v>19</v>
      </c>
      <c r="I4059" t="e">
        <f t="shared" ca="1" si="317"/>
        <v>#REF!</v>
      </c>
      <c r="J4059" t="str">
        <f>VLOOKUP($G4059,DefinitionArrays!$I$6:$J$12,2,FALSE)</f>
        <v>Workweek</v>
      </c>
    </row>
    <row r="4060" spans="1:10">
      <c r="A4060" s="159" t="str">
        <f t="shared" si="318"/>
        <v>$H$1:$H$92</v>
      </c>
      <c r="B4060" s="159" t="str">
        <f t="shared" si="319"/>
        <v>$I$1:$I$92</v>
      </c>
      <c r="C4060" s="159" t="str">
        <f t="shared" si="320"/>
        <v>June!$H$1:$H$92</v>
      </c>
      <c r="D4060" s="159" t="str">
        <f t="shared" si="321"/>
        <v>June!$I$1:$I$92</v>
      </c>
      <c r="E4060" t="s">
        <v>8</v>
      </c>
      <c r="F4060" t="s">
        <v>125</v>
      </c>
      <c r="G4060" t="s">
        <v>143</v>
      </c>
      <c r="H4060" t="s">
        <v>20</v>
      </c>
      <c r="I4060" t="e">
        <f t="shared" ca="1" si="317"/>
        <v>#REF!</v>
      </c>
      <c r="J4060" t="str">
        <f>VLOOKUP($G4060,DefinitionArrays!$I$6:$J$12,2,FALSE)</f>
        <v>Workweek</v>
      </c>
    </row>
    <row r="4061" spans="1:10">
      <c r="A4061" s="159" t="str">
        <f t="shared" si="318"/>
        <v>$H$1:$H$92</v>
      </c>
      <c r="B4061" s="159" t="str">
        <f t="shared" si="319"/>
        <v>$I$1:$I$92</v>
      </c>
      <c r="C4061" s="159" t="str">
        <f t="shared" si="320"/>
        <v>June!$H$1:$H$92</v>
      </c>
      <c r="D4061" s="159" t="str">
        <f t="shared" si="321"/>
        <v>June!$I$1:$I$92</v>
      </c>
      <c r="E4061" t="s">
        <v>8</v>
      </c>
      <c r="F4061" t="s">
        <v>125</v>
      </c>
      <c r="G4061" t="s">
        <v>143</v>
      </c>
      <c r="H4061" t="s">
        <v>21</v>
      </c>
      <c r="I4061" t="e">
        <f t="shared" ca="1" si="317"/>
        <v>#REF!</v>
      </c>
      <c r="J4061" t="str">
        <f>VLOOKUP($G4061,DefinitionArrays!$I$6:$J$12,2,FALSE)</f>
        <v>Workweek</v>
      </c>
    </row>
    <row r="4062" spans="1:10">
      <c r="A4062" s="159" t="str">
        <f t="shared" si="318"/>
        <v>$H$1:$H$92</v>
      </c>
      <c r="B4062" s="159" t="str">
        <f t="shared" si="319"/>
        <v>$I$1:$I$92</v>
      </c>
      <c r="C4062" s="159" t="str">
        <f t="shared" si="320"/>
        <v>June!$H$1:$H$92</v>
      </c>
      <c r="D4062" s="159" t="str">
        <f t="shared" si="321"/>
        <v>June!$I$1:$I$92</v>
      </c>
      <c r="E4062" t="s">
        <v>8</v>
      </c>
      <c r="F4062" t="s">
        <v>125</v>
      </c>
      <c r="G4062" t="s">
        <v>143</v>
      </c>
      <c r="H4062" t="s">
        <v>22</v>
      </c>
      <c r="I4062" t="e">
        <f t="shared" ca="1" si="317"/>
        <v>#REF!</v>
      </c>
      <c r="J4062" t="str">
        <f>VLOOKUP($G4062,DefinitionArrays!$I$6:$J$12,2,FALSE)</f>
        <v>Workweek</v>
      </c>
    </row>
    <row r="4063" spans="1:10">
      <c r="A4063" s="159" t="str">
        <f t="shared" si="318"/>
        <v>$H$1:$H$92</v>
      </c>
      <c r="B4063" s="159" t="str">
        <f t="shared" si="319"/>
        <v>$I$1:$I$92</v>
      </c>
      <c r="C4063" s="159" t="str">
        <f t="shared" si="320"/>
        <v>June!$H$1:$H$92</v>
      </c>
      <c r="D4063" s="159" t="str">
        <f t="shared" si="321"/>
        <v>June!$I$1:$I$92</v>
      </c>
      <c r="E4063" t="s">
        <v>8</v>
      </c>
      <c r="F4063" t="s">
        <v>125</v>
      </c>
      <c r="G4063" t="s">
        <v>143</v>
      </c>
      <c r="H4063" t="s">
        <v>23</v>
      </c>
      <c r="I4063" t="e">
        <f t="shared" ca="1" si="317"/>
        <v>#REF!</v>
      </c>
      <c r="J4063" t="str">
        <f>VLOOKUP($G4063,DefinitionArrays!$I$6:$J$12,2,FALSE)</f>
        <v>Workweek</v>
      </c>
    </row>
    <row r="4064" spans="1:10">
      <c r="A4064" s="159" t="str">
        <f t="shared" si="318"/>
        <v>$H$1:$H$92</v>
      </c>
      <c r="B4064" s="159" t="str">
        <f t="shared" si="319"/>
        <v>$I$1:$I$92</v>
      </c>
      <c r="C4064" s="159" t="str">
        <f t="shared" si="320"/>
        <v>June!$H$1:$H$92</v>
      </c>
      <c r="D4064" s="159" t="str">
        <f t="shared" si="321"/>
        <v>June!$I$1:$I$92</v>
      </c>
      <c r="E4064" t="s">
        <v>8</v>
      </c>
      <c r="F4064" t="s">
        <v>125</v>
      </c>
      <c r="G4064" t="s">
        <v>143</v>
      </c>
      <c r="H4064" t="s">
        <v>24</v>
      </c>
      <c r="I4064" t="e">
        <f t="shared" ca="1" si="317"/>
        <v>#REF!</v>
      </c>
      <c r="J4064" t="str">
        <f>VLOOKUP($G4064,DefinitionArrays!$I$6:$J$12,2,FALSE)</f>
        <v>Workweek</v>
      </c>
    </row>
    <row r="4065" spans="1:10">
      <c r="A4065" s="159" t="str">
        <f t="shared" si="318"/>
        <v>$H$1:$H$92</v>
      </c>
      <c r="B4065" s="159" t="str">
        <f t="shared" si="319"/>
        <v>$I$1:$I$92</v>
      </c>
      <c r="C4065" s="159" t="str">
        <f t="shared" si="320"/>
        <v>June!$H$1:$H$92</v>
      </c>
      <c r="D4065" s="159" t="str">
        <f t="shared" si="321"/>
        <v>June!$I$1:$I$92</v>
      </c>
      <c r="E4065" t="s">
        <v>8</v>
      </c>
      <c r="F4065" t="s">
        <v>125</v>
      </c>
      <c r="G4065" t="s">
        <v>143</v>
      </c>
      <c r="H4065" t="s">
        <v>179</v>
      </c>
      <c r="I4065" t="e">
        <f t="shared" ca="1" si="317"/>
        <v>#REF!</v>
      </c>
      <c r="J4065" t="str">
        <f>VLOOKUP($G4065,DefinitionArrays!$I$6:$J$12,2,FALSE)</f>
        <v>Workweek</v>
      </c>
    </row>
    <row r="4066" spans="1:10">
      <c r="A4066" s="159" t="str">
        <f t="shared" si="318"/>
        <v>$H$1:$H$92</v>
      </c>
      <c r="B4066" s="159" t="str">
        <f t="shared" si="319"/>
        <v>$I$1:$I$92</v>
      </c>
      <c r="C4066" s="159" t="str">
        <f t="shared" si="320"/>
        <v>June!$H$1:$H$92</v>
      </c>
      <c r="D4066" s="159" t="str">
        <f t="shared" si="321"/>
        <v>June!$I$1:$I$92</v>
      </c>
      <c r="E4066" t="s">
        <v>8</v>
      </c>
      <c r="F4066" t="s">
        <v>125</v>
      </c>
      <c r="G4066" t="s">
        <v>143</v>
      </c>
      <c r="H4066" t="s">
        <v>180</v>
      </c>
      <c r="I4066" t="e">
        <f t="shared" ca="1" si="317"/>
        <v>#REF!</v>
      </c>
      <c r="J4066" t="str">
        <f>VLOOKUP($G4066,DefinitionArrays!$I$6:$J$12,2,FALSE)</f>
        <v>Workweek</v>
      </c>
    </row>
    <row r="4067" spans="1:10">
      <c r="A4067" s="159" t="str">
        <f t="shared" si="318"/>
        <v>$H$1:$H$92</v>
      </c>
      <c r="B4067" s="159" t="str">
        <f t="shared" si="319"/>
        <v>$I$1:$I$92</v>
      </c>
      <c r="C4067" s="159" t="str">
        <f t="shared" si="320"/>
        <v>June!$H$1:$H$92</v>
      </c>
      <c r="D4067" s="159" t="str">
        <f t="shared" si="321"/>
        <v>June!$I$1:$I$92</v>
      </c>
      <c r="E4067" t="s">
        <v>8</v>
      </c>
      <c r="F4067" t="s">
        <v>125</v>
      </c>
      <c r="G4067" t="s">
        <v>143</v>
      </c>
      <c r="H4067" t="s">
        <v>44</v>
      </c>
      <c r="I4067" t="e">
        <f t="shared" ca="1" si="317"/>
        <v>#REF!</v>
      </c>
      <c r="J4067" t="str">
        <f>VLOOKUP($G4067,DefinitionArrays!$I$6:$J$12,2,FALSE)</f>
        <v>Workweek</v>
      </c>
    </row>
    <row r="4068" spans="1:10">
      <c r="A4068" s="159" t="str">
        <f t="shared" si="318"/>
        <v>$K$1:$K$92</v>
      </c>
      <c r="B4068" s="159" t="str">
        <f t="shared" si="319"/>
        <v>$L$1:$L$92</v>
      </c>
      <c r="C4068" s="159" t="str">
        <f t="shared" si="320"/>
        <v>June!$K$1:$K$92</v>
      </c>
      <c r="D4068" s="159" t="str">
        <f t="shared" si="321"/>
        <v>June!$L$1:$L$92</v>
      </c>
      <c r="E4068" t="s">
        <v>8</v>
      </c>
      <c r="F4068" t="s">
        <v>125</v>
      </c>
      <c r="G4068" t="s">
        <v>144</v>
      </c>
      <c r="H4068" t="s">
        <v>159</v>
      </c>
      <c r="I4068" t="e">
        <f t="shared" ca="1" si="317"/>
        <v>#REF!</v>
      </c>
      <c r="J4068" t="str">
        <f>VLOOKUP($G4068,DefinitionArrays!$I$6:$J$12,2,FALSE)</f>
        <v>Workweek</v>
      </c>
    </row>
    <row r="4069" spans="1:10">
      <c r="A4069" s="159" t="str">
        <f t="shared" si="318"/>
        <v>$K$1:$K$92</v>
      </c>
      <c r="B4069" s="159" t="str">
        <f t="shared" si="319"/>
        <v>$L$1:$L$92</v>
      </c>
      <c r="C4069" s="159" t="str">
        <f t="shared" si="320"/>
        <v>June!$K$1:$K$92</v>
      </c>
      <c r="D4069" s="159" t="str">
        <f t="shared" si="321"/>
        <v>June!$L$1:$L$92</v>
      </c>
      <c r="E4069" t="s">
        <v>8</v>
      </c>
      <c r="F4069" t="s">
        <v>125</v>
      </c>
      <c r="G4069" t="s">
        <v>144</v>
      </c>
      <c r="H4069" t="s">
        <v>18</v>
      </c>
      <c r="I4069" t="e">
        <f t="shared" ca="1" si="317"/>
        <v>#REF!</v>
      </c>
      <c r="J4069" t="str">
        <f>VLOOKUP($G4069,DefinitionArrays!$I$6:$J$12,2,FALSE)</f>
        <v>Workweek</v>
      </c>
    </row>
    <row r="4070" spans="1:10">
      <c r="A4070" s="159" t="str">
        <f t="shared" si="318"/>
        <v>$K$1:$K$92</v>
      </c>
      <c r="B4070" s="159" t="str">
        <f t="shared" si="319"/>
        <v>$L$1:$L$92</v>
      </c>
      <c r="C4070" s="159" t="str">
        <f t="shared" si="320"/>
        <v>June!$K$1:$K$92</v>
      </c>
      <c r="D4070" s="159" t="str">
        <f t="shared" si="321"/>
        <v>June!$L$1:$L$92</v>
      </c>
      <c r="E4070" t="s">
        <v>8</v>
      </c>
      <c r="F4070" t="s">
        <v>125</v>
      </c>
      <c r="G4070" t="s">
        <v>144</v>
      </c>
      <c r="H4070" t="s">
        <v>153</v>
      </c>
      <c r="I4070" t="e">
        <f t="shared" ca="1" si="317"/>
        <v>#REF!</v>
      </c>
      <c r="J4070" t="str">
        <f>VLOOKUP($G4070,DefinitionArrays!$I$6:$J$12,2,FALSE)</f>
        <v>Workweek</v>
      </c>
    </row>
    <row r="4071" spans="1:10">
      <c r="A4071" s="159" t="str">
        <f t="shared" si="318"/>
        <v>$K$1:$K$92</v>
      </c>
      <c r="B4071" s="159" t="str">
        <f t="shared" si="319"/>
        <v>$L$1:$L$92</v>
      </c>
      <c r="C4071" s="159" t="str">
        <f t="shared" si="320"/>
        <v>June!$K$1:$K$92</v>
      </c>
      <c r="D4071" s="159" t="str">
        <f t="shared" si="321"/>
        <v>June!$L$1:$L$92</v>
      </c>
      <c r="E4071" t="s">
        <v>8</v>
      </c>
      <c r="F4071" t="s">
        <v>125</v>
      </c>
      <c r="G4071" t="s">
        <v>144</v>
      </c>
      <c r="H4071" t="s">
        <v>19</v>
      </c>
      <c r="I4071" t="e">
        <f t="shared" ca="1" si="317"/>
        <v>#REF!</v>
      </c>
      <c r="J4071" t="str">
        <f>VLOOKUP($G4071,DefinitionArrays!$I$6:$J$12,2,FALSE)</f>
        <v>Workweek</v>
      </c>
    </row>
    <row r="4072" spans="1:10">
      <c r="A4072" s="159" t="str">
        <f t="shared" si="318"/>
        <v>$K$1:$K$92</v>
      </c>
      <c r="B4072" s="159" t="str">
        <f t="shared" si="319"/>
        <v>$L$1:$L$92</v>
      </c>
      <c r="C4072" s="159" t="str">
        <f t="shared" si="320"/>
        <v>June!$K$1:$K$92</v>
      </c>
      <c r="D4072" s="159" t="str">
        <f t="shared" si="321"/>
        <v>June!$L$1:$L$92</v>
      </c>
      <c r="E4072" t="s">
        <v>8</v>
      </c>
      <c r="F4072" t="s">
        <v>125</v>
      </c>
      <c r="G4072" t="s">
        <v>144</v>
      </c>
      <c r="H4072" t="s">
        <v>20</v>
      </c>
      <c r="I4072" t="e">
        <f t="shared" ca="1" si="317"/>
        <v>#REF!</v>
      </c>
      <c r="J4072" t="str">
        <f>VLOOKUP($G4072,DefinitionArrays!$I$6:$J$12,2,FALSE)</f>
        <v>Workweek</v>
      </c>
    </row>
    <row r="4073" spans="1:10">
      <c r="A4073" s="159" t="str">
        <f t="shared" si="318"/>
        <v>$K$1:$K$92</v>
      </c>
      <c r="B4073" s="159" t="str">
        <f t="shared" si="319"/>
        <v>$L$1:$L$92</v>
      </c>
      <c r="C4073" s="159" t="str">
        <f t="shared" si="320"/>
        <v>June!$K$1:$K$92</v>
      </c>
      <c r="D4073" s="159" t="str">
        <f t="shared" si="321"/>
        <v>June!$L$1:$L$92</v>
      </c>
      <c r="E4073" t="s">
        <v>8</v>
      </c>
      <c r="F4073" t="s">
        <v>125</v>
      </c>
      <c r="G4073" t="s">
        <v>144</v>
      </c>
      <c r="H4073" t="s">
        <v>21</v>
      </c>
      <c r="I4073" t="e">
        <f t="shared" ca="1" si="317"/>
        <v>#REF!</v>
      </c>
      <c r="J4073" t="str">
        <f>VLOOKUP($G4073,DefinitionArrays!$I$6:$J$12,2,FALSE)</f>
        <v>Workweek</v>
      </c>
    </row>
    <row r="4074" spans="1:10">
      <c r="A4074" s="159" t="str">
        <f t="shared" si="318"/>
        <v>$K$1:$K$92</v>
      </c>
      <c r="B4074" s="159" t="str">
        <f t="shared" si="319"/>
        <v>$L$1:$L$92</v>
      </c>
      <c r="C4074" s="159" t="str">
        <f t="shared" si="320"/>
        <v>June!$K$1:$K$92</v>
      </c>
      <c r="D4074" s="159" t="str">
        <f t="shared" si="321"/>
        <v>June!$L$1:$L$92</v>
      </c>
      <c r="E4074" t="s">
        <v>8</v>
      </c>
      <c r="F4074" t="s">
        <v>125</v>
      </c>
      <c r="G4074" t="s">
        <v>144</v>
      </c>
      <c r="H4074" t="s">
        <v>22</v>
      </c>
      <c r="I4074" t="e">
        <f t="shared" ca="1" si="317"/>
        <v>#REF!</v>
      </c>
      <c r="J4074" t="str">
        <f>VLOOKUP($G4074,DefinitionArrays!$I$6:$J$12,2,FALSE)</f>
        <v>Workweek</v>
      </c>
    </row>
    <row r="4075" spans="1:10">
      <c r="A4075" s="159" t="str">
        <f t="shared" si="318"/>
        <v>$K$1:$K$92</v>
      </c>
      <c r="B4075" s="159" t="str">
        <f t="shared" si="319"/>
        <v>$L$1:$L$92</v>
      </c>
      <c r="C4075" s="159" t="str">
        <f t="shared" si="320"/>
        <v>June!$K$1:$K$92</v>
      </c>
      <c r="D4075" s="159" t="str">
        <f t="shared" si="321"/>
        <v>June!$L$1:$L$92</v>
      </c>
      <c r="E4075" t="s">
        <v>8</v>
      </c>
      <c r="F4075" t="s">
        <v>125</v>
      </c>
      <c r="G4075" t="s">
        <v>144</v>
      </c>
      <c r="H4075" t="s">
        <v>23</v>
      </c>
      <c r="I4075" t="e">
        <f t="shared" ca="1" si="317"/>
        <v>#REF!</v>
      </c>
      <c r="J4075" t="str">
        <f>VLOOKUP($G4075,DefinitionArrays!$I$6:$J$12,2,FALSE)</f>
        <v>Workweek</v>
      </c>
    </row>
    <row r="4076" spans="1:10">
      <c r="A4076" s="159" t="str">
        <f t="shared" si="318"/>
        <v>$K$1:$K$92</v>
      </c>
      <c r="B4076" s="159" t="str">
        <f t="shared" si="319"/>
        <v>$L$1:$L$92</v>
      </c>
      <c r="C4076" s="159" t="str">
        <f t="shared" si="320"/>
        <v>June!$K$1:$K$92</v>
      </c>
      <c r="D4076" s="159" t="str">
        <f t="shared" si="321"/>
        <v>June!$L$1:$L$92</v>
      </c>
      <c r="E4076" t="s">
        <v>8</v>
      </c>
      <c r="F4076" t="s">
        <v>125</v>
      </c>
      <c r="G4076" t="s">
        <v>144</v>
      </c>
      <c r="H4076" t="s">
        <v>24</v>
      </c>
      <c r="I4076" t="e">
        <f t="shared" ca="1" si="317"/>
        <v>#REF!</v>
      </c>
      <c r="J4076" t="str">
        <f>VLOOKUP($G4076,DefinitionArrays!$I$6:$J$12,2,FALSE)</f>
        <v>Workweek</v>
      </c>
    </row>
    <row r="4077" spans="1:10">
      <c r="A4077" s="159" t="str">
        <f t="shared" si="318"/>
        <v>$K$1:$K$92</v>
      </c>
      <c r="B4077" s="159" t="str">
        <f t="shared" si="319"/>
        <v>$L$1:$L$92</v>
      </c>
      <c r="C4077" s="159" t="str">
        <f t="shared" si="320"/>
        <v>June!$K$1:$K$92</v>
      </c>
      <c r="D4077" s="159" t="str">
        <f t="shared" si="321"/>
        <v>June!$L$1:$L$92</v>
      </c>
      <c r="E4077" t="s">
        <v>8</v>
      </c>
      <c r="F4077" t="s">
        <v>125</v>
      </c>
      <c r="G4077" t="s">
        <v>144</v>
      </c>
      <c r="H4077" t="s">
        <v>179</v>
      </c>
      <c r="I4077" t="e">
        <f t="shared" ca="1" si="317"/>
        <v>#REF!</v>
      </c>
      <c r="J4077" t="str">
        <f>VLOOKUP($G4077,DefinitionArrays!$I$6:$J$12,2,FALSE)</f>
        <v>Workweek</v>
      </c>
    </row>
    <row r="4078" spans="1:10">
      <c r="A4078" s="159" t="str">
        <f t="shared" si="318"/>
        <v>$K$1:$K$92</v>
      </c>
      <c r="B4078" s="159" t="str">
        <f t="shared" si="319"/>
        <v>$L$1:$L$92</v>
      </c>
      <c r="C4078" s="159" t="str">
        <f t="shared" si="320"/>
        <v>June!$K$1:$K$92</v>
      </c>
      <c r="D4078" s="159" t="str">
        <f t="shared" si="321"/>
        <v>June!$L$1:$L$92</v>
      </c>
      <c r="E4078" t="s">
        <v>8</v>
      </c>
      <c r="F4078" t="s">
        <v>125</v>
      </c>
      <c r="G4078" t="s">
        <v>144</v>
      </c>
      <c r="H4078" t="s">
        <v>180</v>
      </c>
      <c r="I4078" t="e">
        <f t="shared" ca="1" si="317"/>
        <v>#REF!</v>
      </c>
      <c r="J4078" t="str">
        <f>VLOOKUP($G4078,DefinitionArrays!$I$6:$J$12,2,FALSE)</f>
        <v>Workweek</v>
      </c>
    </row>
    <row r="4079" spans="1:10">
      <c r="A4079" s="159" t="str">
        <f t="shared" si="318"/>
        <v>$K$1:$K$92</v>
      </c>
      <c r="B4079" s="159" t="str">
        <f t="shared" si="319"/>
        <v>$L$1:$L$92</v>
      </c>
      <c r="C4079" s="159" t="str">
        <f t="shared" si="320"/>
        <v>June!$K$1:$K$92</v>
      </c>
      <c r="D4079" s="159" t="str">
        <f t="shared" si="321"/>
        <v>June!$L$1:$L$92</v>
      </c>
      <c r="E4079" t="s">
        <v>8</v>
      </c>
      <c r="F4079" t="s">
        <v>125</v>
      </c>
      <c r="G4079" t="s">
        <v>144</v>
      </c>
      <c r="H4079" t="s">
        <v>44</v>
      </c>
      <c r="I4079" t="e">
        <f t="shared" ca="1" si="317"/>
        <v>#REF!</v>
      </c>
      <c r="J4079" t="str">
        <f>VLOOKUP($G4079,DefinitionArrays!$I$6:$J$12,2,FALSE)</f>
        <v>Workweek</v>
      </c>
    </row>
    <row r="4080" spans="1:10">
      <c r="A4080" s="159" t="str">
        <f t="shared" si="318"/>
        <v>$N$1:$N$92</v>
      </c>
      <c r="B4080" s="159" t="str">
        <f t="shared" si="319"/>
        <v>$O$1:$O$92</v>
      </c>
      <c r="C4080" s="159" t="str">
        <f t="shared" si="320"/>
        <v>June!$N$1:$N$92</v>
      </c>
      <c r="D4080" s="159" t="str">
        <f t="shared" si="321"/>
        <v>June!$O$1:$O$92</v>
      </c>
      <c r="E4080" t="s">
        <v>8</v>
      </c>
      <c r="F4080" t="s">
        <v>125</v>
      </c>
      <c r="G4080" t="s">
        <v>145</v>
      </c>
      <c r="H4080" t="s">
        <v>159</v>
      </c>
      <c r="I4080" t="e">
        <f t="shared" ca="1" si="317"/>
        <v>#REF!</v>
      </c>
      <c r="J4080" t="str">
        <f>VLOOKUP($G4080,DefinitionArrays!$I$6:$J$12,2,FALSE)</f>
        <v>Weekend</v>
      </c>
    </row>
    <row r="4081" spans="1:10">
      <c r="A4081" s="159" t="str">
        <f t="shared" si="318"/>
        <v>$N$1:$N$92</v>
      </c>
      <c r="B4081" s="159" t="str">
        <f t="shared" si="319"/>
        <v>$O$1:$O$92</v>
      </c>
      <c r="C4081" s="159" t="str">
        <f t="shared" si="320"/>
        <v>June!$N$1:$N$92</v>
      </c>
      <c r="D4081" s="159" t="str">
        <f t="shared" si="321"/>
        <v>June!$O$1:$O$92</v>
      </c>
      <c r="E4081" t="s">
        <v>8</v>
      </c>
      <c r="F4081" t="s">
        <v>125</v>
      </c>
      <c r="G4081" t="s">
        <v>145</v>
      </c>
      <c r="H4081" t="s">
        <v>18</v>
      </c>
      <c r="I4081" t="e">
        <f t="shared" ca="1" si="317"/>
        <v>#REF!</v>
      </c>
      <c r="J4081" t="str">
        <f>VLOOKUP($G4081,DefinitionArrays!$I$6:$J$12,2,FALSE)</f>
        <v>Weekend</v>
      </c>
    </row>
    <row r="4082" spans="1:10">
      <c r="A4082" s="159" t="str">
        <f t="shared" si="318"/>
        <v>$N$1:$N$92</v>
      </c>
      <c r="B4082" s="159" t="str">
        <f t="shared" si="319"/>
        <v>$O$1:$O$92</v>
      </c>
      <c r="C4082" s="159" t="str">
        <f t="shared" si="320"/>
        <v>June!$N$1:$N$92</v>
      </c>
      <c r="D4082" s="159" t="str">
        <f t="shared" si="321"/>
        <v>June!$O$1:$O$92</v>
      </c>
      <c r="E4082" t="s">
        <v>8</v>
      </c>
      <c r="F4082" t="s">
        <v>125</v>
      </c>
      <c r="G4082" t="s">
        <v>145</v>
      </c>
      <c r="H4082" t="s">
        <v>153</v>
      </c>
      <c r="I4082" t="e">
        <f t="shared" ca="1" si="317"/>
        <v>#REF!</v>
      </c>
      <c r="J4082" t="str">
        <f>VLOOKUP($G4082,DefinitionArrays!$I$6:$J$12,2,FALSE)</f>
        <v>Weekend</v>
      </c>
    </row>
    <row r="4083" spans="1:10">
      <c r="A4083" s="159" t="str">
        <f t="shared" si="318"/>
        <v>$N$1:$N$92</v>
      </c>
      <c r="B4083" s="159" t="str">
        <f t="shared" si="319"/>
        <v>$O$1:$O$92</v>
      </c>
      <c r="C4083" s="159" t="str">
        <f t="shared" si="320"/>
        <v>June!$N$1:$N$92</v>
      </c>
      <c r="D4083" s="159" t="str">
        <f t="shared" si="321"/>
        <v>June!$O$1:$O$92</v>
      </c>
      <c r="E4083" t="s">
        <v>8</v>
      </c>
      <c r="F4083" t="s">
        <v>125</v>
      </c>
      <c r="G4083" t="s">
        <v>145</v>
      </c>
      <c r="H4083" t="s">
        <v>19</v>
      </c>
      <c r="I4083" t="e">
        <f t="shared" ca="1" si="317"/>
        <v>#REF!</v>
      </c>
      <c r="J4083" t="str">
        <f>VLOOKUP($G4083,DefinitionArrays!$I$6:$J$12,2,FALSE)</f>
        <v>Weekend</v>
      </c>
    </row>
    <row r="4084" spans="1:10">
      <c r="A4084" s="159" t="str">
        <f t="shared" si="318"/>
        <v>$N$1:$N$92</v>
      </c>
      <c r="B4084" s="159" t="str">
        <f t="shared" si="319"/>
        <v>$O$1:$O$92</v>
      </c>
      <c r="C4084" s="159" t="str">
        <f t="shared" si="320"/>
        <v>June!$N$1:$N$92</v>
      </c>
      <c r="D4084" s="159" t="str">
        <f t="shared" si="321"/>
        <v>June!$O$1:$O$92</v>
      </c>
      <c r="E4084" t="s">
        <v>8</v>
      </c>
      <c r="F4084" t="s">
        <v>125</v>
      </c>
      <c r="G4084" t="s">
        <v>145</v>
      </c>
      <c r="H4084" t="s">
        <v>20</v>
      </c>
      <c r="I4084" t="e">
        <f t="shared" ca="1" si="317"/>
        <v>#REF!</v>
      </c>
      <c r="J4084" t="str">
        <f>VLOOKUP($G4084,DefinitionArrays!$I$6:$J$12,2,FALSE)</f>
        <v>Weekend</v>
      </c>
    </row>
    <row r="4085" spans="1:10">
      <c r="A4085" s="159" t="str">
        <f t="shared" si="318"/>
        <v>$N$1:$N$92</v>
      </c>
      <c r="B4085" s="159" t="str">
        <f t="shared" si="319"/>
        <v>$O$1:$O$92</v>
      </c>
      <c r="C4085" s="159" t="str">
        <f t="shared" si="320"/>
        <v>June!$N$1:$N$92</v>
      </c>
      <c r="D4085" s="159" t="str">
        <f t="shared" si="321"/>
        <v>June!$O$1:$O$92</v>
      </c>
      <c r="E4085" t="s">
        <v>8</v>
      </c>
      <c r="F4085" t="s">
        <v>125</v>
      </c>
      <c r="G4085" t="s">
        <v>145</v>
      </c>
      <c r="H4085" t="s">
        <v>21</v>
      </c>
      <c r="I4085" t="e">
        <f t="shared" ca="1" si="317"/>
        <v>#REF!</v>
      </c>
      <c r="J4085" t="str">
        <f>VLOOKUP($G4085,DefinitionArrays!$I$6:$J$12,2,FALSE)</f>
        <v>Weekend</v>
      </c>
    </row>
    <row r="4086" spans="1:10">
      <c r="A4086" s="159" t="str">
        <f t="shared" si="318"/>
        <v>$N$1:$N$92</v>
      </c>
      <c r="B4086" s="159" t="str">
        <f t="shared" si="319"/>
        <v>$O$1:$O$92</v>
      </c>
      <c r="C4086" s="159" t="str">
        <f t="shared" si="320"/>
        <v>June!$N$1:$N$92</v>
      </c>
      <c r="D4086" s="159" t="str">
        <f t="shared" si="321"/>
        <v>June!$O$1:$O$92</v>
      </c>
      <c r="E4086" t="s">
        <v>8</v>
      </c>
      <c r="F4086" t="s">
        <v>125</v>
      </c>
      <c r="G4086" t="s">
        <v>145</v>
      </c>
      <c r="H4086" t="s">
        <v>22</v>
      </c>
      <c r="I4086" t="e">
        <f t="shared" ca="1" si="317"/>
        <v>#REF!</v>
      </c>
      <c r="J4086" t="str">
        <f>VLOOKUP($G4086,DefinitionArrays!$I$6:$J$12,2,FALSE)</f>
        <v>Weekend</v>
      </c>
    </row>
    <row r="4087" spans="1:10">
      <c r="A4087" s="159" t="str">
        <f t="shared" si="318"/>
        <v>$N$1:$N$92</v>
      </c>
      <c r="B4087" s="159" t="str">
        <f t="shared" si="319"/>
        <v>$O$1:$O$92</v>
      </c>
      <c r="C4087" s="159" t="str">
        <f t="shared" si="320"/>
        <v>June!$N$1:$N$92</v>
      </c>
      <c r="D4087" s="159" t="str">
        <f t="shared" si="321"/>
        <v>June!$O$1:$O$92</v>
      </c>
      <c r="E4087" t="s">
        <v>8</v>
      </c>
      <c r="F4087" t="s">
        <v>125</v>
      </c>
      <c r="G4087" t="s">
        <v>145</v>
      </c>
      <c r="H4087" t="s">
        <v>23</v>
      </c>
      <c r="I4087" t="e">
        <f t="shared" ca="1" si="317"/>
        <v>#REF!</v>
      </c>
      <c r="J4087" t="str">
        <f>VLOOKUP($G4087,DefinitionArrays!$I$6:$J$12,2,FALSE)</f>
        <v>Weekend</v>
      </c>
    </row>
    <row r="4088" spans="1:10">
      <c r="A4088" s="159" t="str">
        <f t="shared" si="318"/>
        <v>$N$1:$N$92</v>
      </c>
      <c r="B4088" s="159" t="str">
        <f t="shared" si="319"/>
        <v>$O$1:$O$92</v>
      </c>
      <c r="C4088" s="159" t="str">
        <f t="shared" si="320"/>
        <v>June!$N$1:$N$92</v>
      </c>
      <c r="D4088" s="159" t="str">
        <f t="shared" si="321"/>
        <v>June!$O$1:$O$92</v>
      </c>
      <c r="E4088" t="s">
        <v>8</v>
      </c>
      <c r="F4088" t="s">
        <v>125</v>
      </c>
      <c r="G4088" t="s">
        <v>145</v>
      </c>
      <c r="H4088" t="s">
        <v>24</v>
      </c>
      <c r="I4088" t="e">
        <f t="shared" ca="1" si="317"/>
        <v>#REF!</v>
      </c>
      <c r="J4088" t="str">
        <f>VLOOKUP($G4088,DefinitionArrays!$I$6:$J$12,2,FALSE)</f>
        <v>Weekend</v>
      </c>
    </row>
    <row r="4089" spans="1:10">
      <c r="A4089" s="159" t="str">
        <f t="shared" si="318"/>
        <v>$N$1:$N$92</v>
      </c>
      <c r="B4089" s="159" t="str">
        <f t="shared" si="319"/>
        <v>$O$1:$O$92</v>
      </c>
      <c r="C4089" s="159" t="str">
        <f t="shared" si="320"/>
        <v>June!$N$1:$N$92</v>
      </c>
      <c r="D4089" s="159" t="str">
        <f t="shared" si="321"/>
        <v>June!$O$1:$O$92</v>
      </c>
      <c r="E4089" t="s">
        <v>8</v>
      </c>
      <c r="F4089" t="s">
        <v>125</v>
      </c>
      <c r="G4089" t="s">
        <v>145</v>
      </c>
      <c r="H4089" t="s">
        <v>179</v>
      </c>
      <c r="I4089" t="e">
        <f t="shared" ca="1" si="317"/>
        <v>#REF!</v>
      </c>
      <c r="J4089" t="str">
        <f>VLOOKUP($G4089,DefinitionArrays!$I$6:$J$12,2,FALSE)</f>
        <v>Weekend</v>
      </c>
    </row>
    <row r="4090" spans="1:10">
      <c r="A4090" s="159" t="str">
        <f t="shared" si="318"/>
        <v>$N$1:$N$92</v>
      </c>
      <c r="B4090" s="159" t="str">
        <f t="shared" si="319"/>
        <v>$O$1:$O$92</v>
      </c>
      <c r="C4090" s="159" t="str">
        <f t="shared" si="320"/>
        <v>June!$N$1:$N$92</v>
      </c>
      <c r="D4090" s="159" t="str">
        <f t="shared" si="321"/>
        <v>June!$O$1:$O$92</v>
      </c>
      <c r="E4090" t="s">
        <v>8</v>
      </c>
      <c r="F4090" t="s">
        <v>125</v>
      </c>
      <c r="G4090" t="s">
        <v>145</v>
      </c>
      <c r="H4090" t="s">
        <v>180</v>
      </c>
      <c r="I4090" t="e">
        <f t="shared" ca="1" si="317"/>
        <v>#REF!</v>
      </c>
      <c r="J4090" t="str">
        <f>VLOOKUP($G4090,DefinitionArrays!$I$6:$J$12,2,FALSE)</f>
        <v>Weekend</v>
      </c>
    </row>
    <row r="4091" spans="1:10">
      <c r="A4091" s="159" t="str">
        <f t="shared" si="318"/>
        <v>$N$1:$N$92</v>
      </c>
      <c r="B4091" s="159" t="str">
        <f t="shared" si="319"/>
        <v>$O$1:$O$92</v>
      </c>
      <c r="C4091" s="159" t="str">
        <f t="shared" si="320"/>
        <v>June!$N$1:$N$92</v>
      </c>
      <c r="D4091" s="159" t="str">
        <f t="shared" si="321"/>
        <v>June!$O$1:$O$92</v>
      </c>
      <c r="E4091" t="s">
        <v>8</v>
      </c>
      <c r="F4091" t="s">
        <v>125</v>
      </c>
      <c r="G4091" t="s">
        <v>145</v>
      </c>
      <c r="H4091" t="s">
        <v>44</v>
      </c>
      <c r="I4091" t="e">
        <f t="shared" ca="1" si="317"/>
        <v>#REF!</v>
      </c>
      <c r="J4091" t="str">
        <f>VLOOKUP($G4091,DefinitionArrays!$I$6:$J$12,2,FALSE)</f>
        <v>Weekend</v>
      </c>
    </row>
    <row r="4092" spans="1:10">
      <c r="A4092" s="159" t="str">
        <f t="shared" si="318"/>
        <v>$Q$1:$Q$92</v>
      </c>
      <c r="B4092" s="159" t="str">
        <f t="shared" si="319"/>
        <v>$R$1:$R$92</v>
      </c>
      <c r="C4092" s="159" t="str">
        <f t="shared" si="320"/>
        <v>June!$Q$1:$Q$92</v>
      </c>
      <c r="D4092" s="159" t="str">
        <f t="shared" si="321"/>
        <v>June!$R$1:$R$92</v>
      </c>
      <c r="E4092" t="s">
        <v>8</v>
      </c>
      <c r="F4092" t="s">
        <v>125</v>
      </c>
      <c r="G4092" t="s">
        <v>146</v>
      </c>
      <c r="H4092" t="s">
        <v>159</v>
      </c>
      <c r="I4092" t="e">
        <f t="shared" ca="1" si="317"/>
        <v>#REF!</v>
      </c>
      <c r="J4092" t="str">
        <f>VLOOKUP($G4092,DefinitionArrays!$I$6:$J$12,2,FALSE)</f>
        <v>Weekend</v>
      </c>
    </row>
    <row r="4093" spans="1:10">
      <c r="A4093" s="159" t="str">
        <f t="shared" si="318"/>
        <v>$T$1:$T$92</v>
      </c>
      <c r="B4093" s="159" t="str">
        <f t="shared" si="319"/>
        <v>$U$1:$U$92</v>
      </c>
      <c r="C4093" s="159" t="str">
        <f t="shared" si="320"/>
        <v>June!$T$1:$T$92</v>
      </c>
      <c r="D4093" s="159" t="str">
        <f t="shared" si="321"/>
        <v>June!$U$1:$U$92</v>
      </c>
      <c r="E4093" t="s">
        <v>8</v>
      </c>
      <c r="F4093" t="s">
        <v>125</v>
      </c>
      <c r="G4093" t="s">
        <v>141</v>
      </c>
      <c r="H4093" t="s">
        <v>159</v>
      </c>
      <c r="I4093" t="e">
        <f t="shared" ca="1" si="317"/>
        <v>#REF!</v>
      </c>
      <c r="J4093" t="str">
        <f>VLOOKUP($G4093,DefinitionArrays!$I$6:$J$12,2,FALSE)</f>
        <v>Weekend</v>
      </c>
    </row>
    <row r="4094" spans="1:10">
      <c r="A4094" s="159" t="str">
        <f t="shared" si="318"/>
        <v>$B$1:$B$92</v>
      </c>
      <c r="B4094" s="159" t="str">
        <f t="shared" si="319"/>
        <v>$C$1:$C$92</v>
      </c>
      <c r="C4094" s="159" t="str">
        <f t="shared" si="320"/>
        <v>July!$B$1:$B$92</v>
      </c>
      <c r="D4094" s="159" t="str">
        <f t="shared" si="321"/>
        <v>July!$C$1:$C$92</v>
      </c>
      <c r="E4094" t="s">
        <v>8</v>
      </c>
      <c r="F4094" t="s">
        <v>126</v>
      </c>
      <c r="G4094" t="s">
        <v>13</v>
      </c>
      <c r="H4094" t="s">
        <v>159</v>
      </c>
      <c r="I4094" t="e">
        <f ca="1">COUNTIFS(INDIRECT($C4094),$E4094,INDIRECT($D4094),$H4094)</f>
        <v>#REF!</v>
      </c>
      <c r="J4094" t="str">
        <f>VLOOKUP($G4094,DefinitionArrays!$I$6:$J$12,2,FALSE)</f>
        <v>Workweek</v>
      </c>
    </row>
    <row r="4095" spans="1:10">
      <c r="A4095" s="159" t="str">
        <f t="shared" si="318"/>
        <v>$B$1:$B$92</v>
      </c>
      <c r="B4095" s="159" t="str">
        <f t="shared" si="319"/>
        <v>$C$1:$C$92</v>
      </c>
      <c r="C4095" s="159" t="str">
        <f t="shared" si="320"/>
        <v>July!$B$1:$B$92</v>
      </c>
      <c r="D4095" s="159" t="str">
        <f t="shared" si="321"/>
        <v>July!$C$1:$C$92</v>
      </c>
      <c r="E4095" t="s">
        <v>8</v>
      </c>
      <c r="F4095" t="s">
        <v>126</v>
      </c>
      <c r="G4095" t="s">
        <v>13</v>
      </c>
      <c r="H4095" t="s">
        <v>18</v>
      </c>
      <c r="I4095" t="e">
        <f t="shared" ref="I4095:I4155" ca="1" si="322">COUNTIFS(INDIRECT($C4095),$E4095,INDIRECT($D4095),$H4095)</f>
        <v>#REF!</v>
      </c>
      <c r="J4095" t="str">
        <f>VLOOKUP($G4095,DefinitionArrays!$I$6:$J$12,2,FALSE)</f>
        <v>Workweek</v>
      </c>
    </row>
    <row r="4096" spans="1:10">
      <c r="A4096" s="159" t="str">
        <f t="shared" si="318"/>
        <v>$B$1:$B$92</v>
      </c>
      <c r="B4096" s="159" t="str">
        <f t="shared" si="319"/>
        <v>$C$1:$C$92</v>
      </c>
      <c r="C4096" s="159" t="str">
        <f t="shared" si="320"/>
        <v>July!$B$1:$B$92</v>
      </c>
      <c r="D4096" s="159" t="str">
        <f t="shared" si="321"/>
        <v>July!$C$1:$C$92</v>
      </c>
      <c r="E4096" t="s">
        <v>8</v>
      </c>
      <c r="F4096" t="s">
        <v>126</v>
      </c>
      <c r="G4096" t="s">
        <v>13</v>
      </c>
      <c r="H4096" t="s">
        <v>153</v>
      </c>
      <c r="I4096" t="e">
        <f t="shared" ca="1" si="322"/>
        <v>#REF!</v>
      </c>
      <c r="J4096" t="str">
        <f>VLOOKUP($G4096,DefinitionArrays!$I$6:$J$12,2,FALSE)</f>
        <v>Workweek</v>
      </c>
    </row>
    <row r="4097" spans="1:10">
      <c r="A4097" s="159" t="str">
        <f t="shared" si="318"/>
        <v>$B$1:$B$92</v>
      </c>
      <c r="B4097" s="159" t="str">
        <f t="shared" si="319"/>
        <v>$C$1:$C$92</v>
      </c>
      <c r="C4097" s="159" t="str">
        <f t="shared" si="320"/>
        <v>July!$B$1:$B$92</v>
      </c>
      <c r="D4097" s="159" t="str">
        <f t="shared" si="321"/>
        <v>July!$C$1:$C$92</v>
      </c>
      <c r="E4097" t="s">
        <v>8</v>
      </c>
      <c r="F4097" t="s">
        <v>126</v>
      </c>
      <c r="G4097" t="s">
        <v>13</v>
      </c>
      <c r="H4097" t="s">
        <v>19</v>
      </c>
      <c r="I4097" t="e">
        <f t="shared" ca="1" si="322"/>
        <v>#REF!</v>
      </c>
      <c r="J4097" t="str">
        <f>VLOOKUP($G4097,DefinitionArrays!$I$6:$J$12,2,FALSE)</f>
        <v>Workweek</v>
      </c>
    </row>
    <row r="4098" spans="1:10">
      <c r="A4098" s="159" t="str">
        <f t="shared" ref="A4098:A4161" si="323">VLOOKUP($G4098,Fx_Code,2,FALSE)</f>
        <v>$B$1:$B$92</v>
      </c>
      <c r="B4098" s="159" t="str">
        <f t="shared" ref="B4098:B4161" si="324">VLOOKUP($G4098,Fx_Code,3,FALSE)</f>
        <v>$C$1:$C$92</v>
      </c>
      <c r="C4098" s="159" t="str">
        <f t="shared" ref="C4098:C4161" si="325">CONCATENATE($F4098,$K$1,A4098)</f>
        <v>July!$B$1:$B$92</v>
      </c>
      <c r="D4098" s="159" t="str">
        <f t="shared" ref="D4098:D4161" si="326">CONCATENATE($F4098,$K$1,B4098)</f>
        <v>July!$C$1:$C$92</v>
      </c>
      <c r="E4098" t="s">
        <v>8</v>
      </c>
      <c r="F4098" t="s">
        <v>126</v>
      </c>
      <c r="G4098" t="s">
        <v>13</v>
      </c>
      <c r="H4098" t="s">
        <v>20</v>
      </c>
      <c r="I4098" t="e">
        <f t="shared" ca="1" si="322"/>
        <v>#REF!</v>
      </c>
      <c r="J4098" t="str">
        <f>VLOOKUP($G4098,DefinitionArrays!$I$6:$J$12,2,FALSE)</f>
        <v>Workweek</v>
      </c>
    </row>
    <row r="4099" spans="1:10">
      <c r="A4099" s="159" t="str">
        <f t="shared" si="323"/>
        <v>$B$1:$B$92</v>
      </c>
      <c r="B4099" s="159" t="str">
        <f t="shared" si="324"/>
        <v>$C$1:$C$92</v>
      </c>
      <c r="C4099" s="159" t="str">
        <f t="shared" si="325"/>
        <v>July!$B$1:$B$92</v>
      </c>
      <c r="D4099" s="159" t="str">
        <f t="shared" si="326"/>
        <v>July!$C$1:$C$92</v>
      </c>
      <c r="E4099" t="s">
        <v>8</v>
      </c>
      <c r="F4099" t="s">
        <v>126</v>
      </c>
      <c r="G4099" t="s">
        <v>13</v>
      </c>
      <c r="H4099" t="s">
        <v>21</v>
      </c>
      <c r="I4099" t="e">
        <f t="shared" ca="1" si="322"/>
        <v>#REF!</v>
      </c>
      <c r="J4099" t="str">
        <f>VLOOKUP($G4099,DefinitionArrays!$I$6:$J$12,2,FALSE)</f>
        <v>Workweek</v>
      </c>
    </row>
    <row r="4100" spans="1:10">
      <c r="A4100" s="159" t="str">
        <f t="shared" si="323"/>
        <v>$B$1:$B$92</v>
      </c>
      <c r="B4100" s="159" t="str">
        <f t="shared" si="324"/>
        <v>$C$1:$C$92</v>
      </c>
      <c r="C4100" s="159" t="str">
        <f t="shared" si="325"/>
        <v>July!$B$1:$B$92</v>
      </c>
      <c r="D4100" s="159" t="str">
        <f t="shared" si="326"/>
        <v>July!$C$1:$C$92</v>
      </c>
      <c r="E4100" t="s">
        <v>8</v>
      </c>
      <c r="F4100" t="s">
        <v>126</v>
      </c>
      <c r="G4100" t="s">
        <v>13</v>
      </c>
      <c r="H4100" t="s">
        <v>22</v>
      </c>
      <c r="I4100" t="e">
        <f t="shared" ca="1" si="322"/>
        <v>#REF!</v>
      </c>
      <c r="J4100" t="str">
        <f>VLOOKUP($G4100,DefinitionArrays!$I$6:$J$12,2,FALSE)</f>
        <v>Workweek</v>
      </c>
    </row>
    <row r="4101" spans="1:10">
      <c r="A4101" s="159" t="str">
        <f t="shared" si="323"/>
        <v>$B$1:$B$92</v>
      </c>
      <c r="B4101" s="159" t="str">
        <f t="shared" si="324"/>
        <v>$C$1:$C$92</v>
      </c>
      <c r="C4101" s="159" t="str">
        <f t="shared" si="325"/>
        <v>July!$B$1:$B$92</v>
      </c>
      <c r="D4101" s="159" t="str">
        <f t="shared" si="326"/>
        <v>July!$C$1:$C$92</v>
      </c>
      <c r="E4101" t="s">
        <v>8</v>
      </c>
      <c r="F4101" t="s">
        <v>126</v>
      </c>
      <c r="G4101" t="s">
        <v>13</v>
      </c>
      <c r="H4101" t="s">
        <v>23</v>
      </c>
      <c r="I4101" t="e">
        <f t="shared" ca="1" si="322"/>
        <v>#REF!</v>
      </c>
      <c r="J4101" t="str">
        <f>VLOOKUP($G4101,DefinitionArrays!$I$6:$J$12,2,FALSE)</f>
        <v>Workweek</v>
      </c>
    </row>
    <row r="4102" spans="1:10">
      <c r="A4102" s="159" t="str">
        <f t="shared" si="323"/>
        <v>$B$1:$B$92</v>
      </c>
      <c r="B4102" s="159" t="str">
        <f t="shared" si="324"/>
        <v>$C$1:$C$92</v>
      </c>
      <c r="C4102" s="159" t="str">
        <f t="shared" si="325"/>
        <v>July!$B$1:$B$92</v>
      </c>
      <c r="D4102" s="159" t="str">
        <f t="shared" si="326"/>
        <v>July!$C$1:$C$92</v>
      </c>
      <c r="E4102" t="s">
        <v>8</v>
      </c>
      <c r="F4102" t="s">
        <v>126</v>
      </c>
      <c r="G4102" t="s">
        <v>13</v>
      </c>
      <c r="H4102" t="s">
        <v>24</v>
      </c>
      <c r="I4102" t="e">
        <f t="shared" ca="1" si="322"/>
        <v>#REF!</v>
      </c>
      <c r="J4102" t="str">
        <f>VLOOKUP($G4102,DefinitionArrays!$I$6:$J$12,2,FALSE)</f>
        <v>Workweek</v>
      </c>
    </row>
    <row r="4103" spans="1:10">
      <c r="A4103" s="159" t="str">
        <f t="shared" si="323"/>
        <v>$B$1:$B$92</v>
      </c>
      <c r="B4103" s="159" t="str">
        <f t="shared" si="324"/>
        <v>$C$1:$C$92</v>
      </c>
      <c r="C4103" s="159" t="str">
        <f t="shared" si="325"/>
        <v>July!$B$1:$B$92</v>
      </c>
      <c r="D4103" s="159" t="str">
        <f t="shared" si="326"/>
        <v>July!$C$1:$C$92</v>
      </c>
      <c r="E4103" t="s">
        <v>8</v>
      </c>
      <c r="F4103" t="s">
        <v>126</v>
      </c>
      <c r="G4103" t="s">
        <v>13</v>
      </c>
      <c r="H4103" t="s">
        <v>179</v>
      </c>
      <c r="I4103" t="e">
        <f t="shared" ca="1" si="322"/>
        <v>#REF!</v>
      </c>
      <c r="J4103" t="str">
        <f>VLOOKUP($G4103,DefinitionArrays!$I$6:$J$12,2,FALSE)</f>
        <v>Workweek</v>
      </c>
    </row>
    <row r="4104" spans="1:10">
      <c r="A4104" s="159" t="str">
        <f t="shared" si="323"/>
        <v>$B$1:$B$92</v>
      </c>
      <c r="B4104" s="159" t="str">
        <f t="shared" si="324"/>
        <v>$C$1:$C$92</v>
      </c>
      <c r="C4104" s="159" t="str">
        <f t="shared" si="325"/>
        <v>July!$B$1:$B$92</v>
      </c>
      <c r="D4104" s="159" t="str">
        <f t="shared" si="326"/>
        <v>July!$C$1:$C$92</v>
      </c>
      <c r="E4104" t="s">
        <v>8</v>
      </c>
      <c r="F4104" t="s">
        <v>126</v>
      </c>
      <c r="G4104" t="s">
        <v>13</v>
      </c>
      <c r="H4104" t="s">
        <v>180</v>
      </c>
      <c r="I4104" t="e">
        <f t="shared" ca="1" si="322"/>
        <v>#REF!</v>
      </c>
      <c r="J4104" t="str">
        <f>VLOOKUP($G4104,DefinitionArrays!$I$6:$J$12,2,FALSE)</f>
        <v>Workweek</v>
      </c>
    </row>
    <row r="4105" spans="1:10">
      <c r="A4105" s="159" t="str">
        <f t="shared" si="323"/>
        <v>$B$1:$B$92</v>
      </c>
      <c r="B4105" s="159" t="str">
        <f t="shared" si="324"/>
        <v>$C$1:$C$92</v>
      </c>
      <c r="C4105" s="159" t="str">
        <f t="shared" si="325"/>
        <v>July!$B$1:$B$92</v>
      </c>
      <c r="D4105" s="159" t="str">
        <f t="shared" si="326"/>
        <v>July!$C$1:$C$92</v>
      </c>
      <c r="E4105" t="s">
        <v>8</v>
      </c>
      <c r="F4105" t="s">
        <v>126</v>
      </c>
      <c r="G4105" t="s">
        <v>13</v>
      </c>
      <c r="H4105" t="s">
        <v>44</v>
      </c>
      <c r="I4105" t="e">
        <f t="shared" ca="1" si="322"/>
        <v>#REF!</v>
      </c>
      <c r="J4105" t="str">
        <f>VLOOKUP($G4105,DefinitionArrays!$I$6:$J$12,2,FALSE)</f>
        <v>Workweek</v>
      </c>
    </row>
    <row r="4106" spans="1:10">
      <c r="A4106" s="159" t="str">
        <f t="shared" si="323"/>
        <v>$E$1:$E$92</v>
      </c>
      <c r="B4106" s="159" t="str">
        <f t="shared" si="324"/>
        <v>$F$1:$F$92</v>
      </c>
      <c r="C4106" s="159" t="str">
        <f t="shared" si="325"/>
        <v>July!$E$1:$E$92</v>
      </c>
      <c r="D4106" s="159" t="str">
        <f t="shared" si="326"/>
        <v>July!$F$1:$F$92</v>
      </c>
      <c r="E4106" t="s">
        <v>8</v>
      </c>
      <c r="F4106" t="s">
        <v>126</v>
      </c>
      <c r="G4106" t="s">
        <v>142</v>
      </c>
      <c r="H4106" t="s">
        <v>159</v>
      </c>
      <c r="I4106" t="e">
        <f t="shared" ca="1" si="322"/>
        <v>#REF!</v>
      </c>
      <c r="J4106" t="str">
        <f>VLOOKUP($G4106,DefinitionArrays!$I$6:$J$12,2,FALSE)</f>
        <v>Workweek</v>
      </c>
    </row>
    <row r="4107" spans="1:10">
      <c r="A4107" s="159" t="str">
        <f t="shared" si="323"/>
        <v>$E$1:$E$92</v>
      </c>
      <c r="B4107" s="159" t="str">
        <f t="shared" si="324"/>
        <v>$F$1:$F$92</v>
      </c>
      <c r="C4107" s="159" t="str">
        <f t="shared" si="325"/>
        <v>July!$E$1:$E$92</v>
      </c>
      <c r="D4107" s="159" t="str">
        <f t="shared" si="326"/>
        <v>July!$F$1:$F$92</v>
      </c>
      <c r="E4107" t="s">
        <v>8</v>
      </c>
      <c r="F4107" t="s">
        <v>126</v>
      </c>
      <c r="G4107" t="s">
        <v>142</v>
      </c>
      <c r="H4107" t="s">
        <v>18</v>
      </c>
      <c r="I4107" t="e">
        <f t="shared" ca="1" si="322"/>
        <v>#REF!</v>
      </c>
      <c r="J4107" t="str">
        <f>VLOOKUP($G4107,DefinitionArrays!$I$6:$J$12,2,FALSE)</f>
        <v>Workweek</v>
      </c>
    </row>
    <row r="4108" spans="1:10">
      <c r="A4108" s="159" t="str">
        <f t="shared" si="323"/>
        <v>$E$1:$E$92</v>
      </c>
      <c r="B4108" s="159" t="str">
        <f t="shared" si="324"/>
        <v>$F$1:$F$92</v>
      </c>
      <c r="C4108" s="159" t="str">
        <f t="shared" si="325"/>
        <v>July!$E$1:$E$92</v>
      </c>
      <c r="D4108" s="159" t="str">
        <f t="shared" si="326"/>
        <v>July!$F$1:$F$92</v>
      </c>
      <c r="E4108" t="s">
        <v>8</v>
      </c>
      <c r="F4108" t="s">
        <v>126</v>
      </c>
      <c r="G4108" t="s">
        <v>142</v>
      </c>
      <c r="H4108" t="s">
        <v>153</v>
      </c>
      <c r="I4108" t="e">
        <f t="shared" ca="1" si="322"/>
        <v>#REF!</v>
      </c>
      <c r="J4108" t="str">
        <f>VLOOKUP($G4108,DefinitionArrays!$I$6:$J$12,2,FALSE)</f>
        <v>Workweek</v>
      </c>
    </row>
    <row r="4109" spans="1:10">
      <c r="A4109" s="159" t="str">
        <f t="shared" si="323"/>
        <v>$E$1:$E$92</v>
      </c>
      <c r="B4109" s="159" t="str">
        <f t="shared" si="324"/>
        <v>$F$1:$F$92</v>
      </c>
      <c r="C4109" s="159" t="str">
        <f t="shared" si="325"/>
        <v>July!$E$1:$E$92</v>
      </c>
      <c r="D4109" s="159" t="str">
        <f t="shared" si="326"/>
        <v>July!$F$1:$F$92</v>
      </c>
      <c r="E4109" t="s">
        <v>8</v>
      </c>
      <c r="F4109" t="s">
        <v>126</v>
      </c>
      <c r="G4109" t="s">
        <v>142</v>
      </c>
      <c r="H4109" t="s">
        <v>19</v>
      </c>
      <c r="I4109" t="e">
        <f t="shared" ca="1" si="322"/>
        <v>#REF!</v>
      </c>
      <c r="J4109" t="str">
        <f>VLOOKUP($G4109,DefinitionArrays!$I$6:$J$12,2,FALSE)</f>
        <v>Workweek</v>
      </c>
    </row>
    <row r="4110" spans="1:10">
      <c r="A4110" s="159" t="str">
        <f t="shared" si="323"/>
        <v>$E$1:$E$92</v>
      </c>
      <c r="B4110" s="159" t="str">
        <f t="shared" si="324"/>
        <v>$F$1:$F$92</v>
      </c>
      <c r="C4110" s="159" t="str">
        <f t="shared" si="325"/>
        <v>July!$E$1:$E$92</v>
      </c>
      <c r="D4110" s="159" t="str">
        <f t="shared" si="326"/>
        <v>July!$F$1:$F$92</v>
      </c>
      <c r="E4110" t="s">
        <v>8</v>
      </c>
      <c r="F4110" t="s">
        <v>126</v>
      </c>
      <c r="G4110" t="s">
        <v>142</v>
      </c>
      <c r="H4110" t="s">
        <v>20</v>
      </c>
      <c r="I4110" t="e">
        <f t="shared" ca="1" si="322"/>
        <v>#REF!</v>
      </c>
      <c r="J4110" t="str">
        <f>VLOOKUP($G4110,DefinitionArrays!$I$6:$J$12,2,FALSE)</f>
        <v>Workweek</v>
      </c>
    </row>
    <row r="4111" spans="1:10">
      <c r="A4111" s="159" t="str">
        <f t="shared" si="323"/>
        <v>$E$1:$E$92</v>
      </c>
      <c r="B4111" s="159" t="str">
        <f t="shared" si="324"/>
        <v>$F$1:$F$92</v>
      </c>
      <c r="C4111" s="159" t="str">
        <f t="shared" si="325"/>
        <v>July!$E$1:$E$92</v>
      </c>
      <c r="D4111" s="159" t="str">
        <f t="shared" si="326"/>
        <v>July!$F$1:$F$92</v>
      </c>
      <c r="E4111" t="s">
        <v>8</v>
      </c>
      <c r="F4111" t="s">
        <v>126</v>
      </c>
      <c r="G4111" t="s">
        <v>142</v>
      </c>
      <c r="H4111" t="s">
        <v>21</v>
      </c>
      <c r="I4111" t="e">
        <f t="shared" ca="1" si="322"/>
        <v>#REF!</v>
      </c>
      <c r="J4111" t="str">
        <f>VLOOKUP($G4111,DefinitionArrays!$I$6:$J$12,2,FALSE)</f>
        <v>Workweek</v>
      </c>
    </row>
    <row r="4112" spans="1:10">
      <c r="A4112" s="159" t="str">
        <f t="shared" si="323"/>
        <v>$E$1:$E$92</v>
      </c>
      <c r="B4112" s="159" t="str">
        <f t="shared" si="324"/>
        <v>$F$1:$F$92</v>
      </c>
      <c r="C4112" s="159" t="str">
        <f t="shared" si="325"/>
        <v>July!$E$1:$E$92</v>
      </c>
      <c r="D4112" s="159" t="str">
        <f t="shared" si="326"/>
        <v>July!$F$1:$F$92</v>
      </c>
      <c r="E4112" t="s">
        <v>8</v>
      </c>
      <c r="F4112" t="s">
        <v>126</v>
      </c>
      <c r="G4112" t="s">
        <v>142</v>
      </c>
      <c r="H4112" t="s">
        <v>22</v>
      </c>
      <c r="I4112" t="e">
        <f t="shared" ca="1" si="322"/>
        <v>#REF!</v>
      </c>
      <c r="J4112" t="str">
        <f>VLOOKUP($G4112,DefinitionArrays!$I$6:$J$12,2,FALSE)</f>
        <v>Workweek</v>
      </c>
    </row>
    <row r="4113" spans="1:10">
      <c r="A4113" s="159" t="str">
        <f t="shared" si="323"/>
        <v>$E$1:$E$92</v>
      </c>
      <c r="B4113" s="159" t="str">
        <f t="shared" si="324"/>
        <v>$F$1:$F$92</v>
      </c>
      <c r="C4113" s="159" t="str">
        <f t="shared" si="325"/>
        <v>July!$E$1:$E$92</v>
      </c>
      <c r="D4113" s="159" t="str">
        <f t="shared" si="326"/>
        <v>July!$F$1:$F$92</v>
      </c>
      <c r="E4113" t="s">
        <v>8</v>
      </c>
      <c r="F4113" t="s">
        <v>126</v>
      </c>
      <c r="G4113" t="s">
        <v>142</v>
      </c>
      <c r="H4113" t="s">
        <v>23</v>
      </c>
      <c r="I4113" t="e">
        <f t="shared" ca="1" si="322"/>
        <v>#REF!</v>
      </c>
      <c r="J4113" t="str">
        <f>VLOOKUP($G4113,DefinitionArrays!$I$6:$J$12,2,FALSE)</f>
        <v>Workweek</v>
      </c>
    </row>
    <row r="4114" spans="1:10">
      <c r="A4114" s="159" t="str">
        <f t="shared" si="323"/>
        <v>$E$1:$E$92</v>
      </c>
      <c r="B4114" s="159" t="str">
        <f t="shared" si="324"/>
        <v>$F$1:$F$92</v>
      </c>
      <c r="C4114" s="159" t="str">
        <f t="shared" si="325"/>
        <v>July!$E$1:$E$92</v>
      </c>
      <c r="D4114" s="159" t="str">
        <f t="shared" si="326"/>
        <v>July!$F$1:$F$92</v>
      </c>
      <c r="E4114" t="s">
        <v>8</v>
      </c>
      <c r="F4114" t="s">
        <v>126</v>
      </c>
      <c r="G4114" t="s">
        <v>142</v>
      </c>
      <c r="H4114" t="s">
        <v>24</v>
      </c>
      <c r="I4114" t="e">
        <f t="shared" ca="1" si="322"/>
        <v>#REF!</v>
      </c>
      <c r="J4114" t="str">
        <f>VLOOKUP($G4114,DefinitionArrays!$I$6:$J$12,2,FALSE)</f>
        <v>Workweek</v>
      </c>
    </row>
    <row r="4115" spans="1:10">
      <c r="A4115" s="159" t="str">
        <f t="shared" si="323"/>
        <v>$E$1:$E$92</v>
      </c>
      <c r="B4115" s="159" t="str">
        <f t="shared" si="324"/>
        <v>$F$1:$F$92</v>
      </c>
      <c r="C4115" s="159" t="str">
        <f t="shared" si="325"/>
        <v>July!$E$1:$E$92</v>
      </c>
      <c r="D4115" s="159" t="str">
        <f t="shared" si="326"/>
        <v>July!$F$1:$F$92</v>
      </c>
      <c r="E4115" t="s">
        <v>8</v>
      </c>
      <c r="F4115" t="s">
        <v>126</v>
      </c>
      <c r="G4115" t="s">
        <v>142</v>
      </c>
      <c r="H4115" t="s">
        <v>179</v>
      </c>
      <c r="I4115" t="e">
        <f t="shared" ca="1" si="322"/>
        <v>#REF!</v>
      </c>
      <c r="J4115" t="str">
        <f>VLOOKUP($G4115,DefinitionArrays!$I$6:$J$12,2,FALSE)</f>
        <v>Workweek</v>
      </c>
    </row>
    <row r="4116" spans="1:10">
      <c r="A4116" s="159" t="str">
        <f t="shared" si="323"/>
        <v>$E$1:$E$92</v>
      </c>
      <c r="B4116" s="159" t="str">
        <f t="shared" si="324"/>
        <v>$F$1:$F$92</v>
      </c>
      <c r="C4116" s="159" t="str">
        <f t="shared" si="325"/>
        <v>July!$E$1:$E$92</v>
      </c>
      <c r="D4116" s="159" t="str">
        <f t="shared" si="326"/>
        <v>July!$F$1:$F$92</v>
      </c>
      <c r="E4116" t="s">
        <v>8</v>
      </c>
      <c r="F4116" t="s">
        <v>126</v>
      </c>
      <c r="G4116" t="s">
        <v>142</v>
      </c>
      <c r="H4116" t="s">
        <v>180</v>
      </c>
      <c r="I4116" t="e">
        <f t="shared" ca="1" si="322"/>
        <v>#REF!</v>
      </c>
      <c r="J4116" t="str">
        <f>VLOOKUP($G4116,DefinitionArrays!$I$6:$J$12,2,FALSE)</f>
        <v>Workweek</v>
      </c>
    </row>
    <row r="4117" spans="1:10">
      <c r="A4117" s="159" t="str">
        <f t="shared" si="323"/>
        <v>$E$1:$E$92</v>
      </c>
      <c r="B4117" s="159" t="str">
        <f t="shared" si="324"/>
        <v>$F$1:$F$92</v>
      </c>
      <c r="C4117" s="159" t="str">
        <f t="shared" si="325"/>
        <v>July!$E$1:$E$92</v>
      </c>
      <c r="D4117" s="159" t="str">
        <f t="shared" si="326"/>
        <v>July!$F$1:$F$92</v>
      </c>
      <c r="E4117" t="s">
        <v>8</v>
      </c>
      <c r="F4117" t="s">
        <v>126</v>
      </c>
      <c r="G4117" t="s">
        <v>142</v>
      </c>
      <c r="H4117" t="s">
        <v>44</v>
      </c>
      <c r="I4117" t="e">
        <f t="shared" ca="1" si="322"/>
        <v>#REF!</v>
      </c>
      <c r="J4117" t="str">
        <f>VLOOKUP($G4117,DefinitionArrays!$I$6:$J$12,2,FALSE)</f>
        <v>Workweek</v>
      </c>
    </row>
    <row r="4118" spans="1:10">
      <c r="A4118" s="159" t="str">
        <f t="shared" si="323"/>
        <v>$H$1:$H$92</v>
      </c>
      <c r="B4118" s="159" t="str">
        <f t="shared" si="324"/>
        <v>$I$1:$I$92</v>
      </c>
      <c r="C4118" s="159" t="str">
        <f t="shared" si="325"/>
        <v>July!$H$1:$H$92</v>
      </c>
      <c r="D4118" s="159" t="str">
        <f t="shared" si="326"/>
        <v>July!$I$1:$I$92</v>
      </c>
      <c r="E4118" t="s">
        <v>8</v>
      </c>
      <c r="F4118" t="s">
        <v>126</v>
      </c>
      <c r="G4118" t="s">
        <v>143</v>
      </c>
      <c r="H4118" t="s">
        <v>159</v>
      </c>
      <c r="I4118" t="e">
        <f t="shared" ca="1" si="322"/>
        <v>#REF!</v>
      </c>
      <c r="J4118" t="str">
        <f>VLOOKUP($G4118,DefinitionArrays!$I$6:$J$12,2,FALSE)</f>
        <v>Workweek</v>
      </c>
    </row>
    <row r="4119" spans="1:10">
      <c r="A4119" s="159" t="str">
        <f t="shared" si="323"/>
        <v>$H$1:$H$92</v>
      </c>
      <c r="B4119" s="159" t="str">
        <f t="shared" si="324"/>
        <v>$I$1:$I$92</v>
      </c>
      <c r="C4119" s="159" t="str">
        <f t="shared" si="325"/>
        <v>July!$H$1:$H$92</v>
      </c>
      <c r="D4119" s="159" t="str">
        <f t="shared" si="326"/>
        <v>July!$I$1:$I$92</v>
      </c>
      <c r="E4119" t="s">
        <v>8</v>
      </c>
      <c r="F4119" t="s">
        <v>126</v>
      </c>
      <c r="G4119" t="s">
        <v>143</v>
      </c>
      <c r="H4119" t="s">
        <v>18</v>
      </c>
      <c r="I4119" t="e">
        <f t="shared" ca="1" si="322"/>
        <v>#REF!</v>
      </c>
      <c r="J4119" t="str">
        <f>VLOOKUP($G4119,DefinitionArrays!$I$6:$J$12,2,FALSE)</f>
        <v>Workweek</v>
      </c>
    </row>
    <row r="4120" spans="1:10">
      <c r="A4120" s="159" t="str">
        <f t="shared" si="323"/>
        <v>$H$1:$H$92</v>
      </c>
      <c r="B4120" s="159" t="str">
        <f t="shared" si="324"/>
        <v>$I$1:$I$92</v>
      </c>
      <c r="C4120" s="159" t="str">
        <f t="shared" si="325"/>
        <v>July!$H$1:$H$92</v>
      </c>
      <c r="D4120" s="159" t="str">
        <f t="shared" si="326"/>
        <v>July!$I$1:$I$92</v>
      </c>
      <c r="E4120" t="s">
        <v>8</v>
      </c>
      <c r="F4120" t="s">
        <v>126</v>
      </c>
      <c r="G4120" t="s">
        <v>143</v>
      </c>
      <c r="H4120" t="s">
        <v>153</v>
      </c>
      <c r="I4120" t="e">
        <f t="shared" ca="1" si="322"/>
        <v>#REF!</v>
      </c>
      <c r="J4120" t="str">
        <f>VLOOKUP($G4120,DefinitionArrays!$I$6:$J$12,2,FALSE)</f>
        <v>Workweek</v>
      </c>
    </row>
    <row r="4121" spans="1:10">
      <c r="A4121" s="159" t="str">
        <f t="shared" si="323"/>
        <v>$H$1:$H$92</v>
      </c>
      <c r="B4121" s="159" t="str">
        <f t="shared" si="324"/>
        <v>$I$1:$I$92</v>
      </c>
      <c r="C4121" s="159" t="str">
        <f t="shared" si="325"/>
        <v>July!$H$1:$H$92</v>
      </c>
      <c r="D4121" s="159" t="str">
        <f t="shared" si="326"/>
        <v>July!$I$1:$I$92</v>
      </c>
      <c r="E4121" t="s">
        <v>8</v>
      </c>
      <c r="F4121" t="s">
        <v>126</v>
      </c>
      <c r="G4121" t="s">
        <v>143</v>
      </c>
      <c r="H4121" t="s">
        <v>19</v>
      </c>
      <c r="I4121" t="e">
        <f t="shared" ca="1" si="322"/>
        <v>#REF!</v>
      </c>
      <c r="J4121" t="str">
        <f>VLOOKUP($G4121,DefinitionArrays!$I$6:$J$12,2,FALSE)</f>
        <v>Workweek</v>
      </c>
    </row>
    <row r="4122" spans="1:10">
      <c r="A4122" s="159" t="str">
        <f t="shared" si="323"/>
        <v>$H$1:$H$92</v>
      </c>
      <c r="B4122" s="159" t="str">
        <f t="shared" si="324"/>
        <v>$I$1:$I$92</v>
      </c>
      <c r="C4122" s="159" t="str">
        <f t="shared" si="325"/>
        <v>July!$H$1:$H$92</v>
      </c>
      <c r="D4122" s="159" t="str">
        <f t="shared" si="326"/>
        <v>July!$I$1:$I$92</v>
      </c>
      <c r="E4122" t="s">
        <v>8</v>
      </c>
      <c r="F4122" t="s">
        <v>126</v>
      </c>
      <c r="G4122" t="s">
        <v>143</v>
      </c>
      <c r="H4122" t="s">
        <v>20</v>
      </c>
      <c r="I4122" t="e">
        <f t="shared" ca="1" si="322"/>
        <v>#REF!</v>
      </c>
      <c r="J4122" t="str">
        <f>VLOOKUP($G4122,DefinitionArrays!$I$6:$J$12,2,FALSE)</f>
        <v>Workweek</v>
      </c>
    </row>
    <row r="4123" spans="1:10">
      <c r="A4123" s="159" t="str">
        <f t="shared" si="323"/>
        <v>$H$1:$H$92</v>
      </c>
      <c r="B4123" s="159" t="str">
        <f t="shared" si="324"/>
        <v>$I$1:$I$92</v>
      </c>
      <c r="C4123" s="159" t="str">
        <f t="shared" si="325"/>
        <v>July!$H$1:$H$92</v>
      </c>
      <c r="D4123" s="159" t="str">
        <f t="shared" si="326"/>
        <v>July!$I$1:$I$92</v>
      </c>
      <c r="E4123" t="s">
        <v>8</v>
      </c>
      <c r="F4123" t="s">
        <v>126</v>
      </c>
      <c r="G4123" t="s">
        <v>143</v>
      </c>
      <c r="H4123" t="s">
        <v>21</v>
      </c>
      <c r="I4123" t="e">
        <f t="shared" ca="1" si="322"/>
        <v>#REF!</v>
      </c>
      <c r="J4123" t="str">
        <f>VLOOKUP($G4123,DefinitionArrays!$I$6:$J$12,2,FALSE)</f>
        <v>Workweek</v>
      </c>
    </row>
    <row r="4124" spans="1:10">
      <c r="A4124" s="159" t="str">
        <f t="shared" si="323"/>
        <v>$H$1:$H$92</v>
      </c>
      <c r="B4124" s="159" t="str">
        <f t="shared" si="324"/>
        <v>$I$1:$I$92</v>
      </c>
      <c r="C4124" s="159" t="str">
        <f t="shared" si="325"/>
        <v>July!$H$1:$H$92</v>
      </c>
      <c r="D4124" s="159" t="str">
        <f t="shared" si="326"/>
        <v>July!$I$1:$I$92</v>
      </c>
      <c r="E4124" t="s">
        <v>8</v>
      </c>
      <c r="F4124" t="s">
        <v>126</v>
      </c>
      <c r="G4124" t="s">
        <v>143</v>
      </c>
      <c r="H4124" t="s">
        <v>22</v>
      </c>
      <c r="I4124" t="e">
        <f t="shared" ca="1" si="322"/>
        <v>#REF!</v>
      </c>
      <c r="J4124" t="str">
        <f>VLOOKUP($G4124,DefinitionArrays!$I$6:$J$12,2,FALSE)</f>
        <v>Workweek</v>
      </c>
    </row>
    <row r="4125" spans="1:10">
      <c r="A4125" s="159" t="str">
        <f t="shared" si="323"/>
        <v>$H$1:$H$92</v>
      </c>
      <c r="B4125" s="159" t="str">
        <f t="shared" si="324"/>
        <v>$I$1:$I$92</v>
      </c>
      <c r="C4125" s="159" t="str">
        <f t="shared" si="325"/>
        <v>July!$H$1:$H$92</v>
      </c>
      <c r="D4125" s="159" t="str">
        <f t="shared" si="326"/>
        <v>July!$I$1:$I$92</v>
      </c>
      <c r="E4125" t="s">
        <v>8</v>
      </c>
      <c r="F4125" t="s">
        <v>126</v>
      </c>
      <c r="G4125" t="s">
        <v>143</v>
      </c>
      <c r="H4125" t="s">
        <v>23</v>
      </c>
      <c r="I4125" t="e">
        <f t="shared" ca="1" si="322"/>
        <v>#REF!</v>
      </c>
      <c r="J4125" t="str">
        <f>VLOOKUP($G4125,DefinitionArrays!$I$6:$J$12,2,FALSE)</f>
        <v>Workweek</v>
      </c>
    </row>
    <row r="4126" spans="1:10">
      <c r="A4126" s="159" t="str">
        <f t="shared" si="323"/>
        <v>$H$1:$H$92</v>
      </c>
      <c r="B4126" s="159" t="str">
        <f t="shared" si="324"/>
        <v>$I$1:$I$92</v>
      </c>
      <c r="C4126" s="159" t="str">
        <f t="shared" si="325"/>
        <v>July!$H$1:$H$92</v>
      </c>
      <c r="D4126" s="159" t="str">
        <f t="shared" si="326"/>
        <v>July!$I$1:$I$92</v>
      </c>
      <c r="E4126" t="s">
        <v>8</v>
      </c>
      <c r="F4126" t="s">
        <v>126</v>
      </c>
      <c r="G4126" t="s">
        <v>143</v>
      </c>
      <c r="H4126" t="s">
        <v>24</v>
      </c>
      <c r="I4126" t="e">
        <f t="shared" ca="1" si="322"/>
        <v>#REF!</v>
      </c>
      <c r="J4126" t="str">
        <f>VLOOKUP($G4126,DefinitionArrays!$I$6:$J$12,2,FALSE)</f>
        <v>Workweek</v>
      </c>
    </row>
    <row r="4127" spans="1:10">
      <c r="A4127" s="159" t="str">
        <f t="shared" si="323"/>
        <v>$H$1:$H$92</v>
      </c>
      <c r="B4127" s="159" t="str">
        <f t="shared" si="324"/>
        <v>$I$1:$I$92</v>
      </c>
      <c r="C4127" s="159" t="str">
        <f t="shared" si="325"/>
        <v>July!$H$1:$H$92</v>
      </c>
      <c r="D4127" s="159" t="str">
        <f t="shared" si="326"/>
        <v>July!$I$1:$I$92</v>
      </c>
      <c r="E4127" t="s">
        <v>8</v>
      </c>
      <c r="F4127" t="s">
        <v>126</v>
      </c>
      <c r="G4127" t="s">
        <v>143</v>
      </c>
      <c r="H4127" t="s">
        <v>179</v>
      </c>
      <c r="I4127" t="e">
        <f t="shared" ca="1" si="322"/>
        <v>#REF!</v>
      </c>
      <c r="J4127" t="str">
        <f>VLOOKUP($G4127,DefinitionArrays!$I$6:$J$12,2,FALSE)</f>
        <v>Workweek</v>
      </c>
    </row>
    <row r="4128" spans="1:10">
      <c r="A4128" s="159" t="str">
        <f t="shared" si="323"/>
        <v>$H$1:$H$92</v>
      </c>
      <c r="B4128" s="159" t="str">
        <f t="shared" si="324"/>
        <v>$I$1:$I$92</v>
      </c>
      <c r="C4128" s="159" t="str">
        <f t="shared" si="325"/>
        <v>July!$H$1:$H$92</v>
      </c>
      <c r="D4128" s="159" t="str">
        <f t="shared" si="326"/>
        <v>July!$I$1:$I$92</v>
      </c>
      <c r="E4128" t="s">
        <v>8</v>
      </c>
      <c r="F4128" t="s">
        <v>126</v>
      </c>
      <c r="G4128" t="s">
        <v>143</v>
      </c>
      <c r="H4128" t="s">
        <v>180</v>
      </c>
      <c r="I4128" t="e">
        <f t="shared" ca="1" si="322"/>
        <v>#REF!</v>
      </c>
      <c r="J4128" t="str">
        <f>VLOOKUP($G4128,DefinitionArrays!$I$6:$J$12,2,FALSE)</f>
        <v>Workweek</v>
      </c>
    </row>
    <row r="4129" spans="1:10">
      <c r="A4129" s="159" t="str">
        <f t="shared" si="323"/>
        <v>$H$1:$H$92</v>
      </c>
      <c r="B4129" s="159" t="str">
        <f t="shared" si="324"/>
        <v>$I$1:$I$92</v>
      </c>
      <c r="C4129" s="159" t="str">
        <f t="shared" si="325"/>
        <v>July!$H$1:$H$92</v>
      </c>
      <c r="D4129" s="159" t="str">
        <f t="shared" si="326"/>
        <v>July!$I$1:$I$92</v>
      </c>
      <c r="E4129" t="s">
        <v>8</v>
      </c>
      <c r="F4129" t="s">
        <v>126</v>
      </c>
      <c r="G4129" t="s">
        <v>143</v>
      </c>
      <c r="H4129" t="s">
        <v>44</v>
      </c>
      <c r="I4129" t="e">
        <f t="shared" ca="1" si="322"/>
        <v>#REF!</v>
      </c>
      <c r="J4129" t="str">
        <f>VLOOKUP($G4129,DefinitionArrays!$I$6:$J$12,2,FALSE)</f>
        <v>Workweek</v>
      </c>
    </row>
    <row r="4130" spans="1:10">
      <c r="A4130" s="159" t="str">
        <f t="shared" si="323"/>
        <v>$K$1:$K$92</v>
      </c>
      <c r="B4130" s="159" t="str">
        <f t="shared" si="324"/>
        <v>$L$1:$L$92</v>
      </c>
      <c r="C4130" s="159" t="str">
        <f t="shared" si="325"/>
        <v>July!$K$1:$K$92</v>
      </c>
      <c r="D4130" s="159" t="str">
        <f t="shared" si="326"/>
        <v>July!$L$1:$L$92</v>
      </c>
      <c r="E4130" t="s">
        <v>8</v>
      </c>
      <c r="F4130" t="s">
        <v>126</v>
      </c>
      <c r="G4130" t="s">
        <v>144</v>
      </c>
      <c r="H4130" t="s">
        <v>159</v>
      </c>
      <c r="I4130" t="e">
        <f t="shared" ca="1" si="322"/>
        <v>#REF!</v>
      </c>
      <c r="J4130" t="str">
        <f>VLOOKUP($G4130,DefinitionArrays!$I$6:$J$12,2,FALSE)</f>
        <v>Workweek</v>
      </c>
    </row>
    <row r="4131" spans="1:10">
      <c r="A4131" s="159" t="str">
        <f t="shared" si="323"/>
        <v>$K$1:$K$92</v>
      </c>
      <c r="B4131" s="159" t="str">
        <f t="shared" si="324"/>
        <v>$L$1:$L$92</v>
      </c>
      <c r="C4131" s="159" t="str">
        <f t="shared" si="325"/>
        <v>July!$K$1:$K$92</v>
      </c>
      <c r="D4131" s="159" t="str">
        <f t="shared" si="326"/>
        <v>July!$L$1:$L$92</v>
      </c>
      <c r="E4131" t="s">
        <v>8</v>
      </c>
      <c r="F4131" t="s">
        <v>126</v>
      </c>
      <c r="G4131" t="s">
        <v>144</v>
      </c>
      <c r="H4131" t="s">
        <v>18</v>
      </c>
      <c r="I4131" t="e">
        <f t="shared" ca="1" si="322"/>
        <v>#REF!</v>
      </c>
      <c r="J4131" t="str">
        <f>VLOOKUP($G4131,DefinitionArrays!$I$6:$J$12,2,FALSE)</f>
        <v>Workweek</v>
      </c>
    </row>
    <row r="4132" spans="1:10">
      <c r="A4132" s="159" t="str">
        <f t="shared" si="323"/>
        <v>$K$1:$K$92</v>
      </c>
      <c r="B4132" s="159" t="str">
        <f t="shared" si="324"/>
        <v>$L$1:$L$92</v>
      </c>
      <c r="C4132" s="159" t="str">
        <f t="shared" si="325"/>
        <v>July!$K$1:$K$92</v>
      </c>
      <c r="D4132" s="159" t="str">
        <f t="shared" si="326"/>
        <v>July!$L$1:$L$92</v>
      </c>
      <c r="E4132" t="s">
        <v>8</v>
      </c>
      <c r="F4132" t="s">
        <v>126</v>
      </c>
      <c r="G4132" t="s">
        <v>144</v>
      </c>
      <c r="H4132" t="s">
        <v>153</v>
      </c>
      <c r="I4132" t="e">
        <f t="shared" ca="1" si="322"/>
        <v>#REF!</v>
      </c>
      <c r="J4132" t="str">
        <f>VLOOKUP($G4132,DefinitionArrays!$I$6:$J$12,2,FALSE)</f>
        <v>Workweek</v>
      </c>
    </row>
    <row r="4133" spans="1:10">
      <c r="A4133" s="159" t="str">
        <f t="shared" si="323"/>
        <v>$K$1:$K$92</v>
      </c>
      <c r="B4133" s="159" t="str">
        <f t="shared" si="324"/>
        <v>$L$1:$L$92</v>
      </c>
      <c r="C4133" s="159" t="str">
        <f t="shared" si="325"/>
        <v>July!$K$1:$K$92</v>
      </c>
      <c r="D4133" s="159" t="str">
        <f t="shared" si="326"/>
        <v>July!$L$1:$L$92</v>
      </c>
      <c r="E4133" t="s">
        <v>8</v>
      </c>
      <c r="F4133" t="s">
        <v>126</v>
      </c>
      <c r="G4133" t="s">
        <v>144</v>
      </c>
      <c r="H4133" t="s">
        <v>19</v>
      </c>
      <c r="I4133" t="e">
        <f t="shared" ca="1" si="322"/>
        <v>#REF!</v>
      </c>
      <c r="J4133" t="str">
        <f>VLOOKUP($G4133,DefinitionArrays!$I$6:$J$12,2,FALSE)</f>
        <v>Workweek</v>
      </c>
    </row>
    <row r="4134" spans="1:10">
      <c r="A4134" s="159" t="str">
        <f t="shared" si="323"/>
        <v>$K$1:$K$92</v>
      </c>
      <c r="B4134" s="159" t="str">
        <f t="shared" si="324"/>
        <v>$L$1:$L$92</v>
      </c>
      <c r="C4134" s="159" t="str">
        <f t="shared" si="325"/>
        <v>July!$K$1:$K$92</v>
      </c>
      <c r="D4134" s="159" t="str">
        <f t="shared" si="326"/>
        <v>July!$L$1:$L$92</v>
      </c>
      <c r="E4134" t="s">
        <v>8</v>
      </c>
      <c r="F4134" t="s">
        <v>126</v>
      </c>
      <c r="G4134" t="s">
        <v>144</v>
      </c>
      <c r="H4134" t="s">
        <v>20</v>
      </c>
      <c r="I4134" t="e">
        <f t="shared" ca="1" si="322"/>
        <v>#REF!</v>
      </c>
      <c r="J4134" t="str">
        <f>VLOOKUP($G4134,DefinitionArrays!$I$6:$J$12,2,FALSE)</f>
        <v>Workweek</v>
      </c>
    </row>
    <row r="4135" spans="1:10">
      <c r="A4135" s="159" t="str">
        <f t="shared" si="323"/>
        <v>$K$1:$K$92</v>
      </c>
      <c r="B4135" s="159" t="str">
        <f t="shared" si="324"/>
        <v>$L$1:$L$92</v>
      </c>
      <c r="C4135" s="159" t="str">
        <f t="shared" si="325"/>
        <v>July!$K$1:$K$92</v>
      </c>
      <c r="D4135" s="159" t="str">
        <f t="shared" si="326"/>
        <v>July!$L$1:$L$92</v>
      </c>
      <c r="E4135" t="s">
        <v>8</v>
      </c>
      <c r="F4135" t="s">
        <v>126</v>
      </c>
      <c r="G4135" t="s">
        <v>144</v>
      </c>
      <c r="H4135" t="s">
        <v>21</v>
      </c>
      <c r="I4135" t="e">
        <f t="shared" ca="1" si="322"/>
        <v>#REF!</v>
      </c>
      <c r="J4135" t="str">
        <f>VLOOKUP($G4135,DefinitionArrays!$I$6:$J$12,2,FALSE)</f>
        <v>Workweek</v>
      </c>
    </row>
    <row r="4136" spans="1:10">
      <c r="A4136" s="159" t="str">
        <f t="shared" si="323"/>
        <v>$K$1:$K$92</v>
      </c>
      <c r="B4136" s="159" t="str">
        <f t="shared" si="324"/>
        <v>$L$1:$L$92</v>
      </c>
      <c r="C4136" s="159" t="str">
        <f t="shared" si="325"/>
        <v>July!$K$1:$K$92</v>
      </c>
      <c r="D4136" s="159" t="str">
        <f t="shared" si="326"/>
        <v>July!$L$1:$L$92</v>
      </c>
      <c r="E4136" t="s">
        <v>8</v>
      </c>
      <c r="F4136" t="s">
        <v>126</v>
      </c>
      <c r="G4136" t="s">
        <v>144</v>
      </c>
      <c r="H4136" t="s">
        <v>22</v>
      </c>
      <c r="I4136" t="e">
        <f t="shared" ca="1" si="322"/>
        <v>#REF!</v>
      </c>
      <c r="J4136" t="str">
        <f>VLOOKUP($G4136,DefinitionArrays!$I$6:$J$12,2,FALSE)</f>
        <v>Workweek</v>
      </c>
    </row>
    <row r="4137" spans="1:10">
      <c r="A4137" s="159" t="str">
        <f t="shared" si="323"/>
        <v>$K$1:$K$92</v>
      </c>
      <c r="B4137" s="159" t="str">
        <f t="shared" si="324"/>
        <v>$L$1:$L$92</v>
      </c>
      <c r="C4137" s="159" t="str">
        <f t="shared" si="325"/>
        <v>July!$K$1:$K$92</v>
      </c>
      <c r="D4137" s="159" t="str">
        <f t="shared" si="326"/>
        <v>July!$L$1:$L$92</v>
      </c>
      <c r="E4137" t="s">
        <v>8</v>
      </c>
      <c r="F4137" t="s">
        <v>126</v>
      </c>
      <c r="G4137" t="s">
        <v>144</v>
      </c>
      <c r="H4137" t="s">
        <v>23</v>
      </c>
      <c r="I4137" t="e">
        <f t="shared" ca="1" si="322"/>
        <v>#REF!</v>
      </c>
      <c r="J4137" t="str">
        <f>VLOOKUP($G4137,DefinitionArrays!$I$6:$J$12,2,FALSE)</f>
        <v>Workweek</v>
      </c>
    </row>
    <row r="4138" spans="1:10">
      <c r="A4138" s="159" t="str">
        <f t="shared" si="323"/>
        <v>$K$1:$K$92</v>
      </c>
      <c r="B4138" s="159" t="str">
        <f t="shared" si="324"/>
        <v>$L$1:$L$92</v>
      </c>
      <c r="C4138" s="159" t="str">
        <f t="shared" si="325"/>
        <v>July!$K$1:$K$92</v>
      </c>
      <c r="D4138" s="159" t="str">
        <f t="shared" si="326"/>
        <v>July!$L$1:$L$92</v>
      </c>
      <c r="E4138" t="s">
        <v>8</v>
      </c>
      <c r="F4138" t="s">
        <v>126</v>
      </c>
      <c r="G4138" t="s">
        <v>144</v>
      </c>
      <c r="H4138" t="s">
        <v>24</v>
      </c>
      <c r="I4138" t="e">
        <f t="shared" ca="1" si="322"/>
        <v>#REF!</v>
      </c>
      <c r="J4138" t="str">
        <f>VLOOKUP($G4138,DefinitionArrays!$I$6:$J$12,2,FALSE)</f>
        <v>Workweek</v>
      </c>
    </row>
    <row r="4139" spans="1:10">
      <c r="A4139" s="159" t="str">
        <f t="shared" si="323"/>
        <v>$K$1:$K$92</v>
      </c>
      <c r="B4139" s="159" t="str">
        <f t="shared" si="324"/>
        <v>$L$1:$L$92</v>
      </c>
      <c r="C4139" s="159" t="str">
        <f t="shared" si="325"/>
        <v>July!$K$1:$K$92</v>
      </c>
      <c r="D4139" s="159" t="str">
        <f t="shared" si="326"/>
        <v>July!$L$1:$L$92</v>
      </c>
      <c r="E4139" t="s">
        <v>8</v>
      </c>
      <c r="F4139" t="s">
        <v>126</v>
      </c>
      <c r="G4139" t="s">
        <v>144</v>
      </c>
      <c r="H4139" t="s">
        <v>179</v>
      </c>
      <c r="I4139" t="e">
        <f t="shared" ca="1" si="322"/>
        <v>#REF!</v>
      </c>
      <c r="J4139" t="str">
        <f>VLOOKUP($G4139,DefinitionArrays!$I$6:$J$12,2,FALSE)</f>
        <v>Workweek</v>
      </c>
    </row>
    <row r="4140" spans="1:10">
      <c r="A4140" s="159" t="str">
        <f t="shared" si="323"/>
        <v>$K$1:$K$92</v>
      </c>
      <c r="B4140" s="159" t="str">
        <f t="shared" si="324"/>
        <v>$L$1:$L$92</v>
      </c>
      <c r="C4140" s="159" t="str">
        <f t="shared" si="325"/>
        <v>July!$K$1:$K$92</v>
      </c>
      <c r="D4140" s="159" t="str">
        <f t="shared" si="326"/>
        <v>July!$L$1:$L$92</v>
      </c>
      <c r="E4140" t="s">
        <v>8</v>
      </c>
      <c r="F4140" t="s">
        <v>126</v>
      </c>
      <c r="G4140" t="s">
        <v>144</v>
      </c>
      <c r="H4140" t="s">
        <v>180</v>
      </c>
      <c r="I4140" t="e">
        <f t="shared" ca="1" si="322"/>
        <v>#REF!</v>
      </c>
      <c r="J4140" t="str">
        <f>VLOOKUP($G4140,DefinitionArrays!$I$6:$J$12,2,FALSE)</f>
        <v>Workweek</v>
      </c>
    </row>
    <row r="4141" spans="1:10">
      <c r="A4141" s="159" t="str">
        <f t="shared" si="323"/>
        <v>$K$1:$K$92</v>
      </c>
      <c r="B4141" s="159" t="str">
        <f t="shared" si="324"/>
        <v>$L$1:$L$92</v>
      </c>
      <c r="C4141" s="159" t="str">
        <f t="shared" si="325"/>
        <v>July!$K$1:$K$92</v>
      </c>
      <c r="D4141" s="159" t="str">
        <f t="shared" si="326"/>
        <v>July!$L$1:$L$92</v>
      </c>
      <c r="E4141" t="s">
        <v>8</v>
      </c>
      <c r="F4141" t="s">
        <v>126</v>
      </c>
      <c r="G4141" t="s">
        <v>144</v>
      </c>
      <c r="H4141" t="s">
        <v>44</v>
      </c>
      <c r="I4141" t="e">
        <f t="shared" ca="1" si="322"/>
        <v>#REF!</v>
      </c>
      <c r="J4141" t="str">
        <f>VLOOKUP($G4141,DefinitionArrays!$I$6:$J$12,2,FALSE)</f>
        <v>Workweek</v>
      </c>
    </row>
    <row r="4142" spans="1:10">
      <c r="A4142" s="159" t="str">
        <f t="shared" si="323"/>
        <v>$N$1:$N$92</v>
      </c>
      <c r="B4142" s="159" t="str">
        <f t="shared" si="324"/>
        <v>$O$1:$O$92</v>
      </c>
      <c r="C4142" s="159" t="str">
        <f t="shared" si="325"/>
        <v>July!$N$1:$N$92</v>
      </c>
      <c r="D4142" s="159" t="str">
        <f t="shared" si="326"/>
        <v>July!$O$1:$O$92</v>
      </c>
      <c r="E4142" t="s">
        <v>8</v>
      </c>
      <c r="F4142" t="s">
        <v>126</v>
      </c>
      <c r="G4142" t="s">
        <v>145</v>
      </c>
      <c r="H4142" t="s">
        <v>159</v>
      </c>
      <c r="I4142" t="e">
        <f t="shared" ca="1" si="322"/>
        <v>#REF!</v>
      </c>
      <c r="J4142" t="str">
        <f>VLOOKUP($G4142,DefinitionArrays!$I$6:$J$12,2,FALSE)</f>
        <v>Weekend</v>
      </c>
    </row>
    <row r="4143" spans="1:10">
      <c r="A4143" s="159" t="str">
        <f t="shared" si="323"/>
        <v>$N$1:$N$92</v>
      </c>
      <c r="B4143" s="159" t="str">
        <f t="shared" si="324"/>
        <v>$O$1:$O$92</v>
      </c>
      <c r="C4143" s="159" t="str">
        <f t="shared" si="325"/>
        <v>July!$N$1:$N$92</v>
      </c>
      <c r="D4143" s="159" t="str">
        <f t="shared" si="326"/>
        <v>July!$O$1:$O$92</v>
      </c>
      <c r="E4143" t="s">
        <v>8</v>
      </c>
      <c r="F4143" t="s">
        <v>126</v>
      </c>
      <c r="G4143" t="s">
        <v>145</v>
      </c>
      <c r="H4143" t="s">
        <v>18</v>
      </c>
      <c r="I4143" t="e">
        <f t="shared" ca="1" si="322"/>
        <v>#REF!</v>
      </c>
      <c r="J4143" t="str">
        <f>VLOOKUP($G4143,DefinitionArrays!$I$6:$J$12,2,FALSE)</f>
        <v>Weekend</v>
      </c>
    </row>
    <row r="4144" spans="1:10">
      <c r="A4144" s="159" t="str">
        <f t="shared" si="323"/>
        <v>$N$1:$N$92</v>
      </c>
      <c r="B4144" s="159" t="str">
        <f t="shared" si="324"/>
        <v>$O$1:$O$92</v>
      </c>
      <c r="C4144" s="159" t="str">
        <f t="shared" si="325"/>
        <v>July!$N$1:$N$92</v>
      </c>
      <c r="D4144" s="159" t="str">
        <f t="shared" si="326"/>
        <v>July!$O$1:$O$92</v>
      </c>
      <c r="E4144" t="s">
        <v>8</v>
      </c>
      <c r="F4144" t="s">
        <v>126</v>
      </c>
      <c r="G4144" t="s">
        <v>145</v>
      </c>
      <c r="H4144" t="s">
        <v>153</v>
      </c>
      <c r="I4144" t="e">
        <f t="shared" ca="1" si="322"/>
        <v>#REF!</v>
      </c>
      <c r="J4144" t="str">
        <f>VLOOKUP($G4144,DefinitionArrays!$I$6:$J$12,2,FALSE)</f>
        <v>Weekend</v>
      </c>
    </row>
    <row r="4145" spans="1:10">
      <c r="A4145" s="159" t="str">
        <f t="shared" si="323"/>
        <v>$N$1:$N$92</v>
      </c>
      <c r="B4145" s="159" t="str">
        <f t="shared" si="324"/>
        <v>$O$1:$O$92</v>
      </c>
      <c r="C4145" s="159" t="str">
        <f t="shared" si="325"/>
        <v>July!$N$1:$N$92</v>
      </c>
      <c r="D4145" s="159" t="str">
        <f t="shared" si="326"/>
        <v>July!$O$1:$O$92</v>
      </c>
      <c r="E4145" t="s">
        <v>8</v>
      </c>
      <c r="F4145" t="s">
        <v>126</v>
      </c>
      <c r="G4145" t="s">
        <v>145</v>
      </c>
      <c r="H4145" t="s">
        <v>19</v>
      </c>
      <c r="I4145" t="e">
        <f t="shared" ca="1" si="322"/>
        <v>#REF!</v>
      </c>
      <c r="J4145" t="str">
        <f>VLOOKUP($G4145,DefinitionArrays!$I$6:$J$12,2,FALSE)</f>
        <v>Weekend</v>
      </c>
    </row>
    <row r="4146" spans="1:10">
      <c r="A4146" s="159" t="str">
        <f t="shared" si="323"/>
        <v>$N$1:$N$92</v>
      </c>
      <c r="B4146" s="159" t="str">
        <f t="shared" si="324"/>
        <v>$O$1:$O$92</v>
      </c>
      <c r="C4146" s="159" t="str">
        <f t="shared" si="325"/>
        <v>July!$N$1:$N$92</v>
      </c>
      <c r="D4146" s="159" t="str">
        <f t="shared" si="326"/>
        <v>July!$O$1:$O$92</v>
      </c>
      <c r="E4146" t="s">
        <v>8</v>
      </c>
      <c r="F4146" t="s">
        <v>126</v>
      </c>
      <c r="G4146" t="s">
        <v>145</v>
      </c>
      <c r="H4146" t="s">
        <v>20</v>
      </c>
      <c r="I4146" t="e">
        <f t="shared" ca="1" si="322"/>
        <v>#REF!</v>
      </c>
      <c r="J4146" t="str">
        <f>VLOOKUP($G4146,DefinitionArrays!$I$6:$J$12,2,FALSE)</f>
        <v>Weekend</v>
      </c>
    </row>
    <row r="4147" spans="1:10">
      <c r="A4147" s="159" t="str">
        <f t="shared" si="323"/>
        <v>$N$1:$N$92</v>
      </c>
      <c r="B4147" s="159" t="str">
        <f t="shared" si="324"/>
        <v>$O$1:$O$92</v>
      </c>
      <c r="C4147" s="159" t="str">
        <f t="shared" si="325"/>
        <v>July!$N$1:$N$92</v>
      </c>
      <c r="D4147" s="159" t="str">
        <f t="shared" si="326"/>
        <v>July!$O$1:$O$92</v>
      </c>
      <c r="E4147" t="s">
        <v>8</v>
      </c>
      <c r="F4147" t="s">
        <v>126</v>
      </c>
      <c r="G4147" t="s">
        <v>145</v>
      </c>
      <c r="H4147" t="s">
        <v>21</v>
      </c>
      <c r="I4147" t="e">
        <f t="shared" ca="1" si="322"/>
        <v>#REF!</v>
      </c>
      <c r="J4147" t="str">
        <f>VLOOKUP($G4147,DefinitionArrays!$I$6:$J$12,2,FALSE)</f>
        <v>Weekend</v>
      </c>
    </row>
    <row r="4148" spans="1:10">
      <c r="A4148" s="159" t="str">
        <f t="shared" si="323"/>
        <v>$N$1:$N$92</v>
      </c>
      <c r="B4148" s="159" t="str">
        <f t="shared" si="324"/>
        <v>$O$1:$O$92</v>
      </c>
      <c r="C4148" s="159" t="str">
        <f t="shared" si="325"/>
        <v>July!$N$1:$N$92</v>
      </c>
      <c r="D4148" s="159" t="str">
        <f t="shared" si="326"/>
        <v>July!$O$1:$O$92</v>
      </c>
      <c r="E4148" t="s">
        <v>8</v>
      </c>
      <c r="F4148" t="s">
        <v>126</v>
      </c>
      <c r="G4148" t="s">
        <v>145</v>
      </c>
      <c r="H4148" t="s">
        <v>22</v>
      </c>
      <c r="I4148" t="e">
        <f t="shared" ca="1" si="322"/>
        <v>#REF!</v>
      </c>
      <c r="J4148" t="str">
        <f>VLOOKUP($G4148,DefinitionArrays!$I$6:$J$12,2,FALSE)</f>
        <v>Weekend</v>
      </c>
    </row>
    <row r="4149" spans="1:10">
      <c r="A4149" s="159" t="str">
        <f t="shared" si="323"/>
        <v>$N$1:$N$92</v>
      </c>
      <c r="B4149" s="159" t="str">
        <f t="shared" si="324"/>
        <v>$O$1:$O$92</v>
      </c>
      <c r="C4149" s="159" t="str">
        <f t="shared" si="325"/>
        <v>July!$N$1:$N$92</v>
      </c>
      <c r="D4149" s="159" t="str">
        <f t="shared" si="326"/>
        <v>July!$O$1:$O$92</v>
      </c>
      <c r="E4149" t="s">
        <v>8</v>
      </c>
      <c r="F4149" t="s">
        <v>126</v>
      </c>
      <c r="G4149" t="s">
        <v>145</v>
      </c>
      <c r="H4149" t="s">
        <v>23</v>
      </c>
      <c r="I4149" t="e">
        <f t="shared" ca="1" si="322"/>
        <v>#REF!</v>
      </c>
      <c r="J4149" t="str">
        <f>VLOOKUP($G4149,DefinitionArrays!$I$6:$J$12,2,FALSE)</f>
        <v>Weekend</v>
      </c>
    </row>
    <row r="4150" spans="1:10">
      <c r="A4150" s="159" t="str">
        <f t="shared" si="323"/>
        <v>$N$1:$N$92</v>
      </c>
      <c r="B4150" s="159" t="str">
        <f t="shared" si="324"/>
        <v>$O$1:$O$92</v>
      </c>
      <c r="C4150" s="159" t="str">
        <f t="shared" si="325"/>
        <v>July!$N$1:$N$92</v>
      </c>
      <c r="D4150" s="159" t="str">
        <f t="shared" si="326"/>
        <v>July!$O$1:$O$92</v>
      </c>
      <c r="E4150" t="s">
        <v>8</v>
      </c>
      <c r="F4150" t="s">
        <v>126</v>
      </c>
      <c r="G4150" t="s">
        <v>145</v>
      </c>
      <c r="H4150" t="s">
        <v>24</v>
      </c>
      <c r="I4150" t="e">
        <f t="shared" ca="1" si="322"/>
        <v>#REF!</v>
      </c>
      <c r="J4150" t="str">
        <f>VLOOKUP($G4150,DefinitionArrays!$I$6:$J$12,2,FALSE)</f>
        <v>Weekend</v>
      </c>
    </row>
    <row r="4151" spans="1:10">
      <c r="A4151" s="159" t="str">
        <f t="shared" si="323"/>
        <v>$N$1:$N$92</v>
      </c>
      <c r="B4151" s="159" t="str">
        <f t="shared" si="324"/>
        <v>$O$1:$O$92</v>
      </c>
      <c r="C4151" s="159" t="str">
        <f t="shared" si="325"/>
        <v>July!$N$1:$N$92</v>
      </c>
      <c r="D4151" s="159" t="str">
        <f t="shared" si="326"/>
        <v>July!$O$1:$O$92</v>
      </c>
      <c r="E4151" t="s">
        <v>8</v>
      </c>
      <c r="F4151" t="s">
        <v>126</v>
      </c>
      <c r="G4151" t="s">
        <v>145</v>
      </c>
      <c r="H4151" t="s">
        <v>179</v>
      </c>
      <c r="I4151" t="e">
        <f t="shared" ca="1" si="322"/>
        <v>#REF!</v>
      </c>
      <c r="J4151" t="str">
        <f>VLOOKUP($G4151,DefinitionArrays!$I$6:$J$12,2,FALSE)</f>
        <v>Weekend</v>
      </c>
    </row>
    <row r="4152" spans="1:10">
      <c r="A4152" s="159" t="str">
        <f t="shared" si="323"/>
        <v>$N$1:$N$92</v>
      </c>
      <c r="B4152" s="159" t="str">
        <f t="shared" si="324"/>
        <v>$O$1:$O$92</v>
      </c>
      <c r="C4152" s="159" t="str">
        <f t="shared" si="325"/>
        <v>July!$N$1:$N$92</v>
      </c>
      <c r="D4152" s="159" t="str">
        <f t="shared" si="326"/>
        <v>July!$O$1:$O$92</v>
      </c>
      <c r="E4152" t="s">
        <v>8</v>
      </c>
      <c r="F4152" t="s">
        <v>126</v>
      </c>
      <c r="G4152" t="s">
        <v>145</v>
      </c>
      <c r="H4152" t="s">
        <v>180</v>
      </c>
      <c r="I4152" t="e">
        <f t="shared" ca="1" si="322"/>
        <v>#REF!</v>
      </c>
      <c r="J4152" t="str">
        <f>VLOOKUP($G4152,DefinitionArrays!$I$6:$J$12,2,FALSE)</f>
        <v>Weekend</v>
      </c>
    </row>
    <row r="4153" spans="1:10">
      <c r="A4153" s="159" t="str">
        <f t="shared" si="323"/>
        <v>$N$1:$N$92</v>
      </c>
      <c r="B4153" s="159" t="str">
        <f t="shared" si="324"/>
        <v>$O$1:$O$92</v>
      </c>
      <c r="C4153" s="159" t="str">
        <f t="shared" si="325"/>
        <v>July!$N$1:$N$92</v>
      </c>
      <c r="D4153" s="159" t="str">
        <f t="shared" si="326"/>
        <v>July!$O$1:$O$92</v>
      </c>
      <c r="E4153" t="s">
        <v>8</v>
      </c>
      <c r="F4153" t="s">
        <v>126</v>
      </c>
      <c r="G4153" t="s">
        <v>145</v>
      </c>
      <c r="H4153" t="s">
        <v>44</v>
      </c>
      <c r="I4153" t="e">
        <f t="shared" ca="1" si="322"/>
        <v>#REF!</v>
      </c>
      <c r="J4153" t="str">
        <f>VLOOKUP($G4153,DefinitionArrays!$I$6:$J$12,2,FALSE)</f>
        <v>Weekend</v>
      </c>
    </row>
    <row r="4154" spans="1:10">
      <c r="A4154" s="159" t="str">
        <f t="shared" si="323"/>
        <v>$Q$1:$Q$92</v>
      </c>
      <c r="B4154" s="159" t="str">
        <f t="shared" si="324"/>
        <v>$R$1:$R$92</v>
      </c>
      <c r="C4154" s="159" t="str">
        <f t="shared" si="325"/>
        <v>July!$Q$1:$Q$92</v>
      </c>
      <c r="D4154" s="159" t="str">
        <f t="shared" si="326"/>
        <v>July!$R$1:$R$92</v>
      </c>
      <c r="E4154" t="s">
        <v>8</v>
      </c>
      <c r="F4154" t="s">
        <v>126</v>
      </c>
      <c r="G4154" t="s">
        <v>146</v>
      </c>
      <c r="H4154" t="s">
        <v>159</v>
      </c>
      <c r="I4154" t="e">
        <f t="shared" ca="1" si="322"/>
        <v>#REF!</v>
      </c>
      <c r="J4154" t="str">
        <f>VLOOKUP($G4154,DefinitionArrays!$I$6:$J$12,2,FALSE)</f>
        <v>Weekend</v>
      </c>
    </row>
    <row r="4155" spans="1:10">
      <c r="A4155" s="159" t="str">
        <f t="shared" si="323"/>
        <v>$T$1:$T$92</v>
      </c>
      <c r="B4155" s="159" t="str">
        <f t="shared" si="324"/>
        <v>$U$1:$U$92</v>
      </c>
      <c r="C4155" s="159" t="str">
        <f t="shared" si="325"/>
        <v>July!$T$1:$T$92</v>
      </c>
      <c r="D4155" s="159" t="str">
        <f t="shared" si="326"/>
        <v>July!$U$1:$U$92</v>
      </c>
      <c r="E4155" t="s">
        <v>8</v>
      </c>
      <c r="F4155" t="s">
        <v>126</v>
      </c>
      <c r="G4155" t="s">
        <v>141</v>
      </c>
      <c r="H4155" t="s">
        <v>159</v>
      </c>
      <c r="I4155" t="e">
        <f t="shared" ca="1" si="322"/>
        <v>#REF!</v>
      </c>
      <c r="J4155" t="str">
        <f>VLOOKUP($G4155,DefinitionArrays!$I$6:$J$12,2,FALSE)</f>
        <v>Weekend</v>
      </c>
    </row>
    <row r="4156" spans="1:10">
      <c r="A4156" s="159" t="str">
        <f t="shared" si="323"/>
        <v>$B$1:$B$92</v>
      </c>
      <c r="B4156" s="159" t="str">
        <f t="shared" si="324"/>
        <v>$C$1:$C$92</v>
      </c>
      <c r="C4156" s="159" t="str">
        <f t="shared" si="325"/>
        <v>August!$B$1:$B$92</v>
      </c>
      <c r="D4156" s="159" t="str">
        <f t="shared" si="326"/>
        <v>August!$C$1:$C$92</v>
      </c>
      <c r="E4156" t="s">
        <v>8</v>
      </c>
      <c r="F4156" t="s">
        <v>127</v>
      </c>
      <c r="G4156" t="s">
        <v>13</v>
      </c>
      <c r="H4156" t="s">
        <v>159</v>
      </c>
      <c r="I4156" t="e">
        <f ca="1">COUNTIFS(INDIRECT($C4156),$E4156,INDIRECT($D4156),$H4156)</f>
        <v>#REF!</v>
      </c>
      <c r="J4156" t="str">
        <f>VLOOKUP($G4156,DefinitionArrays!$I$6:$J$12,2,FALSE)</f>
        <v>Workweek</v>
      </c>
    </row>
    <row r="4157" spans="1:10">
      <c r="A4157" s="159" t="str">
        <f t="shared" si="323"/>
        <v>$B$1:$B$92</v>
      </c>
      <c r="B4157" s="159" t="str">
        <f t="shared" si="324"/>
        <v>$C$1:$C$92</v>
      </c>
      <c r="C4157" s="159" t="str">
        <f t="shared" si="325"/>
        <v>August!$B$1:$B$92</v>
      </c>
      <c r="D4157" s="159" t="str">
        <f t="shared" si="326"/>
        <v>August!$C$1:$C$92</v>
      </c>
      <c r="E4157" t="s">
        <v>8</v>
      </c>
      <c r="F4157" t="s">
        <v>127</v>
      </c>
      <c r="G4157" t="s">
        <v>13</v>
      </c>
      <c r="H4157" t="s">
        <v>18</v>
      </c>
      <c r="I4157" t="e">
        <f t="shared" ref="I4157:I4217" ca="1" si="327">COUNTIFS(INDIRECT($C4157),$E4157,INDIRECT($D4157),$H4157)</f>
        <v>#REF!</v>
      </c>
      <c r="J4157" t="str">
        <f>VLOOKUP($G4157,DefinitionArrays!$I$6:$J$12,2,FALSE)</f>
        <v>Workweek</v>
      </c>
    </row>
    <row r="4158" spans="1:10">
      <c r="A4158" s="159" t="str">
        <f t="shared" si="323"/>
        <v>$B$1:$B$92</v>
      </c>
      <c r="B4158" s="159" t="str">
        <f t="shared" si="324"/>
        <v>$C$1:$C$92</v>
      </c>
      <c r="C4158" s="159" t="str">
        <f t="shared" si="325"/>
        <v>August!$B$1:$B$92</v>
      </c>
      <c r="D4158" s="159" t="str">
        <f t="shared" si="326"/>
        <v>August!$C$1:$C$92</v>
      </c>
      <c r="E4158" t="s">
        <v>8</v>
      </c>
      <c r="F4158" t="s">
        <v>127</v>
      </c>
      <c r="G4158" t="s">
        <v>13</v>
      </c>
      <c r="H4158" t="s">
        <v>153</v>
      </c>
      <c r="I4158" t="e">
        <f t="shared" ca="1" si="327"/>
        <v>#REF!</v>
      </c>
      <c r="J4158" t="str">
        <f>VLOOKUP($G4158,DefinitionArrays!$I$6:$J$12,2,FALSE)</f>
        <v>Workweek</v>
      </c>
    </row>
    <row r="4159" spans="1:10">
      <c r="A4159" s="159" t="str">
        <f t="shared" si="323"/>
        <v>$B$1:$B$92</v>
      </c>
      <c r="B4159" s="159" t="str">
        <f t="shared" si="324"/>
        <v>$C$1:$C$92</v>
      </c>
      <c r="C4159" s="159" t="str">
        <f t="shared" si="325"/>
        <v>August!$B$1:$B$92</v>
      </c>
      <c r="D4159" s="159" t="str">
        <f t="shared" si="326"/>
        <v>August!$C$1:$C$92</v>
      </c>
      <c r="E4159" t="s">
        <v>8</v>
      </c>
      <c r="F4159" t="s">
        <v>127</v>
      </c>
      <c r="G4159" t="s">
        <v>13</v>
      </c>
      <c r="H4159" t="s">
        <v>19</v>
      </c>
      <c r="I4159" t="e">
        <f t="shared" ca="1" si="327"/>
        <v>#REF!</v>
      </c>
      <c r="J4159" t="str">
        <f>VLOOKUP($G4159,DefinitionArrays!$I$6:$J$12,2,FALSE)</f>
        <v>Workweek</v>
      </c>
    </row>
    <row r="4160" spans="1:10">
      <c r="A4160" s="159" t="str">
        <f t="shared" si="323"/>
        <v>$B$1:$B$92</v>
      </c>
      <c r="B4160" s="159" t="str">
        <f t="shared" si="324"/>
        <v>$C$1:$C$92</v>
      </c>
      <c r="C4160" s="159" t="str">
        <f t="shared" si="325"/>
        <v>August!$B$1:$B$92</v>
      </c>
      <c r="D4160" s="159" t="str">
        <f t="shared" si="326"/>
        <v>August!$C$1:$C$92</v>
      </c>
      <c r="E4160" t="s">
        <v>8</v>
      </c>
      <c r="F4160" t="s">
        <v>127</v>
      </c>
      <c r="G4160" t="s">
        <v>13</v>
      </c>
      <c r="H4160" t="s">
        <v>20</v>
      </c>
      <c r="I4160" t="e">
        <f t="shared" ca="1" si="327"/>
        <v>#REF!</v>
      </c>
      <c r="J4160" t="str">
        <f>VLOOKUP($G4160,DefinitionArrays!$I$6:$J$12,2,FALSE)</f>
        <v>Workweek</v>
      </c>
    </row>
    <row r="4161" spans="1:10">
      <c r="A4161" s="159" t="str">
        <f t="shared" si="323"/>
        <v>$B$1:$B$92</v>
      </c>
      <c r="B4161" s="159" t="str">
        <f t="shared" si="324"/>
        <v>$C$1:$C$92</v>
      </c>
      <c r="C4161" s="159" t="str">
        <f t="shared" si="325"/>
        <v>August!$B$1:$B$92</v>
      </c>
      <c r="D4161" s="159" t="str">
        <f t="shared" si="326"/>
        <v>August!$C$1:$C$92</v>
      </c>
      <c r="E4161" t="s">
        <v>8</v>
      </c>
      <c r="F4161" t="s">
        <v>127</v>
      </c>
      <c r="G4161" t="s">
        <v>13</v>
      </c>
      <c r="H4161" t="s">
        <v>21</v>
      </c>
      <c r="I4161" t="e">
        <f t="shared" ca="1" si="327"/>
        <v>#REF!</v>
      </c>
      <c r="J4161" t="str">
        <f>VLOOKUP($G4161,DefinitionArrays!$I$6:$J$12,2,FALSE)</f>
        <v>Workweek</v>
      </c>
    </row>
    <row r="4162" spans="1:10">
      <c r="A4162" s="159" t="str">
        <f t="shared" ref="A4162:A4225" si="328">VLOOKUP($G4162,Fx_Code,2,FALSE)</f>
        <v>$B$1:$B$92</v>
      </c>
      <c r="B4162" s="159" t="str">
        <f t="shared" ref="B4162:B4225" si="329">VLOOKUP($G4162,Fx_Code,3,FALSE)</f>
        <v>$C$1:$C$92</v>
      </c>
      <c r="C4162" s="159" t="str">
        <f t="shared" ref="C4162:C4225" si="330">CONCATENATE($F4162,$K$1,A4162)</f>
        <v>August!$B$1:$B$92</v>
      </c>
      <c r="D4162" s="159" t="str">
        <f t="shared" ref="D4162:D4225" si="331">CONCATENATE($F4162,$K$1,B4162)</f>
        <v>August!$C$1:$C$92</v>
      </c>
      <c r="E4162" t="s">
        <v>8</v>
      </c>
      <c r="F4162" t="s">
        <v>127</v>
      </c>
      <c r="G4162" t="s">
        <v>13</v>
      </c>
      <c r="H4162" t="s">
        <v>22</v>
      </c>
      <c r="I4162" t="e">
        <f t="shared" ca="1" si="327"/>
        <v>#REF!</v>
      </c>
      <c r="J4162" t="str">
        <f>VLOOKUP($G4162,DefinitionArrays!$I$6:$J$12,2,FALSE)</f>
        <v>Workweek</v>
      </c>
    </row>
    <row r="4163" spans="1:10">
      <c r="A4163" s="159" t="str">
        <f t="shared" si="328"/>
        <v>$B$1:$B$92</v>
      </c>
      <c r="B4163" s="159" t="str">
        <f t="shared" si="329"/>
        <v>$C$1:$C$92</v>
      </c>
      <c r="C4163" s="159" t="str">
        <f t="shared" si="330"/>
        <v>August!$B$1:$B$92</v>
      </c>
      <c r="D4163" s="159" t="str">
        <f t="shared" si="331"/>
        <v>August!$C$1:$C$92</v>
      </c>
      <c r="E4163" t="s">
        <v>8</v>
      </c>
      <c r="F4163" t="s">
        <v>127</v>
      </c>
      <c r="G4163" t="s">
        <v>13</v>
      </c>
      <c r="H4163" t="s">
        <v>23</v>
      </c>
      <c r="I4163" t="e">
        <f t="shared" ca="1" si="327"/>
        <v>#REF!</v>
      </c>
      <c r="J4163" t="str">
        <f>VLOOKUP($G4163,DefinitionArrays!$I$6:$J$12,2,FALSE)</f>
        <v>Workweek</v>
      </c>
    </row>
    <row r="4164" spans="1:10">
      <c r="A4164" s="159" t="str">
        <f t="shared" si="328"/>
        <v>$B$1:$B$92</v>
      </c>
      <c r="B4164" s="159" t="str">
        <f t="shared" si="329"/>
        <v>$C$1:$C$92</v>
      </c>
      <c r="C4164" s="159" t="str">
        <f t="shared" si="330"/>
        <v>August!$B$1:$B$92</v>
      </c>
      <c r="D4164" s="159" t="str">
        <f t="shared" si="331"/>
        <v>August!$C$1:$C$92</v>
      </c>
      <c r="E4164" t="s">
        <v>8</v>
      </c>
      <c r="F4164" t="s">
        <v>127</v>
      </c>
      <c r="G4164" t="s">
        <v>13</v>
      </c>
      <c r="H4164" t="s">
        <v>24</v>
      </c>
      <c r="I4164" t="e">
        <f t="shared" ca="1" si="327"/>
        <v>#REF!</v>
      </c>
      <c r="J4164" t="str">
        <f>VLOOKUP($G4164,DefinitionArrays!$I$6:$J$12,2,FALSE)</f>
        <v>Workweek</v>
      </c>
    </row>
    <row r="4165" spans="1:10">
      <c r="A4165" s="159" t="str">
        <f t="shared" si="328"/>
        <v>$B$1:$B$92</v>
      </c>
      <c r="B4165" s="159" t="str">
        <f t="shared" si="329"/>
        <v>$C$1:$C$92</v>
      </c>
      <c r="C4165" s="159" t="str">
        <f t="shared" si="330"/>
        <v>August!$B$1:$B$92</v>
      </c>
      <c r="D4165" s="159" t="str">
        <f t="shared" si="331"/>
        <v>August!$C$1:$C$92</v>
      </c>
      <c r="E4165" t="s">
        <v>8</v>
      </c>
      <c r="F4165" t="s">
        <v>127</v>
      </c>
      <c r="G4165" t="s">
        <v>13</v>
      </c>
      <c r="H4165" t="s">
        <v>179</v>
      </c>
      <c r="I4165" t="e">
        <f t="shared" ca="1" si="327"/>
        <v>#REF!</v>
      </c>
      <c r="J4165" t="str">
        <f>VLOOKUP($G4165,DefinitionArrays!$I$6:$J$12,2,FALSE)</f>
        <v>Workweek</v>
      </c>
    </row>
    <row r="4166" spans="1:10">
      <c r="A4166" s="159" t="str">
        <f t="shared" si="328"/>
        <v>$B$1:$B$92</v>
      </c>
      <c r="B4166" s="159" t="str">
        <f t="shared" si="329"/>
        <v>$C$1:$C$92</v>
      </c>
      <c r="C4166" s="159" t="str">
        <f t="shared" si="330"/>
        <v>August!$B$1:$B$92</v>
      </c>
      <c r="D4166" s="159" t="str">
        <f t="shared" si="331"/>
        <v>August!$C$1:$C$92</v>
      </c>
      <c r="E4166" t="s">
        <v>8</v>
      </c>
      <c r="F4166" t="s">
        <v>127</v>
      </c>
      <c r="G4166" t="s">
        <v>13</v>
      </c>
      <c r="H4166" t="s">
        <v>180</v>
      </c>
      <c r="I4166" t="e">
        <f t="shared" ca="1" si="327"/>
        <v>#REF!</v>
      </c>
      <c r="J4166" t="str">
        <f>VLOOKUP($G4166,DefinitionArrays!$I$6:$J$12,2,FALSE)</f>
        <v>Workweek</v>
      </c>
    </row>
    <row r="4167" spans="1:10">
      <c r="A4167" s="159" t="str">
        <f t="shared" si="328"/>
        <v>$B$1:$B$92</v>
      </c>
      <c r="B4167" s="159" t="str">
        <f t="shared" si="329"/>
        <v>$C$1:$C$92</v>
      </c>
      <c r="C4167" s="159" t="str">
        <f t="shared" si="330"/>
        <v>August!$B$1:$B$92</v>
      </c>
      <c r="D4167" s="159" t="str">
        <f t="shared" si="331"/>
        <v>August!$C$1:$C$92</v>
      </c>
      <c r="E4167" t="s">
        <v>8</v>
      </c>
      <c r="F4167" t="s">
        <v>127</v>
      </c>
      <c r="G4167" t="s">
        <v>13</v>
      </c>
      <c r="H4167" t="s">
        <v>44</v>
      </c>
      <c r="I4167" t="e">
        <f t="shared" ca="1" si="327"/>
        <v>#REF!</v>
      </c>
      <c r="J4167" t="str">
        <f>VLOOKUP($G4167,DefinitionArrays!$I$6:$J$12,2,FALSE)</f>
        <v>Workweek</v>
      </c>
    </row>
    <row r="4168" spans="1:10">
      <c r="A4168" s="159" t="str">
        <f t="shared" si="328"/>
        <v>$E$1:$E$92</v>
      </c>
      <c r="B4168" s="159" t="str">
        <f t="shared" si="329"/>
        <v>$F$1:$F$92</v>
      </c>
      <c r="C4168" s="159" t="str">
        <f t="shared" si="330"/>
        <v>August!$E$1:$E$92</v>
      </c>
      <c r="D4168" s="159" t="str">
        <f t="shared" si="331"/>
        <v>August!$F$1:$F$92</v>
      </c>
      <c r="E4168" t="s">
        <v>8</v>
      </c>
      <c r="F4168" t="s">
        <v>127</v>
      </c>
      <c r="G4168" t="s">
        <v>142</v>
      </c>
      <c r="H4168" t="s">
        <v>159</v>
      </c>
      <c r="I4168" t="e">
        <f t="shared" ca="1" si="327"/>
        <v>#REF!</v>
      </c>
      <c r="J4168" t="str">
        <f>VLOOKUP($G4168,DefinitionArrays!$I$6:$J$12,2,FALSE)</f>
        <v>Workweek</v>
      </c>
    </row>
    <row r="4169" spans="1:10">
      <c r="A4169" s="159" t="str">
        <f t="shared" si="328"/>
        <v>$E$1:$E$92</v>
      </c>
      <c r="B4169" s="159" t="str">
        <f t="shared" si="329"/>
        <v>$F$1:$F$92</v>
      </c>
      <c r="C4169" s="159" t="str">
        <f t="shared" si="330"/>
        <v>August!$E$1:$E$92</v>
      </c>
      <c r="D4169" s="159" t="str">
        <f t="shared" si="331"/>
        <v>August!$F$1:$F$92</v>
      </c>
      <c r="E4169" t="s">
        <v>8</v>
      </c>
      <c r="F4169" t="s">
        <v>127</v>
      </c>
      <c r="G4169" t="s">
        <v>142</v>
      </c>
      <c r="H4169" t="s">
        <v>18</v>
      </c>
      <c r="I4169" t="e">
        <f t="shared" ca="1" si="327"/>
        <v>#REF!</v>
      </c>
      <c r="J4169" t="str">
        <f>VLOOKUP($G4169,DefinitionArrays!$I$6:$J$12,2,FALSE)</f>
        <v>Workweek</v>
      </c>
    </row>
    <row r="4170" spans="1:10">
      <c r="A4170" s="159" t="str">
        <f t="shared" si="328"/>
        <v>$E$1:$E$92</v>
      </c>
      <c r="B4170" s="159" t="str">
        <f t="shared" si="329"/>
        <v>$F$1:$F$92</v>
      </c>
      <c r="C4170" s="159" t="str">
        <f t="shared" si="330"/>
        <v>August!$E$1:$E$92</v>
      </c>
      <c r="D4170" s="159" t="str">
        <f t="shared" si="331"/>
        <v>August!$F$1:$F$92</v>
      </c>
      <c r="E4170" t="s">
        <v>8</v>
      </c>
      <c r="F4170" t="s">
        <v>127</v>
      </c>
      <c r="G4170" t="s">
        <v>142</v>
      </c>
      <c r="H4170" t="s">
        <v>153</v>
      </c>
      <c r="I4170" t="e">
        <f t="shared" ca="1" si="327"/>
        <v>#REF!</v>
      </c>
      <c r="J4170" t="str">
        <f>VLOOKUP($G4170,DefinitionArrays!$I$6:$J$12,2,FALSE)</f>
        <v>Workweek</v>
      </c>
    </row>
    <row r="4171" spans="1:10">
      <c r="A4171" s="159" t="str">
        <f t="shared" si="328"/>
        <v>$E$1:$E$92</v>
      </c>
      <c r="B4171" s="159" t="str">
        <f t="shared" si="329"/>
        <v>$F$1:$F$92</v>
      </c>
      <c r="C4171" s="159" t="str">
        <f t="shared" si="330"/>
        <v>August!$E$1:$E$92</v>
      </c>
      <c r="D4171" s="159" t="str">
        <f t="shared" si="331"/>
        <v>August!$F$1:$F$92</v>
      </c>
      <c r="E4171" t="s">
        <v>8</v>
      </c>
      <c r="F4171" t="s">
        <v>127</v>
      </c>
      <c r="G4171" t="s">
        <v>142</v>
      </c>
      <c r="H4171" t="s">
        <v>19</v>
      </c>
      <c r="I4171" t="e">
        <f t="shared" ca="1" si="327"/>
        <v>#REF!</v>
      </c>
      <c r="J4171" t="str">
        <f>VLOOKUP($G4171,DefinitionArrays!$I$6:$J$12,2,FALSE)</f>
        <v>Workweek</v>
      </c>
    </row>
    <row r="4172" spans="1:10">
      <c r="A4172" s="159" t="str">
        <f t="shared" si="328"/>
        <v>$E$1:$E$92</v>
      </c>
      <c r="B4172" s="159" t="str">
        <f t="shared" si="329"/>
        <v>$F$1:$F$92</v>
      </c>
      <c r="C4172" s="159" t="str">
        <f t="shared" si="330"/>
        <v>August!$E$1:$E$92</v>
      </c>
      <c r="D4172" s="159" t="str">
        <f t="shared" si="331"/>
        <v>August!$F$1:$F$92</v>
      </c>
      <c r="E4172" t="s">
        <v>8</v>
      </c>
      <c r="F4172" t="s">
        <v>127</v>
      </c>
      <c r="G4172" t="s">
        <v>142</v>
      </c>
      <c r="H4172" t="s">
        <v>20</v>
      </c>
      <c r="I4172" t="e">
        <f t="shared" ca="1" si="327"/>
        <v>#REF!</v>
      </c>
      <c r="J4172" t="str">
        <f>VLOOKUP($G4172,DefinitionArrays!$I$6:$J$12,2,FALSE)</f>
        <v>Workweek</v>
      </c>
    </row>
    <row r="4173" spans="1:10">
      <c r="A4173" s="159" t="str">
        <f t="shared" si="328"/>
        <v>$E$1:$E$92</v>
      </c>
      <c r="B4173" s="159" t="str">
        <f t="shared" si="329"/>
        <v>$F$1:$F$92</v>
      </c>
      <c r="C4173" s="159" t="str">
        <f t="shared" si="330"/>
        <v>August!$E$1:$E$92</v>
      </c>
      <c r="D4173" s="159" t="str">
        <f t="shared" si="331"/>
        <v>August!$F$1:$F$92</v>
      </c>
      <c r="E4173" t="s">
        <v>8</v>
      </c>
      <c r="F4173" t="s">
        <v>127</v>
      </c>
      <c r="G4173" t="s">
        <v>142</v>
      </c>
      <c r="H4173" t="s">
        <v>21</v>
      </c>
      <c r="I4173" t="e">
        <f t="shared" ca="1" si="327"/>
        <v>#REF!</v>
      </c>
      <c r="J4173" t="str">
        <f>VLOOKUP($G4173,DefinitionArrays!$I$6:$J$12,2,FALSE)</f>
        <v>Workweek</v>
      </c>
    </row>
    <row r="4174" spans="1:10">
      <c r="A4174" s="159" t="str">
        <f t="shared" si="328"/>
        <v>$E$1:$E$92</v>
      </c>
      <c r="B4174" s="159" t="str">
        <f t="shared" si="329"/>
        <v>$F$1:$F$92</v>
      </c>
      <c r="C4174" s="159" t="str">
        <f t="shared" si="330"/>
        <v>August!$E$1:$E$92</v>
      </c>
      <c r="D4174" s="159" t="str">
        <f t="shared" si="331"/>
        <v>August!$F$1:$F$92</v>
      </c>
      <c r="E4174" t="s">
        <v>8</v>
      </c>
      <c r="F4174" t="s">
        <v>127</v>
      </c>
      <c r="G4174" t="s">
        <v>142</v>
      </c>
      <c r="H4174" t="s">
        <v>22</v>
      </c>
      <c r="I4174" t="e">
        <f t="shared" ca="1" si="327"/>
        <v>#REF!</v>
      </c>
      <c r="J4174" t="str">
        <f>VLOOKUP($G4174,DefinitionArrays!$I$6:$J$12,2,FALSE)</f>
        <v>Workweek</v>
      </c>
    </row>
    <row r="4175" spans="1:10">
      <c r="A4175" s="159" t="str">
        <f t="shared" si="328"/>
        <v>$E$1:$E$92</v>
      </c>
      <c r="B4175" s="159" t="str">
        <f t="shared" si="329"/>
        <v>$F$1:$F$92</v>
      </c>
      <c r="C4175" s="159" t="str">
        <f t="shared" si="330"/>
        <v>August!$E$1:$E$92</v>
      </c>
      <c r="D4175" s="159" t="str">
        <f t="shared" si="331"/>
        <v>August!$F$1:$F$92</v>
      </c>
      <c r="E4175" t="s">
        <v>8</v>
      </c>
      <c r="F4175" t="s">
        <v>127</v>
      </c>
      <c r="G4175" t="s">
        <v>142</v>
      </c>
      <c r="H4175" t="s">
        <v>23</v>
      </c>
      <c r="I4175" t="e">
        <f t="shared" ca="1" si="327"/>
        <v>#REF!</v>
      </c>
      <c r="J4175" t="str">
        <f>VLOOKUP($G4175,DefinitionArrays!$I$6:$J$12,2,FALSE)</f>
        <v>Workweek</v>
      </c>
    </row>
    <row r="4176" spans="1:10">
      <c r="A4176" s="159" t="str">
        <f t="shared" si="328"/>
        <v>$E$1:$E$92</v>
      </c>
      <c r="B4176" s="159" t="str">
        <f t="shared" si="329"/>
        <v>$F$1:$F$92</v>
      </c>
      <c r="C4176" s="159" t="str">
        <f t="shared" si="330"/>
        <v>August!$E$1:$E$92</v>
      </c>
      <c r="D4176" s="159" t="str">
        <f t="shared" si="331"/>
        <v>August!$F$1:$F$92</v>
      </c>
      <c r="E4176" t="s">
        <v>8</v>
      </c>
      <c r="F4176" t="s">
        <v>127</v>
      </c>
      <c r="G4176" t="s">
        <v>142</v>
      </c>
      <c r="H4176" t="s">
        <v>24</v>
      </c>
      <c r="I4176" t="e">
        <f t="shared" ca="1" si="327"/>
        <v>#REF!</v>
      </c>
      <c r="J4176" t="str">
        <f>VLOOKUP($G4176,DefinitionArrays!$I$6:$J$12,2,FALSE)</f>
        <v>Workweek</v>
      </c>
    </row>
    <row r="4177" spans="1:10">
      <c r="A4177" s="159" t="str">
        <f t="shared" si="328"/>
        <v>$E$1:$E$92</v>
      </c>
      <c r="B4177" s="159" t="str">
        <f t="shared" si="329"/>
        <v>$F$1:$F$92</v>
      </c>
      <c r="C4177" s="159" t="str">
        <f t="shared" si="330"/>
        <v>August!$E$1:$E$92</v>
      </c>
      <c r="D4177" s="159" t="str">
        <f t="shared" si="331"/>
        <v>August!$F$1:$F$92</v>
      </c>
      <c r="E4177" t="s">
        <v>8</v>
      </c>
      <c r="F4177" t="s">
        <v>127</v>
      </c>
      <c r="G4177" t="s">
        <v>142</v>
      </c>
      <c r="H4177" t="s">
        <v>179</v>
      </c>
      <c r="I4177" t="e">
        <f t="shared" ca="1" si="327"/>
        <v>#REF!</v>
      </c>
      <c r="J4177" t="str">
        <f>VLOOKUP($G4177,DefinitionArrays!$I$6:$J$12,2,FALSE)</f>
        <v>Workweek</v>
      </c>
    </row>
    <row r="4178" spans="1:10">
      <c r="A4178" s="159" t="str">
        <f t="shared" si="328"/>
        <v>$E$1:$E$92</v>
      </c>
      <c r="B4178" s="159" t="str">
        <f t="shared" si="329"/>
        <v>$F$1:$F$92</v>
      </c>
      <c r="C4178" s="159" t="str">
        <f t="shared" si="330"/>
        <v>August!$E$1:$E$92</v>
      </c>
      <c r="D4178" s="159" t="str">
        <f t="shared" si="331"/>
        <v>August!$F$1:$F$92</v>
      </c>
      <c r="E4178" t="s">
        <v>8</v>
      </c>
      <c r="F4178" t="s">
        <v>127</v>
      </c>
      <c r="G4178" t="s">
        <v>142</v>
      </c>
      <c r="H4178" t="s">
        <v>180</v>
      </c>
      <c r="I4178" t="e">
        <f t="shared" ca="1" si="327"/>
        <v>#REF!</v>
      </c>
      <c r="J4178" t="str">
        <f>VLOOKUP($G4178,DefinitionArrays!$I$6:$J$12,2,FALSE)</f>
        <v>Workweek</v>
      </c>
    </row>
    <row r="4179" spans="1:10">
      <c r="A4179" s="159" t="str">
        <f t="shared" si="328"/>
        <v>$E$1:$E$92</v>
      </c>
      <c r="B4179" s="159" t="str">
        <f t="shared" si="329"/>
        <v>$F$1:$F$92</v>
      </c>
      <c r="C4179" s="159" t="str">
        <f t="shared" si="330"/>
        <v>August!$E$1:$E$92</v>
      </c>
      <c r="D4179" s="159" t="str">
        <f t="shared" si="331"/>
        <v>August!$F$1:$F$92</v>
      </c>
      <c r="E4179" t="s">
        <v>8</v>
      </c>
      <c r="F4179" t="s">
        <v>127</v>
      </c>
      <c r="G4179" t="s">
        <v>142</v>
      </c>
      <c r="H4179" t="s">
        <v>44</v>
      </c>
      <c r="I4179" t="e">
        <f t="shared" ca="1" si="327"/>
        <v>#REF!</v>
      </c>
      <c r="J4179" t="str">
        <f>VLOOKUP($G4179,DefinitionArrays!$I$6:$J$12,2,FALSE)</f>
        <v>Workweek</v>
      </c>
    </row>
    <row r="4180" spans="1:10">
      <c r="A4180" s="159" t="str">
        <f t="shared" si="328"/>
        <v>$H$1:$H$92</v>
      </c>
      <c r="B4180" s="159" t="str">
        <f t="shared" si="329"/>
        <v>$I$1:$I$92</v>
      </c>
      <c r="C4180" s="159" t="str">
        <f t="shared" si="330"/>
        <v>August!$H$1:$H$92</v>
      </c>
      <c r="D4180" s="159" t="str">
        <f t="shared" si="331"/>
        <v>August!$I$1:$I$92</v>
      </c>
      <c r="E4180" t="s">
        <v>8</v>
      </c>
      <c r="F4180" t="s">
        <v>127</v>
      </c>
      <c r="G4180" t="s">
        <v>143</v>
      </c>
      <c r="H4180" t="s">
        <v>159</v>
      </c>
      <c r="I4180" t="e">
        <f t="shared" ca="1" si="327"/>
        <v>#REF!</v>
      </c>
      <c r="J4180" t="str">
        <f>VLOOKUP($G4180,DefinitionArrays!$I$6:$J$12,2,FALSE)</f>
        <v>Workweek</v>
      </c>
    </row>
    <row r="4181" spans="1:10">
      <c r="A4181" s="159" t="str">
        <f t="shared" si="328"/>
        <v>$H$1:$H$92</v>
      </c>
      <c r="B4181" s="159" t="str">
        <f t="shared" si="329"/>
        <v>$I$1:$I$92</v>
      </c>
      <c r="C4181" s="159" t="str">
        <f t="shared" si="330"/>
        <v>August!$H$1:$H$92</v>
      </c>
      <c r="D4181" s="159" t="str">
        <f t="shared" si="331"/>
        <v>August!$I$1:$I$92</v>
      </c>
      <c r="E4181" t="s">
        <v>8</v>
      </c>
      <c r="F4181" t="s">
        <v>127</v>
      </c>
      <c r="G4181" t="s">
        <v>143</v>
      </c>
      <c r="H4181" t="s">
        <v>18</v>
      </c>
      <c r="I4181" t="e">
        <f t="shared" ca="1" si="327"/>
        <v>#REF!</v>
      </c>
      <c r="J4181" t="str">
        <f>VLOOKUP($G4181,DefinitionArrays!$I$6:$J$12,2,FALSE)</f>
        <v>Workweek</v>
      </c>
    </row>
    <row r="4182" spans="1:10">
      <c r="A4182" s="159" t="str">
        <f t="shared" si="328"/>
        <v>$H$1:$H$92</v>
      </c>
      <c r="B4182" s="159" t="str">
        <f t="shared" si="329"/>
        <v>$I$1:$I$92</v>
      </c>
      <c r="C4182" s="159" t="str">
        <f t="shared" si="330"/>
        <v>August!$H$1:$H$92</v>
      </c>
      <c r="D4182" s="159" t="str">
        <f t="shared" si="331"/>
        <v>August!$I$1:$I$92</v>
      </c>
      <c r="E4182" t="s">
        <v>8</v>
      </c>
      <c r="F4182" t="s">
        <v>127</v>
      </c>
      <c r="G4182" t="s">
        <v>143</v>
      </c>
      <c r="H4182" t="s">
        <v>153</v>
      </c>
      <c r="I4182" t="e">
        <f t="shared" ca="1" si="327"/>
        <v>#REF!</v>
      </c>
      <c r="J4182" t="str">
        <f>VLOOKUP($G4182,DefinitionArrays!$I$6:$J$12,2,FALSE)</f>
        <v>Workweek</v>
      </c>
    </row>
    <row r="4183" spans="1:10">
      <c r="A4183" s="159" t="str">
        <f t="shared" si="328"/>
        <v>$H$1:$H$92</v>
      </c>
      <c r="B4183" s="159" t="str">
        <f t="shared" si="329"/>
        <v>$I$1:$I$92</v>
      </c>
      <c r="C4183" s="159" t="str">
        <f t="shared" si="330"/>
        <v>August!$H$1:$H$92</v>
      </c>
      <c r="D4183" s="159" t="str">
        <f t="shared" si="331"/>
        <v>August!$I$1:$I$92</v>
      </c>
      <c r="E4183" t="s">
        <v>8</v>
      </c>
      <c r="F4183" t="s">
        <v>127</v>
      </c>
      <c r="G4183" t="s">
        <v>143</v>
      </c>
      <c r="H4183" t="s">
        <v>19</v>
      </c>
      <c r="I4183" t="e">
        <f t="shared" ca="1" si="327"/>
        <v>#REF!</v>
      </c>
      <c r="J4183" t="str">
        <f>VLOOKUP($G4183,DefinitionArrays!$I$6:$J$12,2,FALSE)</f>
        <v>Workweek</v>
      </c>
    </row>
    <row r="4184" spans="1:10">
      <c r="A4184" s="159" t="str">
        <f t="shared" si="328"/>
        <v>$H$1:$H$92</v>
      </c>
      <c r="B4184" s="159" t="str">
        <f t="shared" si="329"/>
        <v>$I$1:$I$92</v>
      </c>
      <c r="C4184" s="159" t="str">
        <f t="shared" si="330"/>
        <v>August!$H$1:$H$92</v>
      </c>
      <c r="D4184" s="159" t="str">
        <f t="shared" si="331"/>
        <v>August!$I$1:$I$92</v>
      </c>
      <c r="E4184" t="s">
        <v>8</v>
      </c>
      <c r="F4184" t="s">
        <v>127</v>
      </c>
      <c r="G4184" t="s">
        <v>143</v>
      </c>
      <c r="H4184" t="s">
        <v>20</v>
      </c>
      <c r="I4184" t="e">
        <f t="shared" ca="1" si="327"/>
        <v>#REF!</v>
      </c>
      <c r="J4184" t="str">
        <f>VLOOKUP($G4184,DefinitionArrays!$I$6:$J$12,2,FALSE)</f>
        <v>Workweek</v>
      </c>
    </row>
    <row r="4185" spans="1:10">
      <c r="A4185" s="159" t="str">
        <f t="shared" si="328"/>
        <v>$H$1:$H$92</v>
      </c>
      <c r="B4185" s="159" t="str">
        <f t="shared" si="329"/>
        <v>$I$1:$I$92</v>
      </c>
      <c r="C4185" s="159" t="str">
        <f t="shared" si="330"/>
        <v>August!$H$1:$H$92</v>
      </c>
      <c r="D4185" s="159" t="str">
        <f t="shared" si="331"/>
        <v>August!$I$1:$I$92</v>
      </c>
      <c r="E4185" t="s">
        <v>8</v>
      </c>
      <c r="F4185" t="s">
        <v>127</v>
      </c>
      <c r="G4185" t="s">
        <v>143</v>
      </c>
      <c r="H4185" t="s">
        <v>21</v>
      </c>
      <c r="I4185" t="e">
        <f t="shared" ca="1" si="327"/>
        <v>#REF!</v>
      </c>
      <c r="J4185" t="str">
        <f>VLOOKUP($G4185,DefinitionArrays!$I$6:$J$12,2,FALSE)</f>
        <v>Workweek</v>
      </c>
    </row>
    <row r="4186" spans="1:10">
      <c r="A4186" s="159" t="str">
        <f t="shared" si="328"/>
        <v>$H$1:$H$92</v>
      </c>
      <c r="B4186" s="159" t="str">
        <f t="shared" si="329"/>
        <v>$I$1:$I$92</v>
      </c>
      <c r="C4186" s="159" t="str">
        <f t="shared" si="330"/>
        <v>August!$H$1:$H$92</v>
      </c>
      <c r="D4186" s="159" t="str">
        <f t="shared" si="331"/>
        <v>August!$I$1:$I$92</v>
      </c>
      <c r="E4186" t="s">
        <v>8</v>
      </c>
      <c r="F4186" t="s">
        <v>127</v>
      </c>
      <c r="G4186" t="s">
        <v>143</v>
      </c>
      <c r="H4186" t="s">
        <v>22</v>
      </c>
      <c r="I4186" t="e">
        <f t="shared" ca="1" si="327"/>
        <v>#REF!</v>
      </c>
      <c r="J4186" t="str">
        <f>VLOOKUP($G4186,DefinitionArrays!$I$6:$J$12,2,FALSE)</f>
        <v>Workweek</v>
      </c>
    </row>
    <row r="4187" spans="1:10">
      <c r="A4187" s="159" t="str">
        <f t="shared" si="328"/>
        <v>$H$1:$H$92</v>
      </c>
      <c r="B4187" s="159" t="str">
        <f t="shared" si="329"/>
        <v>$I$1:$I$92</v>
      </c>
      <c r="C4187" s="159" t="str">
        <f t="shared" si="330"/>
        <v>August!$H$1:$H$92</v>
      </c>
      <c r="D4187" s="159" t="str">
        <f t="shared" si="331"/>
        <v>August!$I$1:$I$92</v>
      </c>
      <c r="E4187" t="s">
        <v>8</v>
      </c>
      <c r="F4187" t="s">
        <v>127</v>
      </c>
      <c r="G4187" t="s">
        <v>143</v>
      </c>
      <c r="H4187" t="s">
        <v>23</v>
      </c>
      <c r="I4187" t="e">
        <f t="shared" ca="1" si="327"/>
        <v>#REF!</v>
      </c>
      <c r="J4187" t="str">
        <f>VLOOKUP($G4187,DefinitionArrays!$I$6:$J$12,2,FALSE)</f>
        <v>Workweek</v>
      </c>
    </row>
    <row r="4188" spans="1:10">
      <c r="A4188" s="159" t="str">
        <f t="shared" si="328"/>
        <v>$H$1:$H$92</v>
      </c>
      <c r="B4188" s="159" t="str">
        <f t="shared" si="329"/>
        <v>$I$1:$I$92</v>
      </c>
      <c r="C4188" s="159" t="str">
        <f t="shared" si="330"/>
        <v>August!$H$1:$H$92</v>
      </c>
      <c r="D4188" s="159" t="str">
        <f t="shared" si="331"/>
        <v>August!$I$1:$I$92</v>
      </c>
      <c r="E4188" t="s">
        <v>8</v>
      </c>
      <c r="F4188" t="s">
        <v>127</v>
      </c>
      <c r="G4188" t="s">
        <v>143</v>
      </c>
      <c r="H4188" t="s">
        <v>24</v>
      </c>
      <c r="I4188" t="e">
        <f t="shared" ca="1" si="327"/>
        <v>#REF!</v>
      </c>
      <c r="J4188" t="str">
        <f>VLOOKUP($G4188,DefinitionArrays!$I$6:$J$12,2,FALSE)</f>
        <v>Workweek</v>
      </c>
    </row>
    <row r="4189" spans="1:10">
      <c r="A4189" s="159" t="str">
        <f t="shared" si="328"/>
        <v>$H$1:$H$92</v>
      </c>
      <c r="B4189" s="159" t="str">
        <f t="shared" si="329"/>
        <v>$I$1:$I$92</v>
      </c>
      <c r="C4189" s="159" t="str">
        <f t="shared" si="330"/>
        <v>August!$H$1:$H$92</v>
      </c>
      <c r="D4189" s="159" t="str">
        <f t="shared" si="331"/>
        <v>August!$I$1:$I$92</v>
      </c>
      <c r="E4189" t="s">
        <v>8</v>
      </c>
      <c r="F4189" t="s">
        <v>127</v>
      </c>
      <c r="G4189" t="s">
        <v>143</v>
      </c>
      <c r="H4189" t="s">
        <v>179</v>
      </c>
      <c r="I4189" t="e">
        <f t="shared" ca="1" si="327"/>
        <v>#REF!</v>
      </c>
      <c r="J4189" t="str">
        <f>VLOOKUP($G4189,DefinitionArrays!$I$6:$J$12,2,FALSE)</f>
        <v>Workweek</v>
      </c>
    </row>
    <row r="4190" spans="1:10">
      <c r="A4190" s="159" t="str">
        <f t="shared" si="328"/>
        <v>$H$1:$H$92</v>
      </c>
      <c r="B4190" s="159" t="str">
        <f t="shared" si="329"/>
        <v>$I$1:$I$92</v>
      </c>
      <c r="C4190" s="159" t="str">
        <f t="shared" si="330"/>
        <v>August!$H$1:$H$92</v>
      </c>
      <c r="D4190" s="159" t="str">
        <f t="shared" si="331"/>
        <v>August!$I$1:$I$92</v>
      </c>
      <c r="E4190" t="s">
        <v>8</v>
      </c>
      <c r="F4190" t="s">
        <v>127</v>
      </c>
      <c r="G4190" t="s">
        <v>143</v>
      </c>
      <c r="H4190" t="s">
        <v>180</v>
      </c>
      <c r="I4190" t="e">
        <f t="shared" ca="1" si="327"/>
        <v>#REF!</v>
      </c>
      <c r="J4190" t="str">
        <f>VLOOKUP($G4190,DefinitionArrays!$I$6:$J$12,2,FALSE)</f>
        <v>Workweek</v>
      </c>
    </row>
    <row r="4191" spans="1:10">
      <c r="A4191" s="159" t="str">
        <f t="shared" si="328"/>
        <v>$H$1:$H$92</v>
      </c>
      <c r="B4191" s="159" t="str">
        <f t="shared" si="329"/>
        <v>$I$1:$I$92</v>
      </c>
      <c r="C4191" s="159" t="str">
        <f t="shared" si="330"/>
        <v>August!$H$1:$H$92</v>
      </c>
      <c r="D4191" s="159" t="str">
        <f t="shared" si="331"/>
        <v>August!$I$1:$I$92</v>
      </c>
      <c r="E4191" t="s">
        <v>8</v>
      </c>
      <c r="F4191" t="s">
        <v>127</v>
      </c>
      <c r="G4191" t="s">
        <v>143</v>
      </c>
      <c r="H4191" t="s">
        <v>44</v>
      </c>
      <c r="I4191" t="e">
        <f t="shared" ca="1" si="327"/>
        <v>#REF!</v>
      </c>
      <c r="J4191" t="str">
        <f>VLOOKUP($G4191,DefinitionArrays!$I$6:$J$12,2,FALSE)</f>
        <v>Workweek</v>
      </c>
    </row>
    <row r="4192" spans="1:10">
      <c r="A4192" s="159" t="str">
        <f t="shared" si="328"/>
        <v>$K$1:$K$92</v>
      </c>
      <c r="B4192" s="159" t="str">
        <f t="shared" si="329"/>
        <v>$L$1:$L$92</v>
      </c>
      <c r="C4192" s="159" t="str">
        <f t="shared" si="330"/>
        <v>August!$K$1:$K$92</v>
      </c>
      <c r="D4192" s="159" t="str">
        <f t="shared" si="331"/>
        <v>August!$L$1:$L$92</v>
      </c>
      <c r="E4192" t="s">
        <v>8</v>
      </c>
      <c r="F4192" t="s">
        <v>127</v>
      </c>
      <c r="G4192" t="s">
        <v>144</v>
      </c>
      <c r="H4192" t="s">
        <v>159</v>
      </c>
      <c r="I4192" t="e">
        <f t="shared" ca="1" si="327"/>
        <v>#REF!</v>
      </c>
      <c r="J4192" t="str">
        <f>VLOOKUP($G4192,DefinitionArrays!$I$6:$J$12,2,FALSE)</f>
        <v>Workweek</v>
      </c>
    </row>
    <row r="4193" spans="1:10">
      <c r="A4193" s="159" t="str">
        <f t="shared" si="328"/>
        <v>$K$1:$K$92</v>
      </c>
      <c r="B4193" s="159" t="str">
        <f t="shared" si="329"/>
        <v>$L$1:$L$92</v>
      </c>
      <c r="C4193" s="159" t="str">
        <f t="shared" si="330"/>
        <v>August!$K$1:$K$92</v>
      </c>
      <c r="D4193" s="159" t="str">
        <f t="shared" si="331"/>
        <v>August!$L$1:$L$92</v>
      </c>
      <c r="E4193" t="s">
        <v>8</v>
      </c>
      <c r="F4193" t="s">
        <v>127</v>
      </c>
      <c r="G4193" t="s">
        <v>144</v>
      </c>
      <c r="H4193" t="s">
        <v>18</v>
      </c>
      <c r="I4193" t="e">
        <f t="shared" ca="1" si="327"/>
        <v>#REF!</v>
      </c>
      <c r="J4193" t="str">
        <f>VLOOKUP($G4193,DefinitionArrays!$I$6:$J$12,2,FALSE)</f>
        <v>Workweek</v>
      </c>
    </row>
    <row r="4194" spans="1:10">
      <c r="A4194" s="159" t="str">
        <f t="shared" si="328"/>
        <v>$K$1:$K$92</v>
      </c>
      <c r="B4194" s="159" t="str">
        <f t="shared" si="329"/>
        <v>$L$1:$L$92</v>
      </c>
      <c r="C4194" s="159" t="str">
        <f t="shared" si="330"/>
        <v>August!$K$1:$K$92</v>
      </c>
      <c r="D4194" s="159" t="str">
        <f t="shared" si="331"/>
        <v>August!$L$1:$L$92</v>
      </c>
      <c r="E4194" t="s">
        <v>8</v>
      </c>
      <c r="F4194" t="s">
        <v>127</v>
      </c>
      <c r="G4194" t="s">
        <v>144</v>
      </c>
      <c r="H4194" t="s">
        <v>153</v>
      </c>
      <c r="I4194" t="e">
        <f t="shared" ca="1" si="327"/>
        <v>#REF!</v>
      </c>
      <c r="J4194" t="str">
        <f>VLOOKUP($G4194,DefinitionArrays!$I$6:$J$12,2,FALSE)</f>
        <v>Workweek</v>
      </c>
    </row>
    <row r="4195" spans="1:10">
      <c r="A4195" s="159" t="str">
        <f t="shared" si="328"/>
        <v>$K$1:$K$92</v>
      </c>
      <c r="B4195" s="159" t="str">
        <f t="shared" si="329"/>
        <v>$L$1:$L$92</v>
      </c>
      <c r="C4195" s="159" t="str">
        <f t="shared" si="330"/>
        <v>August!$K$1:$K$92</v>
      </c>
      <c r="D4195" s="159" t="str">
        <f t="shared" si="331"/>
        <v>August!$L$1:$L$92</v>
      </c>
      <c r="E4195" t="s">
        <v>8</v>
      </c>
      <c r="F4195" t="s">
        <v>127</v>
      </c>
      <c r="G4195" t="s">
        <v>144</v>
      </c>
      <c r="H4195" t="s">
        <v>19</v>
      </c>
      <c r="I4195" t="e">
        <f t="shared" ca="1" si="327"/>
        <v>#REF!</v>
      </c>
      <c r="J4195" t="str">
        <f>VLOOKUP($G4195,DefinitionArrays!$I$6:$J$12,2,FALSE)</f>
        <v>Workweek</v>
      </c>
    </row>
    <row r="4196" spans="1:10">
      <c r="A4196" s="159" t="str">
        <f t="shared" si="328"/>
        <v>$K$1:$K$92</v>
      </c>
      <c r="B4196" s="159" t="str">
        <f t="shared" si="329"/>
        <v>$L$1:$L$92</v>
      </c>
      <c r="C4196" s="159" t="str">
        <f t="shared" si="330"/>
        <v>August!$K$1:$K$92</v>
      </c>
      <c r="D4196" s="159" t="str">
        <f t="shared" si="331"/>
        <v>August!$L$1:$L$92</v>
      </c>
      <c r="E4196" t="s">
        <v>8</v>
      </c>
      <c r="F4196" t="s">
        <v>127</v>
      </c>
      <c r="G4196" t="s">
        <v>144</v>
      </c>
      <c r="H4196" t="s">
        <v>20</v>
      </c>
      <c r="I4196" t="e">
        <f t="shared" ca="1" si="327"/>
        <v>#REF!</v>
      </c>
      <c r="J4196" t="str">
        <f>VLOOKUP($G4196,DefinitionArrays!$I$6:$J$12,2,FALSE)</f>
        <v>Workweek</v>
      </c>
    </row>
    <row r="4197" spans="1:10">
      <c r="A4197" s="159" t="str">
        <f t="shared" si="328"/>
        <v>$K$1:$K$92</v>
      </c>
      <c r="B4197" s="159" t="str">
        <f t="shared" si="329"/>
        <v>$L$1:$L$92</v>
      </c>
      <c r="C4197" s="159" t="str">
        <f t="shared" si="330"/>
        <v>August!$K$1:$K$92</v>
      </c>
      <c r="D4197" s="159" t="str">
        <f t="shared" si="331"/>
        <v>August!$L$1:$L$92</v>
      </c>
      <c r="E4197" t="s">
        <v>8</v>
      </c>
      <c r="F4197" t="s">
        <v>127</v>
      </c>
      <c r="G4197" t="s">
        <v>144</v>
      </c>
      <c r="H4197" t="s">
        <v>21</v>
      </c>
      <c r="I4197" t="e">
        <f t="shared" ca="1" si="327"/>
        <v>#REF!</v>
      </c>
      <c r="J4197" t="str">
        <f>VLOOKUP($G4197,DefinitionArrays!$I$6:$J$12,2,FALSE)</f>
        <v>Workweek</v>
      </c>
    </row>
    <row r="4198" spans="1:10">
      <c r="A4198" s="159" t="str">
        <f t="shared" si="328"/>
        <v>$K$1:$K$92</v>
      </c>
      <c r="B4198" s="159" t="str">
        <f t="shared" si="329"/>
        <v>$L$1:$L$92</v>
      </c>
      <c r="C4198" s="159" t="str">
        <f t="shared" si="330"/>
        <v>August!$K$1:$K$92</v>
      </c>
      <c r="D4198" s="159" t="str">
        <f t="shared" si="331"/>
        <v>August!$L$1:$L$92</v>
      </c>
      <c r="E4198" t="s">
        <v>8</v>
      </c>
      <c r="F4198" t="s">
        <v>127</v>
      </c>
      <c r="G4198" t="s">
        <v>144</v>
      </c>
      <c r="H4198" t="s">
        <v>22</v>
      </c>
      <c r="I4198" t="e">
        <f t="shared" ca="1" si="327"/>
        <v>#REF!</v>
      </c>
      <c r="J4198" t="str">
        <f>VLOOKUP($G4198,DefinitionArrays!$I$6:$J$12,2,FALSE)</f>
        <v>Workweek</v>
      </c>
    </row>
    <row r="4199" spans="1:10">
      <c r="A4199" s="159" t="str">
        <f t="shared" si="328"/>
        <v>$K$1:$K$92</v>
      </c>
      <c r="B4199" s="159" t="str">
        <f t="shared" si="329"/>
        <v>$L$1:$L$92</v>
      </c>
      <c r="C4199" s="159" t="str">
        <f t="shared" si="330"/>
        <v>August!$K$1:$K$92</v>
      </c>
      <c r="D4199" s="159" t="str">
        <f t="shared" si="331"/>
        <v>August!$L$1:$L$92</v>
      </c>
      <c r="E4199" t="s">
        <v>8</v>
      </c>
      <c r="F4199" t="s">
        <v>127</v>
      </c>
      <c r="G4199" t="s">
        <v>144</v>
      </c>
      <c r="H4199" t="s">
        <v>23</v>
      </c>
      <c r="I4199" t="e">
        <f t="shared" ca="1" si="327"/>
        <v>#REF!</v>
      </c>
      <c r="J4199" t="str">
        <f>VLOOKUP($G4199,DefinitionArrays!$I$6:$J$12,2,FALSE)</f>
        <v>Workweek</v>
      </c>
    </row>
    <row r="4200" spans="1:10">
      <c r="A4200" s="159" t="str">
        <f t="shared" si="328"/>
        <v>$K$1:$K$92</v>
      </c>
      <c r="B4200" s="159" t="str">
        <f t="shared" si="329"/>
        <v>$L$1:$L$92</v>
      </c>
      <c r="C4200" s="159" t="str">
        <f t="shared" si="330"/>
        <v>August!$K$1:$K$92</v>
      </c>
      <c r="D4200" s="159" t="str">
        <f t="shared" si="331"/>
        <v>August!$L$1:$L$92</v>
      </c>
      <c r="E4200" t="s">
        <v>8</v>
      </c>
      <c r="F4200" t="s">
        <v>127</v>
      </c>
      <c r="G4200" t="s">
        <v>144</v>
      </c>
      <c r="H4200" t="s">
        <v>24</v>
      </c>
      <c r="I4200" t="e">
        <f t="shared" ca="1" si="327"/>
        <v>#REF!</v>
      </c>
      <c r="J4200" t="str">
        <f>VLOOKUP($G4200,DefinitionArrays!$I$6:$J$12,2,FALSE)</f>
        <v>Workweek</v>
      </c>
    </row>
    <row r="4201" spans="1:10">
      <c r="A4201" s="159" t="str">
        <f t="shared" si="328"/>
        <v>$K$1:$K$92</v>
      </c>
      <c r="B4201" s="159" t="str">
        <f t="shared" si="329"/>
        <v>$L$1:$L$92</v>
      </c>
      <c r="C4201" s="159" t="str">
        <f t="shared" si="330"/>
        <v>August!$K$1:$K$92</v>
      </c>
      <c r="D4201" s="159" t="str">
        <f t="shared" si="331"/>
        <v>August!$L$1:$L$92</v>
      </c>
      <c r="E4201" t="s">
        <v>8</v>
      </c>
      <c r="F4201" t="s">
        <v>127</v>
      </c>
      <c r="G4201" t="s">
        <v>144</v>
      </c>
      <c r="H4201" t="s">
        <v>179</v>
      </c>
      <c r="I4201" t="e">
        <f t="shared" ca="1" si="327"/>
        <v>#REF!</v>
      </c>
      <c r="J4201" t="str">
        <f>VLOOKUP($G4201,DefinitionArrays!$I$6:$J$12,2,FALSE)</f>
        <v>Workweek</v>
      </c>
    </row>
    <row r="4202" spans="1:10">
      <c r="A4202" s="159" t="str">
        <f t="shared" si="328"/>
        <v>$K$1:$K$92</v>
      </c>
      <c r="B4202" s="159" t="str">
        <f t="shared" si="329"/>
        <v>$L$1:$L$92</v>
      </c>
      <c r="C4202" s="159" t="str">
        <f t="shared" si="330"/>
        <v>August!$K$1:$K$92</v>
      </c>
      <c r="D4202" s="159" t="str">
        <f t="shared" si="331"/>
        <v>August!$L$1:$L$92</v>
      </c>
      <c r="E4202" t="s">
        <v>8</v>
      </c>
      <c r="F4202" t="s">
        <v>127</v>
      </c>
      <c r="G4202" t="s">
        <v>144</v>
      </c>
      <c r="H4202" t="s">
        <v>180</v>
      </c>
      <c r="I4202" t="e">
        <f t="shared" ca="1" si="327"/>
        <v>#REF!</v>
      </c>
      <c r="J4202" t="str">
        <f>VLOOKUP($G4202,DefinitionArrays!$I$6:$J$12,2,FALSE)</f>
        <v>Workweek</v>
      </c>
    </row>
    <row r="4203" spans="1:10">
      <c r="A4203" s="159" t="str">
        <f t="shared" si="328"/>
        <v>$K$1:$K$92</v>
      </c>
      <c r="B4203" s="159" t="str">
        <f t="shared" si="329"/>
        <v>$L$1:$L$92</v>
      </c>
      <c r="C4203" s="159" t="str">
        <f t="shared" si="330"/>
        <v>August!$K$1:$K$92</v>
      </c>
      <c r="D4203" s="159" t="str">
        <f t="shared" si="331"/>
        <v>August!$L$1:$L$92</v>
      </c>
      <c r="E4203" t="s">
        <v>8</v>
      </c>
      <c r="F4203" t="s">
        <v>127</v>
      </c>
      <c r="G4203" t="s">
        <v>144</v>
      </c>
      <c r="H4203" t="s">
        <v>44</v>
      </c>
      <c r="I4203" t="e">
        <f t="shared" ca="1" si="327"/>
        <v>#REF!</v>
      </c>
      <c r="J4203" t="str">
        <f>VLOOKUP($G4203,DefinitionArrays!$I$6:$J$12,2,FALSE)</f>
        <v>Workweek</v>
      </c>
    </row>
    <row r="4204" spans="1:10">
      <c r="A4204" s="159" t="str">
        <f t="shared" si="328"/>
        <v>$N$1:$N$92</v>
      </c>
      <c r="B4204" s="159" t="str">
        <f t="shared" si="329"/>
        <v>$O$1:$O$92</v>
      </c>
      <c r="C4204" s="159" t="str">
        <f t="shared" si="330"/>
        <v>August!$N$1:$N$92</v>
      </c>
      <c r="D4204" s="159" t="str">
        <f t="shared" si="331"/>
        <v>August!$O$1:$O$92</v>
      </c>
      <c r="E4204" t="s">
        <v>8</v>
      </c>
      <c r="F4204" t="s">
        <v>127</v>
      </c>
      <c r="G4204" t="s">
        <v>145</v>
      </c>
      <c r="H4204" t="s">
        <v>159</v>
      </c>
      <c r="I4204" t="e">
        <f t="shared" ca="1" si="327"/>
        <v>#REF!</v>
      </c>
      <c r="J4204" t="str">
        <f>VLOOKUP($G4204,DefinitionArrays!$I$6:$J$12,2,FALSE)</f>
        <v>Weekend</v>
      </c>
    </row>
    <row r="4205" spans="1:10">
      <c r="A4205" s="159" t="str">
        <f t="shared" si="328"/>
        <v>$N$1:$N$92</v>
      </c>
      <c r="B4205" s="159" t="str">
        <f t="shared" si="329"/>
        <v>$O$1:$O$92</v>
      </c>
      <c r="C4205" s="159" t="str">
        <f t="shared" si="330"/>
        <v>August!$N$1:$N$92</v>
      </c>
      <c r="D4205" s="159" t="str">
        <f t="shared" si="331"/>
        <v>August!$O$1:$O$92</v>
      </c>
      <c r="E4205" t="s">
        <v>8</v>
      </c>
      <c r="F4205" t="s">
        <v>127</v>
      </c>
      <c r="G4205" t="s">
        <v>145</v>
      </c>
      <c r="H4205" t="s">
        <v>18</v>
      </c>
      <c r="I4205" t="e">
        <f t="shared" ca="1" si="327"/>
        <v>#REF!</v>
      </c>
      <c r="J4205" t="str">
        <f>VLOOKUP($G4205,DefinitionArrays!$I$6:$J$12,2,FALSE)</f>
        <v>Weekend</v>
      </c>
    </row>
    <row r="4206" spans="1:10">
      <c r="A4206" s="159" t="str">
        <f t="shared" si="328"/>
        <v>$N$1:$N$92</v>
      </c>
      <c r="B4206" s="159" t="str">
        <f t="shared" si="329"/>
        <v>$O$1:$O$92</v>
      </c>
      <c r="C4206" s="159" t="str">
        <f t="shared" si="330"/>
        <v>August!$N$1:$N$92</v>
      </c>
      <c r="D4206" s="159" t="str">
        <f t="shared" si="331"/>
        <v>August!$O$1:$O$92</v>
      </c>
      <c r="E4206" t="s">
        <v>8</v>
      </c>
      <c r="F4206" t="s">
        <v>127</v>
      </c>
      <c r="G4206" t="s">
        <v>145</v>
      </c>
      <c r="H4206" t="s">
        <v>153</v>
      </c>
      <c r="I4206" t="e">
        <f t="shared" ca="1" si="327"/>
        <v>#REF!</v>
      </c>
      <c r="J4206" t="str">
        <f>VLOOKUP($G4206,DefinitionArrays!$I$6:$J$12,2,FALSE)</f>
        <v>Weekend</v>
      </c>
    </row>
    <row r="4207" spans="1:10">
      <c r="A4207" s="159" t="str">
        <f t="shared" si="328"/>
        <v>$N$1:$N$92</v>
      </c>
      <c r="B4207" s="159" t="str">
        <f t="shared" si="329"/>
        <v>$O$1:$O$92</v>
      </c>
      <c r="C4207" s="159" t="str">
        <f t="shared" si="330"/>
        <v>August!$N$1:$N$92</v>
      </c>
      <c r="D4207" s="159" t="str">
        <f t="shared" si="331"/>
        <v>August!$O$1:$O$92</v>
      </c>
      <c r="E4207" t="s">
        <v>8</v>
      </c>
      <c r="F4207" t="s">
        <v>127</v>
      </c>
      <c r="G4207" t="s">
        <v>145</v>
      </c>
      <c r="H4207" t="s">
        <v>19</v>
      </c>
      <c r="I4207" t="e">
        <f t="shared" ca="1" si="327"/>
        <v>#REF!</v>
      </c>
      <c r="J4207" t="str">
        <f>VLOOKUP($G4207,DefinitionArrays!$I$6:$J$12,2,FALSE)</f>
        <v>Weekend</v>
      </c>
    </row>
    <row r="4208" spans="1:10">
      <c r="A4208" s="159" t="str">
        <f t="shared" si="328"/>
        <v>$N$1:$N$92</v>
      </c>
      <c r="B4208" s="159" t="str">
        <f t="shared" si="329"/>
        <v>$O$1:$O$92</v>
      </c>
      <c r="C4208" s="159" t="str">
        <f t="shared" si="330"/>
        <v>August!$N$1:$N$92</v>
      </c>
      <c r="D4208" s="159" t="str">
        <f t="shared" si="331"/>
        <v>August!$O$1:$O$92</v>
      </c>
      <c r="E4208" t="s">
        <v>8</v>
      </c>
      <c r="F4208" t="s">
        <v>127</v>
      </c>
      <c r="G4208" t="s">
        <v>145</v>
      </c>
      <c r="H4208" t="s">
        <v>20</v>
      </c>
      <c r="I4208" t="e">
        <f t="shared" ca="1" si="327"/>
        <v>#REF!</v>
      </c>
      <c r="J4208" t="str">
        <f>VLOOKUP($G4208,DefinitionArrays!$I$6:$J$12,2,FALSE)</f>
        <v>Weekend</v>
      </c>
    </row>
    <row r="4209" spans="1:10">
      <c r="A4209" s="159" t="str">
        <f t="shared" si="328"/>
        <v>$N$1:$N$92</v>
      </c>
      <c r="B4209" s="159" t="str">
        <f t="shared" si="329"/>
        <v>$O$1:$O$92</v>
      </c>
      <c r="C4209" s="159" t="str">
        <f t="shared" si="330"/>
        <v>August!$N$1:$N$92</v>
      </c>
      <c r="D4209" s="159" t="str">
        <f t="shared" si="331"/>
        <v>August!$O$1:$O$92</v>
      </c>
      <c r="E4209" t="s">
        <v>8</v>
      </c>
      <c r="F4209" t="s">
        <v>127</v>
      </c>
      <c r="G4209" t="s">
        <v>145</v>
      </c>
      <c r="H4209" t="s">
        <v>21</v>
      </c>
      <c r="I4209" t="e">
        <f t="shared" ca="1" si="327"/>
        <v>#REF!</v>
      </c>
      <c r="J4209" t="str">
        <f>VLOOKUP($G4209,DefinitionArrays!$I$6:$J$12,2,FALSE)</f>
        <v>Weekend</v>
      </c>
    </row>
    <row r="4210" spans="1:10">
      <c r="A4210" s="159" t="str">
        <f t="shared" si="328"/>
        <v>$N$1:$N$92</v>
      </c>
      <c r="B4210" s="159" t="str">
        <f t="shared" si="329"/>
        <v>$O$1:$O$92</v>
      </c>
      <c r="C4210" s="159" t="str">
        <f t="shared" si="330"/>
        <v>August!$N$1:$N$92</v>
      </c>
      <c r="D4210" s="159" t="str">
        <f t="shared" si="331"/>
        <v>August!$O$1:$O$92</v>
      </c>
      <c r="E4210" t="s">
        <v>8</v>
      </c>
      <c r="F4210" t="s">
        <v>127</v>
      </c>
      <c r="G4210" t="s">
        <v>145</v>
      </c>
      <c r="H4210" t="s">
        <v>22</v>
      </c>
      <c r="I4210" t="e">
        <f t="shared" ca="1" si="327"/>
        <v>#REF!</v>
      </c>
      <c r="J4210" t="str">
        <f>VLOOKUP($G4210,DefinitionArrays!$I$6:$J$12,2,FALSE)</f>
        <v>Weekend</v>
      </c>
    </row>
    <row r="4211" spans="1:10">
      <c r="A4211" s="159" t="str">
        <f t="shared" si="328"/>
        <v>$N$1:$N$92</v>
      </c>
      <c r="B4211" s="159" t="str">
        <f t="shared" si="329"/>
        <v>$O$1:$O$92</v>
      </c>
      <c r="C4211" s="159" t="str">
        <f t="shared" si="330"/>
        <v>August!$N$1:$N$92</v>
      </c>
      <c r="D4211" s="159" t="str">
        <f t="shared" si="331"/>
        <v>August!$O$1:$O$92</v>
      </c>
      <c r="E4211" t="s">
        <v>8</v>
      </c>
      <c r="F4211" t="s">
        <v>127</v>
      </c>
      <c r="G4211" t="s">
        <v>145</v>
      </c>
      <c r="H4211" t="s">
        <v>23</v>
      </c>
      <c r="I4211" t="e">
        <f t="shared" ca="1" si="327"/>
        <v>#REF!</v>
      </c>
      <c r="J4211" t="str">
        <f>VLOOKUP($G4211,DefinitionArrays!$I$6:$J$12,2,FALSE)</f>
        <v>Weekend</v>
      </c>
    </row>
    <row r="4212" spans="1:10">
      <c r="A4212" s="159" t="str">
        <f t="shared" si="328"/>
        <v>$N$1:$N$92</v>
      </c>
      <c r="B4212" s="159" t="str">
        <f t="shared" si="329"/>
        <v>$O$1:$O$92</v>
      </c>
      <c r="C4212" s="159" t="str">
        <f t="shared" si="330"/>
        <v>August!$N$1:$N$92</v>
      </c>
      <c r="D4212" s="159" t="str">
        <f t="shared" si="331"/>
        <v>August!$O$1:$O$92</v>
      </c>
      <c r="E4212" t="s">
        <v>8</v>
      </c>
      <c r="F4212" t="s">
        <v>127</v>
      </c>
      <c r="G4212" t="s">
        <v>145</v>
      </c>
      <c r="H4212" t="s">
        <v>24</v>
      </c>
      <c r="I4212" t="e">
        <f t="shared" ca="1" si="327"/>
        <v>#REF!</v>
      </c>
      <c r="J4212" t="str">
        <f>VLOOKUP($G4212,DefinitionArrays!$I$6:$J$12,2,FALSE)</f>
        <v>Weekend</v>
      </c>
    </row>
    <row r="4213" spans="1:10">
      <c r="A4213" s="159" t="str">
        <f t="shared" si="328"/>
        <v>$N$1:$N$92</v>
      </c>
      <c r="B4213" s="159" t="str">
        <f t="shared" si="329"/>
        <v>$O$1:$O$92</v>
      </c>
      <c r="C4213" s="159" t="str">
        <f t="shared" si="330"/>
        <v>August!$N$1:$N$92</v>
      </c>
      <c r="D4213" s="159" t="str">
        <f t="shared" si="331"/>
        <v>August!$O$1:$O$92</v>
      </c>
      <c r="E4213" t="s">
        <v>8</v>
      </c>
      <c r="F4213" t="s">
        <v>127</v>
      </c>
      <c r="G4213" t="s">
        <v>145</v>
      </c>
      <c r="H4213" t="s">
        <v>179</v>
      </c>
      <c r="I4213" t="e">
        <f t="shared" ca="1" si="327"/>
        <v>#REF!</v>
      </c>
      <c r="J4213" t="str">
        <f>VLOOKUP($G4213,DefinitionArrays!$I$6:$J$12,2,FALSE)</f>
        <v>Weekend</v>
      </c>
    </row>
    <row r="4214" spans="1:10">
      <c r="A4214" s="159" t="str">
        <f t="shared" si="328"/>
        <v>$N$1:$N$92</v>
      </c>
      <c r="B4214" s="159" t="str">
        <f t="shared" si="329"/>
        <v>$O$1:$O$92</v>
      </c>
      <c r="C4214" s="159" t="str">
        <f t="shared" si="330"/>
        <v>August!$N$1:$N$92</v>
      </c>
      <c r="D4214" s="159" t="str">
        <f t="shared" si="331"/>
        <v>August!$O$1:$O$92</v>
      </c>
      <c r="E4214" t="s">
        <v>8</v>
      </c>
      <c r="F4214" t="s">
        <v>127</v>
      </c>
      <c r="G4214" t="s">
        <v>145</v>
      </c>
      <c r="H4214" t="s">
        <v>180</v>
      </c>
      <c r="I4214" t="e">
        <f t="shared" ca="1" si="327"/>
        <v>#REF!</v>
      </c>
      <c r="J4214" t="str">
        <f>VLOOKUP($G4214,DefinitionArrays!$I$6:$J$12,2,FALSE)</f>
        <v>Weekend</v>
      </c>
    </row>
    <row r="4215" spans="1:10">
      <c r="A4215" s="159" t="str">
        <f t="shared" si="328"/>
        <v>$N$1:$N$92</v>
      </c>
      <c r="B4215" s="159" t="str">
        <f t="shared" si="329"/>
        <v>$O$1:$O$92</v>
      </c>
      <c r="C4215" s="159" t="str">
        <f t="shared" si="330"/>
        <v>August!$N$1:$N$92</v>
      </c>
      <c r="D4215" s="159" t="str">
        <f t="shared" si="331"/>
        <v>August!$O$1:$O$92</v>
      </c>
      <c r="E4215" t="s">
        <v>8</v>
      </c>
      <c r="F4215" t="s">
        <v>127</v>
      </c>
      <c r="G4215" t="s">
        <v>145</v>
      </c>
      <c r="H4215" t="s">
        <v>44</v>
      </c>
      <c r="I4215" t="e">
        <f t="shared" ca="1" si="327"/>
        <v>#REF!</v>
      </c>
      <c r="J4215" t="str">
        <f>VLOOKUP($G4215,DefinitionArrays!$I$6:$J$12,2,FALSE)</f>
        <v>Weekend</v>
      </c>
    </row>
    <row r="4216" spans="1:10">
      <c r="A4216" s="159" t="str">
        <f t="shared" si="328"/>
        <v>$Q$1:$Q$92</v>
      </c>
      <c r="B4216" s="159" t="str">
        <f t="shared" si="329"/>
        <v>$R$1:$R$92</v>
      </c>
      <c r="C4216" s="159" t="str">
        <f t="shared" si="330"/>
        <v>August!$Q$1:$Q$92</v>
      </c>
      <c r="D4216" s="159" t="str">
        <f t="shared" si="331"/>
        <v>August!$R$1:$R$92</v>
      </c>
      <c r="E4216" t="s">
        <v>8</v>
      </c>
      <c r="F4216" t="s">
        <v>127</v>
      </c>
      <c r="G4216" t="s">
        <v>146</v>
      </c>
      <c r="H4216" t="s">
        <v>159</v>
      </c>
      <c r="I4216" t="e">
        <f t="shared" ca="1" si="327"/>
        <v>#REF!</v>
      </c>
      <c r="J4216" t="str">
        <f>VLOOKUP($G4216,DefinitionArrays!$I$6:$J$12,2,FALSE)</f>
        <v>Weekend</v>
      </c>
    </row>
    <row r="4217" spans="1:10">
      <c r="A4217" s="159" t="str">
        <f t="shared" si="328"/>
        <v>$T$1:$T$92</v>
      </c>
      <c r="B4217" s="159" t="str">
        <f t="shared" si="329"/>
        <v>$U$1:$U$92</v>
      </c>
      <c r="C4217" s="159" t="str">
        <f t="shared" si="330"/>
        <v>August!$T$1:$T$92</v>
      </c>
      <c r="D4217" s="159" t="str">
        <f t="shared" si="331"/>
        <v>August!$U$1:$U$92</v>
      </c>
      <c r="E4217" t="s">
        <v>8</v>
      </c>
      <c r="F4217" t="s">
        <v>127</v>
      </c>
      <c r="G4217" t="s">
        <v>141</v>
      </c>
      <c r="H4217" t="s">
        <v>159</v>
      </c>
      <c r="I4217" t="e">
        <f t="shared" ca="1" si="327"/>
        <v>#REF!</v>
      </c>
      <c r="J4217" t="str">
        <f>VLOOKUP($G4217,DefinitionArrays!$I$6:$J$12,2,FALSE)</f>
        <v>Weekend</v>
      </c>
    </row>
    <row r="4218" spans="1:10">
      <c r="A4218" s="159" t="str">
        <f t="shared" si="328"/>
        <v>$B$1:$B$92</v>
      </c>
      <c r="B4218" s="159" t="str">
        <f t="shared" si="329"/>
        <v>$C$1:$C$92</v>
      </c>
      <c r="C4218" s="159" t="str">
        <f t="shared" si="330"/>
        <v>September!$B$1:$B$92</v>
      </c>
      <c r="D4218" s="159" t="str">
        <f t="shared" si="331"/>
        <v>September!$C$1:$C$92</v>
      </c>
      <c r="E4218" t="s">
        <v>8</v>
      </c>
      <c r="F4218" t="s">
        <v>128</v>
      </c>
      <c r="G4218" t="s">
        <v>13</v>
      </c>
      <c r="H4218" t="s">
        <v>159</v>
      </c>
      <c r="I4218" t="e">
        <f ca="1">COUNTIFS(INDIRECT($C4218),$E4218,INDIRECT($D4218),$H4218)</f>
        <v>#REF!</v>
      </c>
      <c r="J4218" t="str">
        <f>VLOOKUP($G4218,DefinitionArrays!$I$6:$J$12,2,FALSE)</f>
        <v>Workweek</v>
      </c>
    </row>
    <row r="4219" spans="1:10">
      <c r="A4219" s="159" t="str">
        <f t="shared" si="328"/>
        <v>$B$1:$B$92</v>
      </c>
      <c r="B4219" s="159" t="str">
        <f t="shared" si="329"/>
        <v>$C$1:$C$92</v>
      </c>
      <c r="C4219" s="159" t="str">
        <f t="shared" si="330"/>
        <v>September!$B$1:$B$92</v>
      </c>
      <c r="D4219" s="159" t="str">
        <f t="shared" si="331"/>
        <v>September!$C$1:$C$92</v>
      </c>
      <c r="E4219" t="s">
        <v>8</v>
      </c>
      <c r="F4219" t="s">
        <v>128</v>
      </c>
      <c r="G4219" t="s">
        <v>13</v>
      </c>
      <c r="H4219" t="s">
        <v>18</v>
      </c>
      <c r="I4219" t="e">
        <f t="shared" ref="I4219:I4279" ca="1" si="332">COUNTIFS(INDIRECT($C4219),$E4219,INDIRECT($D4219),$H4219)</f>
        <v>#REF!</v>
      </c>
      <c r="J4219" t="str">
        <f>VLOOKUP($G4219,DefinitionArrays!$I$6:$J$12,2,FALSE)</f>
        <v>Workweek</v>
      </c>
    </row>
    <row r="4220" spans="1:10">
      <c r="A4220" s="159" t="str">
        <f t="shared" si="328"/>
        <v>$B$1:$B$92</v>
      </c>
      <c r="B4220" s="159" t="str">
        <f t="shared" si="329"/>
        <v>$C$1:$C$92</v>
      </c>
      <c r="C4220" s="159" t="str">
        <f t="shared" si="330"/>
        <v>September!$B$1:$B$92</v>
      </c>
      <c r="D4220" s="159" t="str">
        <f t="shared" si="331"/>
        <v>September!$C$1:$C$92</v>
      </c>
      <c r="E4220" t="s">
        <v>8</v>
      </c>
      <c r="F4220" t="s">
        <v>128</v>
      </c>
      <c r="G4220" t="s">
        <v>13</v>
      </c>
      <c r="H4220" t="s">
        <v>153</v>
      </c>
      <c r="I4220" t="e">
        <f t="shared" ca="1" si="332"/>
        <v>#REF!</v>
      </c>
      <c r="J4220" t="str">
        <f>VLOOKUP($G4220,DefinitionArrays!$I$6:$J$12,2,FALSE)</f>
        <v>Workweek</v>
      </c>
    </row>
    <row r="4221" spans="1:10">
      <c r="A4221" s="159" t="str">
        <f t="shared" si="328"/>
        <v>$B$1:$B$92</v>
      </c>
      <c r="B4221" s="159" t="str">
        <f t="shared" si="329"/>
        <v>$C$1:$C$92</v>
      </c>
      <c r="C4221" s="159" t="str">
        <f t="shared" si="330"/>
        <v>September!$B$1:$B$92</v>
      </c>
      <c r="D4221" s="159" t="str">
        <f t="shared" si="331"/>
        <v>September!$C$1:$C$92</v>
      </c>
      <c r="E4221" t="s">
        <v>8</v>
      </c>
      <c r="F4221" t="s">
        <v>128</v>
      </c>
      <c r="G4221" t="s">
        <v>13</v>
      </c>
      <c r="H4221" t="s">
        <v>19</v>
      </c>
      <c r="I4221" t="e">
        <f t="shared" ca="1" si="332"/>
        <v>#REF!</v>
      </c>
      <c r="J4221" t="str">
        <f>VLOOKUP($G4221,DefinitionArrays!$I$6:$J$12,2,FALSE)</f>
        <v>Workweek</v>
      </c>
    </row>
    <row r="4222" spans="1:10">
      <c r="A4222" s="159" t="str">
        <f t="shared" si="328"/>
        <v>$B$1:$B$92</v>
      </c>
      <c r="B4222" s="159" t="str">
        <f t="shared" si="329"/>
        <v>$C$1:$C$92</v>
      </c>
      <c r="C4222" s="159" t="str">
        <f t="shared" si="330"/>
        <v>September!$B$1:$B$92</v>
      </c>
      <c r="D4222" s="159" t="str">
        <f t="shared" si="331"/>
        <v>September!$C$1:$C$92</v>
      </c>
      <c r="E4222" t="s">
        <v>8</v>
      </c>
      <c r="F4222" t="s">
        <v>128</v>
      </c>
      <c r="G4222" t="s">
        <v>13</v>
      </c>
      <c r="H4222" t="s">
        <v>20</v>
      </c>
      <c r="I4222" t="e">
        <f t="shared" ca="1" si="332"/>
        <v>#REF!</v>
      </c>
      <c r="J4222" t="str">
        <f>VLOOKUP($G4222,DefinitionArrays!$I$6:$J$12,2,FALSE)</f>
        <v>Workweek</v>
      </c>
    </row>
    <row r="4223" spans="1:10">
      <c r="A4223" s="159" t="str">
        <f t="shared" si="328"/>
        <v>$B$1:$B$92</v>
      </c>
      <c r="B4223" s="159" t="str">
        <f t="shared" si="329"/>
        <v>$C$1:$C$92</v>
      </c>
      <c r="C4223" s="159" t="str">
        <f t="shared" si="330"/>
        <v>September!$B$1:$B$92</v>
      </c>
      <c r="D4223" s="159" t="str">
        <f t="shared" si="331"/>
        <v>September!$C$1:$C$92</v>
      </c>
      <c r="E4223" t="s">
        <v>8</v>
      </c>
      <c r="F4223" t="s">
        <v>128</v>
      </c>
      <c r="G4223" t="s">
        <v>13</v>
      </c>
      <c r="H4223" t="s">
        <v>21</v>
      </c>
      <c r="I4223" t="e">
        <f t="shared" ca="1" si="332"/>
        <v>#REF!</v>
      </c>
      <c r="J4223" t="str">
        <f>VLOOKUP($G4223,DefinitionArrays!$I$6:$J$12,2,FALSE)</f>
        <v>Workweek</v>
      </c>
    </row>
    <row r="4224" spans="1:10">
      <c r="A4224" s="159" t="str">
        <f t="shared" si="328"/>
        <v>$B$1:$B$92</v>
      </c>
      <c r="B4224" s="159" t="str">
        <f t="shared" si="329"/>
        <v>$C$1:$C$92</v>
      </c>
      <c r="C4224" s="159" t="str">
        <f t="shared" si="330"/>
        <v>September!$B$1:$B$92</v>
      </c>
      <c r="D4224" s="159" t="str">
        <f t="shared" si="331"/>
        <v>September!$C$1:$C$92</v>
      </c>
      <c r="E4224" t="s">
        <v>8</v>
      </c>
      <c r="F4224" t="s">
        <v>128</v>
      </c>
      <c r="G4224" t="s">
        <v>13</v>
      </c>
      <c r="H4224" t="s">
        <v>22</v>
      </c>
      <c r="I4224" t="e">
        <f t="shared" ca="1" si="332"/>
        <v>#REF!</v>
      </c>
      <c r="J4224" t="str">
        <f>VLOOKUP($G4224,DefinitionArrays!$I$6:$J$12,2,FALSE)</f>
        <v>Workweek</v>
      </c>
    </row>
    <row r="4225" spans="1:10">
      <c r="A4225" s="159" t="str">
        <f t="shared" si="328"/>
        <v>$B$1:$B$92</v>
      </c>
      <c r="B4225" s="159" t="str">
        <f t="shared" si="329"/>
        <v>$C$1:$C$92</v>
      </c>
      <c r="C4225" s="159" t="str">
        <f t="shared" si="330"/>
        <v>September!$B$1:$B$92</v>
      </c>
      <c r="D4225" s="159" t="str">
        <f t="shared" si="331"/>
        <v>September!$C$1:$C$92</v>
      </c>
      <c r="E4225" t="s">
        <v>8</v>
      </c>
      <c r="F4225" t="s">
        <v>128</v>
      </c>
      <c r="G4225" t="s">
        <v>13</v>
      </c>
      <c r="H4225" t="s">
        <v>23</v>
      </c>
      <c r="I4225" t="e">
        <f t="shared" ca="1" si="332"/>
        <v>#REF!</v>
      </c>
      <c r="J4225" t="str">
        <f>VLOOKUP($G4225,DefinitionArrays!$I$6:$J$12,2,FALSE)</f>
        <v>Workweek</v>
      </c>
    </row>
    <row r="4226" spans="1:10">
      <c r="A4226" s="159" t="str">
        <f t="shared" ref="A4226:A4289" si="333">VLOOKUP($G4226,Fx_Code,2,FALSE)</f>
        <v>$B$1:$B$92</v>
      </c>
      <c r="B4226" s="159" t="str">
        <f t="shared" ref="B4226:B4289" si="334">VLOOKUP($G4226,Fx_Code,3,FALSE)</f>
        <v>$C$1:$C$92</v>
      </c>
      <c r="C4226" s="159" t="str">
        <f t="shared" ref="C4226:C4289" si="335">CONCATENATE($F4226,$K$1,A4226)</f>
        <v>September!$B$1:$B$92</v>
      </c>
      <c r="D4226" s="159" t="str">
        <f t="shared" ref="D4226:D4289" si="336">CONCATENATE($F4226,$K$1,B4226)</f>
        <v>September!$C$1:$C$92</v>
      </c>
      <c r="E4226" t="s">
        <v>8</v>
      </c>
      <c r="F4226" t="s">
        <v>128</v>
      </c>
      <c r="G4226" t="s">
        <v>13</v>
      </c>
      <c r="H4226" t="s">
        <v>24</v>
      </c>
      <c r="I4226" t="e">
        <f t="shared" ca="1" si="332"/>
        <v>#REF!</v>
      </c>
      <c r="J4226" t="str">
        <f>VLOOKUP($G4226,DefinitionArrays!$I$6:$J$12,2,FALSE)</f>
        <v>Workweek</v>
      </c>
    </row>
    <row r="4227" spans="1:10">
      <c r="A4227" s="159" t="str">
        <f t="shared" si="333"/>
        <v>$B$1:$B$92</v>
      </c>
      <c r="B4227" s="159" t="str">
        <f t="shared" si="334"/>
        <v>$C$1:$C$92</v>
      </c>
      <c r="C4227" s="159" t="str">
        <f t="shared" si="335"/>
        <v>September!$B$1:$B$92</v>
      </c>
      <c r="D4227" s="159" t="str">
        <f t="shared" si="336"/>
        <v>September!$C$1:$C$92</v>
      </c>
      <c r="E4227" t="s">
        <v>8</v>
      </c>
      <c r="F4227" t="s">
        <v>128</v>
      </c>
      <c r="G4227" t="s">
        <v>13</v>
      </c>
      <c r="H4227" t="s">
        <v>179</v>
      </c>
      <c r="I4227" t="e">
        <f t="shared" ca="1" si="332"/>
        <v>#REF!</v>
      </c>
      <c r="J4227" t="str">
        <f>VLOOKUP($G4227,DefinitionArrays!$I$6:$J$12,2,FALSE)</f>
        <v>Workweek</v>
      </c>
    </row>
    <row r="4228" spans="1:10">
      <c r="A4228" s="159" t="str">
        <f t="shared" si="333"/>
        <v>$B$1:$B$92</v>
      </c>
      <c r="B4228" s="159" t="str">
        <f t="shared" si="334"/>
        <v>$C$1:$C$92</v>
      </c>
      <c r="C4228" s="159" t="str">
        <f t="shared" si="335"/>
        <v>September!$B$1:$B$92</v>
      </c>
      <c r="D4228" s="159" t="str">
        <f t="shared" si="336"/>
        <v>September!$C$1:$C$92</v>
      </c>
      <c r="E4228" t="s">
        <v>8</v>
      </c>
      <c r="F4228" t="s">
        <v>128</v>
      </c>
      <c r="G4228" t="s">
        <v>13</v>
      </c>
      <c r="H4228" t="s">
        <v>180</v>
      </c>
      <c r="I4228" t="e">
        <f t="shared" ca="1" si="332"/>
        <v>#REF!</v>
      </c>
      <c r="J4228" t="str">
        <f>VLOOKUP($G4228,DefinitionArrays!$I$6:$J$12,2,FALSE)</f>
        <v>Workweek</v>
      </c>
    </row>
    <row r="4229" spans="1:10">
      <c r="A4229" s="159" t="str">
        <f t="shared" si="333"/>
        <v>$B$1:$B$92</v>
      </c>
      <c r="B4229" s="159" t="str">
        <f t="shared" si="334"/>
        <v>$C$1:$C$92</v>
      </c>
      <c r="C4229" s="159" t="str">
        <f t="shared" si="335"/>
        <v>September!$B$1:$B$92</v>
      </c>
      <c r="D4229" s="159" t="str">
        <f t="shared" si="336"/>
        <v>September!$C$1:$C$92</v>
      </c>
      <c r="E4229" t="s">
        <v>8</v>
      </c>
      <c r="F4229" t="s">
        <v>128</v>
      </c>
      <c r="G4229" t="s">
        <v>13</v>
      </c>
      <c r="H4229" t="s">
        <v>44</v>
      </c>
      <c r="I4229" t="e">
        <f t="shared" ca="1" si="332"/>
        <v>#REF!</v>
      </c>
      <c r="J4229" t="str">
        <f>VLOOKUP($G4229,DefinitionArrays!$I$6:$J$12,2,FALSE)</f>
        <v>Workweek</v>
      </c>
    </row>
    <row r="4230" spans="1:10">
      <c r="A4230" s="159" t="str">
        <f t="shared" si="333"/>
        <v>$E$1:$E$92</v>
      </c>
      <c r="B4230" s="159" t="str">
        <f t="shared" si="334"/>
        <v>$F$1:$F$92</v>
      </c>
      <c r="C4230" s="159" t="str">
        <f t="shared" si="335"/>
        <v>September!$E$1:$E$92</v>
      </c>
      <c r="D4230" s="159" t="str">
        <f t="shared" si="336"/>
        <v>September!$F$1:$F$92</v>
      </c>
      <c r="E4230" t="s">
        <v>8</v>
      </c>
      <c r="F4230" t="s">
        <v>128</v>
      </c>
      <c r="G4230" t="s">
        <v>142</v>
      </c>
      <c r="H4230" t="s">
        <v>159</v>
      </c>
      <c r="I4230" t="e">
        <f t="shared" ca="1" si="332"/>
        <v>#REF!</v>
      </c>
      <c r="J4230" t="str">
        <f>VLOOKUP($G4230,DefinitionArrays!$I$6:$J$12,2,FALSE)</f>
        <v>Workweek</v>
      </c>
    </row>
    <row r="4231" spans="1:10">
      <c r="A4231" s="159" t="str">
        <f t="shared" si="333"/>
        <v>$E$1:$E$92</v>
      </c>
      <c r="B4231" s="159" t="str">
        <f t="shared" si="334"/>
        <v>$F$1:$F$92</v>
      </c>
      <c r="C4231" s="159" t="str">
        <f t="shared" si="335"/>
        <v>September!$E$1:$E$92</v>
      </c>
      <c r="D4231" s="159" t="str">
        <f t="shared" si="336"/>
        <v>September!$F$1:$F$92</v>
      </c>
      <c r="E4231" t="s">
        <v>8</v>
      </c>
      <c r="F4231" t="s">
        <v>128</v>
      </c>
      <c r="G4231" t="s">
        <v>142</v>
      </c>
      <c r="H4231" t="s">
        <v>18</v>
      </c>
      <c r="I4231" t="e">
        <f t="shared" ca="1" si="332"/>
        <v>#REF!</v>
      </c>
      <c r="J4231" t="str">
        <f>VLOOKUP($G4231,DefinitionArrays!$I$6:$J$12,2,FALSE)</f>
        <v>Workweek</v>
      </c>
    </row>
    <row r="4232" spans="1:10">
      <c r="A4232" s="159" t="str">
        <f t="shared" si="333"/>
        <v>$E$1:$E$92</v>
      </c>
      <c r="B4232" s="159" t="str">
        <f t="shared" si="334"/>
        <v>$F$1:$F$92</v>
      </c>
      <c r="C4232" s="159" t="str">
        <f t="shared" si="335"/>
        <v>September!$E$1:$E$92</v>
      </c>
      <c r="D4232" s="159" t="str">
        <f t="shared" si="336"/>
        <v>September!$F$1:$F$92</v>
      </c>
      <c r="E4232" t="s">
        <v>8</v>
      </c>
      <c r="F4232" t="s">
        <v>128</v>
      </c>
      <c r="G4232" t="s">
        <v>142</v>
      </c>
      <c r="H4232" t="s">
        <v>153</v>
      </c>
      <c r="I4232" t="e">
        <f t="shared" ca="1" si="332"/>
        <v>#REF!</v>
      </c>
      <c r="J4232" t="str">
        <f>VLOOKUP($G4232,DefinitionArrays!$I$6:$J$12,2,FALSE)</f>
        <v>Workweek</v>
      </c>
    </row>
    <row r="4233" spans="1:10">
      <c r="A4233" s="159" t="str">
        <f t="shared" si="333"/>
        <v>$E$1:$E$92</v>
      </c>
      <c r="B4233" s="159" t="str">
        <f t="shared" si="334"/>
        <v>$F$1:$F$92</v>
      </c>
      <c r="C4233" s="159" t="str">
        <f t="shared" si="335"/>
        <v>September!$E$1:$E$92</v>
      </c>
      <c r="D4233" s="159" t="str">
        <f t="shared" si="336"/>
        <v>September!$F$1:$F$92</v>
      </c>
      <c r="E4233" t="s">
        <v>8</v>
      </c>
      <c r="F4233" t="s">
        <v>128</v>
      </c>
      <c r="G4233" t="s">
        <v>142</v>
      </c>
      <c r="H4233" t="s">
        <v>19</v>
      </c>
      <c r="I4233" t="e">
        <f t="shared" ca="1" si="332"/>
        <v>#REF!</v>
      </c>
      <c r="J4233" t="str">
        <f>VLOOKUP($G4233,DefinitionArrays!$I$6:$J$12,2,FALSE)</f>
        <v>Workweek</v>
      </c>
    </row>
    <row r="4234" spans="1:10">
      <c r="A4234" s="159" t="str">
        <f t="shared" si="333"/>
        <v>$E$1:$E$92</v>
      </c>
      <c r="B4234" s="159" t="str">
        <f t="shared" si="334"/>
        <v>$F$1:$F$92</v>
      </c>
      <c r="C4234" s="159" t="str">
        <f t="shared" si="335"/>
        <v>September!$E$1:$E$92</v>
      </c>
      <c r="D4234" s="159" t="str">
        <f t="shared" si="336"/>
        <v>September!$F$1:$F$92</v>
      </c>
      <c r="E4234" t="s">
        <v>8</v>
      </c>
      <c r="F4234" t="s">
        <v>128</v>
      </c>
      <c r="G4234" t="s">
        <v>142</v>
      </c>
      <c r="H4234" t="s">
        <v>20</v>
      </c>
      <c r="I4234" t="e">
        <f t="shared" ca="1" si="332"/>
        <v>#REF!</v>
      </c>
      <c r="J4234" t="str">
        <f>VLOOKUP($G4234,DefinitionArrays!$I$6:$J$12,2,FALSE)</f>
        <v>Workweek</v>
      </c>
    </row>
    <row r="4235" spans="1:10">
      <c r="A4235" s="159" t="str">
        <f t="shared" si="333"/>
        <v>$E$1:$E$92</v>
      </c>
      <c r="B4235" s="159" t="str">
        <f t="shared" si="334"/>
        <v>$F$1:$F$92</v>
      </c>
      <c r="C4235" s="159" t="str">
        <f t="shared" si="335"/>
        <v>September!$E$1:$E$92</v>
      </c>
      <c r="D4235" s="159" t="str">
        <f t="shared" si="336"/>
        <v>September!$F$1:$F$92</v>
      </c>
      <c r="E4235" t="s">
        <v>8</v>
      </c>
      <c r="F4235" t="s">
        <v>128</v>
      </c>
      <c r="G4235" t="s">
        <v>142</v>
      </c>
      <c r="H4235" t="s">
        <v>21</v>
      </c>
      <c r="I4235" t="e">
        <f t="shared" ca="1" si="332"/>
        <v>#REF!</v>
      </c>
      <c r="J4235" t="str">
        <f>VLOOKUP($G4235,DefinitionArrays!$I$6:$J$12,2,FALSE)</f>
        <v>Workweek</v>
      </c>
    </row>
    <row r="4236" spans="1:10">
      <c r="A4236" s="159" t="str">
        <f t="shared" si="333"/>
        <v>$E$1:$E$92</v>
      </c>
      <c r="B4236" s="159" t="str">
        <f t="shared" si="334"/>
        <v>$F$1:$F$92</v>
      </c>
      <c r="C4236" s="159" t="str">
        <f t="shared" si="335"/>
        <v>September!$E$1:$E$92</v>
      </c>
      <c r="D4236" s="159" t="str">
        <f t="shared" si="336"/>
        <v>September!$F$1:$F$92</v>
      </c>
      <c r="E4236" t="s">
        <v>8</v>
      </c>
      <c r="F4236" t="s">
        <v>128</v>
      </c>
      <c r="G4236" t="s">
        <v>142</v>
      </c>
      <c r="H4236" t="s">
        <v>22</v>
      </c>
      <c r="I4236" t="e">
        <f t="shared" ca="1" si="332"/>
        <v>#REF!</v>
      </c>
      <c r="J4236" t="str">
        <f>VLOOKUP($G4236,DefinitionArrays!$I$6:$J$12,2,FALSE)</f>
        <v>Workweek</v>
      </c>
    </row>
    <row r="4237" spans="1:10">
      <c r="A4237" s="159" t="str">
        <f t="shared" si="333"/>
        <v>$E$1:$E$92</v>
      </c>
      <c r="B4237" s="159" t="str">
        <f t="shared" si="334"/>
        <v>$F$1:$F$92</v>
      </c>
      <c r="C4237" s="159" t="str">
        <f t="shared" si="335"/>
        <v>September!$E$1:$E$92</v>
      </c>
      <c r="D4237" s="159" t="str">
        <f t="shared" si="336"/>
        <v>September!$F$1:$F$92</v>
      </c>
      <c r="E4237" t="s">
        <v>8</v>
      </c>
      <c r="F4237" t="s">
        <v>128</v>
      </c>
      <c r="G4237" t="s">
        <v>142</v>
      </c>
      <c r="H4237" t="s">
        <v>23</v>
      </c>
      <c r="I4237" t="e">
        <f t="shared" ca="1" si="332"/>
        <v>#REF!</v>
      </c>
      <c r="J4237" t="str">
        <f>VLOOKUP($G4237,DefinitionArrays!$I$6:$J$12,2,FALSE)</f>
        <v>Workweek</v>
      </c>
    </row>
    <row r="4238" spans="1:10">
      <c r="A4238" s="159" t="str">
        <f t="shared" si="333"/>
        <v>$E$1:$E$92</v>
      </c>
      <c r="B4238" s="159" t="str">
        <f t="shared" si="334"/>
        <v>$F$1:$F$92</v>
      </c>
      <c r="C4238" s="159" t="str">
        <f t="shared" si="335"/>
        <v>September!$E$1:$E$92</v>
      </c>
      <c r="D4238" s="159" t="str">
        <f t="shared" si="336"/>
        <v>September!$F$1:$F$92</v>
      </c>
      <c r="E4238" t="s">
        <v>8</v>
      </c>
      <c r="F4238" t="s">
        <v>128</v>
      </c>
      <c r="G4238" t="s">
        <v>142</v>
      </c>
      <c r="H4238" t="s">
        <v>24</v>
      </c>
      <c r="I4238" t="e">
        <f t="shared" ca="1" si="332"/>
        <v>#REF!</v>
      </c>
      <c r="J4238" t="str">
        <f>VLOOKUP($G4238,DefinitionArrays!$I$6:$J$12,2,FALSE)</f>
        <v>Workweek</v>
      </c>
    </row>
    <row r="4239" spans="1:10">
      <c r="A4239" s="159" t="str">
        <f t="shared" si="333"/>
        <v>$E$1:$E$92</v>
      </c>
      <c r="B4239" s="159" t="str">
        <f t="shared" si="334"/>
        <v>$F$1:$F$92</v>
      </c>
      <c r="C4239" s="159" t="str">
        <f t="shared" si="335"/>
        <v>September!$E$1:$E$92</v>
      </c>
      <c r="D4239" s="159" t="str">
        <f t="shared" si="336"/>
        <v>September!$F$1:$F$92</v>
      </c>
      <c r="E4239" t="s">
        <v>8</v>
      </c>
      <c r="F4239" t="s">
        <v>128</v>
      </c>
      <c r="G4239" t="s">
        <v>142</v>
      </c>
      <c r="H4239" t="s">
        <v>179</v>
      </c>
      <c r="I4239" t="e">
        <f t="shared" ca="1" si="332"/>
        <v>#REF!</v>
      </c>
      <c r="J4239" t="str">
        <f>VLOOKUP($G4239,DefinitionArrays!$I$6:$J$12,2,FALSE)</f>
        <v>Workweek</v>
      </c>
    </row>
    <row r="4240" spans="1:10">
      <c r="A4240" s="159" t="str">
        <f t="shared" si="333"/>
        <v>$E$1:$E$92</v>
      </c>
      <c r="B4240" s="159" t="str">
        <f t="shared" si="334"/>
        <v>$F$1:$F$92</v>
      </c>
      <c r="C4240" s="159" t="str">
        <f t="shared" si="335"/>
        <v>September!$E$1:$E$92</v>
      </c>
      <c r="D4240" s="159" t="str">
        <f t="shared" si="336"/>
        <v>September!$F$1:$F$92</v>
      </c>
      <c r="E4240" t="s">
        <v>8</v>
      </c>
      <c r="F4240" t="s">
        <v>128</v>
      </c>
      <c r="G4240" t="s">
        <v>142</v>
      </c>
      <c r="H4240" t="s">
        <v>180</v>
      </c>
      <c r="I4240" t="e">
        <f t="shared" ca="1" si="332"/>
        <v>#REF!</v>
      </c>
      <c r="J4240" t="str">
        <f>VLOOKUP($G4240,DefinitionArrays!$I$6:$J$12,2,FALSE)</f>
        <v>Workweek</v>
      </c>
    </row>
    <row r="4241" spans="1:10">
      <c r="A4241" s="159" t="str">
        <f t="shared" si="333"/>
        <v>$E$1:$E$92</v>
      </c>
      <c r="B4241" s="159" t="str">
        <f t="shared" si="334"/>
        <v>$F$1:$F$92</v>
      </c>
      <c r="C4241" s="159" t="str">
        <f t="shared" si="335"/>
        <v>September!$E$1:$E$92</v>
      </c>
      <c r="D4241" s="159" t="str">
        <f t="shared" si="336"/>
        <v>September!$F$1:$F$92</v>
      </c>
      <c r="E4241" t="s">
        <v>8</v>
      </c>
      <c r="F4241" t="s">
        <v>128</v>
      </c>
      <c r="G4241" t="s">
        <v>142</v>
      </c>
      <c r="H4241" t="s">
        <v>44</v>
      </c>
      <c r="I4241" t="e">
        <f t="shared" ca="1" si="332"/>
        <v>#REF!</v>
      </c>
      <c r="J4241" t="str">
        <f>VLOOKUP($G4241,DefinitionArrays!$I$6:$J$12,2,FALSE)</f>
        <v>Workweek</v>
      </c>
    </row>
    <row r="4242" spans="1:10">
      <c r="A4242" s="159" t="str">
        <f t="shared" si="333"/>
        <v>$H$1:$H$92</v>
      </c>
      <c r="B4242" s="159" t="str">
        <f t="shared" si="334"/>
        <v>$I$1:$I$92</v>
      </c>
      <c r="C4242" s="159" t="str">
        <f t="shared" si="335"/>
        <v>September!$H$1:$H$92</v>
      </c>
      <c r="D4242" s="159" t="str">
        <f t="shared" si="336"/>
        <v>September!$I$1:$I$92</v>
      </c>
      <c r="E4242" t="s">
        <v>8</v>
      </c>
      <c r="F4242" t="s">
        <v>128</v>
      </c>
      <c r="G4242" t="s">
        <v>143</v>
      </c>
      <c r="H4242" t="s">
        <v>159</v>
      </c>
      <c r="I4242" t="e">
        <f t="shared" ca="1" si="332"/>
        <v>#REF!</v>
      </c>
      <c r="J4242" t="str">
        <f>VLOOKUP($G4242,DefinitionArrays!$I$6:$J$12,2,FALSE)</f>
        <v>Workweek</v>
      </c>
    </row>
    <row r="4243" spans="1:10">
      <c r="A4243" s="159" t="str">
        <f t="shared" si="333"/>
        <v>$H$1:$H$92</v>
      </c>
      <c r="B4243" s="159" t="str">
        <f t="shared" si="334"/>
        <v>$I$1:$I$92</v>
      </c>
      <c r="C4243" s="159" t="str">
        <f t="shared" si="335"/>
        <v>September!$H$1:$H$92</v>
      </c>
      <c r="D4243" s="159" t="str">
        <f t="shared" si="336"/>
        <v>September!$I$1:$I$92</v>
      </c>
      <c r="E4243" t="s">
        <v>8</v>
      </c>
      <c r="F4243" t="s">
        <v>128</v>
      </c>
      <c r="G4243" t="s">
        <v>143</v>
      </c>
      <c r="H4243" t="s">
        <v>18</v>
      </c>
      <c r="I4243" t="e">
        <f t="shared" ca="1" si="332"/>
        <v>#REF!</v>
      </c>
      <c r="J4243" t="str">
        <f>VLOOKUP($G4243,DefinitionArrays!$I$6:$J$12,2,FALSE)</f>
        <v>Workweek</v>
      </c>
    </row>
    <row r="4244" spans="1:10">
      <c r="A4244" s="159" t="str">
        <f t="shared" si="333"/>
        <v>$H$1:$H$92</v>
      </c>
      <c r="B4244" s="159" t="str">
        <f t="shared" si="334"/>
        <v>$I$1:$I$92</v>
      </c>
      <c r="C4244" s="159" t="str">
        <f t="shared" si="335"/>
        <v>September!$H$1:$H$92</v>
      </c>
      <c r="D4244" s="159" t="str">
        <f t="shared" si="336"/>
        <v>September!$I$1:$I$92</v>
      </c>
      <c r="E4244" t="s">
        <v>8</v>
      </c>
      <c r="F4244" t="s">
        <v>128</v>
      </c>
      <c r="G4244" t="s">
        <v>143</v>
      </c>
      <c r="H4244" t="s">
        <v>153</v>
      </c>
      <c r="I4244" t="e">
        <f t="shared" ca="1" si="332"/>
        <v>#REF!</v>
      </c>
      <c r="J4244" t="str">
        <f>VLOOKUP($G4244,DefinitionArrays!$I$6:$J$12,2,FALSE)</f>
        <v>Workweek</v>
      </c>
    </row>
    <row r="4245" spans="1:10">
      <c r="A4245" s="159" t="str">
        <f t="shared" si="333"/>
        <v>$H$1:$H$92</v>
      </c>
      <c r="B4245" s="159" t="str">
        <f t="shared" si="334"/>
        <v>$I$1:$I$92</v>
      </c>
      <c r="C4245" s="159" t="str">
        <f t="shared" si="335"/>
        <v>September!$H$1:$H$92</v>
      </c>
      <c r="D4245" s="159" t="str">
        <f t="shared" si="336"/>
        <v>September!$I$1:$I$92</v>
      </c>
      <c r="E4245" t="s">
        <v>8</v>
      </c>
      <c r="F4245" t="s">
        <v>128</v>
      </c>
      <c r="G4245" t="s">
        <v>143</v>
      </c>
      <c r="H4245" t="s">
        <v>19</v>
      </c>
      <c r="I4245" t="e">
        <f t="shared" ca="1" si="332"/>
        <v>#REF!</v>
      </c>
      <c r="J4245" t="str">
        <f>VLOOKUP($G4245,DefinitionArrays!$I$6:$J$12,2,FALSE)</f>
        <v>Workweek</v>
      </c>
    </row>
    <row r="4246" spans="1:10">
      <c r="A4246" s="159" t="str">
        <f t="shared" si="333"/>
        <v>$H$1:$H$92</v>
      </c>
      <c r="B4246" s="159" t="str">
        <f t="shared" si="334"/>
        <v>$I$1:$I$92</v>
      </c>
      <c r="C4246" s="159" t="str">
        <f t="shared" si="335"/>
        <v>September!$H$1:$H$92</v>
      </c>
      <c r="D4246" s="159" t="str">
        <f t="shared" si="336"/>
        <v>September!$I$1:$I$92</v>
      </c>
      <c r="E4246" t="s">
        <v>8</v>
      </c>
      <c r="F4246" t="s">
        <v>128</v>
      </c>
      <c r="G4246" t="s">
        <v>143</v>
      </c>
      <c r="H4246" t="s">
        <v>20</v>
      </c>
      <c r="I4246" t="e">
        <f t="shared" ca="1" si="332"/>
        <v>#REF!</v>
      </c>
      <c r="J4246" t="str">
        <f>VLOOKUP($G4246,DefinitionArrays!$I$6:$J$12,2,FALSE)</f>
        <v>Workweek</v>
      </c>
    </row>
    <row r="4247" spans="1:10">
      <c r="A4247" s="159" t="str">
        <f t="shared" si="333"/>
        <v>$H$1:$H$92</v>
      </c>
      <c r="B4247" s="159" t="str">
        <f t="shared" si="334"/>
        <v>$I$1:$I$92</v>
      </c>
      <c r="C4247" s="159" t="str">
        <f t="shared" si="335"/>
        <v>September!$H$1:$H$92</v>
      </c>
      <c r="D4247" s="159" t="str">
        <f t="shared" si="336"/>
        <v>September!$I$1:$I$92</v>
      </c>
      <c r="E4247" t="s">
        <v>8</v>
      </c>
      <c r="F4247" t="s">
        <v>128</v>
      </c>
      <c r="G4247" t="s">
        <v>143</v>
      </c>
      <c r="H4247" t="s">
        <v>21</v>
      </c>
      <c r="I4247" t="e">
        <f t="shared" ca="1" si="332"/>
        <v>#REF!</v>
      </c>
      <c r="J4247" t="str">
        <f>VLOOKUP($G4247,DefinitionArrays!$I$6:$J$12,2,FALSE)</f>
        <v>Workweek</v>
      </c>
    </row>
    <row r="4248" spans="1:10">
      <c r="A4248" s="159" t="str">
        <f t="shared" si="333"/>
        <v>$H$1:$H$92</v>
      </c>
      <c r="B4248" s="159" t="str">
        <f t="shared" si="334"/>
        <v>$I$1:$I$92</v>
      </c>
      <c r="C4248" s="159" t="str">
        <f t="shared" si="335"/>
        <v>September!$H$1:$H$92</v>
      </c>
      <c r="D4248" s="159" t="str">
        <f t="shared" si="336"/>
        <v>September!$I$1:$I$92</v>
      </c>
      <c r="E4248" t="s">
        <v>8</v>
      </c>
      <c r="F4248" t="s">
        <v>128</v>
      </c>
      <c r="G4248" t="s">
        <v>143</v>
      </c>
      <c r="H4248" t="s">
        <v>22</v>
      </c>
      <c r="I4248" t="e">
        <f t="shared" ca="1" si="332"/>
        <v>#REF!</v>
      </c>
      <c r="J4248" t="str">
        <f>VLOOKUP($G4248,DefinitionArrays!$I$6:$J$12,2,FALSE)</f>
        <v>Workweek</v>
      </c>
    </row>
    <row r="4249" spans="1:10">
      <c r="A4249" s="159" t="str">
        <f t="shared" si="333"/>
        <v>$H$1:$H$92</v>
      </c>
      <c r="B4249" s="159" t="str">
        <f t="shared" si="334"/>
        <v>$I$1:$I$92</v>
      </c>
      <c r="C4249" s="159" t="str">
        <f t="shared" si="335"/>
        <v>September!$H$1:$H$92</v>
      </c>
      <c r="D4249" s="159" t="str">
        <f t="shared" si="336"/>
        <v>September!$I$1:$I$92</v>
      </c>
      <c r="E4249" t="s">
        <v>8</v>
      </c>
      <c r="F4249" t="s">
        <v>128</v>
      </c>
      <c r="G4249" t="s">
        <v>143</v>
      </c>
      <c r="H4249" t="s">
        <v>23</v>
      </c>
      <c r="I4249" t="e">
        <f t="shared" ca="1" si="332"/>
        <v>#REF!</v>
      </c>
      <c r="J4249" t="str">
        <f>VLOOKUP($G4249,DefinitionArrays!$I$6:$J$12,2,FALSE)</f>
        <v>Workweek</v>
      </c>
    </row>
    <row r="4250" spans="1:10">
      <c r="A4250" s="159" t="str">
        <f t="shared" si="333"/>
        <v>$H$1:$H$92</v>
      </c>
      <c r="B4250" s="159" t="str">
        <f t="shared" si="334"/>
        <v>$I$1:$I$92</v>
      </c>
      <c r="C4250" s="159" t="str">
        <f t="shared" si="335"/>
        <v>September!$H$1:$H$92</v>
      </c>
      <c r="D4250" s="159" t="str">
        <f t="shared" si="336"/>
        <v>September!$I$1:$I$92</v>
      </c>
      <c r="E4250" t="s">
        <v>8</v>
      </c>
      <c r="F4250" t="s">
        <v>128</v>
      </c>
      <c r="G4250" t="s">
        <v>143</v>
      </c>
      <c r="H4250" t="s">
        <v>24</v>
      </c>
      <c r="I4250" t="e">
        <f t="shared" ca="1" si="332"/>
        <v>#REF!</v>
      </c>
      <c r="J4250" t="str">
        <f>VLOOKUP($G4250,DefinitionArrays!$I$6:$J$12,2,FALSE)</f>
        <v>Workweek</v>
      </c>
    </row>
    <row r="4251" spans="1:10">
      <c r="A4251" s="159" t="str">
        <f t="shared" si="333"/>
        <v>$H$1:$H$92</v>
      </c>
      <c r="B4251" s="159" t="str">
        <f t="shared" si="334"/>
        <v>$I$1:$I$92</v>
      </c>
      <c r="C4251" s="159" t="str">
        <f t="shared" si="335"/>
        <v>September!$H$1:$H$92</v>
      </c>
      <c r="D4251" s="159" t="str">
        <f t="shared" si="336"/>
        <v>September!$I$1:$I$92</v>
      </c>
      <c r="E4251" t="s">
        <v>8</v>
      </c>
      <c r="F4251" t="s">
        <v>128</v>
      </c>
      <c r="G4251" t="s">
        <v>143</v>
      </c>
      <c r="H4251" t="s">
        <v>179</v>
      </c>
      <c r="I4251" t="e">
        <f t="shared" ca="1" si="332"/>
        <v>#REF!</v>
      </c>
      <c r="J4251" t="str">
        <f>VLOOKUP($G4251,DefinitionArrays!$I$6:$J$12,2,FALSE)</f>
        <v>Workweek</v>
      </c>
    </row>
    <row r="4252" spans="1:10">
      <c r="A4252" s="159" t="str">
        <f t="shared" si="333"/>
        <v>$H$1:$H$92</v>
      </c>
      <c r="B4252" s="159" t="str">
        <f t="shared" si="334"/>
        <v>$I$1:$I$92</v>
      </c>
      <c r="C4252" s="159" t="str">
        <f t="shared" si="335"/>
        <v>September!$H$1:$H$92</v>
      </c>
      <c r="D4252" s="159" t="str">
        <f t="shared" si="336"/>
        <v>September!$I$1:$I$92</v>
      </c>
      <c r="E4252" t="s">
        <v>8</v>
      </c>
      <c r="F4252" t="s">
        <v>128</v>
      </c>
      <c r="G4252" t="s">
        <v>143</v>
      </c>
      <c r="H4252" t="s">
        <v>180</v>
      </c>
      <c r="I4252" t="e">
        <f t="shared" ca="1" si="332"/>
        <v>#REF!</v>
      </c>
      <c r="J4252" t="str">
        <f>VLOOKUP($G4252,DefinitionArrays!$I$6:$J$12,2,FALSE)</f>
        <v>Workweek</v>
      </c>
    </row>
    <row r="4253" spans="1:10">
      <c r="A4253" s="159" t="str">
        <f t="shared" si="333"/>
        <v>$H$1:$H$92</v>
      </c>
      <c r="B4253" s="159" t="str">
        <f t="shared" si="334"/>
        <v>$I$1:$I$92</v>
      </c>
      <c r="C4253" s="159" t="str">
        <f t="shared" si="335"/>
        <v>September!$H$1:$H$92</v>
      </c>
      <c r="D4253" s="159" t="str">
        <f t="shared" si="336"/>
        <v>September!$I$1:$I$92</v>
      </c>
      <c r="E4253" t="s">
        <v>8</v>
      </c>
      <c r="F4253" t="s">
        <v>128</v>
      </c>
      <c r="G4253" t="s">
        <v>143</v>
      </c>
      <c r="H4253" t="s">
        <v>44</v>
      </c>
      <c r="I4253" t="e">
        <f t="shared" ca="1" si="332"/>
        <v>#REF!</v>
      </c>
      <c r="J4253" t="str">
        <f>VLOOKUP($G4253,DefinitionArrays!$I$6:$J$12,2,FALSE)</f>
        <v>Workweek</v>
      </c>
    </row>
    <row r="4254" spans="1:10">
      <c r="A4254" s="159" t="str">
        <f t="shared" si="333"/>
        <v>$K$1:$K$92</v>
      </c>
      <c r="B4254" s="159" t="str">
        <f t="shared" si="334"/>
        <v>$L$1:$L$92</v>
      </c>
      <c r="C4254" s="159" t="str">
        <f t="shared" si="335"/>
        <v>September!$K$1:$K$92</v>
      </c>
      <c r="D4254" s="159" t="str">
        <f t="shared" si="336"/>
        <v>September!$L$1:$L$92</v>
      </c>
      <c r="E4254" t="s">
        <v>8</v>
      </c>
      <c r="F4254" t="s">
        <v>128</v>
      </c>
      <c r="G4254" t="s">
        <v>144</v>
      </c>
      <c r="H4254" t="s">
        <v>159</v>
      </c>
      <c r="I4254" t="e">
        <f t="shared" ca="1" si="332"/>
        <v>#REF!</v>
      </c>
      <c r="J4254" t="str">
        <f>VLOOKUP($G4254,DefinitionArrays!$I$6:$J$12,2,FALSE)</f>
        <v>Workweek</v>
      </c>
    </row>
    <row r="4255" spans="1:10">
      <c r="A4255" s="159" t="str">
        <f t="shared" si="333"/>
        <v>$K$1:$K$92</v>
      </c>
      <c r="B4255" s="159" t="str">
        <f t="shared" si="334"/>
        <v>$L$1:$L$92</v>
      </c>
      <c r="C4255" s="159" t="str">
        <f t="shared" si="335"/>
        <v>September!$K$1:$K$92</v>
      </c>
      <c r="D4255" s="159" t="str">
        <f t="shared" si="336"/>
        <v>September!$L$1:$L$92</v>
      </c>
      <c r="E4255" t="s">
        <v>8</v>
      </c>
      <c r="F4255" t="s">
        <v>128</v>
      </c>
      <c r="G4255" t="s">
        <v>144</v>
      </c>
      <c r="H4255" t="s">
        <v>18</v>
      </c>
      <c r="I4255" t="e">
        <f t="shared" ca="1" si="332"/>
        <v>#REF!</v>
      </c>
      <c r="J4255" t="str">
        <f>VLOOKUP($G4255,DefinitionArrays!$I$6:$J$12,2,FALSE)</f>
        <v>Workweek</v>
      </c>
    </row>
    <row r="4256" spans="1:10">
      <c r="A4256" s="159" t="str">
        <f t="shared" si="333"/>
        <v>$K$1:$K$92</v>
      </c>
      <c r="B4256" s="159" t="str">
        <f t="shared" si="334"/>
        <v>$L$1:$L$92</v>
      </c>
      <c r="C4256" s="159" t="str">
        <f t="shared" si="335"/>
        <v>September!$K$1:$K$92</v>
      </c>
      <c r="D4256" s="159" t="str">
        <f t="shared" si="336"/>
        <v>September!$L$1:$L$92</v>
      </c>
      <c r="E4256" t="s">
        <v>8</v>
      </c>
      <c r="F4256" t="s">
        <v>128</v>
      </c>
      <c r="G4256" t="s">
        <v>144</v>
      </c>
      <c r="H4256" t="s">
        <v>153</v>
      </c>
      <c r="I4256" t="e">
        <f t="shared" ca="1" si="332"/>
        <v>#REF!</v>
      </c>
      <c r="J4256" t="str">
        <f>VLOOKUP($G4256,DefinitionArrays!$I$6:$J$12,2,FALSE)</f>
        <v>Workweek</v>
      </c>
    </row>
    <row r="4257" spans="1:10">
      <c r="A4257" s="159" t="str">
        <f t="shared" si="333"/>
        <v>$K$1:$K$92</v>
      </c>
      <c r="B4257" s="159" t="str">
        <f t="shared" si="334"/>
        <v>$L$1:$L$92</v>
      </c>
      <c r="C4257" s="159" t="str">
        <f t="shared" si="335"/>
        <v>September!$K$1:$K$92</v>
      </c>
      <c r="D4257" s="159" t="str">
        <f t="shared" si="336"/>
        <v>September!$L$1:$L$92</v>
      </c>
      <c r="E4257" t="s">
        <v>8</v>
      </c>
      <c r="F4257" t="s">
        <v>128</v>
      </c>
      <c r="G4257" t="s">
        <v>144</v>
      </c>
      <c r="H4257" t="s">
        <v>19</v>
      </c>
      <c r="I4257" t="e">
        <f t="shared" ca="1" si="332"/>
        <v>#REF!</v>
      </c>
      <c r="J4257" t="str">
        <f>VLOOKUP($G4257,DefinitionArrays!$I$6:$J$12,2,FALSE)</f>
        <v>Workweek</v>
      </c>
    </row>
    <row r="4258" spans="1:10">
      <c r="A4258" s="159" t="str">
        <f t="shared" si="333"/>
        <v>$K$1:$K$92</v>
      </c>
      <c r="B4258" s="159" t="str">
        <f t="shared" si="334"/>
        <v>$L$1:$L$92</v>
      </c>
      <c r="C4258" s="159" t="str">
        <f t="shared" si="335"/>
        <v>September!$K$1:$K$92</v>
      </c>
      <c r="D4258" s="159" t="str">
        <f t="shared" si="336"/>
        <v>September!$L$1:$L$92</v>
      </c>
      <c r="E4258" t="s">
        <v>8</v>
      </c>
      <c r="F4258" t="s">
        <v>128</v>
      </c>
      <c r="G4258" t="s">
        <v>144</v>
      </c>
      <c r="H4258" t="s">
        <v>20</v>
      </c>
      <c r="I4258" t="e">
        <f t="shared" ca="1" si="332"/>
        <v>#REF!</v>
      </c>
      <c r="J4258" t="str">
        <f>VLOOKUP($G4258,DefinitionArrays!$I$6:$J$12,2,FALSE)</f>
        <v>Workweek</v>
      </c>
    </row>
    <row r="4259" spans="1:10">
      <c r="A4259" s="159" t="str">
        <f t="shared" si="333"/>
        <v>$K$1:$K$92</v>
      </c>
      <c r="B4259" s="159" t="str">
        <f t="shared" si="334"/>
        <v>$L$1:$L$92</v>
      </c>
      <c r="C4259" s="159" t="str">
        <f t="shared" si="335"/>
        <v>September!$K$1:$K$92</v>
      </c>
      <c r="D4259" s="159" t="str">
        <f t="shared" si="336"/>
        <v>September!$L$1:$L$92</v>
      </c>
      <c r="E4259" t="s">
        <v>8</v>
      </c>
      <c r="F4259" t="s">
        <v>128</v>
      </c>
      <c r="G4259" t="s">
        <v>144</v>
      </c>
      <c r="H4259" t="s">
        <v>21</v>
      </c>
      <c r="I4259" t="e">
        <f t="shared" ca="1" si="332"/>
        <v>#REF!</v>
      </c>
      <c r="J4259" t="str">
        <f>VLOOKUP($G4259,DefinitionArrays!$I$6:$J$12,2,FALSE)</f>
        <v>Workweek</v>
      </c>
    </row>
    <row r="4260" spans="1:10">
      <c r="A4260" s="159" t="str">
        <f t="shared" si="333"/>
        <v>$K$1:$K$92</v>
      </c>
      <c r="B4260" s="159" t="str">
        <f t="shared" si="334"/>
        <v>$L$1:$L$92</v>
      </c>
      <c r="C4260" s="159" t="str">
        <f t="shared" si="335"/>
        <v>September!$K$1:$K$92</v>
      </c>
      <c r="D4260" s="159" t="str">
        <f t="shared" si="336"/>
        <v>September!$L$1:$L$92</v>
      </c>
      <c r="E4260" t="s">
        <v>8</v>
      </c>
      <c r="F4260" t="s">
        <v>128</v>
      </c>
      <c r="G4260" t="s">
        <v>144</v>
      </c>
      <c r="H4260" t="s">
        <v>22</v>
      </c>
      <c r="I4260" t="e">
        <f t="shared" ca="1" si="332"/>
        <v>#REF!</v>
      </c>
      <c r="J4260" t="str">
        <f>VLOOKUP($G4260,DefinitionArrays!$I$6:$J$12,2,FALSE)</f>
        <v>Workweek</v>
      </c>
    </row>
    <row r="4261" spans="1:10">
      <c r="A4261" s="159" t="str">
        <f t="shared" si="333"/>
        <v>$K$1:$K$92</v>
      </c>
      <c r="B4261" s="159" t="str">
        <f t="shared" si="334"/>
        <v>$L$1:$L$92</v>
      </c>
      <c r="C4261" s="159" t="str">
        <f t="shared" si="335"/>
        <v>September!$K$1:$K$92</v>
      </c>
      <c r="D4261" s="159" t="str">
        <f t="shared" si="336"/>
        <v>September!$L$1:$L$92</v>
      </c>
      <c r="E4261" t="s">
        <v>8</v>
      </c>
      <c r="F4261" t="s">
        <v>128</v>
      </c>
      <c r="G4261" t="s">
        <v>144</v>
      </c>
      <c r="H4261" t="s">
        <v>23</v>
      </c>
      <c r="I4261" t="e">
        <f t="shared" ca="1" si="332"/>
        <v>#REF!</v>
      </c>
      <c r="J4261" t="str">
        <f>VLOOKUP($G4261,DefinitionArrays!$I$6:$J$12,2,FALSE)</f>
        <v>Workweek</v>
      </c>
    </row>
    <row r="4262" spans="1:10">
      <c r="A4262" s="159" t="str">
        <f t="shared" si="333"/>
        <v>$K$1:$K$92</v>
      </c>
      <c r="B4262" s="159" t="str">
        <f t="shared" si="334"/>
        <v>$L$1:$L$92</v>
      </c>
      <c r="C4262" s="159" t="str">
        <f t="shared" si="335"/>
        <v>September!$K$1:$K$92</v>
      </c>
      <c r="D4262" s="159" t="str">
        <f t="shared" si="336"/>
        <v>September!$L$1:$L$92</v>
      </c>
      <c r="E4262" t="s">
        <v>8</v>
      </c>
      <c r="F4262" t="s">
        <v>128</v>
      </c>
      <c r="G4262" t="s">
        <v>144</v>
      </c>
      <c r="H4262" t="s">
        <v>24</v>
      </c>
      <c r="I4262" t="e">
        <f t="shared" ca="1" si="332"/>
        <v>#REF!</v>
      </c>
      <c r="J4262" t="str">
        <f>VLOOKUP($G4262,DefinitionArrays!$I$6:$J$12,2,FALSE)</f>
        <v>Workweek</v>
      </c>
    </row>
    <row r="4263" spans="1:10">
      <c r="A4263" s="159" t="str">
        <f t="shared" si="333"/>
        <v>$K$1:$K$92</v>
      </c>
      <c r="B4263" s="159" t="str">
        <f t="shared" si="334"/>
        <v>$L$1:$L$92</v>
      </c>
      <c r="C4263" s="159" t="str">
        <f t="shared" si="335"/>
        <v>September!$K$1:$K$92</v>
      </c>
      <c r="D4263" s="159" t="str">
        <f t="shared" si="336"/>
        <v>September!$L$1:$L$92</v>
      </c>
      <c r="E4263" t="s">
        <v>8</v>
      </c>
      <c r="F4263" t="s">
        <v>128</v>
      </c>
      <c r="G4263" t="s">
        <v>144</v>
      </c>
      <c r="H4263" t="s">
        <v>179</v>
      </c>
      <c r="I4263" t="e">
        <f t="shared" ca="1" si="332"/>
        <v>#REF!</v>
      </c>
      <c r="J4263" t="str">
        <f>VLOOKUP($G4263,DefinitionArrays!$I$6:$J$12,2,FALSE)</f>
        <v>Workweek</v>
      </c>
    </row>
    <row r="4264" spans="1:10">
      <c r="A4264" s="159" t="str">
        <f t="shared" si="333"/>
        <v>$K$1:$K$92</v>
      </c>
      <c r="B4264" s="159" t="str">
        <f t="shared" si="334"/>
        <v>$L$1:$L$92</v>
      </c>
      <c r="C4264" s="159" t="str">
        <f t="shared" si="335"/>
        <v>September!$K$1:$K$92</v>
      </c>
      <c r="D4264" s="159" t="str">
        <f t="shared" si="336"/>
        <v>September!$L$1:$L$92</v>
      </c>
      <c r="E4264" t="s">
        <v>8</v>
      </c>
      <c r="F4264" t="s">
        <v>128</v>
      </c>
      <c r="G4264" t="s">
        <v>144</v>
      </c>
      <c r="H4264" t="s">
        <v>180</v>
      </c>
      <c r="I4264" t="e">
        <f t="shared" ca="1" si="332"/>
        <v>#REF!</v>
      </c>
      <c r="J4264" t="str">
        <f>VLOOKUP($G4264,DefinitionArrays!$I$6:$J$12,2,FALSE)</f>
        <v>Workweek</v>
      </c>
    </row>
    <row r="4265" spans="1:10">
      <c r="A4265" s="159" t="str">
        <f t="shared" si="333"/>
        <v>$K$1:$K$92</v>
      </c>
      <c r="B4265" s="159" t="str">
        <f t="shared" si="334"/>
        <v>$L$1:$L$92</v>
      </c>
      <c r="C4265" s="159" t="str">
        <f t="shared" si="335"/>
        <v>September!$K$1:$K$92</v>
      </c>
      <c r="D4265" s="159" t="str">
        <f t="shared" si="336"/>
        <v>September!$L$1:$L$92</v>
      </c>
      <c r="E4265" t="s">
        <v>8</v>
      </c>
      <c r="F4265" t="s">
        <v>128</v>
      </c>
      <c r="G4265" t="s">
        <v>144</v>
      </c>
      <c r="H4265" t="s">
        <v>44</v>
      </c>
      <c r="I4265" t="e">
        <f t="shared" ca="1" si="332"/>
        <v>#REF!</v>
      </c>
      <c r="J4265" t="str">
        <f>VLOOKUP($G4265,DefinitionArrays!$I$6:$J$12,2,FALSE)</f>
        <v>Workweek</v>
      </c>
    </row>
    <row r="4266" spans="1:10">
      <c r="A4266" s="159" t="str">
        <f t="shared" si="333"/>
        <v>$N$1:$N$92</v>
      </c>
      <c r="B4266" s="159" t="str">
        <f t="shared" si="334"/>
        <v>$O$1:$O$92</v>
      </c>
      <c r="C4266" s="159" t="str">
        <f t="shared" si="335"/>
        <v>September!$N$1:$N$92</v>
      </c>
      <c r="D4266" s="159" t="str">
        <f t="shared" si="336"/>
        <v>September!$O$1:$O$92</v>
      </c>
      <c r="E4266" t="s">
        <v>8</v>
      </c>
      <c r="F4266" t="s">
        <v>128</v>
      </c>
      <c r="G4266" t="s">
        <v>145</v>
      </c>
      <c r="H4266" t="s">
        <v>159</v>
      </c>
      <c r="I4266" t="e">
        <f t="shared" ca="1" si="332"/>
        <v>#REF!</v>
      </c>
      <c r="J4266" t="str">
        <f>VLOOKUP($G4266,DefinitionArrays!$I$6:$J$12,2,FALSE)</f>
        <v>Weekend</v>
      </c>
    </row>
    <row r="4267" spans="1:10">
      <c r="A4267" s="159" t="str">
        <f t="shared" si="333"/>
        <v>$N$1:$N$92</v>
      </c>
      <c r="B4267" s="159" t="str">
        <f t="shared" si="334"/>
        <v>$O$1:$O$92</v>
      </c>
      <c r="C4267" s="159" t="str">
        <f t="shared" si="335"/>
        <v>September!$N$1:$N$92</v>
      </c>
      <c r="D4267" s="159" t="str">
        <f t="shared" si="336"/>
        <v>September!$O$1:$O$92</v>
      </c>
      <c r="E4267" t="s">
        <v>8</v>
      </c>
      <c r="F4267" t="s">
        <v>128</v>
      </c>
      <c r="G4267" t="s">
        <v>145</v>
      </c>
      <c r="H4267" t="s">
        <v>18</v>
      </c>
      <c r="I4267" t="e">
        <f t="shared" ca="1" si="332"/>
        <v>#REF!</v>
      </c>
      <c r="J4267" t="str">
        <f>VLOOKUP($G4267,DefinitionArrays!$I$6:$J$12,2,FALSE)</f>
        <v>Weekend</v>
      </c>
    </row>
    <row r="4268" spans="1:10">
      <c r="A4268" s="159" t="str">
        <f t="shared" si="333"/>
        <v>$N$1:$N$92</v>
      </c>
      <c r="B4268" s="159" t="str">
        <f t="shared" si="334"/>
        <v>$O$1:$O$92</v>
      </c>
      <c r="C4268" s="159" t="str">
        <f t="shared" si="335"/>
        <v>September!$N$1:$N$92</v>
      </c>
      <c r="D4268" s="159" t="str">
        <f t="shared" si="336"/>
        <v>September!$O$1:$O$92</v>
      </c>
      <c r="E4268" t="s">
        <v>8</v>
      </c>
      <c r="F4268" t="s">
        <v>128</v>
      </c>
      <c r="G4268" t="s">
        <v>145</v>
      </c>
      <c r="H4268" t="s">
        <v>153</v>
      </c>
      <c r="I4268" t="e">
        <f t="shared" ca="1" si="332"/>
        <v>#REF!</v>
      </c>
      <c r="J4268" t="str">
        <f>VLOOKUP($G4268,DefinitionArrays!$I$6:$J$12,2,FALSE)</f>
        <v>Weekend</v>
      </c>
    </row>
    <row r="4269" spans="1:10">
      <c r="A4269" s="159" t="str">
        <f t="shared" si="333"/>
        <v>$N$1:$N$92</v>
      </c>
      <c r="B4269" s="159" t="str">
        <f t="shared" si="334"/>
        <v>$O$1:$O$92</v>
      </c>
      <c r="C4269" s="159" t="str">
        <f t="shared" si="335"/>
        <v>September!$N$1:$N$92</v>
      </c>
      <c r="D4269" s="159" t="str">
        <f t="shared" si="336"/>
        <v>September!$O$1:$O$92</v>
      </c>
      <c r="E4269" t="s">
        <v>8</v>
      </c>
      <c r="F4269" t="s">
        <v>128</v>
      </c>
      <c r="G4269" t="s">
        <v>145</v>
      </c>
      <c r="H4269" t="s">
        <v>19</v>
      </c>
      <c r="I4269" t="e">
        <f t="shared" ca="1" si="332"/>
        <v>#REF!</v>
      </c>
      <c r="J4269" t="str">
        <f>VLOOKUP($G4269,DefinitionArrays!$I$6:$J$12,2,FALSE)</f>
        <v>Weekend</v>
      </c>
    </row>
    <row r="4270" spans="1:10">
      <c r="A4270" s="159" t="str">
        <f t="shared" si="333"/>
        <v>$N$1:$N$92</v>
      </c>
      <c r="B4270" s="159" t="str">
        <f t="shared" si="334"/>
        <v>$O$1:$O$92</v>
      </c>
      <c r="C4270" s="159" t="str">
        <f t="shared" si="335"/>
        <v>September!$N$1:$N$92</v>
      </c>
      <c r="D4270" s="159" t="str">
        <f t="shared" si="336"/>
        <v>September!$O$1:$O$92</v>
      </c>
      <c r="E4270" t="s">
        <v>8</v>
      </c>
      <c r="F4270" t="s">
        <v>128</v>
      </c>
      <c r="G4270" t="s">
        <v>145</v>
      </c>
      <c r="H4270" t="s">
        <v>20</v>
      </c>
      <c r="I4270" t="e">
        <f t="shared" ca="1" si="332"/>
        <v>#REF!</v>
      </c>
      <c r="J4270" t="str">
        <f>VLOOKUP($G4270,DefinitionArrays!$I$6:$J$12,2,FALSE)</f>
        <v>Weekend</v>
      </c>
    </row>
    <row r="4271" spans="1:10">
      <c r="A4271" s="159" t="str">
        <f t="shared" si="333"/>
        <v>$N$1:$N$92</v>
      </c>
      <c r="B4271" s="159" t="str">
        <f t="shared" si="334"/>
        <v>$O$1:$O$92</v>
      </c>
      <c r="C4271" s="159" t="str">
        <f t="shared" si="335"/>
        <v>September!$N$1:$N$92</v>
      </c>
      <c r="D4271" s="159" t="str">
        <f t="shared" si="336"/>
        <v>September!$O$1:$O$92</v>
      </c>
      <c r="E4271" t="s">
        <v>8</v>
      </c>
      <c r="F4271" t="s">
        <v>128</v>
      </c>
      <c r="G4271" t="s">
        <v>145</v>
      </c>
      <c r="H4271" t="s">
        <v>21</v>
      </c>
      <c r="I4271" t="e">
        <f t="shared" ca="1" si="332"/>
        <v>#REF!</v>
      </c>
      <c r="J4271" t="str">
        <f>VLOOKUP($G4271,DefinitionArrays!$I$6:$J$12,2,FALSE)</f>
        <v>Weekend</v>
      </c>
    </row>
    <row r="4272" spans="1:10">
      <c r="A4272" s="159" t="str">
        <f t="shared" si="333"/>
        <v>$N$1:$N$92</v>
      </c>
      <c r="B4272" s="159" t="str">
        <f t="shared" si="334"/>
        <v>$O$1:$O$92</v>
      </c>
      <c r="C4272" s="159" t="str">
        <f t="shared" si="335"/>
        <v>September!$N$1:$N$92</v>
      </c>
      <c r="D4272" s="159" t="str">
        <f t="shared" si="336"/>
        <v>September!$O$1:$O$92</v>
      </c>
      <c r="E4272" t="s">
        <v>8</v>
      </c>
      <c r="F4272" t="s">
        <v>128</v>
      </c>
      <c r="G4272" t="s">
        <v>145</v>
      </c>
      <c r="H4272" t="s">
        <v>22</v>
      </c>
      <c r="I4272" t="e">
        <f t="shared" ca="1" si="332"/>
        <v>#REF!</v>
      </c>
      <c r="J4272" t="str">
        <f>VLOOKUP($G4272,DefinitionArrays!$I$6:$J$12,2,FALSE)</f>
        <v>Weekend</v>
      </c>
    </row>
    <row r="4273" spans="1:10">
      <c r="A4273" s="159" t="str">
        <f t="shared" si="333"/>
        <v>$N$1:$N$92</v>
      </c>
      <c r="B4273" s="159" t="str">
        <f t="shared" si="334"/>
        <v>$O$1:$O$92</v>
      </c>
      <c r="C4273" s="159" t="str">
        <f t="shared" si="335"/>
        <v>September!$N$1:$N$92</v>
      </c>
      <c r="D4273" s="159" t="str">
        <f t="shared" si="336"/>
        <v>September!$O$1:$O$92</v>
      </c>
      <c r="E4273" t="s">
        <v>8</v>
      </c>
      <c r="F4273" t="s">
        <v>128</v>
      </c>
      <c r="G4273" t="s">
        <v>145</v>
      </c>
      <c r="H4273" t="s">
        <v>23</v>
      </c>
      <c r="I4273" t="e">
        <f t="shared" ca="1" si="332"/>
        <v>#REF!</v>
      </c>
      <c r="J4273" t="str">
        <f>VLOOKUP($G4273,DefinitionArrays!$I$6:$J$12,2,FALSE)</f>
        <v>Weekend</v>
      </c>
    </row>
    <row r="4274" spans="1:10">
      <c r="A4274" s="159" t="str">
        <f t="shared" si="333"/>
        <v>$N$1:$N$92</v>
      </c>
      <c r="B4274" s="159" t="str">
        <f t="shared" si="334"/>
        <v>$O$1:$O$92</v>
      </c>
      <c r="C4274" s="159" t="str">
        <f t="shared" si="335"/>
        <v>September!$N$1:$N$92</v>
      </c>
      <c r="D4274" s="159" t="str">
        <f t="shared" si="336"/>
        <v>September!$O$1:$O$92</v>
      </c>
      <c r="E4274" t="s">
        <v>8</v>
      </c>
      <c r="F4274" t="s">
        <v>128</v>
      </c>
      <c r="G4274" t="s">
        <v>145</v>
      </c>
      <c r="H4274" t="s">
        <v>24</v>
      </c>
      <c r="I4274" t="e">
        <f t="shared" ca="1" si="332"/>
        <v>#REF!</v>
      </c>
      <c r="J4274" t="str">
        <f>VLOOKUP($G4274,DefinitionArrays!$I$6:$J$12,2,FALSE)</f>
        <v>Weekend</v>
      </c>
    </row>
    <row r="4275" spans="1:10">
      <c r="A4275" s="159" t="str">
        <f t="shared" si="333"/>
        <v>$N$1:$N$92</v>
      </c>
      <c r="B4275" s="159" t="str">
        <f t="shared" si="334"/>
        <v>$O$1:$O$92</v>
      </c>
      <c r="C4275" s="159" t="str">
        <f t="shared" si="335"/>
        <v>September!$N$1:$N$92</v>
      </c>
      <c r="D4275" s="159" t="str">
        <f t="shared" si="336"/>
        <v>September!$O$1:$O$92</v>
      </c>
      <c r="E4275" t="s">
        <v>8</v>
      </c>
      <c r="F4275" t="s">
        <v>128</v>
      </c>
      <c r="G4275" t="s">
        <v>145</v>
      </c>
      <c r="H4275" t="s">
        <v>179</v>
      </c>
      <c r="I4275" t="e">
        <f t="shared" ca="1" si="332"/>
        <v>#REF!</v>
      </c>
      <c r="J4275" t="str">
        <f>VLOOKUP($G4275,DefinitionArrays!$I$6:$J$12,2,FALSE)</f>
        <v>Weekend</v>
      </c>
    </row>
    <row r="4276" spans="1:10">
      <c r="A4276" s="159" t="str">
        <f t="shared" si="333"/>
        <v>$N$1:$N$92</v>
      </c>
      <c r="B4276" s="159" t="str">
        <f t="shared" si="334"/>
        <v>$O$1:$O$92</v>
      </c>
      <c r="C4276" s="159" t="str">
        <f t="shared" si="335"/>
        <v>September!$N$1:$N$92</v>
      </c>
      <c r="D4276" s="159" t="str">
        <f t="shared" si="336"/>
        <v>September!$O$1:$O$92</v>
      </c>
      <c r="E4276" t="s">
        <v>8</v>
      </c>
      <c r="F4276" t="s">
        <v>128</v>
      </c>
      <c r="G4276" t="s">
        <v>145</v>
      </c>
      <c r="H4276" t="s">
        <v>180</v>
      </c>
      <c r="I4276" t="e">
        <f t="shared" ca="1" si="332"/>
        <v>#REF!</v>
      </c>
      <c r="J4276" t="str">
        <f>VLOOKUP($G4276,DefinitionArrays!$I$6:$J$12,2,FALSE)</f>
        <v>Weekend</v>
      </c>
    </row>
    <row r="4277" spans="1:10">
      <c r="A4277" s="159" t="str">
        <f t="shared" si="333"/>
        <v>$N$1:$N$92</v>
      </c>
      <c r="B4277" s="159" t="str">
        <f t="shared" si="334"/>
        <v>$O$1:$O$92</v>
      </c>
      <c r="C4277" s="159" t="str">
        <f t="shared" si="335"/>
        <v>September!$N$1:$N$92</v>
      </c>
      <c r="D4277" s="159" t="str">
        <f t="shared" si="336"/>
        <v>September!$O$1:$O$92</v>
      </c>
      <c r="E4277" t="s">
        <v>8</v>
      </c>
      <c r="F4277" t="s">
        <v>128</v>
      </c>
      <c r="G4277" t="s">
        <v>145</v>
      </c>
      <c r="H4277" t="s">
        <v>44</v>
      </c>
      <c r="I4277" t="e">
        <f t="shared" ca="1" si="332"/>
        <v>#REF!</v>
      </c>
      <c r="J4277" t="str">
        <f>VLOOKUP($G4277,DefinitionArrays!$I$6:$J$12,2,FALSE)</f>
        <v>Weekend</v>
      </c>
    </row>
    <row r="4278" spans="1:10">
      <c r="A4278" s="159" t="str">
        <f t="shared" si="333"/>
        <v>$Q$1:$Q$92</v>
      </c>
      <c r="B4278" s="159" t="str">
        <f t="shared" si="334"/>
        <v>$R$1:$R$92</v>
      </c>
      <c r="C4278" s="159" t="str">
        <f t="shared" si="335"/>
        <v>September!$Q$1:$Q$92</v>
      </c>
      <c r="D4278" s="159" t="str">
        <f t="shared" si="336"/>
        <v>September!$R$1:$R$92</v>
      </c>
      <c r="E4278" t="s">
        <v>8</v>
      </c>
      <c r="F4278" t="s">
        <v>128</v>
      </c>
      <c r="G4278" t="s">
        <v>146</v>
      </c>
      <c r="H4278" t="s">
        <v>159</v>
      </c>
      <c r="I4278" t="e">
        <f t="shared" ca="1" si="332"/>
        <v>#REF!</v>
      </c>
      <c r="J4278" t="str">
        <f>VLOOKUP($G4278,DefinitionArrays!$I$6:$J$12,2,FALSE)</f>
        <v>Weekend</v>
      </c>
    </row>
    <row r="4279" spans="1:10">
      <c r="A4279" s="159" t="str">
        <f t="shared" si="333"/>
        <v>$T$1:$T$92</v>
      </c>
      <c r="B4279" s="159" t="str">
        <f t="shared" si="334"/>
        <v>$U$1:$U$92</v>
      </c>
      <c r="C4279" s="159" t="str">
        <f t="shared" si="335"/>
        <v>September!$T$1:$T$92</v>
      </c>
      <c r="D4279" s="159" t="str">
        <f t="shared" si="336"/>
        <v>September!$U$1:$U$92</v>
      </c>
      <c r="E4279" t="s">
        <v>8</v>
      </c>
      <c r="F4279" t="s">
        <v>128</v>
      </c>
      <c r="G4279" t="s">
        <v>141</v>
      </c>
      <c r="H4279" t="s">
        <v>159</v>
      </c>
      <c r="I4279" t="e">
        <f t="shared" ca="1" si="332"/>
        <v>#REF!</v>
      </c>
      <c r="J4279" t="str">
        <f>VLOOKUP($G4279,DefinitionArrays!$I$6:$J$12,2,FALSE)</f>
        <v>Weekend</v>
      </c>
    </row>
    <row r="4280" spans="1:10">
      <c r="A4280" s="159" t="str">
        <f t="shared" si="333"/>
        <v>$B$1:$B$92</v>
      </c>
      <c r="B4280" s="159" t="str">
        <f t="shared" si="334"/>
        <v>$C$1:$C$92</v>
      </c>
      <c r="C4280" s="159" t="str">
        <f t="shared" si="335"/>
        <v>October!$B$1:$B$92</v>
      </c>
      <c r="D4280" s="159" t="str">
        <f t="shared" si="336"/>
        <v>October!$C$1:$C$92</v>
      </c>
      <c r="E4280" t="s">
        <v>8</v>
      </c>
      <c r="F4280" t="s">
        <v>129</v>
      </c>
      <c r="G4280" t="s">
        <v>13</v>
      </c>
      <c r="H4280" t="s">
        <v>159</v>
      </c>
      <c r="I4280" t="e">
        <f ca="1">COUNTIFS(INDIRECT($C4280),$E4280,INDIRECT($D4280),$H4280)</f>
        <v>#REF!</v>
      </c>
      <c r="J4280" t="str">
        <f>VLOOKUP($G4280,DefinitionArrays!$I$6:$J$12,2,FALSE)</f>
        <v>Workweek</v>
      </c>
    </row>
    <row r="4281" spans="1:10">
      <c r="A4281" s="159" t="str">
        <f t="shared" si="333"/>
        <v>$B$1:$B$92</v>
      </c>
      <c r="B4281" s="159" t="str">
        <f t="shared" si="334"/>
        <v>$C$1:$C$92</v>
      </c>
      <c r="C4281" s="159" t="str">
        <f t="shared" si="335"/>
        <v>October!$B$1:$B$92</v>
      </c>
      <c r="D4281" s="159" t="str">
        <f t="shared" si="336"/>
        <v>October!$C$1:$C$92</v>
      </c>
      <c r="E4281" t="s">
        <v>8</v>
      </c>
      <c r="F4281" t="s">
        <v>129</v>
      </c>
      <c r="G4281" t="s">
        <v>13</v>
      </c>
      <c r="H4281" t="s">
        <v>18</v>
      </c>
      <c r="I4281" t="e">
        <f t="shared" ref="I4281:I4341" ca="1" si="337">COUNTIFS(INDIRECT($C4281),$E4281,INDIRECT($D4281),$H4281)</f>
        <v>#REF!</v>
      </c>
      <c r="J4281" t="str">
        <f>VLOOKUP($G4281,DefinitionArrays!$I$6:$J$12,2,FALSE)</f>
        <v>Workweek</v>
      </c>
    </row>
    <row r="4282" spans="1:10">
      <c r="A4282" s="159" t="str">
        <f t="shared" si="333"/>
        <v>$B$1:$B$92</v>
      </c>
      <c r="B4282" s="159" t="str">
        <f t="shared" si="334"/>
        <v>$C$1:$C$92</v>
      </c>
      <c r="C4282" s="159" t="str">
        <f t="shared" si="335"/>
        <v>October!$B$1:$B$92</v>
      </c>
      <c r="D4282" s="159" t="str">
        <f t="shared" si="336"/>
        <v>October!$C$1:$C$92</v>
      </c>
      <c r="E4282" t="s">
        <v>8</v>
      </c>
      <c r="F4282" t="s">
        <v>129</v>
      </c>
      <c r="G4282" t="s">
        <v>13</v>
      </c>
      <c r="H4282" t="s">
        <v>153</v>
      </c>
      <c r="I4282" t="e">
        <f t="shared" ca="1" si="337"/>
        <v>#REF!</v>
      </c>
      <c r="J4282" t="str">
        <f>VLOOKUP($G4282,DefinitionArrays!$I$6:$J$12,2,FALSE)</f>
        <v>Workweek</v>
      </c>
    </row>
    <row r="4283" spans="1:10">
      <c r="A4283" s="159" t="str">
        <f t="shared" si="333"/>
        <v>$B$1:$B$92</v>
      </c>
      <c r="B4283" s="159" t="str">
        <f t="shared" si="334"/>
        <v>$C$1:$C$92</v>
      </c>
      <c r="C4283" s="159" t="str">
        <f t="shared" si="335"/>
        <v>October!$B$1:$B$92</v>
      </c>
      <c r="D4283" s="159" t="str">
        <f t="shared" si="336"/>
        <v>October!$C$1:$C$92</v>
      </c>
      <c r="E4283" t="s">
        <v>8</v>
      </c>
      <c r="F4283" t="s">
        <v>129</v>
      </c>
      <c r="G4283" t="s">
        <v>13</v>
      </c>
      <c r="H4283" t="s">
        <v>19</v>
      </c>
      <c r="I4283" t="e">
        <f t="shared" ca="1" si="337"/>
        <v>#REF!</v>
      </c>
      <c r="J4283" t="str">
        <f>VLOOKUP($G4283,DefinitionArrays!$I$6:$J$12,2,FALSE)</f>
        <v>Workweek</v>
      </c>
    </row>
    <row r="4284" spans="1:10">
      <c r="A4284" s="159" t="str">
        <f t="shared" si="333"/>
        <v>$B$1:$B$92</v>
      </c>
      <c r="B4284" s="159" t="str">
        <f t="shared" si="334"/>
        <v>$C$1:$C$92</v>
      </c>
      <c r="C4284" s="159" t="str">
        <f t="shared" si="335"/>
        <v>October!$B$1:$B$92</v>
      </c>
      <c r="D4284" s="159" t="str">
        <f t="shared" si="336"/>
        <v>October!$C$1:$C$92</v>
      </c>
      <c r="E4284" t="s">
        <v>8</v>
      </c>
      <c r="F4284" t="s">
        <v>129</v>
      </c>
      <c r="G4284" t="s">
        <v>13</v>
      </c>
      <c r="H4284" t="s">
        <v>20</v>
      </c>
      <c r="I4284" t="e">
        <f t="shared" ca="1" si="337"/>
        <v>#REF!</v>
      </c>
      <c r="J4284" t="str">
        <f>VLOOKUP($G4284,DefinitionArrays!$I$6:$J$12,2,FALSE)</f>
        <v>Workweek</v>
      </c>
    </row>
    <row r="4285" spans="1:10">
      <c r="A4285" s="159" t="str">
        <f t="shared" si="333"/>
        <v>$B$1:$B$92</v>
      </c>
      <c r="B4285" s="159" t="str">
        <f t="shared" si="334"/>
        <v>$C$1:$C$92</v>
      </c>
      <c r="C4285" s="159" t="str">
        <f t="shared" si="335"/>
        <v>October!$B$1:$B$92</v>
      </c>
      <c r="D4285" s="159" t="str">
        <f t="shared" si="336"/>
        <v>October!$C$1:$C$92</v>
      </c>
      <c r="E4285" t="s">
        <v>8</v>
      </c>
      <c r="F4285" t="s">
        <v>129</v>
      </c>
      <c r="G4285" t="s">
        <v>13</v>
      </c>
      <c r="H4285" t="s">
        <v>21</v>
      </c>
      <c r="I4285" t="e">
        <f t="shared" ca="1" si="337"/>
        <v>#REF!</v>
      </c>
      <c r="J4285" t="str">
        <f>VLOOKUP($G4285,DefinitionArrays!$I$6:$J$12,2,FALSE)</f>
        <v>Workweek</v>
      </c>
    </row>
    <row r="4286" spans="1:10">
      <c r="A4286" s="159" t="str">
        <f t="shared" si="333"/>
        <v>$B$1:$B$92</v>
      </c>
      <c r="B4286" s="159" t="str">
        <f t="shared" si="334"/>
        <v>$C$1:$C$92</v>
      </c>
      <c r="C4286" s="159" t="str">
        <f t="shared" si="335"/>
        <v>October!$B$1:$B$92</v>
      </c>
      <c r="D4286" s="159" t="str">
        <f t="shared" si="336"/>
        <v>October!$C$1:$C$92</v>
      </c>
      <c r="E4286" t="s">
        <v>8</v>
      </c>
      <c r="F4286" t="s">
        <v>129</v>
      </c>
      <c r="G4286" t="s">
        <v>13</v>
      </c>
      <c r="H4286" t="s">
        <v>22</v>
      </c>
      <c r="I4286" t="e">
        <f t="shared" ca="1" si="337"/>
        <v>#REF!</v>
      </c>
      <c r="J4286" t="str">
        <f>VLOOKUP($G4286,DefinitionArrays!$I$6:$J$12,2,FALSE)</f>
        <v>Workweek</v>
      </c>
    </row>
    <row r="4287" spans="1:10">
      <c r="A4287" s="159" t="str">
        <f t="shared" si="333"/>
        <v>$B$1:$B$92</v>
      </c>
      <c r="B4287" s="159" t="str">
        <f t="shared" si="334"/>
        <v>$C$1:$C$92</v>
      </c>
      <c r="C4287" s="159" t="str">
        <f t="shared" si="335"/>
        <v>October!$B$1:$B$92</v>
      </c>
      <c r="D4287" s="159" t="str">
        <f t="shared" si="336"/>
        <v>October!$C$1:$C$92</v>
      </c>
      <c r="E4287" t="s">
        <v>8</v>
      </c>
      <c r="F4287" t="s">
        <v>129</v>
      </c>
      <c r="G4287" t="s">
        <v>13</v>
      </c>
      <c r="H4287" t="s">
        <v>23</v>
      </c>
      <c r="I4287" t="e">
        <f t="shared" ca="1" si="337"/>
        <v>#REF!</v>
      </c>
      <c r="J4287" t="str">
        <f>VLOOKUP($G4287,DefinitionArrays!$I$6:$J$12,2,FALSE)</f>
        <v>Workweek</v>
      </c>
    </row>
    <row r="4288" spans="1:10">
      <c r="A4288" s="159" t="str">
        <f t="shared" si="333"/>
        <v>$B$1:$B$92</v>
      </c>
      <c r="B4288" s="159" t="str">
        <f t="shared" si="334"/>
        <v>$C$1:$C$92</v>
      </c>
      <c r="C4288" s="159" t="str">
        <f t="shared" si="335"/>
        <v>October!$B$1:$B$92</v>
      </c>
      <c r="D4288" s="159" t="str">
        <f t="shared" si="336"/>
        <v>October!$C$1:$C$92</v>
      </c>
      <c r="E4288" t="s">
        <v>8</v>
      </c>
      <c r="F4288" t="s">
        <v>129</v>
      </c>
      <c r="G4288" t="s">
        <v>13</v>
      </c>
      <c r="H4288" t="s">
        <v>24</v>
      </c>
      <c r="I4288" t="e">
        <f t="shared" ca="1" si="337"/>
        <v>#REF!</v>
      </c>
      <c r="J4288" t="str">
        <f>VLOOKUP($G4288,DefinitionArrays!$I$6:$J$12,2,FALSE)</f>
        <v>Workweek</v>
      </c>
    </row>
    <row r="4289" spans="1:10">
      <c r="A4289" s="159" t="str">
        <f t="shared" si="333"/>
        <v>$B$1:$B$92</v>
      </c>
      <c r="B4289" s="159" t="str">
        <f t="shared" si="334"/>
        <v>$C$1:$C$92</v>
      </c>
      <c r="C4289" s="159" t="str">
        <f t="shared" si="335"/>
        <v>October!$B$1:$B$92</v>
      </c>
      <c r="D4289" s="159" t="str">
        <f t="shared" si="336"/>
        <v>October!$C$1:$C$92</v>
      </c>
      <c r="E4289" t="s">
        <v>8</v>
      </c>
      <c r="F4289" t="s">
        <v>129</v>
      </c>
      <c r="G4289" t="s">
        <v>13</v>
      </c>
      <c r="H4289" t="s">
        <v>179</v>
      </c>
      <c r="I4289" t="e">
        <f t="shared" ca="1" si="337"/>
        <v>#REF!</v>
      </c>
      <c r="J4289" t="str">
        <f>VLOOKUP($G4289,DefinitionArrays!$I$6:$J$12,2,FALSE)</f>
        <v>Workweek</v>
      </c>
    </row>
    <row r="4290" spans="1:10">
      <c r="A4290" s="159" t="str">
        <f t="shared" ref="A4290:A4353" si="338">VLOOKUP($G4290,Fx_Code,2,FALSE)</f>
        <v>$B$1:$B$92</v>
      </c>
      <c r="B4290" s="159" t="str">
        <f t="shared" ref="B4290:B4353" si="339">VLOOKUP($G4290,Fx_Code,3,FALSE)</f>
        <v>$C$1:$C$92</v>
      </c>
      <c r="C4290" s="159" t="str">
        <f t="shared" ref="C4290:C4353" si="340">CONCATENATE($F4290,$K$1,A4290)</f>
        <v>October!$B$1:$B$92</v>
      </c>
      <c r="D4290" s="159" t="str">
        <f t="shared" ref="D4290:D4353" si="341">CONCATENATE($F4290,$K$1,B4290)</f>
        <v>October!$C$1:$C$92</v>
      </c>
      <c r="E4290" t="s">
        <v>8</v>
      </c>
      <c r="F4290" t="s">
        <v>129</v>
      </c>
      <c r="G4290" t="s">
        <v>13</v>
      </c>
      <c r="H4290" t="s">
        <v>180</v>
      </c>
      <c r="I4290" t="e">
        <f t="shared" ca="1" si="337"/>
        <v>#REF!</v>
      </c>
      <c r="J4290" t="str">
        <f>VLOOKUP($G4290,DefinitionArrays!$I$6:$J$12,2,FALSE)</f>
        <v>Workweek</v>
      </c>
    </row>
    <row r="4291" spans="1:10">
      <c r="A4291" s="159" t="str">
        <f t="shared" si="338"/>
        <v>$B$1:$B$92</v>
      </c>
      <c r="B4291" s="159" t="str">
        <f t="shared" si="339"/>
        <v>$C$1:$C$92</v>
      </c>
      <c r="C4291" s="159" t="str">
        <f t="shared" si="340"/>
        <v>October!$B$1:$B$92</v>
      </c>
      <c r="D4291" s="159" t="str">
        <f t="shared" si="341"/>
        <v>October!$C$1:$C$92</v>
      </c>
      <c r="E4291" t="s">
        <v>8</v>
      </c>
      <c r="F4291" t="s">
        <v>129</v>
      </c>
      <c r="G4291" t="s">
        <v>13</v>
      </c>
      <c r="H4291" t="s">
        <v>44</v>
      </c>
      <c r="I4291" t="e">
        <f t="shared" ca="1" si="337"/>
        <v>#REF!</v>
      </c>
      <c r="J4291" t="str">
        <f>VLOOKUP($G4291,DefinitionArrays!$I$6:$J$12,2,FALSE)</f>
        <v>Workweek</v>
      </c>
    </row>
    <row r="4292" spans="1:10">
      <c r="A4292" s="159" t="str">
        <f t="shared" si="338"/>
        <v>$E$1:$E$92</v>
      </c>
      <c r="B4292" s="159" t="str">
        <f t="shared" si="339"/>
        <v>$F$1:$F$92</v>
      </c>
      <c r="C4292" s="159" t="str">
        <f t="shared" si="340"/>
        <v>October!$E$1:$E$92</v>
      </c>
      <c r="D4292" s="159" t="str">
        <f t="shared" si="341"/>
        <v>October!$F$1:$F$92</v>
      </c>
      <c r="E4292" t="s">
        <v>8</v>
      </c>
      <c r="F4292" t="s">
        <v>129</v>
      </c>
      <c r="G4292" t="s">
        <v>142</v>
      </c>
      <c r="H4292" t="s">
        <v>159</v>
      </c>
      <c r="I4292" t="e">
        <f t="shared" ca="1" si="337"/>
        <v>#REF!</v>
      </c>
      <c r="J4292" t="str">
        <f>VLOOKUP($G4292,DefinitionArrays!$I$6:$J$12,2,FALSE)</f>
        <v>Workweek</v>
      </c>
    </row>
    <row r="4293" spans="1:10">
      <c r="A4293" s="159" t="str">
        <f t="shared" si="338"/>
        <v>$E$1:$E$92</v>
      </c>
      <c r="B4293" s="159" t="str">
        <f t="shared" si="339"/>
        <v>$F$1:$F$92</v>
      </c>
      <c r="C4293" s="159" t="str">
        <f t="shared" si="340"/>
        <v>October!$E$1:$E$92</v>
      </c>
      <c r="D4293" s="159" t="str">
        <f t="shared" si="341"/>
        <v>October!$F$1:$F$92</v>
      </c>
      <c r="E4293" t="s">
        <v>8</v>
      </c>
      <c r="F4293" t="s">
        <v>129</v>
      </c>
      <c r="G4293" t="s">
        <v>142</v>
      </c>
      <c r="H4293" t="s">
        <v>18</v>
      </c>
      <c r="I4293" t="e">
        <f t="shared" ca="1" si="337"/>
        <v>#REF!</v>
      </c>
      <c r="J4293" t="str">
        <f>VLOOKUP($G4293,DefinitionArrays!$I$6:$J$12,2,FALSE)</f>
        <v>Workweek</v>
      </c>
    </row>
    <row r="4294" spans="1:10">
      <c r="A4294" s="159" t="str">
        <f t="shared" si="338"/>
        <v>$E$1:$E$92</v>
      </c>
      <c r="B4294" s="159" t="str">
        <f t="shared" si="339"/>
        <v>$F$1:$F$92</v>
      </c>
      <c r="C4294" s="159" t="str">
        <f t="shared" si="340"/>
        <v>October!$E$1:$E$92</v>
      </c>
      <c r="D4294" s="159" t="str">
        <f t="shared" si="341"/>
        <v>October!$F$1:$F$92</v>
      </c>
      <c r="E4294" t="s">
        <v>8</v>
      </c>
      <c r="F4294" t="s">
        <v>129</v>
      </c>
      <c r="G4294" t="s">
        <v>142</v>
      </c>
      <c r="H4294" t="s">
        <v>153</v>
      </c>
      <c r="I4294" t="e">
        <f t="shared" ca="1" si="337"/>
        <v>#REF!</v>
      </c>
      <c r="J4294" t="str">
        <f>VLOOKUP($G4294,DefinitionArrays!$I$6:$J$12,2,FALSE)</f>
        <v>Workweek</v>
      </c>
    </row>
    <row r="4295" spans="1:10">
      <c r="A4295" s="159" t="str">
        <f t="shared" si="338"/>
        <v>$E$1:$E$92</v>
      </c>
      <c r="B4295" s="159" t="str">
        <f t="shared" si="339"/>
        <v>$F$1:$F$92</v>
      </c>
      <c r="C4295" s="159" t="str">
        <f t="shared" si="340"/>
        <v>October!$E$1:$E$92</v>
      </c>
      <c r="D4295" s="159" t="str">
        <f t="shared" si="341"/>
        <v>October!$F$1:$F$92</v>
      </c>
      <c r="E4295" t="s">
        <v>8</v>
      </c>
      <c r="F4295" t="s">
        <v>129</v>
      </c>
      <c r="G4295" t="s">
        <v>142</v>
      </c>
      <c r="H4295" t="s">
        <v>19</v>
      </c>
      <c r="I4295" t="e">
        <f t="shared" ca="1" si="337"/>
        <v>#REF!</v>
      </c>
      <c r="J4295" t="str">
        <f>VLOOKUP($G4295,DefinitionArrays!$I$6:$J$12,2,FALSE)</f>
        <v>Workweek</v>
      </c>
    </row>
    <row r="4296" spans="1:10">
      <c r="A4296" s="159" t="str">
        <f t="shared" si="338"/>
        <v>$E$1:$E$92</v>
      </c>
      <c r="B4296" s="159" t="str">
        <f t="shared" si="339"/>
        <v>$F$1:$F$92</v>
      </c>
      <c r="C4296" s="159" t="str">
        <f t="shared" si="340"/>
        <v>October!$E$1:$E$92</v>
      </c>
      <c r="D4296" s="159" t="str">
        <f t="shared" si="341"/>
        <v>October!$F$1:$F$92</v>
      </c>
      <c r="E4296" t="s">
        <v>8</v>
      </c>
      <c r="F4296" t="s">
        <v>129</v>
      </c>
      <c r="G4296" t="s">
        <v>142</v>
      </c>
      <c r="H4296" t="s">
        <v>20</v>
      </c>
      <c r="I4296" t="e">
        <f t="shared" ca="1" si="337"/>
        <v>#REF!</v>
      </c>
      <c r="J4296" t="str">
        <f>VLOOKUP($G4296,DefinitionArrays!$I$6:$J$12,2,FALSE)</f>
        <v>Workweek</v>
      </c>
    </row>
    <row r="4297" spans="1:10">
      <c r="A4297" s="159" t="str">
        <f t="shared" si="338"/>
        <v>$E$1:$E$92</v>
      </c>
      <c r="B4297" s="159" t="str">
        <f t="shared" si="339"/>
        <v>$F$1:$F$92</v>
      </c>
      <c r="C4297" s="159" t="str">
        <f t="shared" si="340"/>
        <v>October!$E$1:$E$92</v>
      </c>
      <c r="D4297" s="159" t="str">
        <f t="shared" si="341"/>
        <v>October!$F$1:$F$92</v>
      </c>
      <c r="E4297" t="s">
        <v>8</v>
      </c>
      <c r="F4297" t="s">
        <v>129</v>
      </c>
      <c r="G4297" t="s">
        <v>142</v>
      </c>
      <c r="H4297" t="s">
        <v>21</v>
      </c>
      <c r="I4297" t="e">
        <f t="shared" ca="1" si="337"/>
        <v>#REF!</v>
      </c>
      <c r="J4297" t="str">
        <f>VLOOKUP($G4297,DefinitionArrays!$I$6:$J$12,2,FALSE)</f>
        <v>Workweek</v>
      </c>
    </row>
    <row r="4298" spans="1:10">
      <c r="A4298" s="159" t="str">
        <f t="shared" si="338"/>
        <v>$E$1:$E$92</v>
      </c>
      <c r="B4298" s="159" t="str">
        <f t="shared" si="339"/>
        <v>$F$1:$F$92</v>
      </c>
      <c r="C4298" s="159" t="str">
        <f t="shared" si="340"/>
        <v>October!$E$1:$E$92</v>
      </c>
      <c r="D4298" s="159" t="str">
        <f t="shared" si="341"/>
        <v>October!$F$1:$F$92</v>
      </c>
      <c r="E4298" t="s">
        <v>8</v>
      </c>
      <c r="F4298" t="s">
        <v>129</v>
      </c>
      <c r="G4298" t="s">
        <v>142</v>
      </c>
      <c r="H4298" t="s">
        <v>22</v>
      </c>
      <c r="I4298" t="e">
        <f t="shared" ca="1" si="337"/>
        <v>#REF!</v>
      </c>
      <c r="J4298" t="str">
        <f>VLOOKUP($G4298,DefinitionArrays!$I$6:$J$12,2,FALSE)</f>
        <v>Workweek</v>
      </c>
    </row>
    <row r="4299" spans="1:10">
      <c r="A4299" s="159" t="str">
        <f t="shared" si="338"/>
        <v>$E$1:$E$92</v>
      </c>
      <c r="B4299" s="159" t="str">
        <f t="shared" si="339"/>
        <v>$F$1:$F$92</v>
      </c>
      <c r="C4299" s="159" t="str">
        <f t="shared" si="340"/>
        <v>October!$E$1:$E$92</v>
      </c>
      <c r="D4299" s="159" t="str">
        <f t="shared" si="341"/>
        <v>October!$F$1:$F$92</v>
      </c>
      <c r="E4299" t="s">
        <v>8</v>
      </c>
      <c r="F4299" t="s">
        <v>129</v>
      </c>
      <c r="G4299" t="s">
        <v>142</v>
      </c>
      <c r="H4299" t="s">
        <v>23</v>
      </c>
      <c r="I4299" t="e">
        <f t="shared" ca="1" si="337"/>
        <v>#REF!</v>
      </c>
      <c r="J4299" t="str">
        <f>VLOOKUP($G4299,DefinitionArrays!$I$6:$J$12,2,FALSE)</f>
        <v>Workweek</v>
      </c>
    </row>
    <row r="4300" spans="1:10">
      <c r="A4300" s="159" t="str">
        <f t="shared" si="338"/>
        <v>$E$1:$E$92</v>
      </c>
      <c r="B4300" s="159" t="str">
        <f t="shared" si="339"/>
        <v>$F$1:$F$92</v>
      </c>
      <c r="C4300" s="159" t="str">
        <f t="shared" si="340"/>
        <v>October!$E$1:$E$92</v>
      </c>
      <c r="D4300" s="159" t="str">
        <f t="shared" si="341"/>
        <v>October!$F$1:$F$92</v>
      </c>
      <c r="E4300" t="s">
        <v>8</v>
      </c>
      <c r="F4300" t="s">
        <v>129</v>
      </c>
      <c r="G4300" t="s">
        <v>142</v>
      </c>
      <c r="H4300" t="s">
        <v>24</v>
      </c>
      <c r="I4300" t="e">
        <f t="shared" ca="1" si="337"/>
        <v>#REF!</v>
      </c>
      <c r="J4300" t="str">
        <f>VLOOKUP($G4300,DefinitionArrays!$I$6:$J$12,2,FALSE)</f>
        <v>Workweek</v>
      </c>
    </row>
    <row r="4301" spans="1:10">
      <c r="A4301" s="159" t="str">
        <f t="shared" si="338"/>
        <v>$E$1:$E$92</v>
      </c>
      <c r="B4301" s="159" t="str">
        <f t="shared" si="339"/>
        <v>$F$1:$F$92</v>
      </c>
      <c r="C4301" s="159" t="str">
        <f t="shared" si="340"/>
        <v>October!$E$1:$E$92</v>
      </c>
      <c r="D4301" s="159" t="str">
        <f t="shared" si="341"/>
        <v>October!$F$1:$F$92</v>
      </c>
      <c r="E4301" t="s">
        <v>8</v>
      </c>
      <c r="F4301" t="s">
        <v>129</v>
      </c>
      <c r="G4301" t="s">
        <v>142</v>
      </c>
      <c r="H4301" t="s">
        <v>179</v>
      </c>
      <c r="I4301" t="e">
        <f t="shared" ca="1" si="337"/>
        <v>#REF!</v>
      </c>
      <c r="J4301" t="str">
        <f>VLOOKUP($G4301,DefinitionArrays!$I$6:$J$12,2,FALSE)</f>
        <v>Workweek</v>
      </c>
    </row>
    <row r="4302" spans="1:10">
      <c r="A4302" s="159" t="str">
        <f t="shared" si="338"/>
        <v>$E$1:$E$92</v>
      </c>
      <c r="B4302" s="159" t="str">
        <f t="shared" si="339"/>
        <v>$F$1:$F$92</v>
      </c>
      <c r="C4302" s="159" t="str">
        <f t="shared" si="340"/>
        <v>October!$E$1:$E$92</v>
      </c>
      <c r="D4302" s="159" t="str">
        <f t="shared" si="341"/>
        <v>October!$F$1:$F$92</v>
      </c>
      <c r="E4302" t="s">
        <v>8</v>
      </c>
      <c r="F4302" t="s">
        <v>129</v>
      </c>
      <c r="G4302" t="s">
        <v>142</v>
      </c>
      <c r="H4302" t="s">
        <v>180</v>
      </c>
      <c r="I4302" t="e">
        <f t="shared" ca="1" si="337"/>
        <v>#REF!</v>
      </c>
      <c r="J4302" t="str">
        <f>VLOOKUP($G4302,DefinitionArrays!$I$6:$J$12,2,FALSE)</f>
        <v>Workweek</v>
      </c>
    </row>
    <row r="4303" spans="1:10">
      <c r="A4303" s="159" t="str">
        <f t="shared" si="338"/>
        <v>$E$1:$E$92</v>
      </c>
      <c r="B4303" s="159" t="str">
        <f t="shared" si="339"/>
        <v>$F$1:$F$92</v>
      </c>
      <c r="C4303" s="159" t="str">
        <f t="shared" si="340"/>
        <v>October!$E$1:$E$92</v>
      </c>
      <c r="D4303" s="159" t="str">
        <f t="shared" si="341"/>
        <v>October!$F$1:$F$92</v>
      </c>
      <c r="E4303" t="s">
        <v>8</v>
      </c>
      <c r="F4303" t="s">
        <v>129</v>
      </c>
      <c r="G4303" t="s">
        <v>142</v>
      </c>
      <c r="H4303" t="s">
        <v>44</v>
      </c>
      <c r="I4303" t="e">
        <f t="shared" ca="1" si="337"/>
        <v>#REF!</v>
      </c>
      <c r="J4303" t="str">
        <f>VLOOKUP($G4303,DefinitionArrays!$I$6:$J$12,2,FALSE)</f>
        <v>Workweek</v>
      </c>
    </row>
    <row r="4304" spans="1:10">
      <c r="A4304" s="159" t="str">
        <f t="shared" si="338"/>
        <v>$H$1:$H$92</v>
      </c>
      <c r="B4304" s="159" t="str">
        <f t="shared" si="339"/>
        <v>$I$1:$I$92</v>
      </c>
      <c r="C4304" s="159" t="str">
        <f t="shared" si="340"/>
        <v>October!$H$1:$H$92</v>
      </c>
      <c r="D4304" s="159" t="str">
        <f t="shared" si="341"/>
        <v>October!$I$1:$I$92</v>
      </c>
      <c r="E4304" t="s">
        <v>8</v>
      </c>
      <c r="F4304" t="s">
        <v>129</v>
      </c>
      <c r="G4304" t="s">
        <v>143</v>
      </c>
      <c r="H4304" t="s">
        <v>159</v>
      </c>
      <c r="I4304" t="e">
        <f t="shared" ca="1" si="337"/>
        <v>#REF!</v>
      </c>
      <c r="J4304" t="str">
        <f>VLOOKUP($G4304,DefinitionArrays!$I$6:$J$12,2,FALSE)</f>
        <v>Workweek</v>
      </c>
    </row>
    <row r="4305" spans="1:10">
      <c r="A4305" s="159" t="str">
        <f t="shared" si="338"/>
        <v>$H$1:$H$92</v>
      </c>
      <c r="B4305" s="159" t="str">
        <f t="shared" si="339"/>
        <v>$I$1:$I$92</v>
      </c>
      <c r="C4305" s="159" t="str">
        <f t="shared" si="340"/>
        <v>October!$H$1:$H$92</v>
      </c>
      <c r="D4305" s="159" t="str">
        <f t="shared" si="341"/>
        <v>October!$I$1:$I$92</v>
      </c>
      <c r="E4305" t="s">
        <v>8</v>
      </c>
      <c r="F4305" t="s">
        <v>129</v>
      </c>
      <c r="G4305" t="s">
        <v>143</v>
      </c>
      <c r="H4305" t="s">
        <v>18</v>
      </c>
      <c r="I4305" t="e">
        <f t="shared" ca="1" si="337"/>
        <v>#REF!</v>
      </c>
      <c r="J4305" t="str">
        <f>VLOOKUP($G4305,DefinitionArrays!$I$6:$J$12,2,FALSE)</f>
        <v>Workweek</v>
      </c>
    </row>
    <row r="4306" spans="1:10">
      <c r="A4306" s="159" t="str">
        <f t="shared" si="338"/>
        <v>$H$1:$H$92</v>
      </c>
      <c r="B4306" s="159" t="str">
        <f t="shared" si="339"/>
        <v>$I$1:$I$92</v>
      </c>
      <c r="C4306" s="159" t="str">
        <f t="shared" si="340"/>
        <v>October!$H$1:$H$92</v>
      </c>
      <c r="D4306" s="159" t="str">
        <f t="shared" si="341"/>
        <v>October!$I$1:$I$92</v>
      </c>
      <c r="E4306" t="s">
        <v>8</v>
      </c>
      <c r="F4306" t="s">
        <v>129</v>
      </c>
      <c r="G4306" t="s">
        <v>143</v>
      </c>
      <c r="H4306" t="s">
        <v>153</v>
      </c>
      <c r="I4306" t="e">
        <f t="shared" ca="1" si="337"/>
        <v>#REF!</v>
      </c>
      <c r="J4306" t="str">
        <f>VLOOKUP($G4306,DefinitionArrays!$I$6:$J$12,2,FALSE)</f>
        <v>Workweek</v>
      </c>
    </row>
    <row r="4307" spans="1:10">
      <c r="A4307" s="159" t="str">
        <f t="shared" si="338"/>
        <v>$H$1:$H$92</v>
      </c>
      <c r="B4307" s="159" t="str">
        <f t="shared" si="339"/>
        <v>$I$1:$I$92</v>
      </c>
      <c r="C4307" s="159" t="str">
        <f t="shared" si="340"/>
        <v>October!$H$1:$H$92</v>
      </c>
      <c r="D4307" s="159" t="str">
        <f t="shared" si="341"/>
        <v>October!$I$1:$I$92</v>
      </c>
      <c r="E4307" t="s">
        <v>8</v>
      </c>
      <c r="F4307" t="s">
        <v>129</v>
      </c>
      <c r="G4307" t="s">
        <v>143</v>
      </c>
      <c r="H4307" t="s">
        <v>19</v>
      </c>
      <c r="I4307" t="e">
        <f t="shared" ca="1" si="337"/>
        <v>#REF!</v>
      </c>
      <c r="J4307" t="str">
        <f>VLOOKUP($G4307,DefinitionArrays!$I$6:$J$12,2,FALSE)</f>
        <v>Workweek</v>
      </c>
    </row>
    <row r="4308" spans="1:10">
      <c r="A4308" s="159" t="str">
        <f t="shared" si="338"/>
        <v>$H$1:$H$92</v>
      </c>
      <c r="B4308" s="159" t="str">
        <f t="shared" si="339"/>
        <v>$I$1:$I$92</v>
      </c>
      <c r="C4308" s="159" t="str">
        <f t="shared" si="340"/>
        <v>October!$H$1:$H$92</v>
      </c>
      <c r="D4308" s="159" t="str">
        <f t="shared" si="341"/>
        <v>October!$I$1:$I$92</v>
      </c>
      <c r="E4308" t="s">
        <v>8</v>
      </c>
      <c r="F4308" t="s">
        <v>129</v>
      </c>
      <c r="G4308" t="s">
        <v>143</v>
      </c>
      <c r="H4308" t="s">
        <v>20</v>
      </c>
      <c r="I4308" t="e">
        <f t="shared" ca="1" si="337"/>
        <v>#REF!</v>
      </c>
      <c r="J4308" t="str">
        <f>VLOOKUP($G4308,DefinitionArrays!$I$6:$J$12,2,FALSE)</f>
        <v>Workweek</v>
      </c>
    </row>
    <row r="4309" spans="1:10">
      <c r="A4309" s="159" t="str">
        <f t="shared" si="338"/>
        <v>$H$1:$H$92</v>
      </c>
      <c r="B4309" s="159" t="str">
        <f t="shared" si="339"/>
        <v>$I$1:$I$92</v>
      </c>
      <c r="C4309" s="159" t="str">
        <f t="shared" si="340"/>
        <v>October!$H$1:$H$92</v>
      </c>
      <c r="D4309" s="159" t="str">
        <f t="shared" si="341"/>
        <v>October!$I$1:$I$92</v>
      </c>
      <c r="E4309" t="s">
        <v>8</v>
      </c>
      <c r="F4309" t="s">
        <v>129</v>
      </c>
      <c r="G4309" t="s">
        <v>143</v>
      </c>
      <c r="H4309" t="s">
        <v>21</v>
      </c>
      <c r="I4309" t="e">
        <f t="shared" ca="1" si="337"/>
        <v>#REF!</v>
      </c>
      <c r="J4309" t="str">
        <f>VLOOKUP($G4309,DefinitionArrays!$I$6:$J$12,2,FALSE)</f>
        <v>Workweek</v>
      </c>
    </row>
    <row r="4310" spans="1:10">
      <c r="A4310" s="159" t="str">
        <f t="shared" si="338"/>
        <v>$H$1:$H$92</v>
      </c>
      <c r="B4310" s="159" t="str">
        <f t="shared" si="339"/>
        <v>$I$1:$I$92</v>
      </c>
      <c r="C4310" s="159" t="str">
        <f t="shared" si="340"/>
        <v>October!$H$1:$H$92</v>
      </c>
      <c r="D4310" s="159" t="str">
        <f t="shared" si="341"/>
        <v>October!$I$1:$I$92</v>
      </c>
      <c r="E4310" t="s">
        <v>8</v>
      </c>
      <c r="F4310" t="s">
        <v>129</v>
      </c>
      <c r="G4310" t="s">
        <v>143</v>
      </c>
      <c r="H4310" t="s">
        <v>22</v>
      </c>
      <c r="I4310" t="e">
        <f t="shared" ca="1" si="337"/>
        <v>#REF!</v>
      </c>
      <c r="J4310" t="str">
        <f>VLOOKUP($G4310,DefinitionArrays!$I$6:$J$12,2,FALSE)</f>
        <v>Workweek</v>
      </c>
    </row>
    <row r="4311" spans="1:10">
      <c r="A4311" s="159" t="str">
        <f t="shared" si="338"/>
        <v>$H$1:$H$92</v>
      </c>
      <c r="B4311" s="159" t="str">
        <f t="shared" si="339"/>
        <v>$I$1:$I$92</v>
      </c>
      <c r="C4311" s="159" t="str">
        <f t="shared" si="340"/>
        <v>October!$H$1:$H$92</v>
      </c>
      <c r="D4311" s="159" t="str">
        <f t="shared" si="341"/>
        <v>October!$I$1:$I$92</v>
      </c>
      <c r="E4311" t="s">
        <v>8</v>
      </c>
      <c r="F4311" t="s">
        <v>129</v>
      </c>
      <c r="G4311" t="s">
        <v>143</v>
      </c>
      <c r="H4311" t="s">
        <v>23</v>
      </c>
      <c r="I4311" t="e">
        <f t="shared" ca="1" si="337"/>
        <v>#REF!</v>
      </c>
      <c r="J4311" t="str">
        <f>VLOOKUP($G4311,DefinitionArrays!$I$6:$J$12,2,FALSE)</f>
        <v>Workweek</v>
      </c>
    </row>
    <row r="4312" spans="1:10">
      <c r="A4312" s="159" t="str">
        <f t="shared" si="338"/>
        <v>$H$1:$H$92</v>
      </c>
      <c r="B4312" s="159" t="str">
        <f t="shared" si="339"/>
        <v>$I$1:$I$92</v>
      </c>
      <c r="C4312" s="159" t="str">
        <f t="shared" si="340"/>
        <v>October!$H$1:$H$92</v>
      </c>
      <c r="D4312" s="159" t="str">
        <f t="shared" si="341"/>
        <v>October!$I$1:$I$92</v>
      </c>
      <c r="E4312" t="s">
        <v>8</v>
      </c>
      <c r="F4312" t="s">
        <v>129</v>
      </c>
      <c r="G4312" t="s">
        <v>143</v>
      </c>
      <c r="H4312" t="s">
        <v>24</v>
      </c>
      <c r="I4312" t="e">
        <f t="shared" ca="1" si="337"/>
        <v>#REF!</v>
      </c>
      <c r="J4312" t="str">
        <f>VLOOKUP($G4312,DefinitionArrays!$I$6:$J$12,2,FALSE)</f>
        <v>Workweek</v>
      </c>
    </row>
    <row r="4313" spans="1:10">
      <c r="A4313" s="159" t="str">
        <f t="shared" si="338"/>
        <v>$H$1:$H$92</v>
      </c>
      <c r="B4313" s="159" t="str">
        <f t="shared" si="339"/>
        <v>$I$1:$I$92</v>
      </c>
      <c r="C4313" s="159" t="str">
        <f t="shared" si="340"/>
        <v>October!$H$1:$H$92</v>
      </c>
      <c r="D4313" s="159" t="str">
        <f t="shared" si="341"/>
        <v>October!$I$1:$I$92</v>
      </c>
      <c r="E4313" t="s">
        <v>8</v>
      </c>
      <c r="F4313" t="s">
        <v>129</v>
      </c>
      <c r="G4313" t="s">
        <v>143</v>
      </c>
      <c r="H4313" t="s">
        <v>179</v>
      </c>
      <c r="I4313" t="e">
        <f t="shared" ca="1" si="337"/>
        <v>#REF!</v>
      </c>
      <c r="J4313" t="str">
        <f>VLOOKUP($G4313,DefinitionArrays!$I$6:$J$12,2,FALSE)</f>
        <v>Workweek</v>
      </c>
    </row>
    <row r="4314" spans="1:10">
      <c r="A4314" s="159" t="str">
        <f t="shared" si="338"/>
        <v>$H$1:$H$92</v>
      </c>
      <c r="B4314" s="159" t="str">
        <f t="shared" si="339"/>
        <v>$I$1:$I$92</v>
      </c>
      <c r="C4314" s="159" t="str">
        <f t="shared" si="340"/>
        <v>October!$H$1:$H$92</v>
      </c>
      <c r="D4314" s="159" t="str">
        <f t="shared" si="341"/>
        <v>October!$I$1:$I$92</v>
      </c>
      <c r="E4314" t="s">
        <v>8</v>
      </c>
      <c r="F4314" t="s">
        <v>129</v>
      </c>
      <c r="G4314" t="s">
        <v>143</v>
      </c>
      <c r="H4314" t="s">
        <v>180</v>
      </c>
      <c r="I4314" t="e">
        <f t="shared" ca="1" si="337"/>
        <v>#REF!</v>
      </c>
      <c r="J4314" t="str">
        <f>VLOOKUP($G4314,DefinitionArrays!$I$6:$J$12,2,FALSE)</f>
        <v>Workweek</v>
      </c>
    </row>
    <row r="4315" spans="1:10">
      <c r="A4315" s="159" t="str">
        <f t="shared" si="338"/>
        <v>$H$1:$H$92</v>
      </c>
      <c r="B4315" s="159" t="str">
        <f t="shared" si="339"/>
        <v>$I$1:$I$92</v>
      </c>
      <c r="C4315" s="159" t="str">
        <f t="shared" si="340"/>
        <v>October!$H$1:$H$92</v>
      </c>
      <c r="D4315" s="159" t="str">
        <f t="shared" si="341"/>
        <v>October!$I$1:$I$92</v>
      </c>
      <c r="E4315" t="s">
        <v>8</v>
      </c>
      <c r="F4315" t="s">
        <v>129</v>
      </c>
      <c r="G4315" t="s">
        <v>143</v>
      </c>
      <c r="H4315" t="s">
        <v>44</v>
      </c>
      <c r="I4315" t="e">
        <f t="shared" ca="1" si="337"/>
        <v>#REF!</v>
      </c>
      <c r="J4315" t="str">
        <f>VLOOKUP($G4315,DefinitionArrays!$I$6:$J$12,2,FALSE)</f>
        <v>Workweek</v>
      </c>
    </row>
    <row r="4316" spans="1:10">
      <c r="A4316" s="159" t="str">
        <f t="shared" si="338"/>
        <v>$K$1:$K$92</v>
      </c>
      <c r="B4316" s="159" t="str">
        <f t="shared" si="339"/>
        <v>$L$1:$L$92</v>
      </c>
      <c r="C4316" s="159" t="str">
        <f t="shared" si="340"/>
        <v>October!$K$1:$K$92</v>
      </c>
      <c r="D4316" s="159" t="str">
        <f t="shared" si="341"/>
        <v>October!$L$1:$L$92</v>
      </c>
      <c r="E4316" t="s">
        <v>8</v>
      </c>
      <c r="F4316" t="s">
        <v>129</v>
      </c>
      <c r="G4316" t="s">
        <v>144</v>
      </c>
      <c r="H4316" t="s">
        <v>159</v>
      </c>
      <c r="I4316" t="e">
        <f t="shared" ca="1" si="337"/>
        <v>#REF!</v>
      </c>
      <c r="J4316" t="str">
        <f>VLOOKUP($G4316,DefinitionArrays!$I$6:$J$12,2,FALSE)</f>
        <v>Workweek</v>
      </c>
    </row>
    <row r="4317" spans="1:10">
      <c r="A4317" s="159" t="str">
        <f t="shared" si="338"/>
        <v>$K$1:$K$92</v>
      </c>
      <c r="B4317" s="159" t="str">
        <f t="shared" si="339"/>
        <v>$L$1:$L$92</v>
      </c>
      <c r="C4317" s="159" t="str">
        <f t="shared" si="340"/>
        <v>October!$K$1:$K$92</v>
      </c>
      <c r="D4317" s="159" t="str">
        <f t="shared" si="341"/>
        <v>October!$L$1:$L$92</v>
      </c>
      <c r="E4317" t="s">
        <v>8</v>
      </c>
      <c r="F4317" t="s">
        <v>129</v>
      </c>
      <c r="G4317" t="s">
        <v>144</v>
      </c>
      <c r="H4317" t="s">
        <v>18</v>
      </c>
      <c r="I4317" t="e">
        <f t="shared" ca="1" si="337"/>
        <v>#REF!</v>
      </c>
      <c r="J4317" t="str">
        <f>VLOOKUP($G4317,DefinitionArrays!$I$6:$J$12,2,FALSE)</f>
        <v>Workweek</v>
      </c>
    </row>
    <row r="4318" spans="1:10">
      <c r="A4318" s="159" t="str">
        <f t="shared" si="338"/>
        <v>$K$1:$K$92</v>
      </c>
      <c r="B4318" s="159" t="str">
        <f t="shared" si="339"/>
        <v>$L$1:$L$92</v>
      </c>
      <c r="C4318" s="159" t="str">
        <f t="shared" si="340"/>
        <v>October!$K$1:$K$92</v>
      </c>
      <c r="D4318" s="159" t="str">
        <f t="shared" si="341"/>
        <v>October!$L$1:$L$92</v>
      </c>
      <c r="E4318" t="s">
        <v>8</v>
      </c>
      <c r="F4318" t="s">
        <v>129</v>
      </c>
      <c r="G4318" t="s">
        <v>144</v>
      </c>
      <c r="H4318" t="s">
        <v>153</v>
      </c>
      <c r="I4318" t="e">
        <f t="shared" ca="1" si="337"/>
        <v>#REF!</v>
      </c>
      <c r="J4318" t="str">
        <f>VLOOKUP($G4318,DefinitionArrays!$I$6:$J$12,2,FALSE)</f>
        <v>Workweek</v>
      </c>
    </row>
    <row r="4319" spans="1:10">
      <c r="A4319" s="159" t="str">
        <f t="shared" si="338"/>
        <v>$K$1:$K$92</v>
      </c>
      <c r="B4319" s="159" t="str">
        <f t="shared" si="339"/>
        <v>$L$1:$L$92</v>
      </c>
      <c r="C4319" s="159" t="str">
        <f t="shared" si="340"/>
        <v>October!$K$1:$K$92</v>
      </c>
      <c r="D4319" s="159" t="str">
        <f t="shared" si="341"/>
        <v>October!$L$1:$L$92</v>
      </c>
      <c r="E4319" t="s">
        <v>8</v>
      </c>
      <c r="F4319" t="s">
        <v>129</v>
      </c>
      <c r="G4319" t="s">
        <v>144</v>
      </c>
      <c r="H4319" t="s">
        <v>19</v>
      </c>
      <c r="I4319" t="e">
        <f t="shared" ca="1" si="337"/>
        <v>#REF!</v>
      </c>
      <c r="J4319" t="str">
        <f>VLOOKUP($G4319,DefinitionArrays!$I$6:$J$12,2,FALSE)</f>
        <v>Workweek</v>
      </c>
    </row>
    <row r="4320" spans="1:10">
      <c r="A4320" s="159" t="str">
        <f t="shared" si="338"/>
        <v>$K$1:$K$92</v>
      </c>
      <c r="B4320" s="159" t="str">
        <f t="shared" si="339"/>
        <v>$L$1:$L$92</v>
      </c>
      <c r="C4320" s="159" t="str">
        <f t="shared" si="340"/>
        <v>October!$K$1:$K$92</v>
      </c>
      <c r="D4320" s="159" t="str">
        <f t="shared" si="341"/>
        <v>October!$L$1:$L$92</v>
      </c>
      <c r="E4320" t="s">
        <v>8</v>
      </c>
      <c r="F4320" t="s">
        <v>129</v>
      </c>
      <c r="G4320" t="s">
        <v>144</v>
      </c>
      <c r="H4320" t="s">
        <v>20</v>
      </c>
      <c r="I4320" t="e">
        <f t="shared" ca="1" si="337"/>
        <v>#REF!</v>
      </c>
      <c r="J4320" t="str">
        <f>VLOOKUP($G4320,DefinitionArrays!$I$6:$J$12,2,FALSE)</f>
        <v>Workweek</v>
      </c>
    </row>
    <row r="4321" spans="1:10">
      <c r="A4321" s="159" t="str">
        <f t="shared" si="338"/>
        <v>$K$1:$K$92</v>
      </c>
      <c r="B4321" s="159" t="str">
        <f t="shared" si="339"/>
        <v>$L$1:$L$92</v>
      </c>
      <c r="C4321" s="159" t="str">
        <f t="shared" si="340"/>
        <v>October!$K$1:$K$92</v>
      </c>
      <c r="D4321" s="159" t="str">
        <f t="shared" si="341"/>
        <v>October!$L$1:$L$92</v>
      </c>
      <c r="E4321" t="s">
        <v>8</v>
      </c>
      <c r="F4321" t="s">
        <v>129</v>
      </c>
      <c r="G4321" t="s">
        <v>144</v>
      </c>
      <c r="H4321" t="s">
        <v>21</v>
      </c>
      <c r="I4321" t="e">
        <f t="shared" ca="1" si="337"/>
        <v>#REF!</v>
      </c>
      <c r="J4321" t="str">
        <f>VLOOKUP($G4321,DefinitionArrays!$I$6:$J$12,2,FALSE)</f>
        <v>Workweek</v>
      </c>
    </row>
    <row r="4322" spans="1:10">
      <c r="A4322" s="159" t="str">
        <f t="shared" si="338"/>
        <v>$K$1:$K$92</v>
      </c>
      <c r="B4322" s="159" t="str">
        <f t="shared" si="339"/>
        <v>$L$1:$L$92</v>
      </c>
      <c r="C4322" s="159" t="str">
        <f t="shared" si="340"/>
        <v>October!$K$1:$K$92</v>
      </c>
      <c r="D4322" s="159" t="str">
        <f t="shared" si="341"/>
        <v>October!$L$1:$L$92</v>
      </c>
      <c r="E4322" t="s">
        <v>8</v>
      </c>
      <c r="F4322" t="s">
        <v>129</v>
      </c>
      <c r="G4322" t="s">
        <v>144</v>
      </c>
      <c r="H4322" t="s">
        <v>22</v>
      </c>
      <c r="I4322" t="e">
        <f t="shared" ca="1" si="337"/>
        <v>#REF!</v>
      </c>
      <c r="J4322" t="str">
        <f>VLOOKUP($G4322,DefinitionArrays!$I$6:$J$12,2,FALSE)</f>
        <v>Workweek</v>
      </c>
    </row>
    <row r="4323" spans="1:10">
      <c r="A4323" s="159" t="str">
        <f t="shared" si="338"/>
        <v>$K$1:$K$92</v>
      </c>
      <c r="B4323" s="159" t="str">
        <f t="shared" si="339"/>
        <v>$L$1:$L$92</v>
      </c>
      <c r="C4323" s="159" t="str">
        <f t="shared" si="340"/>
        <v>October!$K$1:$K$92</v>
      </c>
      <c r="D4323" s="159" t="str">
        <f t="shared" si="341"/>
        <v>October!$L$1:$L$92</v>
      </c>
      <c r="E4323" t="s">
        <v>8</v>
      </c>
      <c r="F4323" t="s">
        <v>129</v>
      </c>
      <c r="G4323" t="s">
        <v>144</v>
      </c>
      <c r="H4323" t="s">
        <v>23</v>
      </c>
      <c r="I4323" t="e">
        <f t="shared" ca="1" si="337"/>
        <v>#REF!</v>
      </c>
      <c r="J4323" t="str">
        <f>VLOOKUP($G4323,DefinitionArrays!$I$6:$J$12,2,FALSE)</f>
        <v>Workweek</v>
      </c>
    </row>
    <row r="4324" spans="1:10">
      <c r="A4324" s="159" t="str">
        <f t="shared" si="338"/>
        <v>$K$1:$K$92</v>
      </c>
      <c r="B4324" s="159" t="str">
        <f t="shared" si="339"/>
        <v>$L$1:$L$92</v>
      </c>
      <c r="C4324" s="159" t="str">
        <f t="shared" si="340"/>
        <v>October!$K$1:$K$92</v>
      </c>
      <c r="D4324" s="159" t="str">
        <f t="shared" si="341"/>
        <v>October!$L$1:$L$92</v>
      </c>
      <c r="E4324" t="s">
        <v>8</v>
      </c>
      <c r="F4324" t="s">
        <v>129</v>
      </c>
      <c r="G4324" t="s">
        <v>144</v>
      </c>
      <c r="H4324" t="s">
        <v>24</v>
      </c>
      <c r="I4324" t="e">
        <f t="shared" ca="1" si="337"/>
        <v>#REF!</v>
      </c>
      <c r="J4324" t="str">
        <f>VLOOKUP($G4324,DefinitionArrays!$I$6:$J$12,2,FALSE)</f>
        <v>Workweek</v>
      </c>
    </row>
    <row r="4325" spans="1:10">
      <c r="A4325" s="159" t="str">
        <f t="shared" si="338"/>
        <v>$K$1:$K$92</v>
      </c>
      <c r="B4325" s="159" t="str">
        <f t="shared" si="339"/>
        <v>$L$1:$L$92</v>
      </c>
      <c r="C4325" s="159" t="str">
        <f t="shared" si="340"/>
        <v>October!$K$1:$K$92</v>
      </c>
      <c r="D4325" s="159" t="str">
        <f t="shared" si="341"/>
        <v>October!$L$1:$L$92</v>
      </c>
      <c r="E4325" t="s">
        <v>8</v>
      </c>
      <c r="F4325" t="s">
        <v>129</v>
      </c>
      <c r="G4325" t="s">
        <v>144</v>
      </c>
      <c r="H4325" t="s">
        <v>179</v>
      </c>
      <c r="I4325" t="e">
        <f t="shared" ca="1" si="337"/>
        <v>#REF!</v>
      </c>
      <c r="J4325" t="str">
        <f>VLOOKUP($G4325,DefinitionArrays!$I$6:$J$12,2,FALSE)</f>
        <v>Workweek</v>
      </c>
    </row>
    <row r="4326" spans="1:10">
      <c r="A4326" s="159" t="str">
        <f t="shared" si="338"/>
        <v>$K$1:$K$92</v>
      </c>
      <c r="B4326" s="159" t="str">
        <f t="shared" si="339"/>
        <v>$L$1:$L$92</v>
      </c>
      <c r="C4326" s="159" t="str">
        <f t="shared" si="340"/>
        <v>October!$K$1:$K$92</v>
      </c>
      <c r="D4326" s="159" t="str">
        <f t="shared" si="341"/>
        <v>October!$L$1:$L$92</v>
      </c>
      <c r="E4326" t="s">
        <v>8</v>
      </c>
      <c r="F4326" t="s">
        <v>129</v>
      </c>
      <c r="G4326" t="s">
        <v>144</v>
      </c>
      <c r="H4326" t="s">
        <v>180</v>
      </c>
      <c r="I4326" t="e">
        <f t="shared" ca="1" si="337"/>
        <v>#REF!</v>
      </c>
      <c r="J4326" t="str">
        <f>VLOOKUP($G4326,DefinitionArrays!$I$6:$J$12,2,FALSE)</f>
        <v>Workweek</v>
      </c>
    </row>
    <row r="4327" spans="1:10">
      <c r="A4327" s="159" t="str">
        <f t="shared" si="338"/>
        <v>$K$1:$K$92</v>
      </c>
      <c r="B4327" s="159" t="str">
        <f t="shared" si="339"/>
        <v>$L$1:$L$92</v>
      </c>
      <c r="C4327" s="159" t="str">
        <f t="shared" si="340"/>
        <v>October!$K$1:$K$92</v>
      </c>
      <c r="D4327" s="159" t="str">
        <f t="shared" si="341"/>
        <v>October!$L$1:$L$92</v>
      </c>
      <c r="E4327" t="s">
        <v>8</v>
      </c>
      <c r="F4327" t="s">
        <v>129</v>
      </c>
      <c r="G4327" t="s">
        <v>144</v>
      </c>
      <c r="H4327" t="s">
        <v>44</v>
      </c>
      <c r="I4327" t="e">
        <f t="shared" ca="1" si="337"/>
        <v>#REF!</v>
      </c>
      <c r="J4327" t="str">
        <f>VLOOKUP($G4327,DefinitionArrays!$I$6:$J$12,2,FALSE)</f>
        <v>Workweek</v>
      </c>
    </row>
    <row r="4328" spans="1:10">
      <c r="A4328" s="159" t="str">
        <f t="shared" si="338"/>
        <v>$N$1:$N$92</v>
      </c>
      <c r="B4328" s="159" t="str">
        <f t="shared" si="339"/>
        <v>$O$1:$O$92</v>
      </c>
      <c r="C4328" s="159" t="str">
        <f t="shared" si="340"/>
        <v>October!$N$1:$N$92</v>
      </c>
      <c r="D4328" s="159" t="str">
        <f t="shared" si="341"/>
        <v>October!$O$1:$O$92</v>
      </c>
      <c r="E4328" t="s">
        <v>8</v>
      </c>
      <c r="F4328" t="s">
        <v>129</v>
      </c>
      <c r="G4328" t="s">
        <v>145</v>
      </c>
      <c r="H4328" t="s">
        <v>159</v>
      </c>
      <c r="I4328" t="e">
        <f t="shared" ca="1" si="337"/>
        <v>#REF!</v>
      </c>
      <c r="J4328" t="str">
        <f>VLOOKUP($G4328,DefinitionArrays!$I$6:$J$12,2,FALSE)</f>
        <v>Weekend</v>
      </c>
    </row>
    <row r="4329" spans="1:10">
      <c r="A4329" s="159" t="str">
        <f t="shared" si="338"/>
        <v>$N$1:$N$92</v>
      </c>
      <c r="B4329" s="159" t="str">
        <f t="shared" si="339"/>
        <v>$O$1:$O$92</v>
      </c>
      <c r="C4329" s="159" t="str">
        <f t="shared" si="340"/>
        <v>October!$N$1:$N$92</v>
      </c>
      <c r="D4329" s="159" t="str">
        <f t="shared" si="341"/>
        <v>October!$O$1:$O$92</v>
      </c>
      <c r="E4329" t="s">
        <v>8</v>
      </c>
      <c r="F4329" t="s">
        <v>129</v>
      </c>
      <c r="G4329" t="s">
        <v>145</v>
      </c>
      <c r="H4329" t="s">
        <v>18</v>
      </c>
      <c r="I4329" t="e">
        <f t="shared" ca="1" si="337"/>
        <v>#REF!</v>
      </c>
      <c r="J4329" t="str">
        <f>VLOOKUP($G4329,DefinitionArrays!$I$6:$J$12,2,FALSE)</f>
        <v>Weekend</v>
      </c>
    </row>
    <row r="4330" spans="1:10">
      <c r="A4330" s="159" t="str">
        <f t="shared" si="338"/>
        <v>$N$1:$N$92</v>
      </c>
      <c r="B4330" s="159" t="str">
        <f t="shared" si="339"/>
        <v>$O$1:$O$92</v>
      </c>
      <c r="C4330" s="159" t="str">
        <f t="shared" si="340"/>
        <v>October!$N$1:$N$92</v>
      </c>
      <c r="D4330" s="159" t="str">
        <f t="shared" si="341"/>
        <v>October!$O$1:$O$92</v>
      </c>
      <c r="E4330" t="s">
        <v>8</v>
      </c>
      <c r="F4330" t="s">
        <v>129</v>
      </c>
      <c r="G4330" t="s">
        <v>145</v>
      </c>
      <c r="H4330" t="s">
        <v>153</v>
      </c>
      <c r="I4330" t="e">
        <f t="shared" ca="1" si="337"/>
        <v>#REF!</v>
      </c>
      <c r="J4330" t="str">
        <f>VLOOKUP($G4330,DefinitionArrays!$I$6:$J$12,2,FALSE)</f>
        <v>Weekend</v>
      </c>
    </row>
    <row r="4331" spans="1:10">
      <c r="A4331" s="159" t="str">
        <f t="shared" si="338"/>
        <v>$N$1:$N$92</v>
      </c>
      <c r="B4331" s="159" t="str">
        <f t="shared" si="339"/>
        <v>$O$1:$O$92</v>
      </c>
      <c r="C4331" s="159" t="str">
        <f t="shared" si="340"/>
        <v>October!$N$1:$N$92</v>
      </c>
      <c r="D4331" s="159" t="str">
        <f t="shared" si="341"/>
        <v>October!$O$1:$O$92</v>
      </c>
      <c r="E4331" t="s">
        <v>8</v>
      </c>
      <c r="F4331" t="s">
        <v>129</v>
      </c>
      <c r="G4331" t="s">
        <v>145</v>
      </c>
      <c r="H4331" t="s">
        <v>19</v>
      </c>
      <c r="I4331" t="e">
        <f t="shared" ca="1" si="337"/>
        <v>#REF!</v>
      </c>
      <c r="J4331" t="str">
        <f>VLOOKUP($G4331,DefinitionArrays!$I$6:$J$12,2,FALSE)</f>
        <v>Weekend</v>
      </c>
    </row>
    <row r="4332" spans="1:10">
      <c r="A4332" s="159" t="str">
        <f t="shared" si="338"/>
        <v>$N$1:$N$92</v>
      </c>
      <c r="B4332" s="159" t="str">
        <f t="shared" si="339"/>
        <v>$O$1:$O$92</v>
      </c>
      <c r="C4332" s="159" t="str">
        <f t="shared" si="340"/>
        <v>October!$N$1:$N$92</v>
      </c>
      <c r="D4332" s="159" t="str">
        <f t="shared" si="341"/>
        <v>October!$O$1:$O$92</v>
      </c>
      <c r="E4332" t="s">
        <v>8</v>
      </c>
      <c r="F4332" t="s">
        <v>129</v>
      </c>
      <c r="G4332" t="s">
        <v>145</v>
      </c>
      <c r="H4332" t="s">
        <v>20</v>
      </c>
      <c r="I4332" t="e">
        <f t="shared" ca="1" si="337"/>
        <v>#REF!</v>
      </c>
      <c r="J4332" t="str">
        <f>VLOOKUP($G4332,DefinitionArrays!$I$6:$J$12,2,FALSE)</f>
        <v>Weekend</v>
      </c>
    </row>
    <row r="4333" spans="1:10">
      <c r="A4333" s="159" t="str">
        <f t="shared" si="338"/>
        <v>$N$1:$N$92</v>
      </c>
      <c r="B4333" s="159" t="str">
        <f t="shared" si="339"/>
        <v>$O$1:$O$92</v>
      </c>
      <c r="C4333" s="159" t="str">
        <f t="shared" si="340"/>
        <v>October!$N$1:$N$92</v>
      </c>
      <c r="D4333" s="159" t="str">
        <f t="shared" si="341"/>
        <v>October!$O$1:$O$92</v>
      </c>
      <c r="E4333" t="s">
        <v>8</v>
      </c>
      <c r="F4333" t="s">
        <v>129</v>
      </c>
      <c r="G4333" t="s">
        <v>145</v>
      </c>
      <c r="H4333" t="s">
        <v>21</v>
      </c>
      <c r="I4333" t="e">
        <f t="shared" ca="1" si="337"/>
        <v>#REF!</v>
      </c>
      <c r="J4333" t="str">
        <f>VLOOKUP($G4333,DefinitionArrays!$I$6:$J$12,2,FALSE)</f>
        <v>Weekend</v>
      </c>
    </row>
    <row r="4334" spans="1:10">
      <c r="A4334" s="159" t="str">
        <f t="shared" si="338"/>
        <v>$N$1:$N$92</v>
      </c>
      <c r="B4334" s="159" t="str">
        <f t="shared" si="339"/>
        <v>$O$1:$O$92</v>
      </c>
      <c r="C4334" s="159" t="str">
        <f t="shared" si="340"/>
        <v>October!$N$1:$N$92</v>
      </c>
      <c r="D4334" s="159" t="str">
        <f t="shared" si="341"/>
        <v>October!$O$1:$O$92</v>
      </c>
      <c r="E4334" t="s">
        <v>8</v>
      </c>
      <c r="F4334" t="s">
        <v>129</v>
      </c>
      <c r="G4334" t="s">
        <v>145</v>
      </c>
      <c r="H4334" t="s">
        <v>22</v>
      </c>
      <c r="I4334" t="e">
        <f t="shared" ca="1" si="337"/>
        <v>#REF!</v>
      </c>
      <c r="J4334" t="str">
        <f>VLOOKUP($G4334,DefinitionArrays!$I$6:$J$12,2,FALSE)</f>
        <v>Weekend</v>
      </c>
    </row>
    <row r="4335" spans="1:10">
      <c r="A4335" s="159" t="str">
        <f t="shared" si="338"/>
        <v>$N$1:$N$92</v>
      </c>
      <c r="B4335" s="159" t="str">
        <f t="shared" si="339"/>
        <v>$O$1:$O$92</v>
      </c>
      <c r="C4335" s="159" t="str">
        <f t="shared" si="340"/>
        <v>October!$N$1:$N$92</v>
      </c>
      <c r="D4335" s="159" t="str">
        <f t="shared" si="341"/>
        <v>October!$O$1:$O$92</v>
      </c>
      <c r="E4335" t="s">
        <v>8</v>
      </c>
      <c r="F4335" t="s">
        <v>129</v>
      </c>
      <c r="G4335" t="s">
        <v>145</v>
      </c>
      <c r="H4335" t="s">
        <v>23</v>
      </c>
      <c r="I4335" t="e">
        <f t="shared" ca="1" si="337"/>
        <v>#REF!</v>
      </c>
      <c r="J4335" t="str">
        <f>VLOOKUP($G4335,DefinitionArrays!$I$6:$J$12,2,FALSE)</f>
        <v>Weekend</v>
      </c>
    </row>
    <row r="4336" spans="1:10">
      <c r="A4336" s="159" t="str">
        <f t="shared" si="338"/>
        <v>$N$1:$N$92</v>
      </c>
      <c r="B4336" s="159" t="str">
        <f t="shared" si="339"/>
        <v>$O$1:$O$92</v>
      </c>
      <c r="C4336" s="159" t="str">
        <f t="shared" si="340"/>
        <v>October!$N$1:$N$92</v>
      </c>
      <c r="D4336" s="159" t="str">
        <f t="shared" si="341"/>
        <v>October!$O$1:$O$92</v>
      </c>
      <c r="E4336" t="s">
        <v>8</v>
      </c>
      <c r="F4336" t="s">
        <v>129</v>
      </c>
      <c r="G4336" t="s">
        <v>145</v>
      </c>
      <c r="H4336" t="s">
        <v>24</v>
      </c>
      <c r="I4336" t="e">
        <f t="shared" ca="1" si="337"/>
        <v>#REF!</v>
      </c>
      <c r="J4336" t="str">
        <f>VLOOKUP($G4336,DefinitionArrays!$I$6:$J$12,2,FALSE)</f>
        <v>Weekend</v>
      </c>
    </row>
    <row r="4337" spans="1:10">
      <c r="A4337" s="159" t="str">
        <f t="shared" si="338"/>
        <v>$N$1:$N$92</v>
      </c>
      <c r="B4337" s="159" t="str">
        <f t="shared" si="339"/>
        <v>$O$1:$O$92</v>
      </c>
      <c r="C4337" s="159" t="str">
        <f t="shared" si="340"/>
        <v>October!$N$1:$N$92</v>
      </c>
      <c r="D4337" s="159" t="str">
        <f t="shared" si="341"/>
        <v>October!$O$1:$O$92</v>
      </c>
      <c r="E4337" t="s">
        <v>8</v>
      </c>
      <c r="F4337" t="s">
        <v>129</v>
      </c>
      <c r="G4337" t="s">
        <v>145</v>
      </c>
      <c r="H4337" t="s">
        <v>179</v>
      </c>
      <c r="I4337" t="e">
        <f t="shared" ca="1" si="337"/>
        <v>#REF!</v>
      </c>
      <c r="J4337" t="str">
        <f>VLOOKUP($G4337,DefinitionArrays!$I$6:$J$12,2,FALSE)</f>
        <v>Weekend</v>
      </c>
    </row>
    <row r="4338" spans="1:10">
      <c r="A4338" s="159" t="str">
        <f t="shared" si="338"/>
        <v>$N$1:$N$92</v>
      </c>
      <c r="B4338" s="159" t="str">
        <f t="shared" si="339"/>
        <v>$O$1:$O$92</v>
      </c>
      <c r="C4338" s="159" t="str">
        <f t="shared" si="340"/>
        <v>October!$N$1:$N$92</v>
      </c>
      <c r="D4338" s="159" t="str">
        <f t="shared" si="341"/>
        <v>October!$O$1:$O$92</v>
      </c>
      <c r="E4338" t="s">
        <v>8</v>
      </c>
      <c r="F4338" t="s">
        <v>129</v>
      </c>
      <c r="G4338" t="s">
        <v>145</v>
      </c>
      <c r="H4338" t="s">
        <v>180</v>
      </c>
      <c r="I4338" t="e">
        <f t="shared" ca="1" si="337"/>
        <v>#REF!</v>
      </c>
      <c r="J4338" t="str">
        <f>VLOOKUP($G4338,DefinitionArrays!$I$6:$J$12,2,FALSE)</f>
        <v>Weekend</v>
      </c>
    </row>
    <row r="4339" spans="1:10">
      <c r="A4339" s="159" t="str">
        <f t="shared" si="338"/>
        <v>$N$1:$N$92</v>
      </c>
      <c r="B4339" s="159" t="str">
        <f t="shared" si="339"/>
        <v>$O$1:$O$92</v>
      </c>
      <c r="C4339" s="159" t="str">
        <f t="shared" si="340"/>
        <v>October!$N$1:$N$92</v>
      </c>
      <c r="D4339" s="159" t="str">
        <f t="shared" si="341"/>
        <v>October!$O$1:$O$92</v>
      </c>
      <c r="E4339" t="s">
        <v>8</v>
      </c>
      <c r="F4339" t="s">
        <v>129</v>
      </c>
      <c r="G4339" t="s">
        <v>145</v>
      </c>
      <c r="H4339" t="s">
        <v>44</v>
      </c>
      <c r="I4339" t="e">
        <f t="shared" ca="1" si="337"/>
        <v>#REF!</v>
      </c>
      <c r="J4339" t="str">
        <f>VLOOKUP($G4339,DefinitionArrays!$I$6:$J$12,2,FALSE)</f>
        <v>Weekend</v>
      </c>
    </row>
    <row r="4340" spans="1:10">
      <c r="A4340" s="159" t="str">
        <f t="shared" si="338"/>
        <v>$Q$1:$Q$92</v>
      </c>
      <c r="B4340" s="159" t="str">
        <f t="shared" si="339"/>
        <v>$R$1:$R$92</v>
      </c>
      <c r="C4340" s="159" t="str">
        <f t="shared" si="340"/>
        <v>October!$Q$1:$Q$92</v>
      </c>
      <c r="D4340" s="159" t="str">
        <f t="shared" si="341"/>
        <v>October!$R$1:$R$92</v>
      </c>
      <c r="E4340" t="s">
        <v>8</v>
      </c>
      <c r="F4340" t="s">
        <v>129</v>
      </c>
      <c r="G4340" t="s">
        <v>146</v>
      </c>
      <c r="H4340" t="s">
        <v>159</v>
      </c>
      <c r="I4340" t="e">
        <f t="shared" ca="1" si="337"/>
        <v>#REF!</v>
      </c>
      <c r="J4340" t="str">
        <f>VLOOKUP($G4340,DefinitionArrays!$I$6:$J$12,2,FALSE)</f>
        <v>Weekend</v>
      </c>
    </row>
    <row r="4341" spans="1:10">
      <c r="A4341" s="159" t="str">
        <f t="shared" si="338"/>
        <v>$T$1:$T$92</v>
      </c>
      <c r="B4341" s="159" t="str">
        <f t="shared" si="339"/>
        <v>$U$1:$U$92</v>
      </c>
      <c r="C4341" s="159" t="str">
        <f t="shared" si="340"/>
        <v>October!$T$1:$T$92</v>
      </c>
      <c r="D4341" s="159" t="str">
        <f t="shared" si="341"/>
        <v>October!$U$1:$U$92</v>
      </c>
      <c r="E4341" t="s">
        <v>8</v>
      </c>
      <c r="F4341" t="s">
        <v>129</v>
      </c>
      <c r="G4341" t="s">
        <v>141</v>
      </c>
      <c r="H4341" t="s">
        <v>159</v>
      </c>
      <c r="I4341" t="e">
        <f t="shared" ca="1" si="337"/>
        <v>#REF!</v>
      </c>
      <c r="J4341" t="str">
        <f>VLOOKUP($G4341,DefinitionArrays!$I$6:$J$12,2,FALSE)</f>
        <v>Weekend</v>
      </c>
    </row>
    <row r="4342" spans="1:10">
      <c r="A4342" s="159" t="str">
        <f t="shared" si="338"/>
        <v>$B$1:$B$92</v>
      </c>
      <c r="B4342" s="159" t="str">
        <f t="shared" si="339"/>
        <v>$C$1:$C$92</v>
      </c>
      <c r="C4342" s="159" t="str">
        <f t="shared" si="340"/>
        <v>November!$B$1:$B$92</v>
      </c>
      <c r="D4342" s="159" t="str">
        <f t="shared" si="341"/>
        <v>November!$C$1:$C$92</v>
      </c>
      <c r="E4342" t="s">
        <v>8</v>
      </c>
      <c r="F4342" t="s">
        <v>130</v>
      </c>
      <c r="G4342" t="s">
        <v>13</v>
      </c>
      <c r="H4342" t="s">
        <v>159</v>
      </c>
      <c r="I4342" t="e">
        <f ca="1">COUNTIFS(INDIRECT($C4342),$E4342,INDIRECT($D4342),$H4342)</f>
        <v>#REF!</v>
      </c>
      <c r="J4342" t="str">
        <f>VLOOKUP($G4342,DefinitionArrays!$I$6:$J$12,2,FALSE)</f>
        <v>Workweek</v>
      </c>
    </row>
    <row r="4343" spans="1:10">
      <c r="A4343" s="159" t="str">
        <f t="shared" si="338"/>
        <v>$B$1:$B$92</v>
      </c>
      <c r="B4343" s="159" t="str">
        <f t="shared" si="339"/>
        <v>$C$1:$C$92</v>
      </c>
      <c r="C4343" s="159" t="str">
        <f t="shared" si="340"/>
        <v>November!$B$1:$B$92</v>
      </c>
      <c r="D4343" s="159" t="str">
        <f t="shared" si="341"/>
        <v>November!$C$1:$C$92</v>
      </c>
      <c r="E4343" t="s">
        <v>8</v>
      </c>
      <c r="F4343" t="s">
        <v>130</v>
      </c>
      <c r="G4343" t="s">
        <v>13</v>
      </c>
      <c r="H4343" t="s">
        <v>18</v>
      </c>
      <c r="I4343" t="e">
        <f t="shared" ref="I4343:I4403" ca="1" si="342">COUNTIFS(INDIRECT($C4343),$E4343,INDIRECT($D4343),$H4343)</f>
        <v>#REF!</v>
      </c>
      <c r="J4343" t="str">
        <f>VLOOKUP($G4343,DefinitionArrays!$I$6:$J$12,2,FALSE)</f>
        <v>Workweek</v>
      </c>
    </row>
    <row r="4344" spans="1:10">
      <c r="A4344" s="159" t="str">
        <f t="shared" si="338"/>
        <v>$B$1:$B$92</v>
      </c>
      <c r="B4344" s="159" t="str">
        <f t="shared" si="339"/>
        <v>$C$1:$C$92</v>
      </c>
      <c r="C4344" s="159" t="str">
        <f t="shared" si="340"/>
        <v>November!$B$1:$B$92</v>
      </c>
      <c r="D4344" s="159" t="str">
        <f t="shared" si="341"/>
        <v>November!$C$1:$C$92</v>
      </c>
      <c r="E4344" t="s">
        <v>8</v>
      </c>
      <c r="F4344" t="s">
        <v>130</v>
      </c>
      <c r="G4344" t="s">
        <v>13</v>
      </c>
      <c r="H4344" t="s">
        <v>153</v>
      </c>
      <c r="I4344" t="e">
        <f t="shared" ca="1" si="342"/>
        <v>#REF!</v>
      </c>
      <c r="J4344" t="str">
        <f>VLOOKUP($G4344,DefinitionArrays!$I$6:$J$12,2,FALSE)</f>
        <v>Workweek</v>
      </c>
    </row>
    <row r="4345" spans="1:10">
      <c r="A4345" s="159" t="str">
        <f t="shared" si="338"/>
        <v>$B$1:$B$92</v>
      </c>
      <c r="B4345" s="159" t="str">
        <f t="shared" si="339"/>
        <v>$C$1:$C$92</v>
      </c>
      <c r="C4345" s="159" t="str">
        <f t="shared" si="340"/>
        <v>November!$B$1:$B$92</v>
      </c>
      <c r="D4345" s="159" t="str">
        <f t="shared" si="341"/>
        <v>November!$C$1:$C$92</v>
      </c>
      <c r="E4345" t="s">
        <v>8</v>
      </c>
      <c r="F4345" t="s">
        <v>130</v>
      </c>
      <c r="G4345" t="s">
        <v>13</v>
      </c>
      <c r="H4345" t="s">
        <v>19</v>
      </c>
      <c r="I4345" t="e">
        <f t="shared" ca="1" si="342"/>
        <v>#REF!</v>
      </c>
      <c r="J4345" t="str">
        <f>VLOOKUP($G4345,DefinitionArrays!$I$6:$J$12,2,FALSE)</f>
        <v>Workweek</v>
      </c>
    </row>
    <row r="4346" spans="1:10">
      <c r="A4346" s="159" t="str">
        <f t="shared" si="338"/>
        <v>$B$1:$B$92</v>
      </c>
      <c r="B4346" s="159" t="str">
        <f t="shared" si="339"/>
        <v>$C$1:$C$92</v>
      </c>
      <c r="C4346" s="159" t="str">
        <f t="shared" si="340"/>
        <v>November!$B$1:$B$92</v>
      </c>
      <c r="D4346" s="159" t="str">
        <f t="shared" si="341"/>
        <v>November!$C$1:$C$92</v>
      </c>
      <c r="E4346" t="s">
        <v>8</v>
      </c>
      <c r="F4346" t="s">
        <v>130</v>
      </c>
      <c r="G4346" t="s">
        <v>13</v>
      </c>
      <c r="H4346" t="s">
        <v>20</v>
      </c>
      <c r="I4346" t="e">
        <f t="shared" ca="1" si="342"/>
        <v>#REF!</v>
      </c>
      <c r="J4346" t="str">
        <f>VLOOKUP($G4346,DefinitionArrays!$I$6:$J$12,2,FALSE)</f>
        <v>Workweek</v>
      </c>
    </row>
    <row r="4347" spans="1:10">
      <c r="A4347" s="159" t="str">
        <f t="shared" si="338"/>
        <v>$B$1:$B$92</v>
      </c>
      <c r="B4347" s="159" t="str">
        <f t="shared" si="339"/>
        <v>$C$1:$C$92</v>
      </c>
      <c r="C4347" s="159" t="str">
        <f t="shared" si="340"/>
        <v>November!$B$1:$B$92</v>
      </c>
      <c r="D4347" s="159" t="str">
        <f t="shared" si="341"/>
        <v>November!$C$1:$C$92</v>
      </c>
      <c r="E4347" t="s">
        <v>8</v>
      </c>
      <c r="F4347" t="s">
        <v>130</v>
      </c>
      <c r="G4347" t="s">
        <v>13</v>
      </c>
      <c r="H4347" t="s">
        <v>21</v>
      </c>
      <c r="I4347" t="e">
        <f t="shared" ca="1" si="342"/>
        <v>#REF!</v>
      </c>
      <c r="J4347" t="str">
        <f>VLOOKUP($G4347,DefinitionArrays!$I$6:$J$12,2,FALSE)</f>
        <v>Workweek</v>
      </c>
    </row>
    <row r="4348" spans="1:10">
      <c r="A4348" s="159" t="str">
        <f t="shared" si="338"/>
        <v>$B$1:$B$92</v>
      </c>
      <c r="B4348" s="159" t="str">
        <f t="shared" si="339"/>
        <v>$C$1:$C$92</v>
      </c>
      <c r="C4348" s="159" t="str">
        <f t="shared" si="340"/>
        <v>November!$B$1:$B$92</v>
      </c>
      <c r="D4348" s="159" t="str">
        <f t="shared" si="341"/>
        <v>November!$C$1:$C$92</v>
      </c>
      <c r="E4348" t="s">
        <v>8</v>
      </c>
      <c r="F4348" t="s">
        <v>130</v>
      </c>
      <c r="G4348" t="s">
        <v>13</v>
      </c>
      <c r="H4348" t="s">
        <v>22</v>
      </c>
      <c r="I4348" t="e">
        <f t="shared" ca="1" si="342"/>
        <v>#REF!</v>
      </c>
      <c r="J4348" t="str">
        <f>VLOOKUP($G4348,DefinitionArrays!$I$6:$J$12,2,FALSE)</f>
        <v>Workweek</v>
      </c>
    </row>
    <row r="4349" spans="1:10">
      <c r="A4349" s="159" t="str">
        <f t="shared" si="338"/>
        <v>$B$1:$B$92</v>
      </c>
      <c r="B4349" s="159" t="str">
        <f t="shared" si="339"/>
        <v>$C$1:$C$92</v>
      </c>
      <c r="C4349" s="159" t="str">
        <f t="shared" si="340"/>
        <v>November!$B$1:$B$92</v>
      </c>
      <c r="D4349" s="159" t="str">
        <f t="shared" si="341"/>
        <v>November!$C$1:$C$92</v>
      </c>
      <c r="E4349" t="s">
        <v>8</v>
      </c>
      <c r="F4349" t="s">
        <v>130</v>
      </c>
      <c r="G4349" t="s">
        <v>13</v>
      </c>
      <c r="H4349" t="s">
        <v>23</v>
      </c>
      <c r="I4349" t="e">
        <f t="shared" ca="1" si="342"/>
        <v>#REF!</v>
      </c>
      <c r="J4349" t="str">
        <f>VLOOKUP($G4349,DefinitionArrays!$I$6:$J$12,2,FALSE)</f>
        <v>Workweek</v>
      </c>
    </row>
    <row r="4350" spans="1:10">
      <c r="A4350" s="159" t="str">
        <f t="shared" si="338"/>
        <v>$B$1:$B$92</v>
      </c>
      <c r="B4350" s="159" t="str">
        <f t="shared" si="339"/>
        <v>$C$1:$C$92</v>
      </c>
      <c r="C4350" s="159" t="str">
        <f t="shared" si="340"/>
        <v>November!$B$1:$B$92</v>
      </c>
      <c r="D4350" s="159" t="str">
        <f t="shared" si="341"/>
        <v>November!$C$1:$C$92</v>
      </c>
      <c r="E4350" t="s">
        <v>8</v>
      </c>
      <c r="F4350" t="s">
        <v>130</v>
      </c>
      <c r="G4350" t="s">
        <v>13</v>
      </c>
      <c r="H4350" t="s">
        <v>24</v>
      </c>
      <c r="I4350" t="e">
        <f t="shared" ca="1" si="342"/>
        <v>#REF!</v>
      </c>
      <c r="J4350" t="str">
        <f>VLOOKUP($G4350,DefinitionArrays!$I$6:$J$12,2,FALSE)</f>
        <v>Workweek</v>
      </c>
    </row>
    <row r="4351" spans="1:10">
      <c r="A4351" s="159" t="str">
        <f t="shared" si="338"/>
        <v>$B$1:$B$92</v>
      </c>
      <c r="B4351" s="159" t="str">
        <f t="shared" si="339"/>
        <v>$C$1:$C$92</v>
      </c>
      <c r="C4351" s="159" t="str">
        <f t="shared" si="340"/>
        <v>November!$B$1:$B$92</v>
      </c>
      <c r="D4351" s="159" t="str">
        <f t="shared" si="341"/>
        <v>November!$C$1:$C$92</v>
      </c>
      <c r="E4351" t="s">
        <v>8</v>
      </c>
      <c r="F4351" t="s">
        <v>130</v>
      </c>
      <c r="G4351" t="s">
        <v>13</v>
      </c>
      <c r="H4351" t="s">
        <v>179</v>
      </c>
      <c r="I4351" t="e">
        <f t="shared" ca="1" si="342"/>
        <v>#REF!</v>
      </c>
      <c r="J4351" t="str">
        <f>VLOOKUP($G4351,DefinitionArrays!$I$6:$J$12,2,FALSE)</f>
        <v>Workweek</v>
      </c>
    </row>
    <row r="4352" spans="1:10">
      <c r="A4352" s="159" t="str">
        <f t="shared" si="338"/>
        <v>$B$1:$B$92</v>
      </c>
      <c r="B4352" s="159" t="str">
        <f t="shared" si="339"/>
        <v>$C$1:$C$92</v>
      </c>
      <c r="C4352" s="159" t="str">
        <f t="shared" si="340"/>
        <v>November!$B$1:$B$92</v>
      </c>
      <c r="D4352" s="159" t="str">
        <f t="shared" si="341"/>
        <v>November!$C$1:$C$92</v>
      </c>
      <c r="E4352" t="s">
        <v>8</v>
      </c>
      <c r="F4352" t="s">
        <v>130</v>
      </c>
      <c r="G4352" t="s">
        <v>13</v>
      </c>
      <c r="H4352" t="s">
        <v>180</v>
      </c>
      <c r="I4352" t="e">
        <f t="shared" ca="1" si="342"/>
        <v>#REF!</v>
      </c>
      <c r="J4352" t="str">
        <f>VLOOKUP($G4352,DefinitionArrays!$I$6:$J$12,2,FALSE)</f>
        <v>Workweek</v>
      </c>
    </row>
    <row r="4353" spans="1:10">
      <c r="A4353" s="159" t="str">
        <f t="shared" si="338"/>
        <v>$B$1:$B$92</v>
      </c>
      <c r="B4353" s="159" t="str">
        <f t="shared" si="339"/>
        <v>$C$1:$C$92</v>
      </c>
      <c r="C4353" s="159" t="str">
        <f t="shared" si="340"/>
        <v>November!$B$1:$B$92</v>
      </c>
      <c r="D4353" s="159" t="str">
        <f t="shared" si="341"/>
        <v>November!$C$1:$C$92</v>
      </c>
      <c r="E4353" t="s">
        <v>8</v>
      </c>
      <c r="F4353" t="s">
        <v>130</v>
      </c>
      <c r="G4353" t="s">
        <v>13</v>
      </c>
      <c r="H4353" t="s">
        <v>44</v>
      </c>
      <c r="I4353" t="e">
        <f t="shared" ca="1" si="342"/>
        <v>#REF!</v>
      </c>
      <c r="J4353" t="str">
        <f>VLOOKUP($G4353,DefinitionArrays!$I$6:$J$12,2,FALSE)</f>
        <v>Workweek</v>
      </c>
    </row>
    <row r="4354" spans="1:10">
      <c r="A4354" s="159" t="str">
        <f t="shared" ref="A4354:A4417" si="343">VLOOKUP($G4354,Fx_Code,2,FALSE)</f>
        <v>$E$1:$E$92</v>
      </c>
      <c r="B4354" s="159" t="str">
        <f t="shared" ref="B4354:B4417" si="344">VLOOKUP($G4354,Fx_Code,3,FALSE)</f>
        <v>$F$1:$F$92</v>
      </c>
      <c r="C4354" s="159" t="str">
        <f t="shared" ref="C4354:C4417" si="345">CONCATENATE($F4354,$K$1,A4354)</f>
        <v>November!$E$1:$E$92</v>
      </c>
      <c r="D4354" s="159" t="str">
        <f t="shared" ref="D4354:D4417" si="346">CONCATENATE($F4354,$K$1,B4354)</f>
        <v>November!$F$1:$F$92</v>
      </c>
      <c r="E4354" t="s">
        <v>8</v>
      </c>
      <c r="F4354" t="s">
        <v>130</v>
      </c>
      <c r="G4354" t="s">
        <v>142</v>
      </c>
      <c r="H4354" t="s">
        <v>159</v>
      </c>
      <c r="I4354" t="e">
        <f t="shared" ca="1" si="342"/>
        <v>#REF!</v>
      </c>
      <c r="J4354" t="str">
        <f>VLOOKUP($G4354,DefinitionArrays!$I$6:$J$12,2,FALSE)</f>
        <v>Workweek</v>
      </c>
    </row>
    <row r="4355" spans="1:10">
      <c r="A4355" s="159" t="str">
        <f t="shared" si="343"/>
        <v>$E$1:$E$92</v>
      </c>
      <c r="B4355" s="159" t="str">
        <f t="shared" si="344"/>
        <v>$F$1:$F$92</v>
      </c>
      <c r="C4355" s="159" t="str">
        <f t="shared" si="345"/>
        <v>November!$E$1:$E$92</v>
      </c>
      <c r="D4355" s="159" t="str">
        <f t="shared" si="346"/>
        <v>November!$F$1:$F$92</v>
      </c>
      <c r="E4355" t="s">
        <v>8</v>
      </c>
      <c r="F4355" t="s">
        <v>130</v>
      </c>
      <c r="G4355" t="s">
        <v>142</v>
      </c>
      <c r="H4355" t="s">
        <v>18</v>
      </c>
      <c r="I4355" t="e">
        <f t="shared" ca="1" si="342"/>
        <v>#REF!</v>
      </c>
      <c r="J4355" t="str">
        <f>VLOOKUP($G4355,DefinitionArrays!$I$6:$J$12,2,FALSE)</f>
        <v>Workweek</v>
      </c>
    </row>
    <row r="4356" spans="1:10">
      <c r="A4356" s="159" t="str">
        <f t="shared" si="343"/>
        <v>$E$1:$E$92</v>
      </c>
      <c r="B4356" s="159" t="str">
        <f t="shared" si="344"/>
        <v>$F$1:$F$92</v>
      </c>
      <c r="C4356" s="159" t="str">
        <f t="shared" si="345"/>
        <v>November!$E$1:$E$92</v>
      </c>
      <c r="D4356" s="159" t="str">
        <f t="shared" si="346"/>
        <v>November!$F$1:$F$92</v>
      </c>
      <c r="E4356" t="s">
        <v>8</v>
      </c>
      <c r="F4356" t="s">
        <v>130</v>
      </c>
      <c r="G4356" t="s">
        <v>142</v>
      </c>
      <c r="H4356" t="s">
        <v>153</v>
      </c>
      <c r="I4356" t="e">
        <f t="shared" ca="1" si="342"/>
        <v>#REF!</v>
      </c>
      <c r="J4356" t="str">
        <f>VLOOKUP($G4356,DefinitionArrays!$I$6:$J$12,2,FALSE)</f>
        <v>Workweek</v>
      </c>
    </row>
    <row r="4357" spans="1:10">
      <c r="A4357" s="159" t="str">
        <f t="shared" si="343"/>
        <v>$E$1:$E$92</v>
      </c>
      <c r="B4357" s="159" t="str">
        <f t="shared" si="344"/>
        <v>$F$1:$F$92</v>
      </c>
      <c r="C4357" s="159" t="str">
        <f t="shared" si="345"/>
        <v>November!$E$1:$E$92</v>
      </c>
      <c r="D4357" s="159" t="str">
        <f t="shared" si="346"/>
        <v>November!$F$1:$F$92</v>
      </c>
      <c r="E4357" t="s">
        <v>8</v>
      </c>
      <c r="F4357" t="s">
        <v>130</v>
      </c>
      <c r="G4357" t="s">
        <v>142</v>
      </c>
      <c r="H4357" t="s">
        <v>19</v>
      </c>
      <c r="I4357" t="e">
        <f t="shared" ca="1" si="342"/>
        <v>#REF!</v>
      </c>
      <c r="J4357" t="str">
        <f>VLOOKUP($G4357,DefinitionArrays!$I$6:$J$12,2,FALSE)</f>
        <v>Workweek</v>
      </c>
    </row>
    <row r="4358" spans="1:10">
      <c r="A4358" s="159" t="str">
        <f t="shared" si="343"/>
        <v>$E$1:$E$92</v>
      </c>
      <c r="B4358" s="159" t="str">
        <f t="shared" si="344"/>
        <v>$F$1:$F$92</v>
      </c>
      <c r="C4358" s="159" t="str">
        <f t="shared" si="345"/>
        <v>November!$E$1:$E$92</v>
      </c>
      <c r="D4358" s="159" t="str">
        <f t="shared" si="346"/>
        <v>November!$F$1:$F$92</v>
      </c>
      <c r="E4358" t="s">
        <v>8</v>
      </c>
      <c r="F4358" t="s">
        <v>130</v>
      </c>
      <c r="G4358" t="s">
        <v>142</v>
      </c>
      <c r="H4358" t="s">
        <v>20</v>
      </c>
      <c r="I4358" t="e">
        <f t="shared" ca="1" si="342"/>
        <v>#REF!</v>
      </c>
      <c r="J4358" t="str">
        <f>VLOOKUP($G4358,DefinitionArrays!$I$6:$J$12,2,FALSE)</f>
        <v>Workweek</v>
      </c>
    </row>
    <row r="4359" spans="1:10">
      <c r="A4359" s="159" t="str">
        <f t="shared" si="343"/>
        <v>$E$1:$E$92</v>
      </c>
      <c r="B4359" s="159" t="str">
        <f t="shared" si="344"/>
        <v>$F$1:$F$92</v>
      </c>
      <c r="C4359" s="159" t="str">
        <f t="shared" si="345"/>
        <v>November!$E$1:$E$92</v>
      </c>
      <c r="D4359" s="159" t="str">
        <f t="shared" si="346"/>
        <v>November!$F$1:$F$92</v>
      </c>
      <c r="E4359" t="s">
        <v>8</v>
      </c>
      <c r="F4359" t="s">
        <v>130</v>
      </c>
      <c r="G4359" t="s">
        <v>142</v>
      </c>
      <c r="H4359" t="s">
        <v>21</v>
      </c>
      <c r="I4359" t="e">
        <f t="shared" ca="1" si="342"/>
        <v>#REF!</v>
      </c>
      <c r="J4359" t="str">
        <f>VLOOKUP($G4359,DefinitionArrays!$I$6:$J$12,2,FALSE)</f>
        <v>Workweek</v>
      </c>
    </row>
    <row r="4360" spans="1:10">
      <c r="A4360" s="159" t="str">
        <f t="shared" si="343"/>
        <v>$E$1:$E$92</v>
      </c>
      <c r="B4360" s="159" t="str">
        <f t="shared" si="344"/>
        <v>$F$1:$F$92</v>
      </c>
      <c r="C4360" s="159" t="str">
        <f t="shared" si="345"/>
        <v>November!$E$1:$E$92</v>
      </c>
      <c r="D4360" s="159" t="str">
        <f t="shared" si="346"/>
        <v>November!$F$1:$F$92</v>
      </c>
      <c r="E4360" t="s">
        <v>8</v>
      </c>
      <c r="F4360" t="s">
        <v>130</v>
      </c>
      <c r="G4360" t="s">
        <v>142</v>
      </c>
      <c r="H4360" t="s">
        <v>22</v>
      </c>
      <c r="I4360" t="e">
        <f t="shared" ca="1" si="342"/>
        <v>#REF!</v>
      </c>
      <c r="J4360" t="str">
        <f>VLOOKUP($G4360,DefinitionArrays!$I$6:$J$12,2,FALSE)</f>
        <v>Workweek</v>
      </c>
    </row>
    <row r="4361" spans="1:10">
      <c r="A4361" s="159" t="str">
        <f t="shared" si="343"/>
        <v>$E$1:$E$92</v>
      </c>
      <c r="B4361" s="159" t="str">
        <f t="shared" si="344"/>
        <v>$F$1:$F$92</v>
      </c>
      <c r="C4361" s="159" t="str">
        <f t="shared" si="345"/>
        <v>November!$E$1:$E$92</v>
      </c>
      <c r="D4361" s="159" t="str">
        <f t="shared" si="346"/>
        <v>November!$F$1:$F$92</v>
      </c>
      <c r="E4361" t="s">
        <v>8</v>
      </c>
      <c r="F4361" t="s">
        <v>130</v>
      </c>
      <c r="G4361" t="s">
        <v>142</v>
      </c>
      <c r="H4361" t="s">
        <v>23</v>
      </c>
      <c r="I4361" t="e">
        <f t="shared" ca="1" si="342"/>
        <v>#REF!</v>
      </c>
      <c r="J4361" t="str">
        <f>VLOOKUP($G4361,DefinitionArrays!$I$6:$J$12,2,FALSE)</f>
        <v>Workweek</v>
      </c>
    </row>
    <row r="4362" spans="1:10">
      <c r="A4362" s="159" t="str">
        <f t="shared" si="343"/>
        <v>$E$1:$E$92</v>
      </c>
      <c r="B4362" s="159" t="str">
        <f t="shared" si="344"/>
        <v>$F$1:$F$92</v>
      </c>
      <c r="C4362" s="159" t="str">
        <f t="shared" si="345"/>
        <v>November!$E$1:$E$92</v>
      </c>
      <c r="D4362" s="159" t="str">
        <f t="shared" si="346"/>
        <v>November!$F$1:$F$92</v>
      </c>
      <c r="E4362" t="s">
        <v>8</v>
      </c>
      <c r="F4362" t="s">
        <v>130</v>
      </c>
      <c r="G4362" t="s">
        <v>142</v>
      </c>
      <c r="H4362" t="s">
        <v>24</v>
      </c>
      <c r="I4362" t="e">
        <f t="shared" ca="1" si="342"/>
        <v>#REF!</v>
      </c>
      <c r="J4362" t="str">
        <f>VLOOKUP($G4362,DefinitionArrays!$I$6:$J$12,2,FALSE)</f>
        <v>Workweek</v>
      </c>
    </row>
    <row r="4363" spans="1:10">
      <c r="A4363" s="159" t="str">
        <f t="shared" si="343"/>
        <v>$E$1:$E$92</v>
      </c>
      <c r="B4363" s="159" t="str">
        <f t="shared" si="344"/>
        <v>$F$1:$F$92</v>
      </c>
      <c r="C4363" s="159" t="str">
        <f t="shared" si="345"/>
        <v>November!$E$1:$E$92</v>
      </c>
      <c r="D4363" s="159" t="str">
        <f t="shared" si="346"/>
        <v>November!$F$1:$F$92</v>
      </c>
      <c r="E4363" t="s">
        <v>8</v>
      </c>
      <c r="F4363" t="s">
        <v>130</v>
      </c>
      <c r="G4363" t="s">
        <v>142</v>
      </c>
      <c r="H4363" t="s">
        <v>179</v>
      </c>
      <c r="I4363" t="e">
        <f t="shared" ca="1" si="342"/>
        <v>#REF!</v>
      </c>
      <c r="J4363" t="str">
        <f>VLOOKUP($G4363,DefinitionArrays!$I$6:$J$12,2,FALSE)</f>
        <v>Workweek</v>
      </c>
    </row>
    <row r="4364" spans="1:10">
      <c r="A4364" s="159" t="str">
        <f t="shared" si="343"/>
        <v>$E$1:$E$92</v>
      </c>
      <c r="B4364" s="159" t="str">
        <f t="shared" si="344"/>
        <v>$F$1:$F$92</v>
      </c>
      <c r="C4364" s="159" t="str">
        <f t="shared" si="345"/>
        <v>November!$E$1:$E$92</v>
      </c>
      <c r="D4364" s="159" t="str">
        <f t="shared" si="346"/>
        <v>November!$F$1:$F$92</v>
      </c>
      <c r="E4364" t="s">
        <v>8</v>
      </c>
      <c r="F4364" t="s">
        <v>130</v>
      </c>
      <c r="G4364" t="s">
        <v>142</v>
      </c>
      <c r="H4364" t="s">
        <v>180</v>
      </c>
      <c r="I4364" t="e">
        <f t="shared" ca="1" si="342"/>
        <v>#REF!</v>
      </c>
      <c r="J4364" t="str">
        <f>VLOOKUP($G4364,DefinitionArrays!$I$6:$J$12,2,FALSE)</f>
        <v>Workweek</v>
      </c>
    </row>
    <row r="4365" spans="1:10">
      <c r="A4365" s="159" t="str">
        <f t="shared" si="343"/>
        <v>$E$1:$E$92</v>
      </c>
      <c r="B4365" s="159" t="str">
        <f t="shared" si="344"/>
        <v>$F$1:$F$92</v>
      </c>
      <c r="C4365" s="159" t="str">
        <f t="shared" si="345"/>
        <v>November!$E$1:$E$92</v>
      </c>
      <c r="D4365" s="159" t="str">
        <f t="shared" si="346"/>
        <v>November!$F$1:$F$92</v>
      </c>
      <c r="E4365" t="s">
        <v>8</v>
      </c>
      <c r="F4365" t="s">
        <v>130</v>
      </c>
      <c r="G4365" t="s">
        <v>142</v>
      </c>
      <c r="H4365" t="s">
        <v>44</v>
      </c>
      <c r="I4365" t="e">
        <f t="shared" ca="1" si="342"/>
        <v>#REF!</v>
      </c>
      <c r="J4365" t="str">
        <f>VLOOKUP($G4365,DefinitionArrays!$I$6:$J$12,2,FALSE)</f>
        <v>Workweek</v>
      </c>
    </row>
    <row r="4366" spans="1:10">
      <c r="A4366" s="159" t="str">
        <f t="shared" si="343"/>
        <v>$H$1:$H$92</v>
      </c>
      <c r="B4366" s="159" t="str">
        <f t="shared" si="344"/>
        <v>$I$1:$I$92</v>
      </c>
      <c r="C4366" s="159" t="str">
        <f t="shared" si="345"/>
        <v>November!$H$1:$H$92</v>
      </c>
      <c r="D4366" s="159" t="str">
        <f t="shared" si="346"/>
        <v>November!$I$1:$I$92</v>
      </c>
      <c r="E4366" t="s">
        <v>8</v>
      </c>
      <c r="F4366" t="s">
        <v>130</v>
      </c>
      <c r="G4366" t="s">
        <v>143</v>
      </c>
      <c r="H4366" t="s">
        <v>159</v>
      </c>
      <c r="I4366" t="e">
        <f t="shared" ca="1" si="342"/>
        <v>#REF!</v>
      </c>
      <c r="J4366" t="str">
        <f>VLOOKUP($G4366,DefinitionArrays!$I$6:$J$12,2,FALSE)</f>
        <v>Workweek</v>
      </c>
    </row>
    <row r="4367" spans="1:10">
      <c r="A4367" s="159" t="str">
        <f t="shared" si="343"/>
        <v>$H$1:$H$92</v>
      </c>
      <c r="B4367" s="159" t="str">
        <f t="shared" si="344"/>
        <v>$I$1:$I$92</v>
      </c>
      <c r="C4367" s="159" t="str">
        <f t="shared" si="345"/>
        <v>November!$H$1:$H$92</v>
      </c>
      <c r="D4367" s="159" t="str">
        <f t="shared" si="346"/>
        <v>November!$I$1:$I$92</v>
      </c>
      <c r="E4367" t="s">
        <v>8</v>
      </c>
      <c r="F4367" t="s">
        <v>130</v>
      </c>
      <c r="G4367" t="s">
        <v>143</v>
      </c>
      <c r="H4367" t="s">
        <v>18</v>
      </c>
      <c r="I4367" t="e">
        <f t="shared" ca="1" si="342"/>
        <v>#REF!</v>
      </c>
      <c r="J4367" t="str">
        <f>VLOOKUP($G4367,DefinitionArrays!$I$6:$J$12,2,FALSE)</f>
        <v>Workweek</v>
      </c>
    </row>
    <row r="4368" spans="1:10">
      <c r="A4368" s="159" t="str">
        <f t="shared" si="343"/>
        <v>$H$1:$H$92</v>
      </c>
      <c r="B4368" s="159" t="str">
        <f t="shared" si="344"/>
        <v>$I$1:$I$92</v>
      </c>
      <c r="C4368" s="159" t="str">
        <f t="shared" si="345"/>
        <v>November!$H$1:$H$92</v>
      </c>
      <c r="D4368" s="159" t="str">
        <f t="shared" si="346"/>
        <v>November!$I$1:$I$92</v>
      </c>
      <c r="E4368" t="s">
        <v>8</v>
      </c>
      <c r="F4368" t="s">
        <v>130</v>
      </c>
      <c r="G4368" t="s">
        <v>143</v>
      </c>
      <c r="H4368" t="s">
        <v>153</v>
      </c>
      <c r="I4368" t="e">
        <f t="shared" ca="1" si="342"/>
        <v>#REF!</v>
      </c>
      <c r="J4368" t="str">
        <f>VLOOKUP($G4368,DefinitionArrays!$I$6:$J$12,2,FALSE)</f>
        <v>Workweek</v>
      </c>
    </row>
    <row r="4369" spans="1:10">
      <c r="A4369" s="159" t="str">
        <f t="shared" si="343"/>
        <v>$H$1:$H$92</v>
      </c>
      <c r="B4369" s="159" t="str">
        <f t="shared" si="344"/>
        <v>$I$1:$I$92</v>
      </c>
      <c r="C4369" s="159" t="str">
        <f t="shared" si="345"/>
        <v>November!$H$1:$H$92</v>
      </c>
      <c r="D4369" s="159" t="str">
        <f t="shared" si="346"/>
        <v>November!$I$1:$I$92</v>
      </c>
      <c r="E4369" t="s">
        <v>8</v>
      </c>
      <c r="F4369" t="s">
        <v>130</v>
      </c>
      <c r="G4369" t="s">
        <v>143</v>
      </c>
      <c r="H4369" t="s">
        <v>19</v>
      </c>
      <c r="I4369" t="e">
        <f t="shared" ca="1" si="342"/>
        <v>#REF!</v>
      </c>
      <c r="J4369" t="str">
        <f>VLOOKUP($G4369,DefinitionArrays!$I$6:$J$12,2,FALSE)</f>
        <v>Workweek</v>
      </c>
    </row>
    <row r="4370" spans="1:10">
      <c r="A4370" s="159" t="str">
        <f t="shared" si="343"/>
        <v>$H$1:$H$92</v>
      </c>
      <c r="B4370" s="159" t="str">
        <f t="shared" si="344"/>
        <v>$I$1:$I$92</v>
      </c>
      <c r="C4370" s="159" t="str">
        <f t="shared" si="345"/>
        <v>November!$H$1:$H$92</v>
      </c>
      <c r="D4370" s="159" t="str">
        <f t="shared" si="346"/>
        <v>November!$I$1:$I$92</v>
      </c>
      <c r="E4370" t="s">
        <v>8</v>
      </c>
      <c r="F4370" t="s">
        <v>130</v>
      </c>
      <c r="G4370" t="s">
        <v>143</v>
      </c>
      <c r="H4370" t="s">
        <v>20</v>
      </c>
      <c r="I4370" t="e">
        <f t="shared" ca="1" si="342"/>
        <v>#REF!</v>
      </c>
      <c r="J4370" t="str">
        <f>VLOOKUP($G4370,DefinitionArrays!$I$6:$J$12,2,FALSE)</f>
        <v>Workweek</v>
      </c>
    </row>
    <row r="4371" spans="1:10">
      <c r="A4371" s="159" t="str">
        <f t="shared" si="343"/>
        <v>$H$1:$H$92</v>
      </c>
      <c r="B4371" s="159" t="str">
        <f t="shared" si="344"/>
        <v>$I$1:$I$92</v>
      </c>
      <c r="C4371" s="159" t="str">
        <f t="shared" si="345"/>
        <v>November!$H$1:$H$92</v>
      </c>
      <c r="D4371" s="159" t="str">
        <f t="shared" si="346"/>
        <v>November!$I$1:$I$92</v>
      </c>
      <c r="E4371" t="s">
        <v>8</v>
      </c>
      <c r="F4371" t="s">
        <v>130</v>
      </c>
      <c r="G4371" t="s">
        <v>143</v>
      </c>
      <c r="H4371" t="s">
        <v>21</v>
      </c>
      <c r="I4371" t="e">
        <f t="shared" ca="1" si="342"/>
        <v>#REF!</v>
      </c>
      <c r="J4371" t="str">
        <f>VLOOKUP($G4371,DefinitionArrays!$I$6:$J$12,2,FALSE)</f>
        <v>Workweek</v>
      </c>
    </row>
    <row r="4372" spans="1:10">
      <c r="A4372" s="159" t="str">
        <f t="shared" si="343"/>
        <v>$H$1:$H$92</v>
      </c>
      <c r="B4372" s="159" t="str">
        <f t="shared" si="344"/>
        <v>$I$1:$I$92</v>
      </c>
      <c r="C4372" s="159" t="str">
        <f t="shared" si="345"/>
        <v>November!$H$1:$H$92</v>
      </c>
      <c r="D4372" s="159" t="str">
        <f t="shared" si="346"/>
        <v>November!$I$1:$I$92</v>
      </c>
      <c r="E4372" t="s">
        <v>8</v>
      </c>
      <c r="F4372" t="s">
        <v>130</v>
      </c>
      <c r="G4372" t="s">
        <v>143</v>
      </c>
      <c r="H4372" t="s">
        <v>22</v>
      </c>
      <c r="I4372" t="e">
        <f t="shared" ca="1" si="342"/>
        <v>#REF!</v>
      </c>
      <c r="J4372" t="str">
        <f>VLOOKUP($G4372,DefinitionArrays!$I$6:$J$12,2,FALSE)</f>
        <v>Workweek</v>
      </c>
    </row>
    <row r="4373" spans="1:10">
      <c r="A4373" s="159" t="str">
        <f t="shared" si="343"/>
        <v>$H$1:$H$92</v>
      </c>
      <c r="B4373" s="159" t="str">
        <f t="shared" si="344"/>
        <v>$I$1:$I$92</v>
      </c>
      <c r="C4373" s="159" t="str">
        <f t="shared" si="345"/>
        <v>November!$H$1:$H$92</v>
      </c>
      <c r="D4373" s="159" t="str">
        <f t="shared" si="346"/>
        <v>November!$I$1:$I$92</v>
      </c>
      <c r="E4373" t="s">
        <v>8</v>
      </c>
      <c r="F4373" t="s">
        <v>130</v>
      </c>
      <c r="G4373" t="s">
        <v>143</v>
      </c>
      <c r="H4373" t="s">
        <v>23</v>
      </c>
      <c r="I4373" t="e">
        <f t="shared" ca="1" si="342"/>
        <v>#REF!</v>
      </c>
      <c r="J4373" t="str">
        <f>VLOOKUP($G4373,DefinitionArrays!$I$6:$J$12,2,FALSE)</f>
        <v>Workweek</v>
      </c>
    </row>
    <row r="4374" spans="1:10">
      <c r="A4374" s="159" t="str">
        <f t="shared" si="343"/>
        <v>$H$1:$H$92</v>
      </c>
      <c r="B4374" s="159" t="str">
        <f t="shared" si="344"/>
        <v>$I$1:$I$92</v>
      </c>
      <c r="C4374" s="159" t="str">
        <f t="shared" si="345"/>
        <v>November!$H$1:$H$92</v>
      </c>
      <c r="D4374" s="159" t="str">
        <f t="shared" si="346"/>
        <v>November!$I$1:$I$92</v>
      </c>
      <c r="E4374" t="s">
        <v>8</v>
      </c>
      <c r="F4374" t="s">
        <v>130</v>
      </c>
      <c r="G4374" t="s">
        <v>143</v>
      </c>
      <c r="H4374" t="s">
        <v>24</v>
      </c>
      <c r="I4374" t="e">
        <f t="shared" ca="1" si="342"/>
        <v>#REF!</v>
      </c>
      <c r="J4374" t="str">
        <f>VLOOKUP($G4374,DefinitionArrays!$I$6:$J$12,2,FALSE)</f>
        <v>Workweek</v>
      </c>
    </row>
    <row r="4375" spans="1:10">
      <c r="A4375" s="159" t="str">
        <f t="shared" si="343"/>
        <v>$H$1:$H$92</v>
      </c>
      <c r="B4375" s="159" t="str">
        <f t="shared" si="344"/>
        <v>$I$1:$I$92</v>
      </c>
      <c r="C4375" s="159" t="str">
        <f t="shared" si="345"/>
        <v>November!$H$1:$H$92</v>
      </c>
      <c r="D4375" s="159" t="str">
        <f t="shared" si="346"/>
        <v>November!$I$1:$I$92</v>
      </c>
      <c r="E4375" t="s">
        <v>8</v>
      </c>
      <c r="F4375" t="s">
        <v>130</v>
      </c>
      <c r="G4375" t="s">
        <v>143</v>
      </c>
      <c r="H4375" t="s">
        <v>179</v>
      </c>
      <c r="I4375" t="e">
        <f t="shared" ca="1" si="342"/>
        <v>#REF!</v>
      </c>
      <c r="J4375" t="str">
        <f>VLOOKUP($G4375,DefinitionArrays!$I$6:$J$12,2,FALSE)</f>
        <v>Workweek</v>
      </c>
    </row>
    <row r="4376" spans="1:10">
      <c r="A4376" s="159" t="str">
        <f t="shared" si="343"/>
        <v>$H$1:$H$92</v>
      </c>
      <c r="B4376" s="159" t="str">
        <f t="shared" si="344"/>
        <v>$I$1:$I$92</v>
      </c>
      <c r="C4376" s="159" t="str">
        <f t="shared" si="345"/>
        <v>November!$H$1:$H$92</v>
      </c>
      <c r="D4376" s="159" t="str">
        <f t="shared" si="346"/>
        <v>November!$I$1:$I$92</v>
      </c>
      <c r="E4376" t="s">
        <v>8</v>
      </c>
      <c r="F4376" t="s">
        <v>130</v>
      </c>
      <c r="G4376" t="s">
        <v>143</v>
      </c>
      <c r="H4376" t="s">
        <v>180</v>
      </c>
      <c r="I4376" t="e">
        <f t="shared" ca="1" si="342"/>
        <v>#REF!</v>
      </c>
      <c r="J4376" t="str">
        <f>VLOOKUP($G4376,DefinitionArrays!$I$6:$J$12,2,FALSE)</f>
        <v>Workweek</v>
      </c>
    </row>
    <row r="4377" spans="1:10">
      <c r="A4377" s="159" t="str">
        <f t="shared" si="343"/>
        <v>$H$1:$H$92</v>
      </c>
      <c r="B4377" s="159" t="str">
        <f t="shared" si="344"/>
        <v>$I$1:$I$92</v>
      </c>
      <c r="C4377" s="159" t="str">
        <f t="shared" si="345"/>
        <v>November!$H$1:$H$92</v>
      </c>
      <c r="D4377" s="159" t="str">
        <f t="shared" si="346"/>
        <v>November!$I$1:$I$92</v>
      </c>
      <c r="E4377" t="s">
        <v>8</v>
      </c>
      <c r="F4377" t="s">
        <v>130</v>
      </c>
      <c r="G4377" t="s">
        <v>143</v>
      </c>
      <c r="H4377" t="s">
        <v>44</v>
      </c>
      <c r="I4377" t="e">
        <f t="shared" ca="1" si="342"/>
        <v>#REF!</v>
      </c>
      <c r="J4377" t="str">
        <f>VLOOKUP($G4377,DefinitionArrays!$I$6:$J$12,2,FALSE)</f>
        <v>Workweek</v>
      </c>
    </row>
    <row r="4378" spans="1:10">
      <c r="A4378" s="159" t="str">
        <f t="shared" si="343"/>
        <v>$K$1:$K$92</v>
      </c>
      <c r="B4378" s="159" t="str">
        <f t="shared" si="344"/>
        <v>$L$1:$L$92</v>
      </c>
      <c r="C4378" s="159" t="str">
        <f t="shared" si="345"/>
        <v>November!$K$1:$K$92</v>
      </c>
      <c r="D4378" s="159" t="str">
        <f t="shared" si="346"/>
        <v>November!$L$1:$L$92</v>
      </c>
      <c r="E4378" t="s">
        <v>8</v>
      </c>
      <c r="F4378" t="s">
        <v>130</v>
      </c>
      <c r="G4378" t="s">
        <v>144</v>
      </c>
      <c r="H4378" t="s">
        <v>159</v>
      </c>
      <c r="I4378" t="e">
        <f t="shared" ca="1" si="342"/>
        <v>#REF!</v>
      </c>
      <c r="J4378" t="str">
        <f>VLOOKUP($G4378,DefinitionArrays!$I$6:$J$12,2,FALSE)</f>
        <v>Workweek</v>
      </c>
    </row>
    <row r="4379" spans="1:10">
      <c r="A4379" s="159" t="str">
        <f t="shared" si="343"/>
        <v>$K$1:$K$92</v>
      </c>
      <c r="B4379" s="159" t="str">
        <f t="shared" si="344"/>
        <v>$L$1:$L$92</v>
      </c>
      <c r="C4379" s="159" t="str">
        <f t="shared" si="345"/>
        <v>November!$K$1:$K$92</v>
      </c>
      <c r="D4379" s="159" t="str">
        <f t="shared" si="346"/>
        <v>November!$L$1:$L$92</v>
      </c>
      <c r="E4379" t="s">
        <v>8</v>
      </c>
      <c r="F4379" t="s">
        <v>130</v>
      </c>
      <c r="G4379" t="s">
        <v>144</v>
      </c>
      <c r="H4379" t="s">
        <v>18</v>
      </c>
      <c r="I4379" t="e">
        <f t="shared" ca="1" si="342"/>
        <v>#REF!</v>
      </c>
      <c r="J4379" t="str">
        <f>VLOOKUP($G4379,DefinitionArrays!$I$6:$J$12,2,FALSE)</f>
        <v>Workweek</v>
      </c>
    </row>
    <row r="4380" spans="1:10">
      <c r="A4380" s="159" t="str">
        <f t="shared" si="343"/>
        <v>$K$1:$K$92</v>
      </c>
      <c r="B4380" s="159" t="str">
        <f t="shared" si="344"/>
        <v>$L$1:$L$92</v>
      </c>
      <c r="C4380" s="159" t="str">
        <f t="shared" si="345"/>
        <v>November!$K$1:$K$92</v>
      </c>
      <c r="D4380" s="159" t="str">
        <f t="shared" si="346"/>
        <v>November!$L$1:$L$92</v>
      </c>
      <c r="E4380" t="s">
        <v>8</v>
      </c>
      <c r="F4380" t="s">
        <v>130</v>
      </c>
      <c r="G4380" t="s">
        <v>144</v>
      </c>
      <c r="H4380" t="s">
        <v>153</v>
      </c>
      <c r="I4380" t="e">
        <f t="shared" ca="1" si="342"/>
        <v>#REF!</v>
      </c>
      <c r="J4380" t="str">
        <f>VLOOKUP($G4380,DefinitionArrays!$I$6:$J$12,2,FALSE)</f>
        <v>Workweek</v>
      </c>
    </row>
    <row r="4381" spans="1:10">
      <c r="A4381" s="159" t="str">
        <f t="shared" si="343"/>
        <v>$K$1:$K$92</v>
      </c>
      <c r="B4381" s="159" t="str">
        <f t="shared" si="344"/>
        <v>$L$1:$L$92</v>
      </c>
      <c r="C4381" s="159" t="str">
        <f t="shared" si="345"/>
        <v>November!$K$1:$K$92</v>
      </c>
      <c r="D4381" s="159" t="str">
        <f t="shared" si="346"/>
        <v>November!$L$1:$L$92</v>
      </c>
      <c r="E4381" t="s">
        <v>8</v>
      </c>
      <c r="F4381" t="s">
        <v>130</v>
      </c>
      <c r="G4381" t="s">
        <v>144</v>
      </c>
      <c r="H4381" t="s">
        <v>19</v>
      </c>
      <c r="I4381" t="e">
        <f t="shared" ca="1" si="342"/>
        <v>#REF!</v>
      </c>
      <c r="J4381" t="str">
        <f>VLOOKUP($G4381,DefinitionArrays!$I$6:$J$12,2,FALSE)</f>
        <v>Workweek</v>
      </c>
    </row>
    <row r="4382" spans="1:10">
      <c r="A4382" s="159" t="str">
        <f t="shared" si="343"/>
        <v>$K$1:$K$92</v>
      </c>
      <c r="B4382" s="159" t="str">
        <f t="shared" si="344"/>
        <v>$L$1:$L$92</v>
      </c>
      <c r="C4382" s="159" t="str">
        <f t="shared" si="345"/>
        <v>November!$K$1:$K$92</v>
      </c>
      <c r="D4382" s="159" t="str">
        <f t="shared" si="346"/>
        <v>November!$L$1:$L$92</v>
      </c>
      <c r="E4382" t="s">
        <v>8</v>
      </c>
      <c r="F4382" t="s">
        <v>130</v>
      </c>
      <c r="G4382" t="s">
        <v>144</v>
      </c>
      <c r="H4382" t="s">
        <v>20</v>
      </c>
      <c r="I4382" t="e">
        <f t="shared" ca="1" si="342"/>
        <v>#REF!</v>
      </c>
      <c r="J4382" t="str">
        <f>VLOOKUP($G4382,DefinitionArrays!$I$6:$J$12,2,FALSE)</f>
        <v>Workweek</v>
      </c>
    </row>
    <row r="4383" spans="1:10">
      <c r="A4383" s="159" t="str">
        <f t="shared" si="343"/>
        <v>$K$1:$K$92</v>
      </c>
      <c r="B4383" s="159" t="str">
        <f t="shared" si="344"/>
        <v>$L$1:$L$92</v>
      </c>
      <c r="C4383" s="159" t="str">
        <f t="shared" si="345"/>
        <v>November!$K$1:$K$92</v>
      </c>
      <c r="D4383" s="159" t="str">
        <f t="shared" si="346"/>
        <v>November!$L$1:$L$92</v>
      </c>
      <c r="E4383" t="s">
        <v>8</v>
      </c>
      <c r="F4383" t="s">
        <v>130</v>
      </c>
      <c r="G4383" t="s">
        <v>144</v>
      </c>
      <c r="H4383" t="s">
        <v>21</v>
      </c>
      <c r="I4383" t="e">
        <f t="shared" ca="1" si="342"/>
        <v>#REF!</v>
      </c>
      <c r="J4383" t="str">
        <f>VLOOKUP($G4383,DefinitionArrays!$I$6:$J$12,2,FALSE)</f>
        <v>Workweek</v>
      </c>
    </row>
    <row r="4384" spans="1:10">
      <c r="A4384" s="159" t="str">
        <f t="shared" si="343"/>
        <v>$K$1:$K$92</v>
      </c>
      <c r="B4384" s="159" t="str">
        <f t="shared" si="344"/>
        <v>$L$1:$L$92</v>
      </c>
      <c r="C4384" s="159" t="str">
        <f t="shared" si="345"/>
        <v>November!$K$1:$K$92</v>
      </c>
      <c r="D4384" s="159" t="str">
        <f t="shared" si="346"/>
        <v>November!$L$1:$L$92</v>
      </c>
      <c r="E4384" t="s">
        <v>8</v>
      </c>
      <c r="F4384" t="s">
        <v>130</v>
      </c>
      <c r="G4384" t="s">
        <v>144</v>
      </c>
      <c r="H4384" t="s">
        <v>22</v>
      </c>
      <c r="I4384" t="e">
        <f t="shared" ca="1" si="342"/>
        <v>#REF!</v>
      </c>
      <c r="J4384" t="str">
        <f>VLOOKUP($G4384,DefinitionArrays!$I$6:$J$12,2,FALSE)</f>
        <v>Workweek</v>
      </c>
    </row>
    <row r="4385" spans="1:10">
      <c r="A4385" s="159" t="str">
        <f t="shared" si="343"/>
        <v>$K$1:$K$92</v>
      </c>
      <c r="B4385" s="159" t="str">
        <f t="shared" si="344"/>
        <v>$L$1:$L$92</v>
      </c>
      <c r="C4385" s="159" t="str">
        <f t="shared" si="345"/>
        <v>November!$K$1:$K$92</v>
      </c>
      <c r="D4385" s="159" t="str">
        <f t="shared" si="346"/>
        <v>November!$L$1:$L$92</v>
      </c>
      <c r="E4385" t="s">
        <v>8</v>
      </c>
      <c r="F4385" t="s">
        <v>130</v>
      </c>
      <c r="G4385" t="s">
        <v>144</v>
      </c>
      <c r="H4385" t="s">
        <v>23</v>
      </c>
      <c r="I4385" t="e">
        <f t="shared" ca="1" si="342"/>
        <v>#REF!</v>
      </c>
      <c r="J4385" t="str">
        <f>VLOOKUP($G4385,DefinitionArrays!$I$6:$J$12,2,FALSE)</f>
        <v>Workweek</v>
      </c>
    </row>
    <row r="4386" spans="1:10">
      <c r="A4386" s="159" t="str">
        <f t="shared" si="343"/>
        <v>$K$1:$K$92</v>
      </c>
      <c r="B4386" s="159" t="str">
        <f t="shared" si="344"/>
        <v>$L$1:$L$92</v>
      </c>
      <c r="C4386" s="159" t="str">
        <f t="shared" si="345"/>
        <v>November!$K$1:$K$92</v>
      </c>
      <c r="D4386" s="159" t="str">
        <f t="shared" si="346"/>
        <v>November!$L$1:$L$92</v>
      </c>
      <c r="E4386" t="s">
        <v>8</v>
      </c>
      <c r="F4386" t="s">
        <v>130</v>
      </c>
      <c r="G4386" t="s">
        <v>144</v>
      </c>
      <c r="H4386" t="s">
        <v>24</v>
      </c>
      <c r="I4386" t="e">
        <f t="shared" ca="1" si="342"/>
        <v>#REF!</v>
      </c>
      <c r="J4386" t="str">
        <f>VLOOKUP($G4386,DefinitionArrays!$I$6:$J$12,2,FALSE)</f>
        <v>Workweek</v>
      </c>
    </row>
    <row r="4387" spans="1:10">
      <c r="A4387" s="159" t="str">
        <f t="shared" si="343"/>
        <v>$K$1:$K$92</v>
      </c>
      <c r="B4387" s="159" t="str">
        <f t="shared" si="344"/>
        <v>$L$1:$L$92</v>
      </c>
      <c r="C4387" s="159" t="str">
        <f t="shared" si="345"/>
        <v>November!$K$1:$K$92</v>
      </c>
      <c r="D4387" s="159" t="str">
        <f t="shared" si="346"/>
        <v>November!$L$1:$L$92</v>
      </c>
      <c r="E4387" t="s">
        <v>8</v>
      </c>
      <c r="F4387" t="s">
        <v>130</v>
      </c>
      <c r="G4387" t="s">
        <v>144</v>
      </c>
      <c r="H4387" t="s">
        <v>179</v>
      </c>
      <c r="I4387" t="e">
        <f t="shared" ca="1" si="342"/>
        <v>#REF!</v>
      </c>
      <c r="J4387" t="str">
        <f>VLOOKUP($G4387,DefinitionArrays!$I$6:$J$12,2,FALSE)</f>
        <v>Workweek</v>
      </c>
    </row>
    <row r="4388" spans="1:10">
      <c r="A4388" s="159" t="str">
        <f t="shared" si="343"/>
        <v>$K$1:$K$92</v>
      </c>
      <c r="B4388" s="159" t="str">
        <f t="shared" si="344"/>
        <v>$L$1:$L$92</v>
      </c>
      <c r="C4388" s="159" t="str">
        <f t="shared" si="345"/>
        <v>November!$K$1:$K$92</v>
      </c>
      <c r="D4388" s="159" t="str">
        <f t="shared" si="346"/>
        <v>November!$L$1:$L$92</v>
      </c>
      <c r="E4388" t="s">
        <v>8</v>
      </c>
      <c r="F4388" t="s">
        <v>130</v>
      </c>
      <c r="G4388" t="s">
        <v>144</v>
      </c>
      <c r="H4388" t="s">
        <v>180</v>
      </c>
      <c r="I4388" t="e">
        <f t="shared" ca="1" si="342"/>
        <v>#REF!</v>
      </c>
      <c r="J4388" t="str">
        <f>VLOOKUP($G4388,DefinitionArrays!$I$6:$J$12,2,FALSE)</f>
        <v>Workweek</v>
      </c>
    </row>
    <row r="4389" spans="1:10">
      <c r="A4389" s="159" t="str">
        <f t="shared" si="343"/>
        <v>$K$1:$K$92</v>
      </c>
      <c r="B4389" s="159" t="str">
        <f t="shared" si="344"/>
        <v>$L$1:$L$92</v>
      </c>
      <c r="C4389" s="159" t="str">
        <f t="shared" si="345"/>
        <v>November!$K$1:$K$92</v>
      </c>
      <c r="D4389" s="159" t="str">
        <f t="shared" si="346"/>
        <v>November!$L$1:$L$92</v>
      </c>
      <c r="E4389" t="s">
        <v>8</v>
      </c>
      <c r="F4389" t="s">
        <v>130</v>
      </c>
      <c r="G4389" t="s">
        <v>144</v>
      </c>
      <c r="H4389" t="s">
        <v>44</v>
      </c>
      <c r="I4389" t="e">
        <f t="shared" ca="1" si="342"/>
        <v>#REF!</v>
      </c>
      <c r="J4389" t="str">
        <f>VLOOKUP($G4389,DefinitionArrays!$I$6:$J$12,2,FALSE)</f>
        <v>Workweek</v>
      </c>
    </row>
    <row r="4390" spans="1:10">
      <c r="A4390" s="159" t="str">
        <f t="shared" si="343"/>
        <v>$N$1:$N$92</v>
      </c>
      <c r="B4390" s="159" t="str">
        <f t="shared" si="344"/>
        <v>$O$1:$O$92</v>
      </c>
      <c r="C4390" s="159" t="str">
        <f t="shared" si="345"/>
        <v>November!$N$1:$N$92</v>
      </c>
      <c r="D4390" s="159" t="str">
        <f t="shared" si="346"/>
        <v>November!$O$1:$O$92</v>
      </c>
      <c r="E4390" t="s">
        <v>8</v>
      </c>
      <c r="F4390" t="s">
        <v>130</v>
      </c>
      <c r="G4390" t="s">
        <v>145</v>
      </c>
      <c r="H4390" t="s">
        <v>159</v>
      </c>
      <c r="I4390" t="e">
        <f t="shared" ca="1" si="342"/>
        <v>#REF!</v>
      </c>
      <c r="J4390" t="str">
        <f>VLOOKUP($G4390,DefinitionArrays!$I$6:$J$12,2,FALSE)</f>
        <v>Weekend</v>
      </c>
    </row>
    <row r="4391" spans="1:10">
      <c r="A4391" s="159" t="str">
        <f t="shared" si="343"/>
        <v>$N$1:$N$92</v>
      </c>
      <c r="B4391" s="159" t="str">
        <f t="shared" si="344"/>
        <v>$O$1:$O$92</v>
      </c>
      <c r="C4391" s="159" t="str">
        <f t="shared" si="345"/>
        <v>November!$N$1:$N$92</v>
      </c>
      <c r="D4391" s="159" t="str">
        <f t="shared" si="346"/>
        <v>November!$O$1:$O$92</v>
      </c>
      <c r="E4391" t="s">
        <v>8</v>
      </c>
      <c r="F4391" t="s">
        <v>130</v>
      </c>
      <c r="G4391" t="s">
        <v>145</v>
      </c>
      <c r="H4391" t="s">
        <v>18</v>
      </c>
      <c r="I4391" t="e">
        <f t="shared" ca="1" si="342"/>
        <v>#REF!</v>
      </c>
      <c r="J4391" t="str">
        <f>VLOOKUP($G4391,DefinitionArrays!$I$6:$J$12,2,FALSE)</f>
        <v>Weekend</v>
      </c>
    </row>
    <row r="4392" spans="1:10">
      <c r="A4392" s="159" t="str">
        <f t="shared" si="343"/>
        <v>$N$1:$N$92</v>
      </c>
      <c r="B4392" s="159" t="str">
        <f t="shared" si="344"/>
        <v>$O$1:$O$92</v>
      </c>
      <c r="C4392" s="159" t="str">
        <f t="shared" si="345"/>
        <v>November!$N$1:$N$92</v>
      </c>
      <c r="D4392" s="159" t="str">
        <f t="shared" si="346"/>
        <v>November!$O$1:$O$92</v>
      </c>
      <c r="E4392" t="s">
        <v>8</v>
      </c>
      <c r="F4392" t="s">
        <v>130</v>
      </c>
      <c r="G4392" t="s">
        <v>145</v>
      </c>
      <c r="H4392" t="s">
        <v>153</v>
      </c>
      <c r="I4392" t="e">
        <f t="shared" ca="1" si="342"/>
        <v>#REF!</v>
      </c>
      <c r="J4392" t="str">
        <f>VLOOKUP($G4392,DefinitionArrays!$I$6:$J$12,2,FALSE)</f>
        <v>Weekend</v>
      </c>
    </row>
    <row r="4393" spans="1:10">
      <c r="A4393" s="159" t="str">
        <f t="shared" si="343"/>
        <v>$N$1:$N$92</v>
      </c>
      <c r="B4393" s="159" t="str">
        <f t="shared" si="344"/>
        <v>$O$1:$O$92</v>
      </c>
      <c r="C4393" s="159" t="str">
        <f t="shared" si="345"/>
        <v>November!$N$1:$N$92</v>
      </c>
      <c r="D4393" s="159" t="str">
        <f t="shared" si="346"/>
        <v>November!$O$1:$O$92</v>
      </c>
      <c r="E4393" t="s">
        <v>8</v>
      </c>
      <c r="F4393" t="s">
        <v>130</v>
      </c>
      <c r="G4393" t="s">
        <v>145</v>
      </c>
      <c r="H4393" t="s">
        <v>19</v>
      </c>
      <c r="I4393" t="e">
        <f t="shared" ca="1" si="342"/>
        <v>#REF!</v>
      </c>
      <c r="J4393" t="str">
        <f>VLOOKUP($G4393,DefinitionArrays!$I$6:$J$12,2,FALSE)</f>
        <v>Weekend</v>
      </c>
    </row>
    <row r="4394" spans="1:10">
      <c r="A4394" s="159" t="str">
        <f t="shared" si="343"/>
        <v>$N$1:$N$92</v>
      </c>
      <c r="B4394" s="159" t="str">
        <f t="shared" si="344"/>
        <v>$O$1:$O$92</v>
      </c>
      <c r="C4394" s="159" t="str">
        <f t="shared" si="345"/>
        <v>November!$N$1:$N$92</v>
      </c>
      <c r="D4394" s="159" t="str">
        <f t="shared" si="346"/>
        <v>November!$O$1:$O$92</v>
      </c>
      <c r="E4394" t="s">
        <v>8</v>
      </c>
      <c r="F4394" t="s">
        <v>130</v>
      </c>
      <c r="G4394" t="s">
        <v>145</v>
      </c>
      <c r="H4394" t="s">
        <v>20</v>
      </c>
      <c r="I4394" t="e">
        <f t="shared" ca="1" si="342"/>
        <v>#REF!</v>
      </c>
      <c r="J4394" t="str">
        <f>VLOOKUP($G4394,DefinitionArrays!$I$6:$J$12,2,FALSE)</f>
        <v>Weekend</v>
      </c>
    </row>
    <row r="4395" spans="1:10">
      <c r="A4395" s="159" t="str">
        <f t="shared" si="343"/>
        <v>$N$1:$N$92</v>
      </c>
      <c r="B4395" s="159" t="str">
        <f t="shared" si="344"/>
        <v>$O$1:$O$92</v>
      </c>
      <c r="C4395" s="159" t="str">
        <f t="shared" si="345"/>
        <v>November!$N$1:$N$92</v>
      </c>
      <c r="D4395" s="159" t="str">
        <f t="shared" si="346"/>
        <v>November!$O$1:$O$92</v>
      </c>
      <c r="E4395" t="s">
        <v>8</v>
      </c>
      <c r="F4395" t="s">
        <v>130</v>
      </c>
      <c r="G4395" t="s">
        <v>145</v>
      </c>
      <c r="H4395" t="s">
        <v>21</v>
      </c>
      <c r="I4395" t="e">
        <f t="shared" ca="1" si="342"/>
        <v>#REF!</v>
      </c>
      <c r="J4395" t="str">
        <f>VLOOKUP($G4395,DefinitionArrays!$I$6:$J$12,2,FALSE)</f>
        <v>Weekend</v>
      </c>
    </row>
    <row r="4396" spans="1:10">
      <c r="A4396" s="159" t="str">
        <f t="shared" si="343"/>
        <v>$N$1:$N$92</v>
      </c>
      <c r="B4396" s="159" t="str">
        <f t="shared" si="344"/>
        <v>$O$1:$O$92</v>
      </c>
      <c r="C4396" s="159" t="str">
        <f t="shared" si="345"/>
        <v>November!$N$1:$N$92</v>
      </c>
      <c r="D4396" s="159" t="str">
        <f t="shared" si="346"/>
        <v>November!$O$1:$O$92</v>
      </c>
      <c r="E4396" t="s">
        <v>8</v>
      </c>
      <c r="F4396" t="s">
        <v>130</v>
      </c>
      <c r="G4396" t="s">
        <v>145</v>
      </c>
      <c r="H4396" t="s">
        <v>22</v>
      </c>
      <c r="I4396" t="e">
        <f t="shared" ca="1" si="342"/>
        <v>#REF!</v>
      </c>
      <c r="J4396" t="str">
        <f>VLOOKUP($G4396,DefinitionArrays!$I$6:$J$12,2,FALSE)</f>
        <v>Weekend</v>
      </c>
    </row>
    <row r="4397" spans="1:10">
      <c r="A4397" s="159" t="str">
        <f t="shared" si="343"/>
        <v>$N$1:$N$92</v>
      </c>
      <c r="B4397" s="159" t="str">
        <f t="shared" si="344"/>
        <v>$O$1:$O$92</v>
      </c>
      <c r="C4397" s="159" t="str">
        <f t="shared" si="345"/>
        <v>November!$N$1:$N$92</v>
      </c>
      <c r="D4397" s="159" t="str">
        <f t="shared" si="346"/>
        <v>November!$O$1:$O$92</v>
      </c>
      <c r="E4397" t="s">
        <v>8</v>
      </c>
      <c r="F4397" t="s">
        <v>130</v>
      </c>
      <c r="G4397" t="s">
        <v>145</v>
      </c>
      <c r="H4397" t="s">
        <v>23</v>
      </c>
      <c r="I4397" t="e">
        <f t="shared" ca="1" si="342"/>
        <v>#REF!</v>
      </c>
      <c r="J4397" t="str">
        <f>VLOOKUP($G4397,DefinitionArrays!$I$6:$J$12,2,FALSE)</f>
        <v>Weekend</v>
      </c>
    </row>
    <row r="4398" spans="1:10">
      <c r="A4398" s="159" t="str">
        <f t="shared" si="343"/>
        <v>$N$1:$N$92</v>
      </c>
      <c r="B4398" s="159" t="str">
        <f t="shared" si="344"/>
        <v>$O$1:$O$92</v>
      </c>
      <c r="C4398" s="159" t="str">
        <f t="shared" si="345"/>
        <v>November!$N$1:$N$92</v>
      </c>
      <c r="D4398" s="159" t="str">
        <f t="shared" si="346"/>
        <v>November!$O$1:$O$92</v>
      </c>
      <c r="E4398" t="s">
        <v>8</v>
      </c>
      <c r="F4398" t="s">
        <v>130</v>
      </c>
      <c r="G4398" t="s">
        <v>145</v>
      </c>
      <c r="H4398" t="s">
        <v>24</v>
      </c>
      <c r="I4398" t="e">
        <f t="shared" ca="1" si="342"/>
        <v>#REF!</v>
      </c>
      <c r="J4398" t="str">
        <f>VLOOKUP($G4398,DefinitionArrays!$I$6:$J$12,2,FALSE)</f>
        <v>Weekend</v>
      </c>
    </row>
    <row r="4399" spans="1:10">
      <c r="A4399" s="159" t="str">
        <f t="shared" si="343"/>
        <v>$N$1:$N$92</v>
      </c>
      <c r="B4399" s="159" t="str">
        <f t="shared" si="344"/>
        <v>$O$1:$O$92</v>
      </c>
      <c r="C4399" s="159" t="str">
        <f t="shared" si="345"/>
        <v>November!$N$1:$N$92</v>
      </c>
      <c r="D4399" s="159" t="str">
        <f t="shared" si="346"/>
        <v>November!$O$1:$O$92</v>
      </c>
      <c r="E4399" t="s">
        <v>8</v>
      </c>
      <c r="F4399" t="s">
        <v>130</v>
      </c>
      <c r="G4399" t="s">
        <v>145</v>
      </c>
      <c r="H4399" t="s">
        <v>179</v>
      </c>
      <c r="I4399" t="e">
        <f t="shared" ca="1" si="342"/>
        <v>#REF!</v>
      </c>
      <c r="J4399" t="str">
        <f>VLOOKUP($G4399,DefinitionArrays!$I$6:$J$12,2,FALSE)</f>
        <v>Weekend</v>
      </c>
    </row>
    <row r="4400" spans="1:10">
      <c r="A4400" s="159" t="str">
        <f t="shared" si="343"/>
        <v>$N$1:$N$92</v>
      </c>
      <c r="B4400" s="159" t="str">
        <f t="shared" si="344"/>
        <v>$O$1:$O$92</v>
      </c>
      <c r="C4400" s="159" t="str">
        <f t="shared" si="345"/>
        <v>November!$N$1:$N$92</v>
      </c>
      <c r="D4400" s="159" t="str">
        <f t="shared" si="346"/>
        <v>November!$O$1:$O$92</v>
      </c>
      <c r="E4400" t="s">
        <v>8</v>
      </c>
      <c r="F4400" t="s">
        <v>130</v>
      </c>
      <c r="G4400" t="s">
        <v>145</v>
      </c>
      <c r="H4400" t="s">
        <v>180</v>
      </c>
      <c r="I4400" t="e">
        <f t="shared" ca="1" si="342"/>
        <v>#REF!</v>
      </c>
      <c r="J4400" t="str">
        <f>VLOOKUP($G4400,DefinitionArrays!$I$6:$J$12,2,FALSE)</f>
        <v>Weekend</v>
      </c>
    </row>
    <row r="4401" spans="1:10">
      <c r="A4401" s="159" t="str">
        <f t="shared" si="343"/>
        <v>$N$1:$N$92</v>
      </c>
      <c r="B4401" s="159" t="str">
        <f t="shared" si="344"/>
        <v>$O$1:$O$92</v>
      </c>
      <c r="C4401" s="159" t="str">
        <f t="shared" si="345"/>
        <v>November!$N$1:$N$92</v>
      </c>
      <c r="D4401" s="159" t="str">
        <f t="shared" si="346"/>
        <v>November!$O$1:$O$92</v>
      </c>
      <c r="E4401" t="s">
        <v>8</v>
      </c>
      <c r="F4401" t="s">
        <v>130</v>
      </c>
      <c r="G4401" t="s">
        <v>145</v>
      </c>
      <c r="H4401" t="s">
        <v>44</v>
      </c>
      <c r="I4401" t="e">
        <f t="shared" ca="1" si="342"/>
        <v>#REF!</v>
      </c>
      <c r="J4401" t="str">
        <f>VLOOKUP($G4401,DefinitionArrays!$I$6:$J$12,2,FALSE)</f>
        <v>Weekend</v>
      </c>
    </row>
    <row r="4402" spans="1:10">
      <c r="A4402" s="159" t="str">
        <f t="shared" si="343"/>
        <v>$Q$1:$Q$92</v>
      </c>
      <c r="B4402" s="159" t="str">
        <f t="shared" si="344"/>
        <v>$R$1:$R$92</v>
      </c>
      <c r="C4402" s="159" t="str">
        <f t="shared" si="345"/>
        <v>November!$Q$1:$Q$92</v>
      </c>
      <c r="D4402" s="159" t="str">
        <f t="shared" si="346"/>
        <v>November!$R$1:$R$92</v>
      </c>
      <c r="E4402" t="s">
        <v>8</v>
      </c>
      <c r="F4402" t="s">
        <v>130</v>
      </c>
      <c r="G4402" t="s">
        <v>146</v>
      </c>
      <c r="H4402" t="s">
        <v>159</v>
      </c>
      <c r="I4402" t="e">
        <f t="shared" ca="1" si="342"/>
        <v>#REF!</v>
      </c>
      <c r="J4402" t="str">
        <f>VLOOKUP($G4402,DefinitionArrays!$I$6:$J$12,2,FALSE)</f>
        <v>Weekend</v>
      </c>
    </row>
    <row r="4403" spans="1:10">
      <c r="A4403" s="159" t="str">
        <f t="shared" si="343"/>
        <v>$T$1:$T$92</v>
      </c>
      <c r="B4403" s="159" t="str">
        <f t="shared" si="344"/>
        <v>$U$1:$U$92</v>
      </c>
      <c r="C4403" s="159" t="str">
        <f t="shared" si="345"/>
        <v>November!$T$1:$T$92</v>
      </c>
      <c r="D4403" s="159" t="str">
        <f t="shared" si="346"/>
        <v>November!$U$1:$U$92</v>
      </c>
      <c r="E4403" t="s">
        <v>8</v>
      </c>
      <c r="F4403" t="s">
        <v>130</v>
      </c>
      <c r="G4403" t="s">
        <v>141</v>
      </c>
      <c r="H4403" t="s">
        <v>159</v>
      </c>
      <c r="I4403" t="e">
        <f t="shared" ca="1" si="342"/>
        <v>#REF!</v>
      </c>
      <c r="J4403" t="str">
        <f>VLOOKUP($G4403,DefinitionArrays!$I$6:$J$12,2,FALSE)</f>
        <v>Weekend</v>
      </c>
    </row>
    <row r="4404" spans="1:10">
      <c r="A4404" s="159" t="str">
        <f t="shared" si="343"/>
        <v>$B$1:$B$92</v>
      </c>
      <c r="B4404" s="159" t="str">
        <f t="shared" si="344"/>
        <v>$C$1:$C$92</v>
      </c>
      <c r="C4404" s="159" t="str">
        <f t="shared" si="345"/>
        <v>December!$B$1:$B$92</v>
      </c>
      <c r="D4404" s="159" t="str">
        <f t="shared" si="346"/>
        <v>December!$C$1:$C$92</v>
      </c>
      <c r="E4404" t="s">
        <v>8</v>
      </c>
      <c r="F4404" t="s">
        <v>131</v>
      </c>
      <c r="G4404" t="s">
        <v>13</v>
      </c>
      <c r="H4404" t="s">
        <v>159</v>
      </c>
      <c r="I4404" t="e">
        <f ca="1">COUNTIFS(INDIRECT($C4404),$E4404,INDIRECT($D4404),$H4404)</f>
        <v>#REF!</v>
      </c>
      <c r="J4404" t="str">
        <f>VLOOKUP($G4404,DefinitionArrays!$I$6:$J$12,2,FALSE)</f>
        <v>Workweek</v>
      </c>
    </row>
    <row r="4405" spans="1:10">
      <c r="A4405" s="159" t="str">
        <f t="shared" si="343"/>
        <v>$B$1:$B$92</v>
      </c>
      <c r="B4405" s="159" t="str">
        <f t="shared" si="344"/>
        <v>$C$1:$C$92</v>
      </c>
      <c r="C4405" s="159" t="str">
        <f t="shared" si="345"/>
        <v>December!$B$1:$B$92</v>
      </c>
      <c r="D4405" s="159" t="str">
        <f t="shared" si="346"/>
        <v>December!$C$1:$C$92</v>
      </c>
      <c r="E4405" t="s">
        <v>8</v>
      </c>
      <c r="F4405" t="s">
        <v>131</v>
      </c>
      <c r="G4405" t="s">
        <v>13</v>
      </c>
      <c r="H4405" t="s">
        <v>18</v>
      </c>
      <c r="I4405" t="e">
        <f t="shared" ref="I4405:I4465" ca="1" si="347">COUNTIFS(INDIRECT($C4405),$E4405,INDIRECT($D4405),$H4405)</f>
        <v>#REF!</v>
      </c>
      <c r="J4405" t="str">
        <f>VLOOKUP($G4405,DefinitionArrays!$I$6:$J$12,2,FALSE)</f>
        <v>Workweek</v>
      </c>
    </row>
    <row r="4406" spans="1:10">
      <c r="A4406" s="159" t="str">
        <f t="shared" si="343"/>
        <v>$B$1:$B$92</v>
      </c>
      <c r="B4406" s="159" t="str">
        <f t="shared" si="344"/>
        <v>$C$1:$C$92</v>
      </c>
      <c r="C4406" s="159" t="str">
        <f t="shared" si="345"/>
        <v>December!$B$1:$B$92</v>
      </c>
      <c r="D4406" s="159" t="str">
        <f t="shared" si="346"/>
        <v>December!$C$1:$C$92</v>
      </c>
      <c r="E4406" t="s">
        <v>8</v>
      </c>
      <c r="F4406" t="s">
        <v>131</v>
      </c>
      <c r="G4406" t="s">
        <v>13</v>
      </c>
      <c r="H4406" t="s">
        <v>153</v>
      </c>
      <c r="I4406" t="e">
        <f t="shared" ca="1" si="347"/>
        <v>#REF!</v>
      </c>
      <c r="J4406" t="str">
        <f>VLOOKUP($G4406,DefinitionArrays!$I$6:$J$12,2,FALSE)</f>
        <v>Workweek</v>
      </c>
    </row>
    <row r="4407" spans="1:10">
      <c r="A4407" s="159" t="str">
        <f t="shared" si="343"/>
        <v>$B$1:$B$92</v>
      </c>
      <c r="B4407" s="159" t="str">
        <f t="shared" si="344"/>
        <v>$C$1:$C$92</v>
      </c>
      <c r="C4407" s="159" t="str">
        <f t="shared" si="345"/>
        <v>December!$B$1:$B$92</v>
      </c>
      <c r="D4407" s="159" t="str">
        <f t="shared" si="346"/>
        <v>December!$C$1:$C$92</v>
      </c>
      <c r="E4407" t="s">
        <v>8</v>
      </c>
      <c r="F4407" t="s">
        <v>131</v>
      </c>
      <c r="G4407" t="s">
        <v>13</v>
      </c>
      <c r="H4407" t="s">
        <v>19</v>
      </c>
      <c r="I4407" t="e">
        <f t="shared" ca="1" si="347"/>
        <v>#REF!</v>
      </c>
      <c r="J4407" t="str">
        <f>VLOOKUP($G4407,DefinitionArrays!$I$6:$J$12,2,FALSE)</f>
        <v>Workweek</v>
      </c>
    </row>
    <row r="4408" spans="1:10">
      <c r="A4408" s="159" t="str">
        <f t="shared" si="343"/>
        <v>$B$1:$B$92</v>
      </c>
      <c r="B4408" s="159" t="str">
        <f t="shared" si="344"/>
        <v>$C$1:$C$92</v>
      </c>
      <c r="C4408" s="159" t="str">
        <f t="shared" si="345"/>
        <v>December!$B$1:$B$92</v>
      </c>
      <c r="D4408" s="159" t="str">
        <f t="shared" si="346"/>
        <v>December!$C$1:$C$92</v>
      </c>
      <c r="E4408" t="s">
        <v>8</v>
      </c>
      <c r="F4408" t="s">
        <v>131</v>
      </c>
      <c r="G4408" t="s">
        <v>13</v>
      </c>
      <c r="H4408" t="s">
        <v>20</v>
      </c>
      <c r="I4408" t="e">
        <f t="shared" ca="1" si="347"/>
        <v>#REF!</v>
      </c>
      <c r="J4408" t="str">
        <f>VLOOKUP($G4408,DefinitionArrays!$I$6:$J$12,2,FALSE)</f>
        <v>Workweek</v>
      </c>
    </row>
    <row r="4409" spans="1:10">
      <c r="A4409" s="159" t="str">
        <f t="shared" si="343"/>
        <v>$B$1:$B$92</v>
      </c>
      <c r="B4409" s="159" t="str">
        <f t="shared" si="344"/>
        <v>$C$1:$C$92</v>
      </c>
      <c r="C4409" s="159" t="str">
        <f t="shared" si="345"/>
        <v>December!$B$1:$B$92</v>
      </c>
      <c r="D4409" s="159" t="str">
        <f t="shared" si="346"/>
        <v>December!$C$1:$C$92</v>
      </c>
      <c r="E4409" t="s">
        <v>8</v>
      </c>
      <c r="F4409" t="s">
        <v>131</v>
      </c>
      <c r="G4409" t="s">
        <v>13</v>
      </c>
      <c r="H4409" t="s">
        <v>21</v>
      </c>
      <c r="I4409" t="e">
        <f t="shared" ca="1" si="347"/>
        <v>#REF!</v>
      </c>
      <c r="J4409" t="str">
        <f>VLOOKUP($G4409,DefinitionArrays!$I$6:$J$12,2,FALSE)</f>
        <v>Workweek</v>
      </c>
    </row>
    <row r="4410" spans="1:10">
      <c r="A4410" s="159" t="str">
        <f t="shared" si="343"/>
        <v>$B$1:$B$92</v>
      </c>
      <c r="B4410" s="159" t="str">
        <f t="shared" si="344"/>
        <v>$C$1:$C$92</v>
      </c>
      <c r="C4410" s="159" t="str">
        <f t="shared" si="345"/>
        <v>December!$B$1:$B$92</v>
      </c>
      <c r="D4410" s="159" t="str">
        <f t="shared" si="346"/>
        <v>December!$C$1:$C$92</v>
      </c>
      <c r="E4410" t="s">
        <v>8</v>
      </c>
      <c r="F4410" t="s">
        <v>131</v>
      </c>
      <c r="G4410" t="s">
        <v>13</v>
      </c>
      <c r="H4410" t="s">
        <v>22</v>
      </c>
      <c r="I4410" t="e">
        <f t="shared" ca="1" si="347"/>
        <v>#REF!</v>
      </c>
      <c r="J4410" t="str">
        <f>VLOOKUP($G4410,DefinitionArrays!$I$6:$J$12,2,FALSE)</f>
        <v>Workweek</v>
      </c>
    </row>
    <row r="4411" spans="1:10">
      <c r="A4411" s="159" t="str">
        <f t="shared" si="343"/>
        <v>$B$1:$B$92</v>
      </c>
      <c r="B4411" s="159" t="str">
        <f t="shared" si="344"/>
        <v>$C$1:$C$92</v>
      </c>
      <c r="C4411" s="159" t="str">
        <f t="shared" si="345"/>
        <v>December!$B$1:$B$92</v>
      </c>
      <c r="D4411" s="159" t="str">
        <f t="shared" si="346"/>
        <v>December!$C$1:$C$92</v>
      </c>
      <c r="E4411" t="s">
        <v>8</v>
      </c>
      <c r="F4411" t="s">
        <v>131</v>
      </c>
      <c r="G4411" t="s">
        <v>13</v>
      </c>
      <c r="H4411" t="s">
        <v>23</v>
      </c>
      <c r="I4411" t="e">
        <f t="shared" ca="1" si="347"/>
        <v>#REF!</v>
      </c>
      <c r="J4411" t="str">
        <f>VLOOKUP($G4411,DefinitionArrays!$I$6:$J$12,2,FALSE)</f>
        <v>Workweek</v>
      </c>
    </row>
    <row r="4412" spans="1:10">
      <c r="A4412" s="159" t="str">
        <f t="shared" si="343"/>
        <v>$B$1:$B$92</v>
      </c>
      <c r="B4412" s="159" t="str">
        <f t="shared" si="344"/>
        <v>$C$1:$C$92</v>
      </c>
      <c r="C4412" s="159" t="str">
        <f t="shared" si="345"/>
        <v>December!$B$1:$B$92</v>
      </c>
      <c r="D4412" s="159" t="str">
        <f t="shared" si="346"/>
        <v>December!$C$1:$C$92</v>
      </c>
      <c r="E4412" t="s">
        <v>8</v>
      </c>
      <c r="F4412" t="s">
        <v>131</v>
      </c>
      <c r="G4412" t="s">
        <v>13</v>
      </c>
      <c r="H4412" t="s">
        <v>24</v>
      </c>
      <c r="I4412" t="e">
        <f t="shared" ca="1" si="347"/>
        <v>#REF!</v>
      </c>
      <c r="J4412" t="str">
        <f>VLOOKUP($G4412,DefinitionArrays!$I$6:$J$12,2,FALSE)</f>
        <v>Workweek</v>
      </c>
    </row>
    <row r="4413" spans="1:10">
      <c r="A4413" s="159" t="str">
        <f t="shared" si="343"/>
        <v>$B$1:$B$92</v>
      </c>
      <c r="B4413" s="159" t="str">
        <f t="shared" si="344"/>
        <v>$C$1:$C$92</v>
      </c>
      <c r="C4413" s="159" t="str">
        <f t="shared" si="345"/>
        <v>December!$B$1:$B$92</v>
      </c>
      <c r="D4413" s="159" t="str">
        <f t="shared" si="346"/>
        <v>December!$C$1:$C$92</v>
      </c>
      <c r="E4413" t="s">
        <v>8</v>
      </c>
      <c r="F4413" t="s">
        <v>131</v>
      </c>
      <c r="G4413" t="s">
        <v>13</v>
      </c>
      <c r="H4413" t="s">
        <v>179</v>
      </c>
      <c r="I4413" t="e">
        <f t="shared" ca="1" si="347"/>
        <v>#REF!</v>
      </c>
      <c r="J4413" t="str">
        <f>VLOOKUP($G4413,DefinitionArrays!$I$6:$J$12,2,FALSE)</f>
        <v>Workweek</v>
      </c>
    </row>
    <row r="4414" spans="1:10">
      <c r="A4414" s="159" t="str">
        <f t="shared" si="343"/>
        <v>$B$1:$B$92</v>
      </c>
      <c r="B4414" s="159" t="str">
        <f t="shared" si="344"/>
        <v>$C$1:$C$92</v>
      </c>
      <c r="C4414" s="159" t="str">
        <f t="shared" si="345"/>
        <v>December!$B$1:$B$92</v>
      </c>
      <c r="D4414" s="159" t="str">
        <f t="shared" si="346"/>
        <v>December!$C$1:$C$92</v>
      </c>
      <c r="E4414" t="s">
        <v>8</v>
      </c>
      <c r="F4414" t="s">
        <v>131</v>
      </c>
      <c r="G4414" t="s">
        <v>13</v>
      </c>
      <c r="H4414" t="s">
        <v>180</v>
      </c>
      <c r="I4414" t="e">
        <f t="shared" ca="1" si="347"/>
        <v>#REF!</v>
      </c>
      <c r="J4414" t="str">
        <f>VLOOKUP($G4414,DefinitionArrays!$I$6:$J$12,2,FALSE)</f>
        <v>Workweek</v>
      </c>
    </row>
    <row r="4415" spans="1:10">
      <c r="A4415" s="159" t="str">
        <f t="shared" si="343"/>
        <v>$B$1:$B$92</v>
      </c>
      <c r="B4415" s="159" t="str">
        <f t="shared" si="344"/>
        <v>$C$1:$C$92</v>
      </c>
      <c r="C4415" s="159" t="str">
        <f t="shared" si="345"/>
        <v>December!$B$1:$B$92</v>
      </c>
      <c r="D4415" s="159" t="str">
        <f t="shared" si="346"/>
        <v>December!$C$1:$C$92</v>
      </c>
      <c r="E4415" t="s">
        <v>8</v>
      </c>
      <c r="F4415" t="s">
        <v>131</v>
      </c>
      <c r="G4415" t="s">
        <v>13</v>
      </c>
      <c r="H4415" t="s">
        <v>44</v>
      </c>
      <c r="I4415" t="e">
        <f t="shared" ca="1" si="347"/>
        <v>#REF!</v>
      </c>
      <c r="J4415" t="str">
        <f>VLOOKUP($G4415,DefinitionArrays!$I$6:$J$12,2,FALSE)</f>
        <v>Workweek</v>
      </c>
    </row>
    <row r="4416" spans="1:10">
      <c r="A4416" s="159" t="str">
        <f t="shared" si="343"/>
        <v>$E$1:$E$92</v>
      </c>
      <c r="B4416" s="159" t="str">
        <f t="shared" si="344"/>
        <v>$F$1:$F$92</v>
      </c>
      <c r="C4416" s="159" t="str">
        <f t="shared" si="345"/>
        <v>December!$E$1:$E$92</v>
      </c>
      <c r="D4416" s="159" t="str">
        <f t="shared" si="346"/>
        <v>December!$F$1:$F$92</v>
      </c>
      <c r="E4416" t="s">
        <v>8</v>
      </c>
      <c r="F4416" t="s">
        <v>131</v>
      </c>
      <c r="G4416" t="s">
        <v>142</v>
      </c>
      <c r="H4416" t="s">
        <v>159</v>
      </c>
      <c r="I4416" t="e">
        <f t="shared" ca="1" si="347"/>
        <v>#REF!</v>
      </c>
      <c r="J4416" t="str">
        <f>VLOOKUP($G4416,DefinitionArrays!$I$6:$J$12,2,FALSE)</f>
        <v>Workweek</v>
      </c>
    </row>
    <row r="4417" spans="1:10">
      <c r="A4417" s="159" t="str">
        <f t="shared" si="343"/>
        <v>$E$1:$E$92</v>
      </c>
      <c r="B4417" s="159" t="str">
        <f t="shared" si="344"/>
        <v>$F$1:$F$92</v>
      </c>
      <c r="C4417" s="159" t="str">
        <f t="shared" si="345"/>
        <v>December!$E$1:$E$92</v>
      </c>
      <c r="D4417" s="159" t="str">
        <f t="shared" si="346"/>
        <v>December!$F$1:$F$92</v>
      </c>
      <c r="E4417" t="s">
        <v>8</v>
      </c>
      <c r="F4417" t="s">
        <v>131</v>
      </c>
      <c r="G4417" t="s">
        <v>142</v>
      </c>
      <c r="H4417" t="s">
        <v>18</v>
      </c>
      <c r="I4417" t="e">
        <f t="shared" ca="1" si="347"/>
        <v>#REF!</v>
      </c>
      <c r="J4417" t="str">
        <f>VLOOKUP($G4417,DefinitionArrays!$I$6:$J$12,2,FALSE)</f>
        <v>Workweek</v>
      </c>
    </row>
    <row r="4418" spans="1:10">
      <c r="A4418" s="159" t="str">
        <f t="shared" ref="A4418:A4481" si="348">VLOOKUP($G4418,Fx_Code,2,FALSE)</f>
        <v>$E$1:$E$92</v>
      </c>
      <c r="B4418" s="159" t="str">
        <f t="shared" ref="B4418:B4481" si="349">VLOOKUP($G4418,Fx_Code,3,FALSE)</f>
        <v>$F$1:$F$92</v>
      </c>
      <c r="C4418" s="159" t="str">
        <f t="shared" ref="C4418:C4481" si="350">CONCATENATE($F4418,$K$1,A4418)</f>
        <v>December!$E$1:$E$92</v>
      </c>
      <c r="D4418" s="159" t="str">
        <f t="shared" ref="D4418:D4481" si="351">CONCATENATE($F4418,$K$1,B4418)</f>
        <v>December!$F$1:$F$92</v>
      </c>
      <c r="E4418" t="s">
        <v>8</v>
      </c>
      <c r="F4418" t="s">
        <v>131</v>
      </c>
      <c r="G4418" t="s">
        <v>142</v>
      </c>
      <c r="H4418" t="s">
        <v>153</v>
      </c>
      <c r="I4418" t="e">
        <f t="shared" ca="1" si="347"/>
        <v>#REF!</v>
      </c>
      <c r="J4418" t="str">
        <f>VLOOKUP($G4418,DefinitionArrays!$I$6:$J$12,2,FALSE)</f>
        <v>Workweek</v>
      </c>
    </row>
    <row r="4419" spans="1:10">
      <c r="A4419" s="159" t="str">
        <f t="shared" si="348"/>
        <v>$E$1:$E$92</v>
      </c>
      <c r="B4419" s="159" t="str">
        <f t="shared" si="349"/>
        <v>$F$1:$F$92</v>
      </c>
      <c r="C4419" s="159" t="str">
        <f t="shared" si="350"/>
        <v>December!$E$1:$E$92</v>
      </c>
      <c r="D4419" s="159" t="str">
        <f t="shared" si="351"/>
        <v>December!$F$1:$F$92</v>
      </c>
      <c r="E4419" t="s">
        <v>8</v>
      </c>
      <c r="F4419" t="s">
        <v>131</v>
      </c>
      <c r="G4419" t="s">
        <v>142</v>
      </c>
      <c r="H4419" t="s">
        <v>19</v>
      </c>
      <c r="I4419" t="e">
        <f t="shared" ca="1" si="347"/>
        <v>#REF!</v>
      </c>
      <c r="J4419" t="str">
        <f>VLOOKUP($G4419,DefinitionArrays!$I$6:$J$12,2,FALSE)</f>
        <v>Workweek</v>
      </c>
    </row>
    <row r="4420" spans="1:10">
      <c r="A4420" s="159" t="str">
        <f t="shared" si="348"/>
        <v>$E$1:$E$92</v>
      </c>
      <c r="B4420" s="159" t="str">
        <f t="shared" si="349"/>
        <v>$F$1:$F$92</v>
      </c>
      <c r="C4420" s="159" t="str">
        <f t="shared" si="350"/>
        <v>December!$E$1:$E$92</v>
      </c>
      <c r="D4420" s="159" t="str">
        <f t="shared" si="351"/>
        <v>December!$F$1:$F$92</v>
      </c>
      <c r="E4420" t="s">
        <v>8</v>
      </c>
      <c r="F4420" t="s">
        <v>131</v>
      </c>
      <c r="G4420" t="s">
        <v>142</v>
      </c>
      <c r="H4420" t="s">
        <v>20</v>
      </c>
      <c r="I4420" t="e">
        <f t="shared" ca="1" si="347"/>
        <v>#REF!</v>
      </c>
      <c r="J4420" t="str">
        <f>VLOOKUP($G4420,DefinitionArrays!$I$6:$J$12,2,FALSE)</f>
        <v>Workweek</v>
      </c>
    </row>
    <row r="4421" spans="1:10">
      <c r="A4421" s="159" t="str">
        <f t="shared" si="348"/>
        <v>$E$1:$E$92</v>
      </c>
      <c r="B4421" s="159" t="str">
        <f t="shared" si="349"/>
        <v>$F$1:$F$92</v>
      </c>
      <c r="C4421" s="159" t="str">
        <f t="shared" si="350"/>
        <v>December!$E$1:$E$92</v>
      </c>
      <c r="D4421" s="159" t="str">
        <f t="shared" si="351"/>
        <v>December!$F$1:$F$92</v>
      </c>
      <c r="E4421" t="s">
        <v>8</v>
      </c>
      <c r="F4421" t="s">
        <v>131</v>
      </c>
      <c r="G4421" t="s">
        <v>142</v>
      </c>
      <c r="H4421" t="s">
        <v>21</v>
      </c>
      <c r="I4421" t="e">
        <f t="shared" ca="1" si="347"/>
        <v>#REF!</v>
      </c>
      <c r="J4421" t="str">
        <f>VLOOKUP($G4421,DefinitionArrays!$I$6:$J$12,2,FALSE)</f>
        <v>Workweek</v>
      </c>
    </row>
    <row r="4422" spans="1:10">
      <c r="A4422" s="159" t="str">
        <f t="shared" si="348"/>
        <v>$E$1:$E$92</v>
      </c>
      <c r="B4422" s="159" t="str">
        <f t="shared" si="349"/>
        <v>$F$1:$F$92</v>
      </c>
      <c r="C4422" s="159" t="str">
        <f t="shared" si="350"/>
        <v>December!$E$1:$E$92</v>
      </c>
      <c r="D4422" s="159" t="str">
        <f t="shared" si="351"/>
        <v>December!$F$1:$F$92</v>
      </c>
      <c r="E4422" t="s">
        <v>8</v>
      </c>
      <c r="F4422" t="s">
        <v>131</v>
      </c>
      <c r="G4422" t="s">
        <v>142</v>
      </c>
      <c r="H4422" t="s">
        <v>22</v>
      </c>
      <c r="I4422" t="e">
        <f t="shared" ca="1" si="347"/>
        <v>#REF!</v>
      </c>
      <c r="J4422" t="str">
        <f>VLOOKUP($G4422,DefinitionArrays!$I$6:$J$12,2,FALSE)</f>
        <v>Workweek</v>
      </c>
    </row>
    <row r="4423" spans="1:10">
      <c r="A4423" s="159" t="str">
        <f t="shared" si="348"/>
        <v>$E$1:$E$92</v>
      </c>
      <c r="B4423" s="159" t="str">
        <f t="shared" si="349"/>
        <v>$F$1:$F$92</v>
      </c>
      <c r="C4423" s="159" t="str">
        <f t="shared" si="350"/>
        <v>December!$E$1:$E$92</v>
      </c>
      <c r="D4423" s="159" t="str">
        <f t="shared" si="351"/>
        <v>December!$F$1:$F$92</v>
      </c>
      <c r="E4423" t="s">
        <v>8</v>
      </c>
      <c r="F4423" t="s">
        <v>131</v>
      </c>
      <c r="G4423" t="s">
        <v>142</v>
      </c>
      <c r="H4423" t="s">
        <v>23</v>
      </c>
      <c r="I4423" t="e">
        <f t="shared" ca="1" si="347"/>
        <v>#REF!</v>
      </c>
      <c r="J4423" t="str">
        <f>VLOOKUP($G4423,DefinitionArrays!$I$6:$J$12,2,FALSE)</f>
        <v>Workweek</v>
      </c>
    </row>
    <row r="4424" spans="1:10">
      <c r="A4424" s="159" t="str">
        <f t="shared" si="348"/>
        <v>$E$1:$E$92</v>
      </c>
      <c r="B4424" s="159" t="str">
        <f t="shared" si="349"/>
        <v>$F$1:$F$92</v>
      </c>
      <c r="C4424" s="159" t="str">
        <f t="shared" si="350"/>
        <v>December!$E$1:$E$92</v>
      </c>
      <c r="D4424" s="159" t="str">
        <f t="shared" si="351"/>
        <v>December!$F$1:$F$92</v>
      </c>
      <c r="E4424" t="s">
        <v>8</v>
      </c>
      <c r="F4424" t="s">
        <v>131</v>
      </c>
      <c r="G4424" t="s">
        <v>142</v>
      </c>
      <c r="H4424" t="s">
        <v>24</v>
      </c>
      <c r="I4424" t="e">
        <f t="shared" ca="1" si="347"/>
        <v>#REF!</v>
      </c>
      <c r="J4424" t="str">
        <f>VLOOKUP($G4424,DefinitionArrays!$I$6:$J$12,2,FALSE)</f>
        <v>Workweek</v>
      </c>
    </row>
    <row r="4425" spans="1:10">
      <c r="A4425" s="159" t="str">
        <f t="shared" si="348"/>
        <v>$E$1:$E$92</v>
      </c>
      <c r="B4425" s="159" t="str">
        <f t="shared" si="349"/>
        <v>$F$1:$F$92</v>
      </c>
      <c r="C4425" s="159" t="str">
        <f t="shared" si="350"/>
        <v>December!$E$1:$E$92</v>
      </c>
      <c r="D4425" s="159" t="str">
        <f t="shared" si="351"/>
        <v>December!$F$1:$F$92</v>
      </c>
      <c r="E4425" t="s">
        <v>8</v>
      </c>
      <c r="F4425" t="s">
        <v>131</v>
      </c>
      <c r="G4425" t="s">
        <v>142</v>
      </c>
      <c r="H4425" t="s">
        <v>179</v>
      </c>
      <c r="I4425" t="e">
        <f t="shared" ca="1" si="347"/>
        <v>#REF!</v>
      </c>
      <c r="J4425" t="str">
        <f>VLOOKUP($G4425,DefinitionArrays!$I$6:$J$12,2,FALSE)</f>
        <v>Workweek</v>
      </c>
    </row>
    <row r="4426" spans="1:10">
      <c r="A4426" s="159" t="str">
        <f t="shared" si="348"/>
        <v>$E$1:$E$92</v>
      </c>
      <c r="B4426" s="159" t="str">
        <f t="shared" si="349"/>
        <v>$F$1:$F$92</v>
      </c>
      <c r="C4426" s="159" t="str">
        <f t="shared" si="350"/>
        <v>December!$E$1:$E$92</v>
      </c>
      <c r="D4426" s="159" t="str">
        <f t="shared" si="351"/>
        <v>December!$F$1:$F$92</v>
      </c>
      <c r="E4426" t="s">
        <v>8</v>
      </c>
      <c r="F4426" t="s">
        <v>131</v>
      </c>
      <c r="G4426" t="s">
        <v>142</v>
      </c>
      <c r="H4426" t="s">
        <v>180</v>
      </c>
      <c r="I4426" t="e">
        <f t="shared" ca="1" si="347"/>
        <v>#REF!</v>
      </c>
      <c r="J4426" t="str">
        <f>VLOOKUP($G4426,DefinitionArrays!$I$6:$J$12,2,FALSE)</f>
        <v>Workweek</v>
      </c>
    </row>
    <row r="4427" spans="1:10">
      <c r="A4427" s="159" t="str">
        <f t="shared" si="348"/>
        <v>$E$1:$E$92</v>
      </c>
      <c r="B4427" s="159" t="str">
        <f t="shared" si="349"/>
        <v>$F$1:$F$92</v>
      </c>
      <c r="C4427" s="159" t="str">
        <f t="shared" si="350"/>
        <v>December!$E$1:$E$92</v>
      </c>
      <c r="D4427" s="159" t="str">
        <f t="shared" si="351"/>
        <v>December!$F$1:$F$92</v>
      </c>
      <c r="E4427" t="s">
        <v>8</v>
      </c>
      <c r="F4427" t="s">
        <v>131</v>
      </c>
      <c r="G4427" t="s">
        <v>142</v>
      </c>
      <c r="H4427" t="s">
        <v>44</v>
      </c>
      <c r="I4427" t="e">
        <f t="shared" ca="1" si="347"/>
        <v>#REF!</v>
      </c>
      <c r="J4427" t="str">
        <f>VLOOKUP($G4427,DefinitionArrays!$I$6:$J$12,2,FALSE)</f>
        <v>Workweek</v>
      </c>
    </row>
    <row r="4428" spans="1:10">
      <c r="A4428" s="159" t="str">
        <f t="shared" si="348"/>
        <v>$H$1:$H$92</v>
      </c>
      <c r="B4428" s="159" t="str">
        <f t="shared" si="349"/>
        <v>$I$1:$I$92</v>
      </c>
      <c r="C4428" s="159" t="str">
        <f t="shared" si="350"/>
        <v>December!$H$1:$H$92</v>
      </c>
      <c r="D4428" s="159" t="str">
        <f t="shared" si="351"/>
        <v>December!$I$1:$I$92</v>
      </c>
      <c r="E4428" t="s">
        <v>8</v>
      </c>
      <c r="F4428" t="s">
        <v>131</v>
      </c>
      <c r="G4428" t="s">
        <v>143</v>
      </c>
      <c r="H4428" t="s">
        <v>159</v>
      </c>
      <c r="I4428" t="e">
        <f t="shared" ca="1" si="347"/>
        <v>#REF!</v>
      </c>
      <c r="J4428" t="str">
        <f>VLOOKUP($G4428,DefinitionArrays!$I$6:$J$12,2,FALSE)</f>
        <v>Workweek</v>
      </c>
    </row>
    <row r="4429" spans="1:10">
      <c r="A4429" s="159" t="str">
        <f t="shared" si="348"/>
        <v>$H$1:$H$92</v>
      </c>
      <c r="B4429" s="159" t="str">
        <f t="shared" si="349"/>
        <v>$I$1:$I$92</v>
      </c>
      <c r="C4429" s="159" t="str">
        <f t="shared" si="350"/>
        <v>December!$H$1:$H$92</v>
      </c>
      <c r="D4429" s="159" t="str">
        <f t="shared" si="351"/>
        <v>December!$I$1:$I$92</v>
      </c>
      <c r="E4429" t="s">
        <v>8</v>
      </c>
      <c r="F4429" t="s">
        <v>131</v>
      </c>
      <c r="G4429" t="s">
        <v>143</v>
      </c>
      <c r="H4429" t="s">
        <v>18</v>
      </c>
      <c r="I4429" t="e">
        <f t="shared" ca="1" si="347"/>
        <v>#REF!</v>
      </c>
      <c r="J4429" t="str">
        <f>VLOOKUP($G4429,DefinitionArrays!$I$6:$J$12,2,FALSE)</f>
        <v>Workweek</v>
      </c>
    </row>
    <row r="4430" spans="1:10">
      <c r="A4430" s="159" t="str">
        <f t="shared" si="348"/>
        <v>$H$1:$H$92</v>
      </c>
      <c r="B4430" s="159" t="str">
        <f t="shared" si="349"/>
        <v>$I$1:$I$92</v>
      </c>
      <c r="C4430" s="159" t="str">
        <f t="shared" si="350"/>
        <v>December!$H$1:$H$92</v>
      </c>
      <c r="D4430" s="159" t="str">
        <f t="shared" si="351"/>
        <v>December!$I$1:$I$92</v>
      </c>
      <c r="E4430" t="s">
        <v>8</v>
      </c>
      <c r="F4430" t="s">
        <v>131</v>
      </c>
      <c r="G4430" t="s">
        <v>143</v>
      </c>
      <c r="H4430" t="s">
        <v>153</v>
      </c>
      <c r="I4430" t="e">
        <f t="shared" ca="1" si="347"/>
        <v>#REF!</v>
      </c>
      <c r="J4430" t="str">
        <f>VLOOKUP($G4430,DefinitionArrays!$I$6:$J$12,2,FALSE)</f>
        <v>Workweek</v>
      </c>
    </row>
    <row r="4431" spans="1:10">
      <c r="A4431" s="159" t="str">
        <f t="shared" si="348"/>
        <v>$H$1:$H$92</v>
      </c>
      <c r="B4431" s="159" t="str">
        <f t="shared" si="349"/>
        <v>$I$1:$I$92</v>
      </c>
      <c r="C4431" s="159" t="str">
        <f t="shared" si="350"/>
        <v>December!$H$1:$H$92</v>
      </c>
      <c r="D4431" s="159" t="str">
        <f t="shared" si="351"/>
        <v>December!$I$1:$I$92</v>
      </c>
      <c r="E4431" t="s">
        <v>8</v>
      </c>
      <c r="F4431" t="s">
        <v>131</v>
      </c>
      <c r="G4431" t="s">
        <v>143</v>
      </c>
      <c r="H4431" t="s">
        <v>19</v>
      </c>
      <c r="I4431" t="e">
        <f t="shared" ca="1" si="347"/>
        <v>#REF!</v>
      </c>
      <c r="J4431" t="str">
        <f>VLOOKUP($G4431,DefinitionArrays!$I$6:$J$12,2,FALSE)</f>
        <v>Workweek</v>
      </c>
    </row>
    <row r="4432" spans="1:10">
      <c r="A4432" s="159" t="str">
        <f t="shared" si="348"/>
        <v>$H$1:$H$92</v>
      </c>
      <c r="B4432" s="159" t="str">
        <f t="shared" si="349"/>
        <v>$I$1:$I$92</v>
      </c>
      <c r="C4432" s="159" t="str">
        <f t="shared" si="350"/>
        <v>December!$H$1:$H$92</v>
      </c>
      <c r="D4432" s="159" t="str">
        <f t="shared" si="351"/>
        <v>December!$I$1:$I$92</v>
      </c>
      <c r="E4432" t="s">
        <v>8</v>
      </c>
      <c r="F4432" t="s">
        <v>131</v>
      </c>
      <c r="G4432" t="s">
        <v>143</v>
      </c>
      <c r="H4432" t="s">
        <v>20</v>
      </c>
      <c r="I4432" t="e">
        <f t="shared" ca="1" si="347"/>
        <v>#REF!</v>
      </c>
      <c r="J4432" t="str">
        <f>VLOOKUP($G4432,DefinitionArrays!$I$6:$J$12,2,FALSE)</f>
        <v>Workweek</v>
      </c>
    </row>
    <row r="4433" spans="1:10">
      <c r="A4433" s="159" t="str">
        <f t="shared" si="348"/>
        <v>$H$1:$H$92</v>
      </c>
      <c r="B4433" s="159" t="str">
        <f t="shared" si="349"/>
        <v>$I$1:$I$92</v>
      </c>
      <c r="C4433" s="159" t="str">
        <f t="shared" si="350"/>
        <v>December!$H$1:$H$92</v>
      </c>
      <c r="D4433" s="159" t="str">
        <f t="shared" si="351"/>
        <v>December!$I$1:$I$92</v>
      </c>
      <c r="E4433" t="s">
        <v>8</v>
      </c>
      <c r="F4433" t="s">
        <v>131</v>
      </c>
      <c r="G4433" t="s">
        <v>143</v>
      </c>
      <c r="H4433" t="s">
        <v>21</v>
      </c>
      <c r="I4433" t="e">
        <f t="shared" ca="1" si="347"/>
        <v>#REF!</v>
      </c>
      <c r="J4433" t="str">
        <f>VLOOKUP($G4433,DefinitionArrays!$I$6:$J$12,2,FALSE)</f>
        <v>Workweek</v>
      </c>
    </row>
    <row r="4434" spans="1:10">
      <c r="A4434" s="159" t="str">
        <f t="shared" si="348"/>
        <v>$H$1:$H$92</v>
      </c>
      <c r="B4434" s="159" t="str">
        <f t="shared" si="349"/>
        <v>$I$1:$I$92</v>
      </c>
      <c r="C4434" s="159" t="str">
        <f t="shared" si="350"/>
        <v>December!$H$1:$H$92</v>
      </c>
      <c r="D4434" s="159" t="str">
        <f t="shared" si="351"/>
        <v>December!$I$1:$I$92</v>
      </c>
      <c r="E4434" t="s">
        <v>8</v>
      </c>
      <c r="F4434" t="s">
        <v>131</v>
      </c>
      <c r="G4434" t="s">
        <v>143</v>
      </c>
      <c r="H4434" t="s">
        <v>22</v>
      </c>
      <c r="I4434" t="e">
        <f t="shared" ca="1" si="347"/>
        <v>#REF!</v>
      </c>
      <c r="J4434" t="str">
        <f>VLOOKUP($G4434,DefinitionArrays!$I$6:$J$12,2,FALSE)</f>
        <v>Workweek</v>
      </c>
    </row>
    <row r="4435" spans="1:10">
      <c r="A4435" s="159" t="str">
        <f t="shared" si="348"/>
        <v>$H$1:$H$92</v>
      </c>
      <c r="B4435" s="159" t="str">
        <f t="shared" si="349"/>
        <v>$I$1:$I$92</v>
      </c>
      <c r="C4435" s="159" t="str">
        <f t="shared" si="350"/>
        <v>December!$H$1:$H$92</v>
      </c>
      <c r="D4435" s="159" t="str">
        <f t="shared" si="351"/>
        <v>December!$I$1:$I$92</v>
      </c>
      <c r="E4435" t="s">
        <v>8</v>
      </c>
      <c r="F4435" t="s">
        <v>131</v>
      </c>
      <c r="G4435" t="s">
        <v>143</v>
      </c>
      <c r="H4435" t="s">
        <v>23</v>
      </c>
      <c r="I4435" t="e">
        <f t="shared" ca="1" si="347"/>
        <v>#REF!</v>
      </c>
      <c r="J4435" t="str">
        <f>VLOOKUP($G4435,DefinitionArrays!$I$6:$J$12,2,FALSE)</f>
        <v>Workweek</v>
      </c>
    </row>
    <row r="4436" spans="1:10">
      <c r="A4436" s="159" t="str">
        <f t="shared" si="348"/>
        <v>$H$1:$H$92</v>
      </c>
      <c r="B4436" s="159" t="str">
        <f t="shared" si="349"/>
        <v>$I$1:$I$92</v>
      </c>
      <c r="C4436" s="159" t="str">
        <f t="shared" si="350"/>
        <v>December!$H$1:$H$92</v>
      </c>
      <c r="D4436" s="159" t="str">
        <f t="shared" si="351"/>
        <v>December!$I$1:$I$92</v>
      </c>
      <c r="E4436" t="s">
        <v>8</v>
      </c>
      <c r="F4436" t="s">
        <v>131</v>
      </c>
      <c r="G4436" t="s">
        <v>143</v>
      </c>
      <c r="H4436" t="s">
        <v>24</v>
      </c>
      <c r="I4436" t="e">
        <f t="shared" ca="1" si="347"/>
        <v>#REF!</v>
      </c>
      <c r="J4436" t="str">
        <f>VLOOKUP($G4436,DefinitionArrays!$I$6:$J$12,2,FALSE)</f>
        <v>Workweek</v>
      </c>
    </row>
    <row r="4437" spans="1:10">
      <c r="A4437" s="159" t="str">
        <f t="shared" si="348"/>
        <v>$H$1:$H$92</v>
      </c>
      <c r="B4437" s="159" t="str">
        <f t="shared" si="349"/>
        <v>$I$1:$I$92</v>
      </c>
      <c r="C4437" s="159" t="str">
        <f t="shared" si="350"/>
        <v>December!$H$1:$H$92</v>
      </c>
      <c r="D4437" s="159" t="str">
        <f t="shared" si="351"/>
        <v>December!$I$1:$I$92</v>
      </c>
      <c r="E4437" t="s">
        <v>8</v>
      </c>
      <c r="F4437" t="s">
        <v>131</v>
      </c>
      <c r="G4437" t="s">
        <v>143</v>
      </c>
      <c r="H4437" t="s">
        <v>179</v>
      </c>
      <c r="I4437" t="e">
        <f t="shared" ca="1" si="347"/>
        <v>#REF!</v>
      </c>
      <c r="J4437" t="str">
        <f>VLOOKUP($G4437,DefinitionArrays!$I$6:$J$12,2,FALSE)</f>
        <v>Workweek</v>
      </c>
    </row>
    <row r="4438" spans="1:10">
      <c r="A4438" s="159" t="str">
        <f t="shared" si="348"/>
        <v>$H$1:$H$92</v>
      </c>
      <c r="B4438" s="159" t="str">
        <f t="shared" si="349"/>
        <v>$I$1:$I$92</v>
      </c>
      <c r="C4438" s="159" t="str">
        <f t="shared" si="350"/>
        <v>December!$H$1:$H$92</v>
      </c>
      <c r="D4438" s="159" t="str">
        <f t="shared" si="351"/>
        <v>December!$I$1:$I$92</v>
      </c>
      <c r="E4438" t="s">
        <v>8</v>
      </c>
      <c r="F4438" t="s">
        <v>131</v>
      </c>
      <c r="G4438" t="s">
        <v>143</v>
      </c>
      <c r="H4438" t="s">
        <v>180</v>
      </c>
      <c r="I4438" t="e">
        <f t="shared" ca="1" si="347"/>
        <v>#REF!</v>
      </c>
      <c r="J4438" t="str">
        <f>VLOOKUP($G4438,DefinitionArrays!$I$6:$J$12,2,FALSE)</f>
        <v>Workweek</v>
      </c>
    </row>
    <row r="4439" spans="1:10">
      <c r="A4439" s="159" t="str">
        <f t="shared" si="348"/>
        <v>$H$1:$H$92</v>
      </c>
      <c r="B4439" s="159" t="str">
        <f t="shared" si="349"/>
        <v>$I$1:$I$92</v>
      </c>
      <c r="C4439" s="159" t="str">
        <f t="shared" si="350"/>
        <v>December!$H$1:$H$92</v>
      </c>
      <c r="D4439" s="159" t="str">
        <f t="shared" si="351"/>
        <v>December!$I$1:$I$92</v>
      </c>
      <c r="E4439" t="s">
        <v>8</v>
      </c>
      <c r="F4439" t="s">
        <v>131</v>
      </c>
      <c r="G4439" t="s">
        <v>143</v>
      </c>
      <c r="H4439" t="s">
        <v>44</v>
      </c>
      <c r="I4439" t="e">
        <f t="shared" ca="1" si="347"/>
        <v>#REF!</v>
      </c>
      <c r="J4439" t="str">
        <f>VLOOKUP($G4439,DefinitionArrays!$I$6:$J$12,2,FALSE)</f>
        <v>Workweek</v>
      </c>
    </row>
    <row r="4440" spans="1:10">
      <c r="A4440" s="159" t="str">
        <f t="shared" si="348"/>
        <v>$K$1:$K$92</v>
      </c>
      <c r="B4440" s="159" t="str">
        <f t="shared" si="349"/>
        <v>$L$1:$L$92</v>
      </c>
      <c r="C4440" s="159" t="str">
        <f t="shared" si="350"/>
        <v>December!$K$1:$K$92</v>
      </c>
      <c r="D4440" s="159" t="str">
        <f t="shared" si="351"/>
        <v>December!$L$1:$L$92</v>
      </c>
      <c r="E4440" t="s">
        <v>8</v>
      </c>
      <c r="F4440" t="s">
        <v>131</v>
      </c>
      <c r="G4440" t="s">
        <v>144</v>
      </c>
      <c r="H4440" t="s">
        <v>159</v>
      </c>
      <c r="I4440" t="e">
        <f t="shared" ca="1" si="347"/>
        <v>#REF!</v>
      </c>
      <c r="J4440" t="str">
        <f>VLOOKUP($G4440,DefinitionArrays!$I$6:$J$12,2,FALSE)</f>
        <v>Workweek</v>
      </c>
    </row>
    <row r="4441" spans="1:10">
      <c r="A4441" s="159" t="str">
        <f t="shared" si="348"/>
        <v>$K$1:$K$92</v>
      </c>
      <c r="B4441" s="159" t="str">
        <f t="shared" si="349"/>
        <v>$L$1:$L$92</v>
      </c>
      <c r="C4441" s="159" t="str">
        <f t="shared" si="350"/>
        <v>December!$K$1:$K$92</v>
      </c>
      <c r="D4441" s="159" t="str">
        <f t="shared" si="351"/>
        <v>December!$L$1:$L$92</v>
      </c>
      <c r="E4441" t="s">
        <v>8</v>
      </c>
      <c r="F4441" t="s">
        <v>131</v>
      </c>
      <c r="G4441" t="s">
        <v>144</v>
      </c>
      <c r="H4441" t="s">
        <v>18</v>
      </c>
      <c r="I4441" t="e">
        <f t="shared" ca="1" si="347"/>
        <v>#REF!</v>
      </c>
      <c r="J4441" t="str">
        <f>VLOOKUP($G4441,DefinitionArrays!$I$6:$J$12,2,FALSE)</f>
        <v>Workweek</v>
      </c>
    </row>
    <row r="4442" spans="1:10">
      <c r="A4442" s="159" t="str">
        <f t="shared" si="348"/>
        <v>$K$1:$K$92</v>
      </c>
      <c r="B4442" s="159" t="str">
        <f t="shared" si="349"/>
        <v>$L$1:$L$92</v>
      </c>
      <c r="C4442" s="159" t="str">
        <f t="shared" si="350"/>
        <v>December!$K$1:$K$92</v>
      </c>
      <c r="D4442" s="159" t="str">
        <f t="shared" si="351"/>
        <v>December!$L$1:$L$92</v>
      </c>
      <c r="E4442" t="s">
        <v>8</v>
      </c>
      <c r="F4442" t="s">
        <v>131</v>
      </c>
      <c r="G4442" t="s">
        <v>144</v>
      </c>
      <c r="H4442" t="s">
        <v>153</v>
      </c>
      <c r="I4442" t="e">
        <f t="shared" ca="1" si="347"/>
        <v>#REF!</v>
      </c>
      <c r="J4442" t="str">
        <f>VLOOKUP($G4442,DefinitionArrays!$I$6:$J$12,2,FALSE)</f>
        <v>Workweek</v>
      </c>
    </row>
    <row r="4443" spans="1:10">
      <c r="A4443" s="159" t="str">
        <f t="shared" si="348"/>
        <v>$K$1:$K$92</v>
      </c>
      <c r="B4443" s="159" t="str">
        <f t="shared" si="349"/>
        <v>$L$1:$L$92</v>
      </c>
      <c r="C4443" s="159" t="str">
        <f t="shared" si="350"/>
        <v>December!$K$1:$K$92</v>
      </c>
      <c r="D4443" s="159" t="str">
        <f t="shared" si="351"/>
        <v>December!$L$1:$L$92</v>
      </c>
      <c r="E4443" t="s">
        <v>8</v>
      </c>
      <c r="F4443" t="s">
        <v>131</v>
      </c>
      <c r="G4443" t="s">
        <v>144</v>
      </c>
      <c r="H4443" t="s">
        <v>19</v>
      </c>
      <c r="I4443" t="e">
        <f t="shared" ca="1" si="347"/>
        <v>#REF!</v>
      </c>
      <c r="J4443" t="str">
        <f>VLOOKUP($G4443,DefinitionArrays!$I$6:$J$12,2,FALSE)</f>
        <v>Workweek</v>
      </c>
    </row>
    <row r="4444" spans="1:10">
      <c r="A4444" s="159" t="str">
        <f t="shared" si="348"/>
        <v>$K$1:$K$92</v>
      </c>
      <c r="B4444" s="159" t="str">
        <f t="shared" si="349"/>
        <v>$L$1:$L$92</v>
      </c>
      <c r="C4444" s="159" t="str">
        <f t="shared" si="350"/>
        <v>December!$K$1:$K$92</v>
      </c>
      <c r="D4444" s="159" t="str">
        <f t="shared" si="351"/>
        <v>December!$L$1:$L$92</v>
      </c>
      <c r="E4444" t="s">
        <v>8</v>
      </c>
      <c r="F4444" t="s">
        <v>131</v>
      </c>
      <c r="G4444" t="s">
        <v>144</v>
      </c>
      <c r="H4444" t="s">
        <v>20</v>
      </c>
      <c r="I4444" t="e">
        <f t="shared" ca="1" si="347"/>
        <v>#REF!</v>
      </c>
      <c r="J4444" t="str">
        <f>VLOOKUP($G4444,DefinitionArrays!$I$6:$J$12,2,FALSE)</f>
        <v>Workweek</v>
      </c>
    </row>
    <row r="4445" spans="1:10">
      <c r="A4445" s="159" t="str">
        <f t="shared" si="348"/>
        <v>$K$1:$K$92</v>
      </c>
      <c r="B4445" s="159" t="str">
        <f t="shared" si="349"/>
        <v>$L$1:$L$92</v>
      </c>
      <c r="C4445" s="159" t="str">
        <f t="shared" si="350"/>
        <v>December!$K$1:$K$92</v>
      </c>
      <c r="D4445" s="159" t="str">
        <f t="shared" si="351"/>
        <v>December!$L$1:$L$92</v>
      </c>
      <c r="E4445" t="s">
        <v>8</v>
      </c>
      <c r="F4445" t="s">
        <v>131</v>
      </c>
      <c r="G4445" t="s">
        <v>144</v>
      </c>
      <c r="H4445" t="s">
        <v>21</v>
      </c>
      <c r="I4445" t="e">
        <f t="shared" ca="1" si="347"/>
        <v>#REF!</v>
      </c>
      <c r="J4445" t="str">
        <f>VLOOKUP($G4445,DefinitionArrays!$I$6:$J$12,2,FALSE)</f>
        <v>Workweek</v>
      </c>
    </row>
    <row r="4446" spans="1:10">
      <c r="A4446" s="159" t="str">
        <f t="shared" si="348"/>
        <v>$K$1:$K$92</v>
      </c>
      <c r="B4446" s="159" t="str">
        <f t="shared" si="349"/>
        <v>$L$1:$L$92</v>
      </c>
      <c r="C4446" s="159" t="str">
        <f t="shared" si="350"/>
        <v>December!$K$1:$K$92</v>
      </c>
      <c r="D4446" s="159" t="str">
        <f t="shared" si="351"/>
        <v>December!$L$1:$L$92</v>
      </c>
      <c r="E4446" t="s">
        <v>8</v>
      </c>
      <c r="F4446" t="s">
        <v>131</v>
      </c>
      <c r="G4446" t="s">
        <v>144</v>
      </c>
      <c r="H4446" t="s">
        <v>22</v>
      </c>
      <c r="I4446" t="e">
        <f t="shared" ca="1" si="347"/>
        <v>#REF!</v>
      </c>
      <c r="J4446" t="str">
        <f>VLOOKUP($G4446,DefinitionArrays!$I$6:$J$12,2,FALSE)</f>
        <v>Workweek</v>
      </c>
    </row>
    <row r="4447" spans="1:10">
      <c r="A4447" s="159" t="str">
        <f t="shared" si="348"/>
        <v>$K$1:$K$92</v>
      </c>
      <c r="B4447" s="159" t="str">
        <f t="shared" si="349"/>
        <v>$L$1:$L$92</v>
      </c>
      <c r="C4447" s="159" t="str">
        <f t="shared" si="350"/>
        <v>December!$K$1:$K$92</v>
      </c>
      <c r="D4447" s="159" t="str">
        <f t="shared" si="351"/>
        <v>December!$L$1:$L$92</v>
      </c>
      <c r="E4447" t="s">
        <v>8</v>
      </c>
      <c r="F4447" t="s">
        <v>131</v>
      </c>
      <c r="G4447" t="s">
        <v>144</v>
      </c>
      <c r="H4447" t="s">
        <v>23</v>
      </c>
      <c r="I4447" t="e">
        <f t="shared" ca="1" si="347"/>
        <v>#REF!</v>
      </c>
      <c r="J4447" t="str">
        <f>VLOOKUP($G4447,DefinitionArrays!$I$6:$J$12,2,FALSE)</f>
        <v>Workweek</v>
      </c>
    </row>
    <row r="4448" spans="1:10">
      <c r="A4448" s="159" t="str">
        <f t="shared" si="348"/>
        <v>$K$1:$K$92</v>
      </c>
      <c r="B4448" s="159" t="str">
        <f t="shared" si="349"/>
        <v>$L$1:$L$92</v>
      </c>
      <c r="C4448" s="159" t="str">
        <f t="shared" si="350"/>
        <v>December!$K$1:$K$92</v>
      </c>
      <c r="D4448" s="159" t="str">
        <f t="shared" si="351"/>
        <v>December!$L$1:$L$92</v>
      </c>
      <c r="E4448" t="s">
        <v>8</v>
      </c>
      <c r="F4448" t="s">
        <v>131</v>
      </c>
      <c r="G4448" t="s">
        <v>144</v>
      </c>
      <c r="H4448" t="s">
        <v>24</v>
      </c>
      <c r="I4448" t="e">
        <f t="shared" ca="1" si="347"/>
        <v>#REF!</v>
      </c>
      <c r="J4448" t="str">
        <f>VLOOKUP($G4448,DefinitionArrays!$I$6:$J$12,2,FALSE)</f>
        <v>Workweek</v>
      </c>
    </row>
    <row r="4449" spans="1:10">
      <c r="A4449" s="159" t="str">
        <f t="shared" si="348"/>
        <v>$K$1:$K$92</v>
      </c>
      <c r="B4449" s="159" t="str">
        <f t="shared" si="349"/>
        <v>$L$1:$L$92</v>
      </c>
      <c r="C4449" s="159" t="str">
        <f t="shared" si="350"/>
        <v>December!$K$1:$K$92</v>
      </c>
      <c r="D4449" s="159" t="str">
        <f t="shared" si="351"/>
        <v>December!$L$1:$L$92</v>
      </c>
      <c r="E4449" t="s">
        <v>8</v>
      </c>
      <c r="F4449" t="s">
        <v>131</v>
      </c>
      <c r="G4449" t="s">
        <v>144</v>
      </c>
      <c r="H4449" t="s">
        <v>179</v>
      </c>
      <c r="I4449" t="e">
        <f t="shared" ca="1" si="347"/>
        <v>#REF!</v>
      </c>
      <c r="J4449" t="str">
        <f>VLOOKUP($G4449,DefinitionArrays!$I$6:$J$12,2,FALSE)</f>
        <v>Workweek</v>
      </c>
    </row>
    <row r="4450" spans="1:10">
      <c r="A4450" s="159" t="str">
        <f t="shared" si="348"/>
        <v>$K$1:$K$92</v>
      </c>
      <c r="B4450" s="159" t="str">
        <f t="shared" si="349"/>
        <v>$L$1:$L$92</v>
      </c>
      <c r="C4450" s="159" t="str">
        <f t="shared" si="350"/>
        <v>December!$K$1:$K$92</v>
      </c>
      <c r="D4450" s="159" t="str">
        <f t="shared" si="351"/>
        <v>December!$L$1:$L$92</v>
      </c>
      <c r="E4450" t="s">
        <v>8</v>
      </c>
      <c r="F4450" t="s">
        <v>131</v>
      </c>
      <c r="G4450" t="s">
        <v>144</v>
      </c>
      <c r="H4450" t="s">
        <v>180</v>
      </c>
      <c r="I4450" t="e">
        <f t="shared" ca="1" si="347"/>
        <v>#REF!</v>
      </c>
      <c r="J4450" t="str">
        <f>VLOOKUP($G4450,DefinitionArrays!$I$6:$J$12,2,FALSE)</f>
        <v>Workweek</v>
      </c>
    </row>
    <row r="4451" spans="1:10">
      <c r="A4451" s="159" t="str">
        <f t="shared" si="348"/>
        <v>$K$1:$K$92</v>
      </c>
      <c r="B4451" s="159" t="str">
        <f t="shared" si="349"/>
        <v>$L$1:$L$92</v>
      </c>
      <c r="C4451" s="159" t="str">
        <f t="shared" si="350"/>
        <v>December!$K$1:$K$92</v>
      </c>
      <c r="D4451" s="159" t="str">
        <f t="shared" si="351"/>
        <v>December!$L$1:$L$92</v>
      </c>
      <c r="E4451" t="s">
        <v>8</v>
      </c>
      <c r="F4451" t="s">
        <v>131</v>
      </c>
      <c r="G4451" t="s">
        <v>144</v>
      </c>
      <c r="H4451" t="s">
        <v>44</v>
      </c>
      <c r="I4451" t="e">
        <f t="shared" ca="1" si="347"/>
        <v>#REF!</v>
      </c>
      <c r="J4451" t="str">
        <f>VLOOKUP($G4451,DefinitionArrays!$I$6:$J$12,2,FALSE)</f>
        <v>Workweek</v>
      </c>
    </row>
    <row r="4452" spans="1:10">
      <c r="A4452" s="159" t="str">
        <f t="shared" si="348"/>
        <v>$N$1:$N$92</v>
      </c>
      <c r="B4452" s="159" t="str">
        <f t="shared" si="349"/>
        <v>$O$1:$O$92</v>
      </c>
      <c r="C4452" s="159" t="str">
        <f t="shared" si="350"/>
        <v>December!$N$1:$N$92</v>
      </c>
      <c r="D4452" s="159" t="str">
        <f t="shared" si="351"/>
        <v>December!$O$1:$O$92</v>
      </c>
      <c r="E4452" t="s">
        <v>8</v>
      </c>
      <c r="F4452" t="s">
        <v>131</v>
      </c>
      <c r="G4452" t="s">
        <v>145</v>
      </c>
      <c r="H4452" t="s">
        <v>159</v>
      </c>
      <c r="I4452" t="e">
        <f t="shared" ca="1" si="347"/>
        <v>#REF!</v>
      </c>
      <c r="J4452" t="str">
        <f>VLOOKUP($G4452,DefinitionArrays!$I$6:$J$12,2,FALSE)</f>
        <v>Weekend</v>
      </c>
    </row>
    <row r="4453" spans="1:10">
      <c r="A4453" s="159" t="str">
        <f t="shared" si="348"/>
        <v>$N$1:$N$92</v>
      </c>
      <c r="B4453" s="159" t="str">
        <f t="shared" si="349"/>
        <v>$O$1:$O$92</v>
      </c>
      <c r="C4453" s="159" t="str">
        <f t="shared" si="350"/>
        <v>December!$N$1:$N$92</v>
      </c>
      <c r="D4453" s="159" t="str">
        <f t="shared" si="351"/>
        <v>December!$O$1:$O$92</v>
      </c>
      <c r="E4453" t="s">
        <v>8</v>
      </c>
      <c r="F4453" t="s">
        <v>131</v>
      </c>
      <c r="G4453" t="s">
        <v>145</v>
      </c>
      <c r="H4453" t="s">
        <v>18</v>
      </c>
      <c r="I4453" t="e">
        <f t="shared" ca="1" si="347"/>
        <v>#REF!</v>
      </c>
      <c r="J4453" t="str">
        <f>VLOOKUP($G4453,DefinitionArrays!$I$6:$J$12,2,FALSE)</f>
        <v>Weekend</v>
      </c>
    </row>
    <row r="4454" spans="1:10">
      <c r="A4454" s="159" t="str">
        <f t="shared" si="348"/>
        <v>$N$1:$N$92</v>
      </c>
      <c r="B4454" s="159" t="str">
        <f t="shared" si="349"/>
        <v>$O$1:$O$92</v>
      </c>
      <c r="C4454" s="159" t="str">
        <f t="shared" si="350"/>
        <v>December!$N$1:$N$92</v>
      </c>
      <c r="D4454" s="159" t="str">
        <f t="shared" si="351"/>
        <v>December!$O$1:$O$92</v>
      </c>
      <c r="E4454" t="s">
        <v>8</v>
      </c>
      <c r="F4454" t="s">
        <v>131</v>
      </c>
      <c r="G4454" t="s">
        <v>145</v>
      </c>
      <c r="H4454" t="s">
        <v>153</v>
      </c>
      <c r="I4454" t="e">
        <f t="shared" ca="1" si="347"/>
        <v>#REF!</v>
      </c>
      <c r="J4454" t="str">
        <f>VLOOKUP($G4454,DefinitionArrays!$I$6:$J$12,2,FALSE)</f>
        <v>Weekend</v>
      </c>
    </row>
    <row r="4455" spans="1:10">
      <c r="A4455" s="159" t="str">
        <f t="shared" si="348"/>
        <v>$N$1:$N$92</v>
      </c>
      <c r="B4455" s="159" t="str">
        <f t="shared" si="349"/>
        <v>$O$1:$O$92</v>
      </c>
      <c r="C4455" s="159" t="str">
        <f t="shared" si="350"/>
        <v>December!$N$1:$N$92</v>
      </c>
      <c r="D4455" s="159" t="str">
        <f t="shared" si="351"/>
        <v>December!$O$1:$O$92</v>
      </c>
      <c r="E4455" t="s">
        <v>8</v>
      </c>
      <c r="F4455" t="s">
        <v>131</v>
      </c>
      <c r="G4455" t="s">
        <v>145</v>
      </c>
      <c r="H4455" t="s">
        <v>19</v>
      </c>
      <c r="I4455" t="e">
        <f t="shared" ca="1" si="347"/>
        <v>#REF!</v>
      </c>
      <c r="J4455" t="str">
        <f>VLOOKUP($G4455,DefinitionArrays!$I$6:$J$12,2,FALSE)</f>
        <v>Weekend</v>
      </c>
    </row>
    <row r="4456" spans="1:10">
      <c r="A4456" s="159" t="str">
        <f t="shared" si="348"/>
        <v>$N$1:$N$92</v>
      </c>
      <c r="B4456" s="159" t="str">
        <f t="shared" si="349"/>
        <v>$O$1:$O$92</v>
      </c>
      <c r="C4456" s="159" t="str">
        <f t="shared" si="350"/>
        <v>December!$N$1:$N$92</v>
      </c>
      <c r="D4456" s="159" t="str">
        <f t="shared" si="351"/>
        <v>December!$O$1:$O$92</v>
      </c>
      <c r="E4456" t="s">
        <v>8</v>
      </c>
      <c r="F4456" t="s">
        <v>131</v>
      </c>
      <c r="G4456" t="s">
        <v>145</v>
      </c>
      <c r="H4456" t="s">
        <v>20</v>
      </c>
      <c r="I4456" t="e">
        <f t="shared" ca="1" si="347"/>
        <v>#REF!</v>
      </c>
      <c r="J4456" t="str">
        <f>VLOOKUP($G4456,DefinitionArrays!$I$6:$J$12,2,FALSE)</f>
        <v>Weekend</v>
      </c>
    </row>
    <row r="4457" spans="1:10">
      <c r="A4457" s="159" t="str">
        <f t="shared" si="348"/>
        <v>$N$1:$N$92</v>
      </c>
      <c r="B4457" s="159" t="str">
        <f t="shared" si="349"/>
        <v>$O$1:$O$92</v>
      </c>
      <c r="C4457" s="159" t="str">
        <f t="shared" si="350"/>
        <v>December!$N$1:$N$92</v>
      </c>
      <c r="D4457" s="159" t="str">
        <f t="shared" si="351"/>
        <v>December!$O$1:$O$92</v>
      </c>
      <c r="E4457" t="s">
        <v>8</v>
      </c>
      <c r="F4457" t="s">
        <v>131</v>
      </c>
      <c r="G4457" t="s">
        <v>145</v>
      </c>
      <c r="H4457" t="s">
        <v>21</v>
      </c>
      <c r="I4457" t="e">
        <f t="shared" ca="1" si="347"/>
        <v>#REF!</v>
      </c>
      <c r="J4457" t="str">
        <f>VLOOKUP($G4457,DefinitionArrays!$I$6:$J$12,2,FALSE)</f>
        <v>Weekend</v>
      </c>
    </row>
    <row r="4458" spans="1:10">
      <c r="A4458" s="159" t="str">
        <f t="shared" si="348"/>
        <v>$N$1:$N$92</v>
      </c>
      <c r="B4458" s="159" t="str">
        <f t="shared" si="349"/>
        <v>$O$1:$O$92</v>
      </c>
      <c r="C4458" s="159" t="str">
        <f t="shared" si="350"/>
        <v>December!$N$1:$N$92</v>
      </c>
      <c r="D4458" s="159" t="str">
        <f t="shared" si="351"/>
        <v>December!$O$1:$O$92</v>
      </c>
      <c r="E4458" t="s">
        <v>8</v>
      </c>
      <c r="F4458" t="s">
        <v>131</v>
      </c>
      <c r="G4458" t="s">
        <v>145</v>
      </c>
      <c r="H4458" t="s">
        <v>22</v>
      </c>
      <c r="I4458" t="e">
        <f t="shared" ca="1" si="347"/>
        <v>#REF!</v>
      </c>
      <c r="J4458" t="str">
        <f>VLOOKUP($G4458,DefinitionArrays!$I$6:$J$12,2,FALSE)</f>
        <v>Weekend</v>
      </c>
    </row>
    <row r="4459" spans="1:10">
      <c r="A4459" s="159" t="str">
        <f t="shared" si="348"/>
        <v>$N$1:$N$92</v>
      </c>
      <c r="B4459" s="159" t="str">
        <f t="shared" si="349"/>
        <v>$O$1:$O$92</v>
      </c>
      <c r="C4459" s="159" t="str">
        <f t="shared" si="350"/>
        <v>December!$N$1:$N$92</v>
      </c>
      <c r="D4459" s="159" t="str">
        <f t="shared" si="351"/>
        <v>December!$O$1:$O$92</v>
      </c>
      <c r="E4459" t="s">
        <v>8</v>
      </c>
      <c r="F4459" t="s">
        <v>131</v>
      </c>
      <c r="G4459" t="s">
        <v>145</v>
      </c>
      <c r="H4459" t="s">
        <v>23</v>
      </c>
      <c r="I4459" t="e">
        <f t="shared" ca="1" si="347"/>
        <v>#REF!</v>
      </c>
      <c r="J4459" t="str">
        <f>VLOOKUP($G4459,DefinitionArrays!$I$6:$J$12,2,FALSE)</f>
        <v>Weekend</v>
      </c>
    </row>
    <row r="4460" spans="1:10">
      <c r="A4460" s="159" t="str">
        <f t="shared" si="348"/>
        <v>$N$1:$N$92</v>
      </c>
      <c r="B4460" s="159" t="str">
        <f t="shared" si="349"/>
        <v>$O$1:$O$92</v>
      </c>
      <c r="C4460" s="159" t="str">
        <f t="shared" si="350"/>
        <v>December!$N$1:$N$92</v>
      </c>
      <c r="D4460" s="159" t="str">
        <f t="shared" si="351"/>
        <v>December!$O$1:$O$92</v>
      </c>
      <c r="E4460" t="s">
        <v>8</v>
      </c>
      <c r="F4460" t="s">
        <v>131</v>
      </c>
      <c r="G4460" t="s">
        <v>145</v>
      </c>
      <c r="H4460" t="s">
        <v>24</v>
      </c>
      <c r="I4460" t="e">
        <f t="shared" ca="1" si="347"/>
        <v>#REF!</v>
      </c>
      <c r="J4460" t="str">
        <f>VLOOKUP($G4460,DefinitionArrays!$I$6:$J$12,2,FALSE)</f>
        <v>Weekend</v>
      </c>
    </row>
    <row r="4461" spans="1:10">
      <c r="A4461" s="159" t="str">
        <f t="shared" si="348"/>
        <v>$N$1:$N$92</v>
      </c>
      <c r="B4461" s="159" t="str">
        <f t="shared" si="349"/>
        <v>$O$1:$O$92</v>
      </c>
      <c r="C4461" s="159" t="str">
        <f t="shared" si="350"/>
        <v>December!$N$1:$N$92</v>
      </c>
      <c r="D4461" s="159" t="str">
        <f t="shared" si="351"/>
        <v>December!$O$1:$O$92</v>
      </c>
      <c r="E4461" t="s">
        <v>8</v>
      </c>
      <c r="F4461" t="s">
        <v>131</v>
      </c>
      <c r="G4461" t="s">
        <v>145</v>
      </c>
      <c r="H4461" t="s">
        <v>179</v>
      </c>
      <c r="I4461" t="e">
        <f t="shared" ca="1" si="347"/>
        <v>#REF!</v>
      </c>
      <c r="J4461" t="str">
        <f>VLOOKUP($G4461,DefinitionArrays!$I$6:$J$12,2,FALSE)</f>
        <v>Weekend</v>
      </c>
    </row>
    <row r="4462" spans="1:10">
      <c r="A4462" s="159" t="str">
        <f t="shared" si="348"/>
        <v>$N$1:$N$92</v>
      </c>
      <c r="B4462" s="159" t="str">
        <f t="shared" si="349"/>
        <v>$O$1:$O$92</v>
      </c>
      <c r="C4462" s="159" t="str">
        <f t="shared" si="350"/>
        <v>December!$N$1:$N$92</v>
      </c>
      <c r="D4462" s="159" t="str">
        <f t="shared" si="351"/>
        <v>December!$O$1:$O$92</v>
      </c>
      <c r="E4462" t="s">
        <v>8</v>
      </c>
      <c r="F4462" t="s">
        <v>131</v>
      </c>
      <c r="G4462" t="s">
        <v>145</v>
      </c>
      <c r="H4462" t="s">
        <v>180</v>
      </c>
      <c r="I4462" t="e">
        <f t="shared" ca="1" si="347"/>
        <v>#REF!</v>
      </c>
      <c r="J4462" t="str">
        <f>VLOOKUP($G4462,DefinitionArrays!$I$6:$J$12,2,FALSE)</f>
        <v>Weekend</v>
      </c>
    </row>
    <row r="4463" spans="1:10">
      <c r="A4463" s="159" t="str">
        <f t="shared" si="348"/>
        <v>$N$1:$N$92</v>
      </c>
      <c r="B4463" s="159" t="str">
        <f t="shared" si="349"/>
        <v>$O$1:$O$92</v>
      </c>
      <c r="C4463" s="159" t="str">
        <f t="shared" si="350"/>
        <v>December!$N$1:$N$92</v>
      </c>
      <c r="D4463" s="159" t="str">
        <f t="shared" si="351"/>
        <v>December!$O$1:$O$92</v>
      </c>
      <c r="E4463" t="s">
        <v>8</v>
      </c>
      <c r="F4463" t="s">
        <v>131</v>
      </c>
      <c r="G4463" t="s">
        <v>145</v>
      </c>
      <c r="H4463" t="s">
        <v>44</v>
      </c>
      <c r="I4463" t="e">
        <f t="shared" ca="1" si="347"/>
        <v>#REF!</v>
      </c>
      <c r="J4463" t="str">
        <f>VLOOKUP($G4463,DefinitionArrays!$I$6:$J$12,2,FALSE)</f>
        <v>Weekend</v>
      </c>
    </row>
    <row r="4464" spans="1:10">
      <c r="A4464" s="159" t="str">
        <f t="shared" si="348"/>
        <v>$Q$1:$Q$92</v>
      </c>
      <c r="B4464" s="159" t="str">
        <f t="shared" si="349"/>
        <v>$R$1:$R$92</v>
      </c>
      <c r="C4464" s="159" t="str">
        <f t="shared" si="350"/>
        <v>December!$Q$1:$Q$92</v>
      </c>
      <c r="D4464" s="159" t="str">
        <f t="shared" si="351"/>
        <v>December!$R$1:$R$92</v>
      </c>
      <c r="E4464" t="s">
        <v>8</v>
      </c>
      <c r="F4464" t="s">
        <v>131</v>
      </c>
      <c r="G4464" t="s">
        <v>146</v>
      </c>
      <c r="H4464" t="s">
        <v>159</v>
      </c>
      <c r="I4464" t="e">
        <f t="shared" ca="1" si="347"/>
        <v>#REF!</v>
      </c>
      <c r="J4464" t="str">
        <f>VLOOKUP($G4464,DefinitionArrays!$I$6:$J$12,2,FALSE)</f>
        <v>Weekend</v>
      </c>
    </row>
    <row r="4465" spans="1:10">
      <c r="A4465" s="159" t="str">
        <f t="shared" si="348"/>
        <v>$T$1:$T$92</v>
      </c>
      <c r="B4465" s="159" t="str">
        <f t="shared" si="349"/>
        <v>$U$1:$U$92</v>
      </c>
      <c r="C4465" s="159" t="str">
        <f t="shared" si="350"/>
        <v>December!$T$1:$T$92</v>
      </c>
      <c r="D4465" s="159" t="str">
        <f t="shared" si="351"/>
        <v>December!$U$1:$U$92</v>
      </c>
      <c r="E4465" t="s">
        <v>8</v>
      </c>
      <c r="F4465" t="s">
        <v>131</v>
      </c>
      <c r="G4465" t="s">
        <v>141</v>
      </c>
      <c r="H4465" t="s">
        <v>159</v>
      </c>
      <c r="I4465" t="e">
        <f t="shared" ca="1" si="347"/>
        <v>#REF!</v>
      </c>
      <c r="J4465" t="str">
        <f>VLOOKUP($G4465,DefinitionArrays!$I$6:$J$12,2,FALSE)</f>
        <v>Weekend</v>
      </c>
    </row>
    <row r="4466" spans="1:10">
      <c r="A4466" s="159" t="str">
        <f t="shared" si="348"/>
        <v>$B$1:$B$92</v>
      </c>
      <c r="B4466" s="159" t="str">
        <f t="shared" si="349"/>
        <v>$C$1:$C$92</v>
      </c>
      <c r="C4466" s="159" t="str">
        <f t="shared" si="350"/>
        <v>January!$B$1:$B$92</v>
      </c>
      <c r="D4466" s="159" t="str">
        <f t="shared" si="351"/>
        <v>January!$C$1:$C$92</v>
      </c>
      <c r="E4466" t="s">
        <v>9</v>
      </c>
      <c r="F4466" t="s">
        <v>48</v>
      </c>
      <c r="G4466" t="s">
        <v>13</v>
      </c>
      <c r="H4466" t="s">
        <v>159</v>
      </c>
      <c r="I4466" t="e">
        <f ca="1">COUNTIFS(INDIRECT($C4466),$E4466,INDIRECT($D4466),$H4466)</f>
        <v>#REF!</v>
      </c>
      <c r="J4466" t="str">
        <f>VLOOKUP($G4466,DefinitionArrays!$I$6:$J$12,2,FALSE)</f>
        <v>Workweek</v>
      </c>
    </row>
    <row r="4467" spans="1:10">
      <c r="A4467" s="159" t="str">
        <f t="shared" si="348"/>
        <v>$B$1:$B$92</v>
      </c>
      <c r="B4467" s="159" t="str">
        <f t="shared" si="349"/>
        <v>$C$1:$C$92</v>
      </c>
      <c r="C4467" s="159" t="str">
        <f t="shared" si="350"/>
        <v>January!$B$1:$B$92</v>
      </c>
      <c r="D4467" s="159" t="str">
        <f t="shared" si="351"/>
        <v>January!$C$1:$C$92</v>
      </c>
      <c r="E4467" t="s">
        <v>9</v>
      </c>
      <c r="F4467" t="s">
        <v>48</v>
      </c>
      <c r="G4467" t="s">
        <v>13</v>
      </c>
      <c r="H4467" t="s">
        <v>18</v>
      </c>
      <c r="I4467" t="e">
        <f t="shared" ref="I4467:I4527" ca="1" si="352">COUNTIFS(INDIRECT($C4467),$E4467,INDIRECT($D4467),$H4467)</f>
        <v>#REF!</v>
      </c>
      <c r="J4467" t="str">
        <f>VLOOKUP($G4467,DefinitionArrays!$I$6:$J$12,2,FALSE)</f>
        <v>Workweek</v>
      </c>
    </row>
    <row r="4468" spans="1:10">
      <c r="A4468" s="159" t="str">
        <f t="shared" si="348"/>
        <v>$B$1:$B$92</v>
      </c>
      <c r="B4468" s="159" t="str">
        <f t="shared" si="349"/>
        <v>$C$1:$C$92</v>
      </c>
      <c r="C4468" s="159" t="str">
        <f t="shared" si="350"/>
        <v>January!$B$1:$B$92</v>
      </c>
      <c r="D4468" s="159" t="str">
        <f t="shared" si="351"/>
        <v>January!$C$1:$C$92</v>
      </c>
      <c r="E4468" t="s">
        <v>9</v>
      </c>
      <c r="F4468" t="s">
        <v>48</v>
      </c>
      <c r="G4468" t="s">
        <v>13</v>
      </c>
      <c r="H4468" t="s">
        <v>153</v>
      </c>
      <c r="I4468" t="e">
        <f t="shared" ca="1" si="352"/>
        <v>#REF!</v>
      </c>
      <c r="J4468" t="str">
        <f>VLOOKUP($G4468,DefinitionArrays!$I$6:$J$12,2,FALSE)</f>
        <v>Workweek</v>
      </c>
    </row>
    <row r="4469" spans="1:10">
      <c r="A4469" s="159" t="str">
        <f t="shared" si="348"/>
        <v>$B$1:$B$92</v>
      </c>
      <c r="B4469" s="159" t="str">
        <f t="shared" si="349"/>
        <v>$C$1:$C$92</v>
      </c>
      <c r="C4469" s="159" t="str">
        <f t="shared" si="350"/>
        <v>January!$B$1:$B$92</v>
      </c>
      <c r="D4469" s="159" t="str">
        <f t="shared" si="351"/>
        <v>January!$C$1:$C$92</v>
      </c>
      <c r="E4469" t="s">
        <v>9</v>
      </c>
      <c r="F4469" t="s">
        <v>48</v>
      </c>
      <c r="G4469" t="s">
        <v>13</v>
      </c>
      <c r="H4469" t="s">
        <v>19</v>
      </c>
      <c r="I4469" t="e">
        <f t="shared" ca="1" si="352"/>
        <v>#REF!</v>
      </c>
      <c r="J4469" t="str">
        <f>VLOOKUP($G4469,DefinitionArrays!$I$6:$J$12,2,FALSE)</f>
        <v>Workweek</v>
      </c>
    </row>
    <row r="4470" spans="1:10">
      <c r="A4470" s="159" t="str">
        <f t="shared" si="348"/>
        <v>$B$1:$B$92</v>
      </c>
      <c r="B4470" s="159" t="str">
        <f t="shared" si="349"/>
        <v>$C$1:$C$92</v>
      </c>
      <c r="C4470" s="159" t="str">
        <f t="shared" si="350"/>
        <v>January!$B$1:$B$92</v>
      </c>
      <c r="D4470" s="159" t="str">
        <f t="shared" si="351"/>
        <v>January!$C$1:$C$92</v>
      </c>
      <c r="E4470" t="s">
        <v>9</v>
      </c>
      <c r="F4470" t="s">
        <v>48</v>
      </c>
      <c r="G4470" t="s">
        <v>13</v>
      </c>
      <c r="H4470" t="s">
        <v>20</v>
      </c>
      <c r="I4470" t="e">
        <f t="shared" ca="1" si="352"/>
        <v>#REF!</v>
      </c>
      <c r="J4470" t="str">
        <f>VLOOKUP($G4470,DefinitionArrays!$I$6:$J$12,2,FALSE)</f>
        <v>Workweek</v>
      </c>
    </row>
    <row r="4471" spans="1:10">
      <c r="A4471" s="159" t="str">
        <f t="shared" si="348"/>
        <v>$B$1:$B$92</v>
      </c>
      <c r="B4471" s="159" t="str">
        <f t="shared" si="349"/>
        <v>$C$1:$C$92</v>
      </c>
      <c r="C4471" s="159" t="str">
        <f t="shared" si="350"/>
        <v>January!$B$1:$B$92</v>
      </c>
      <c r="D4471" s="159" t="str">
        <f t="shared" si="351"/>
        <v>January!$C$1:$C$92</v>
      </c>
      <c r="E4471" t="s">
        <v>9</v>
      </c>
      <c r="F4471" t="s">
        <v>48</v>
      </c>
      <c r="G4471" t="s">
        <v>13</v>
      </c>
      <c r="H4471" t="s">
        <v>21</v>
      </c>
      <c r="I4471" t="e">
        <f t="shared" ca="1" si="352"/>
        <v>#REF!</v>
      </c>
      <c r="J4471" t="str">
        <f>VLOOKUP($G4471,DefinitionArrays!$I$6:$J$12,2,FALSE)</f>
        <v>Workweek</v>
      </c>
    </row>
    <row r="4472" spans="1:10">
      <c r="A4472" s="159" t="str">
        <f t="shared" si="348"/>
        <v>$B$1:$B$92</v>
      </c>
      <c r="B4472" s="159" t="str">
        <f t="shared" si="349"/>
        <v>$C$1:$C$92</v>
      </c>
      <c r="C4472" s="159" t="str">
        <f t="shared" si="350"/>
        <v>January!$B$1:$B$92</v>
      </c>
      <c r="D4472" s="159" t="str">
        <f t="shared" si="351"/>
        <v>January!$C$1:$C$92</v>
      </c>
      <c r="E4472" t="s">
        <v>9</v>
      </c>
      <c r="F4472" t="s">
        <v>48</v>
      </c>
      <c r="G4472" t="s">
        <v>13</v>
      </c>
      <c r="H4472" t="s">
        <v>22</v>
      </c>
      <c r="I4472" t="e">
        <f t="shared" ca="1" si="352"/>
        <v>#REF!</v>
      </c>
      <c r="J4472" t="str">
        <f>VLOOKUP($G4472,DefinitionArrays!$I$6:$J$12,2,FALSE)</f>
        <v>Workweek</v>
      </c>
    </row>
    <row r="4473" spans="1:10">
      <c r="A4473" s="159" t="str">
        <f t="shared" si="348"/>
        <v>$B$1:$B$92</v>
      </c>
      <c r="B4473" s="159" t="str">
        <f t="shared" si="349"/>
        <v>$C$1:$C$92</v>
      </c>
      <c r="C4473" s="159" t="str">
        <f t="shared" si="350"/>
        <v>January!$B$1:$B$92</v>
      </c>
      <c r="D4473" s="159" t="str">
        <f t="shared" si="351"/>
        <v>January!$C$1:$C$92</v>
      </c>
      <c r="E4473" t="s">
        <v>9</v>
      </c>
      <c r="F4473" t="s">
        <v>48</v>
      </c>
      <c r="G4473" t="s">
        <v>13</v>
      </c>
      <c r="H4473" t="s">
        <v>23</v>
      </c>
      <c r="I4473" t="e">
        <f t="shared" ca="1" si="352"/>
        <v>#REF!</v>
      </c>
      <c r="J4473" t="str">
        <f>VLOOKUP($G4473,DefinitionArrays!$I$6:$J$12,2,FALSE)</f>
        <v>Workweek</v>
      </c>
    </row>
    <row r="4474" spans="1:10">
      <c r="A4474" s="159" t="str">
        <f t="shared" si="348"/>
        <v>$B$1:$B$92</v>
      </c>
      <c r="B4474" s="159" t="str">
        <f t="shared" si="349"/>
        <v>$C$1:$C$92</v>
      </c>
      <c r="C4474" s="159" t="str">
        <f t="shared" si="350"/>
        <v>January!$B$1:$B$92</v>
      </c>
      <c r="D4474" s="159" t="str">
        <f t="shared" si="351"/>
        <v>January!$C$1:$C$92</v>
      </c>
      <c r="E4474" t="s">
        <v>9</v>
      </c>
      <c r="F4474" t="s">
        <v>48</v>
      </c>
      <c r="G4474" t="s">
        <v>13</v>
      </c>
      <c r="H4474" t="s">
        <v>24</v>
      </c>
      <c r="I4474" t="e">
        <f t="shared" ca="1" si="352"/>
        <v>#REF!</v>
      </c>
      <c r="J4474" t="str">
        <f>VLOOKUP($G4474,DefinitionArrays!$I$6:$J$12,2,FALSE)</f>
        <v>Workweek</v>
      </c>
    </row>
    <row r="4475" spans="1:10">
      <c r="A4475" s="159" t="str">
        <f t="shared" si="348"/>
        <v>$B$1:$B$92</v>
      </c>
      <c r="B4475" s="159" t="str">
        <f t="shared" si="349"/>
        <v>$C$1:$C$92</v>
      </c>
      <c r="C4475" s="159" t="str">
        <f t="shared" si="350"/>
        <v>January!$B$1:$B$92</v>
      </c>
      <c r="D4475" s="159" t="str">
        <f t="shared" si="351"/>
        <v>January!$C$1:$C$92</v>
      </c>
      <c r="E4475" t="s">
        <v>9</v>
      </c>
      <c r="F4475" t="s">
        <v>48</v>
      </c>
      <c r="G4475" t="s">
        <v>13</v>
      </c>
      <c r="H4475" t="s">
        <v>179</v>
      </c>
      <c r="I4475" t="e">
        <f t="shared" ca="1" si="352"/>
        <v>#REF!</v>
      </c>
      <c r="J4475" t="str">
        <f>VLOOKUP($G4475,DefinitionArrays!$I$6:$J$12,2,FALSE)</f>
        <v>Workweek</v>
      </c>
    </row>
    <row r="4476" spans="1:10">
      <c r="A4476" s="159" t="str">
        <f t="shared" si="348"/>
        <v>$B$1:$B$92</v>
      </c>
      <c r="B4476" s="159" t="str">
        <f t="shared" si="349"/>
        <v>$C$1:$C$92</v>
      </c>
      <c r="C4476" s="159" t="str">
        <f t="shared" si="350"/>
        <v>January!$B$1:$B$92</v>
      </c>
      <c r="D4476" s="159" t="str">
        <f t="shared" si="351"/>
        <v>January!$C$1:$C$92</v>
      </c>
      <c r="E4476" t="s">
        <v>9</v>
      </c>
      <c r="F4476" t="s">
        <v>48</v>
      </c>
      <c r="G4476" t="s">
        <v>13</v>
      </c>
      <c r="H4476" t="s">
        <v>180</v>
      </c>
      <c r="I4476" t="e">
        <f t="shared" ca="1" si="352"/>
        <v>#REF!</v>
      </c>
      <c r="J4476" t="str">
        <f>VLOOKUP($G4476,DefinitionArrays!$I$6:$J$12,2,FALSE)</f>
        <v>Workweek</v>
      </c>
    </row>
    <row r="4477" spans="1:10">
      <c r="A4477" s="159" t="str">
        <f t="shared" si="348"/>
        <v>$B$1:$B$92</v>
      </c>
      <c r="B4477" s="159" t="str">
        <f t="shared" si="349"/>
        <v>$C$1:$C$92</v>
      </c>
      <c r="C4477" s="159" t="str">
        <f t="shared" si="350"/>
        <v>January!$B$1:$B$92</v>
      </c>
      <c r="D4477" s="159" t="str">
        <f t="shared" si="351"/>
        <v>January!$C$1:$C$92</v>
      </c>
      <c r="E4477" t="s">
        <v>9</v>
      </c>
      <c r="F4477" t="s">
        <v>48</v>
      </c>
      <c r="G4477" t="s">
        <v>13</v>
      </c>
      <c r="H4477" t="s">
        <v>44</v>
      </c>
      <c r="I4477" t="e">
        <f t="shared" ca="1" si="352"/>
        <v>#REF!</v>
      </c>
      <c r="J4477" t="str">
        <f>VLOOKUP($G4477,DefinitionArrays!$I$6:$J$12,2,FALSE)</f>
        <v>Workweek</v>
      </c>
    </row>
    <row r="4478" spans="1:10">
      <c r="A4478" s="159" t="str">
        <f t="shared" si="348"/>
        <v>$E$1:$E$92</v>
      </c>
      <c r="B4478" s="159" t="str">
        <f t="shared" si="349"/>
        <v>$F$1:$F$92</v>
      </c>
      <c r="C4478" s="159" t="str">
        <f t="shared" si="350"/>
        <v>January!$E$1:$E$92</v>
      </c>
      <c r="D4478" s="159" t="str">
        <f t="shared" si="351"/>
        <v>January!$F$1:$F$92</v>
      </c>
      <c r="E4478" t="s">
        <v>9</v>
      </c>
      <c r="F4478" t="s">
        <v>48</v>
      </c>
      <c r="G4478" t="s">
        <v>142</v>
      </c>
      <c r="H4478" t="s">
        <v>159</v>
      </c>
      <c r="I4478" t="e">
        <f t="shared" ca="1" si="352"/>
        <v>#REF!</v>
      </c>
      <c r="J4478" t="str">
        <f>VLOOKUP($G4478,DefinitionArrays!$I$6:$J$12,2,FALSE)</f>
        <v>Workweek</v>
      </c>
    </row>
    <row r="4479" spans="1:10">
      <c r="A4479" s="159" t="str">
        <f t="shared" si="348"/>
        <v>$E$1:$E$92</v>
      </c>
      <c r="B4479" s="159" t="str">
        <f t="shared" si="349"/>
        <v>$F$1:$F$92</v>
      </c>
      <c r="C4479" s="159" t="str">
        <f t="shared" si="350"/>
        <v>January!$E$1:$E$92</v>
      </c>
      <c r="D4479" s="159" t="str">
        <f t="shared" si="351"/>
        <v>January!$F$1:$F$92</v>
      </c>
      <c r="E4479" t="s">
        <v>9</v>
      </c>
      <c r="F4479" t="s">
        <v>48</v>
      </c>
      <c r="G4479" t="s">
        <v>142</v>
      </c>
      <c r="H4479" t="s">
        <v>18</v>
      </c>
      <c r="I4479" t="e">
        <f t="shared" ca="1" si="352"/>
        <v>#REF!</v>
      </c>
      <c r="J4479" t="str">
        <f>VLOOKUP($G4479,DefinitionArrays!$I$6:$J$12,2,FALSE)</f>
        <v>Workweek</v>
      </c>
    </row>
    <row r="4480" spans="1:10">
      <c r="A4480" s="159" t="str">
        <f t="shared" si="348"/>
        <v>$E$1:$E$92</v>
      </c>
      <c r="B4480" s="159" t="str">
        <f t="shared" si="349"/>
        <v>$F$1:$F$92</v>
      </c>
      <c r="C4480" s="159" t="str">
        <f t="shared" si="350"/>
        <v>January!$E$1:$E$92</v>
      </c>
      <c r="D4480" s="159" t="str">
        <f t="shared" si="351"/>
        <v>January!$F$1:$F$92</v>
      </c>
      <c r="E4480" t="s">
        <v>9</v>
      </c>
      <c r="F4480" t="s">
        <v>48</v>
      </c>
      <c r="G4480" t="s">
        <v>142</v>
      </c>
      <c r="H4480" t="s">
        <v>153</v>
      </c>
      <c r="I4480" t="e">
        <f t="shared" ca="1" si="352"/>
        <v>#REF!</v>
      </c>
      <c r="J4480" t="str">
        <f>VLOOKUP($G4480,DefinitionArrays!$I$6:$J$12,2,FALSE)</f>
        <v>Workweek</v>
      </c>
    </row>
    <row r="4481" spans="1:10">
      <c r="A4481" s="159" t="str">
        <f t="shared" si="348"/>
        <v>$E$1:$E$92</v>
      </c>
      <c r="B4481" s="159" t="str">
        <f t="shared" si="349"/>
        <v>$F$1:$F$92</v>
      </c>
      <c r="C4481" s="159" t="str">
        <f t="shared" si="350"/>
        <v>January!$E$1:$E$92</v>
      </c>
      <c r="D4481" s="159" t="str">
        <f t="shared" si="351"/>
        <v>January!$F$1:$F$92</v>
      </c>
      <c r="E4481" t="s">
        <v>9</v>
      </c>
      <c r="F4481" t="s">
        <v>48</v>
      </c>
      <c r="G4481" t="s">
        <v>142</v>
      </c>
      <c r="H4481" t="s">
        <v>19</v>
      </c>
      <c r="I4481" t="e">
        <f t="shared" ca="1" si="352"/>
        <v>#REF!</v>
      </c>
      <c r="J4481" t="str">
        <f>VLOOKUP($G4481,DefinitionArrays!$I$6:$J$12,2,FALSE)</f>
        <v>Workweek</v>
      </c>
    </row>
    <row r="4482" spans="1:10">
      <c r="A4482" s="159" t="str">
        <f t="shared" ref="A4482:A4545" si="353">VLOOKUP($G4482,Fx_Code,2,FALSE)</f>
        <v>$E$1:$E$92</v>
      </c>
      <c r="B4482" s="159" t="str">
        <f t="shared" ref="B4482:B4545" si="354">VLOOKUP($G4482,Fx_Code,3,FALSE)</f>
        <v>$F$1:$F$92</v>
      </c>
      <c r="C4482" s="159" t="str">
        <f t="shared" ref="C4482:C4545" si="355">CONCATENATE($F4482,$K$1,A4482)</f>
        <v>January!$E$1:$E$92</v>
      </c>
      <c r="D4482" s="159" t="str">
        <f t="shared" ref="D4482:D4545" si="356">CONCATENATE($F4482,$K$1,B4482)</f>
        <v>January!$F$1:$F$92</v>
      </c>
      <c r="E4482" t="s">
        <v>9</v>
      </c>
      <c r="F4482" t="s">
        <v>48</v>
      </c>
      <c r="G4482" t="s">
        <v>142</v>
      </c>
      <c r="H4482" t="s">
        <v>20</v>
      </c>
      <c r="I4482" t="e">
        <f t="shared" ca="1" si="352"/>
        <v>#REF!</v>
      </c>
      <c r="J4482" t="str">
        <f>VLOOKUP($G4482,DefinitionArrays!$I$6:$J$12,2,FALSE)</f>
        <v>Workweek</v>
      </c>
    </row>
    <row r="4483" spans="1:10">
      <c r="A4483" s="159" t="str">
        <f t="shared" si="353"/>
        <v>$E$1:$E$92</v>
      </c>
      <c r="B4483" s="159" t="str">
        <f t="shared" si="354"/>
        <v>$F$1:$F$92</v>
      </c>
      <c r="C4483" s="159" t="str">
        <f t="shared" si="355"/>
        <v>January!$E$1:$E$92</v>
      </c>
      <c r="D4483" s="159" t="str">
        <f t="shared" si="356"/>
        <v>January!$F$1:$F$92</v>
      </c>
      <c r="E4483" t="s">
        <v>9</v>
      </c>
      <c r="F4483" t="s">
        <v>48</v>
      </c>
      <c r="G4483" t="s">
        <v>142</v>
      </c>
      <c r="H4483" t="s">
        <v>21</v>
      </c>
      <c r="I4483" t="e">
        <f t="shared" ca="1" si="352"/>
        <v>#REF!</v>
      </c>
      <c r="J4483" t="str">
        <f>VLOOKUP($G4483,DefinitionArrays!$I$6:$J$12,2,FALSE)</f>
        <v>Workweek</v>
      </c>
    </row>
    <row r="4484" spans="1:10">
      <c r="A4484" s="159" t="str">
        <f t="shared" si="353"/>
        <v>$E$1:$E$92</v>
      </c>
      <c r="B4484" s="159" t="str">
        <f t="shared" si="354"/>
        <v>$F$1:$F$92</v>
      </c>
      <c r="C4484" s="159" t="str">
        <f t="shared" si="355"/>
        <v>January!$E$1:$E$92</v>
      </c>
      <c r="D4484" s="159" t="str">
        <f t="shared" si="356"/>
        <v>January!$F$1:$F$92</v>
      </c>
      <c r="E4484" t="s">
        <v>9</v>
      </c>
      <c r="F4484" t="s">
        <v>48</v>
      </c>
      <c r="G4484" t="s">
        <v>142</v>
      </c>
      <c r="H4484" t="s">
        <v>22</v>
      </c>
      <c r="I4484" t="e">
        <f t="shared" ca="1" si="352"/>
        <v>#REF!</v>
      </c>
      <c r="J4484" t="str">
        <f>VLOOKUP($G4484,DefinitionArrays!$I$6:$J$12,2,FALSE)</f>
        <v>Workweek</v>
      </c>
    </row>
    <row r="4485" spans="1:10">
      <c r="A4485" s="159" t="str">
        <f t="shared" si="353"/>
        <v>$E$1:$E$92</v>
      </c>
      <c r="B4485" s="159" t="str">
        <f t="shared" si="354"/>
        <v>$F$1:$F$92</v>
      </c>
      <c r="C4485" s="159" t="str">
        <f t="shared" si="355"/>
        <v>January!$E$1:$E$92</v>
      </c>
      <c r="D4485" s="159" t="str">
        <f t="shared" si="356"/>
        <v>January!$F$1:$F$92</v>
      </c>
      <c r="E4485" t="s">
        <v>9</v>
      </c>
      <c r="F4485" t="s">
        <v>48</v>
      </c>
      <c r="G4485" t="s">
        <v>142</v>
      </c>
      <c r="H4485" t="s">
        <v>23</v>
      </c>
      <c r="I4485" t="e">
        <f t="shared" ca="1" si="352"/>
        <v>#REF!</v>
      </c>
      <c r="J4485" t="str">
        <f>VLOOKUP($G4485,DefinitionArrays!$I$6:$J$12,2,FALSE)</f>
        <v>Workweek</v>
      </c>
    </row>
    <row r="4486" spans="1:10">
      <c r="A4486" s="159" t="str">
        <f t="shared" si="353"/>
        <v>$E$1:$E$92</v>
      </c>
      <c r="B4486" s="159" t="str">
        <f t="shared" si="354"/>
        <v>$F$1:$F$92</v>
      </c>
      <c r="C4486" s="159" t="str">
        <f t="shared" si="355"/>
        <v>January!$E$1:$E$92</v>
      </c>
      <c r="D4486" s="159" t="str">
        <f t="shared" si="356"/>
        <v>January!$F$1:$F$92</v>
      </c>
      <c r="E4486" t="s">
        <v>9</v>
      </c>
      <c r="F4486" t="s">
        <v>48</v>
      </c>
      <c r="G4486" t="s">
        <v>142</v>
      </c>
      <c r="H4486" t="s">
        <v>24</v>
      </c>
      <c r="I4486" t="e">
        <f t="shared" ca="1" si="352"/>
        <v>#REF!</v>
      </c>
      <c r="J4486" t="str">
        <f>VLOOKUP($G4486,DefinitionArrays!$I$6:$J$12,2,FALSE)</f>
        <v>Workweek</v>
      </c>
    </row>
    <row r="4487" spans="1:10">
      <c r="A4487" s="159" t="str">
        <f t="shared" si="353"/>
        <v>$E$1:$E$92</v>
      </c>
      <c r="B4487" s="159" t="str">
        <f t="shared" si="354"/>
        <v>$F$1:$F$92</v>
      </c>
      <c r="C4487" s="159" t="str">
        <f t="shared" si="355"/>
        <v>January!$E$1:$E$92</v>
      </c>
      <c r="D4487" s="159" t="str">
        <f t="shared" si="356"/>
        <v>January!$F$1:$F$92</v>
      </c>
      <c r="E4487" t="s">
        <v>9</v>
      </c>
      <c r="F4487" t="s">
        <v>48</v>
      </c>
      <c r="G4487" t="s">
        <v>142</v>
      </c>
      <c r="H4487" t="s">
        <v>179</v>
      </c>
      <c r="I4487" t="e">
        <f t="shared" ca="1" si="352"/>
        <v>#REF!</v>
      </c>
      <c r="J4487" t="str">
        <f>VLOOKUP($G4487,DefinitionArrays!$I$6:$J$12,2,FALSE)</f>
        <v>Workweek</v>
      </c>
    </row>
    <row r="4488" spans="1:10">
      <c r="A4488" s="159" t="str">
        <f t="shared" si="353"/>
        <v>$E$1:$E$92</v>
      </c>
      <c r="B4488" s="159" t="str">
        <f t="shared" si="354"/>
        <v>$F$1:$F$92</v>
      </c>
      <c r="C4488" s="159" t="str">
        <f t="shared" si="355"/>
        <v>January!$E$1:$E$92</v>
      </c>
      <c r="D4488" s="159" t="str">
        <f t="shared" si="356"/>
        <v>January!$F$1:$F$92</v>
      </c>
      <c r="E4488" t="s">
        <v>9</v>
      </c>
      <c r="F4488" t="s">
        <v>48</v>
      </c>
      <c r="G4488" t="s">
        <v>142</v>
      </c>
      <c r="H4488" t="s">
        <v>180</v>
      </c>
      <c r="I4488" t="e">
        <f t="shared" ca="1" si="352"/>
        <v>#REF!</v>
      </c>
      <c r="J4488" t="str">
        <f>VLOOKUP($G4488,DefinitionArrays!$I$6:$J$12,2,FALSE)</f>
        <v>Workweek</v>
      </c>
    </row>
    <row r="4489" spans="1:10">
      <c r="A4489" s="159" t="str">
        <f t="shared" si="353"/>
        <v>$E$1:$E$92</v>
      </c>
      <c r="B4489" s="159" t="str">
        <f t="shared" si="354"/>
        <v>$F$1:$F$92</v>
      </c>
      <c r="C4489" s="159" t="str">
        <f t="shared" si="355"/>
        <v>January!$E$1:$E$92</v>
      </c>
      <c r="D4489" s="159" t="str">
        <f t="shared" si="356"/>
        <v>January!$F$1:$F$92</v>
      </c>
      <c r="E4489" t="s">
        <v>9</v>
      </c>
      <c r="F4489" t="s">
        <v>48</v>
      </c>
      <c r="G4489" t="s">
        <v>142</v>
      </c>
      <c r="H4489" t="s">
        <v>44</v>
      </c>
      <c r="I4489" t="e">
        <f t="shared" ca="1" si="352"/>
        <v>#REF!</v>
      </c>
      <c r="J4489" t="str">
        <f>VLOOKUP($G4489,DefinitionArrays!$I$6:$J$12,2,FALSE)</f>
        <v>Workweek</v>
      </c>
    </row>
    <row r="4490" spans="1:10">
      <c r="A4490" s="159" t="str">
        <f t="shared" si="353"/>
        <v>$H$1:$H$92</v>
      </c>
      <c r="B4490" s="159" t="str">
        <f t="shared" si="354"/>
        <v>$I$1:$I$92</v>
      </c>
      <c r="C4490" s="159" t="str">
        <f t="shared" si="355"/>
        <v>January!$H$1:$H$92</v>
      </c>
      <c r="D4490" s="159" t="str">
        <f t="shared" si="356"/>
        <v>January!$I$1:$I$92</v>
      </c>
      <c r="E4490" t="s">
        <v>9</v>
      </c>
      <c r="F4490" t="s">
        <v>48</v>
      </c>
      <c r="G4490" t="s">
        <v>143</v>
      </c>
      <c r="H4490" t="s">
        <v>159</v>
      </c>
      <c r="I4490" t="e">
        <f t="shared" ca="1" si="352"/>
        <v>#REF!</v>
      </c>
      <c r="J4490" t="str">
        <f>VLOOKUP($G4490,DefinitionArrays!$I$6:$J$12,2,FALSE)</f>
        <v>Workweek</v>
      </c>
    </row>
    <row r="4491" spans="1:10">
      <c r="A4491" s="159" t="str">
        <f t="shared" si="353"/>
        <v>$H$1:$H$92</v>
      </c>
      <c r="B4491" s="159" t="str">
        <f t="shared" si="354"/>
        <v>$I$1:$I$92</v>
      </c>
      <c r="C4491" s="159" t="str">
        <f t="shared" si="355"/>
        <v>January!$H$1:$H$92</v>
      </c>
      <c r="D4491" s="159" t="str">
        <f t="shared" si="356"/>
        <v>January!$I$1:$I$92</v>
      </c>
      <c r="E4491" t="s">
        <v>9</v>
      </c>
      <c r="F4491" t="s">
        <v>48</v>
      </c>
      <c r="G4491" t="s">
        <v>143</v>
      </c>
      <c r="H4491" t="s">
        <v>18</v>
      </c>
      <c r="I4491" t="e">
        <f t="shared" ca="1" si="352"/>
        <v>#REF!</v>
      </c>
      <c r="J4491" t="str">
        <f>VLOOKUP($G4491,DefinitionArrays!$I$6:$J$12,2,FALSE)</f>
        <v>Workweek</v>
      </c>
    </row>
    <row r="4492" spans="1:10">
      <c r="A4492" s="159" t="str">
        <f t="shared" si="353"/>
        <v>$H$1:$H$92</v>
      </c>
      <c r="B4492" s="159" t="str">
        <f t="shared" si="354"/>
        <v>$I$1:$I$92</v>
      </c>
      <c r="C4492" s="159" t="str">
        <f t="shared" si="355"/>
        <v>January!$H$1:$H$92</v>
      </c>
      <c r="D4492" s="159" t="str">
        <f t="shared" si="356"/>
        <v>January!$I$1:$I$92</v>
      </c>
      <c r="E4492" t="s">
        <v>9</v>
      </c>
      <c r="F4492" t="s">
        <v>48</v>
      </c>
      <c r="G4492" t="s">
        <v>143</v>
      </c>
      <c r="H4492" t="s">
        <v>153</v>
      </c>
      <c r="I4492" t="e">
        <f t="shared" ca="1" si="352"/>
        <v>#REF!</v>
      </c>
      <c r="J4492" t="str">
        <f>VLOOKUP($G4492,DefinitionArrays!$I$6:$J$12,2,FALSE)</f>
        <v>Workweek</v>
      </c>
    </row>
    <row r="4493" spans="1:10">
      <c r="A4493" s="159" t="str">
        <f t="shared" si="353"/>
        <v>$H$1:$H$92</v>
      </c>
      <c r="B4493" s="159" t="str">
        <f t="shared" si="354"/>
        <v>$I$1:$I$92</v>
      </c>
      <c r="C4493" s="159" t="str">
        <f t="shared" si="355"/>
        <v>January!$H$1:$H$92</v>
      </c>
      <c r="D4493" s="159" t="str">
        <f t="shared" si="356"/>
        <v>January!$I$1:$I$92</v>
      </c>
      <c r="E4493" t="s">
        <v>9</v>
      </c>
      <c r="F4493" t="s">
        <v>48</v>
      </c>
      <c r="G4493" t="s">
        <v>143</v>
      </c>
      <c r="H4493" t="s">
        <v>19</v>
      </c>
      <c r="I4493" t="e">
        <f t="shared" ca="1" si="352"/>
        <v>#REF!</v>
      </c>
      <c r="J4493" t="str">
        <f>VLOOKUP($G4493,DefinitionArrays!$I$6:$J$12,2,FALSE)</f>
        <v>Workweek</v>
      </c>
    </row>
    <row r="4494" spans="1:10">
      <c r="A4494" s="159" t="str">
        <f t="shared" si="353"/>
        <v>$H$1:$H$92</v>
      </c>
      <c r="B4494" s="159" t="str">
        <f t="shared" si="354"/>
        <v>$I$1:$I$92</v>
      </c>
      <c r="C4494" s="159" t="str">
        <f t="shared" si="355"/>
        <v>January!$H$1:$H$92</v>
      </c>
      <c r="D4494" s="159" t="str">
        <f t="shared" si="356"/>
        <v>January!$I$1:$I$92</v>
      </c>
      <c r="E4494" t="s">
        <v>9</v>
      </c>
      <c r="F4494" t="s">
        <v>48</v>
      </c>
      <c r="G4494" t="s">
        <v>143</v>
      </c>
      <c r="H4494" t="s">
        <v>20</v>
      </c>
      <c r="I4494" t="e">
        <f t="shared" ca="1" si="352"/>
        <v>#REF!</v>
      </c>
      <c r="J4494" t="str">
        <f>VLOOKUP($G4494,DefinitionArrays!$I$6:$J$12,2,FALSE)</f>
        <v>Workweek</v>
      </c>
    </row>
    <row r="4495" spans="1:10">
      <c r="A4495" s="159" t="str">
        <f t="shared" si="353"/>
        <v>$H$1:$H$92</v>
      </c>
      <c r="B4495" s="159" t="str">
        <f t="shared" si="354"/>
        <v>$I$1:$I$92</v>
      </c>
      <c r="C4495" s="159" t="str">
        <f t="shared" si="355"/>
        <v>January!$H$1:$H$92</v>
      </c>
      <c r="D4495" s="159" t="str">
        <f t="shared" si="356"/>
        <v>January!$I$1:$I$92</v>
      </c>
      <c r="E4495" t="s">
        <v>9</v>
      </c>
      <c r="F4495" t="s">
        <v>48</v>
      </c>
      <c r="G4495" t="s">
        <v>143</v>
      </c>
      <c r="H4495" t="s">
        <v>21</v>
      </c>
      <c r="I4495" t="e">
        <f t="shared" ca="1" si="352"/>
        <v>#REF!</v>
      </c>
      <c r="J4495" t="str">
        <f>VLOOKUP($G4495,DefinitionArrays!$I$6:$J$12,2,FALSE)</f>
        <v>Workweek</v>
      </c>
    </row>
    <row r="4496" spans="1:10">
      <c r="A4496" s="159" t="str">
        <f t="shared" si="353"/>
        <v>$H$1:$H$92</v>
      </c>
      <c r="B4496" s="159" t="str">
        <f t="shared" si="354"/>
        <v>$I$1:$I$92</v>
      </c>
      <c r="C4496" s="159" t="str">
        <f t="shared" si="355"/>
        <v>January!$H$1:$H$92</v>
      </c>
      <c r="D4496" s="159" t="str">
        <f t="shared" si="356"/>
        <v>January!$I$1:$I$92</v>
      </c>
      <c r="E4496" t="s">
        <v>9</v>
      </c>
      <c r="F4496" t="s">
        <v>48</v>
      </c>
      <c r="G4496" t="s">
        <v>143</v>
      </c>
      <c r="H4496" t="s">
        <v>22</v>
      </c>
      <c r="I4496" t="e">
        <f t="shared" ca="1" si="352"/>
        <v>#REF!</v>
      </c>
      <c r="J4496" t="str">
        <f>VLOOKUP($G4496,DefinitionArrays!$I$6:$J$12,2,FALSE)</f>
        <v>Workweek</v>
      </c>
    </row>
    <row r="4497" spans="1:10">
      <c r="A4497" s="159" t="str">
        <f t="shared" si="353"/>
        <v>$H$1:$H$92</v>
      </c>
      <c r="B4497" s="159" t="str">
        <f t="shared" si="354"/>
        <v>$I$1:$I$92</v>
      </c>
      <c r="C4497" s="159" t="str">
        <f t="shared" si="355"/>
        <v>January!$H$1:$H$92</v>
      </c>
      <c r="D4497" s="159" t="str">
        <f t="shared" si="356"/>
        <v>January!$I$1:$I$92</v>
      </c>
      <c r="E4497" t="s">
        <v>9</v>
      </c>
      <c r="F4497" t="s">
        <v>48</v>
      </c>
      <c r="G4497" t="s">
        <v>143</v>
      </c>
      <c r="H4497" t="s">
        <v>23</v>
      </c>
      <c r="I4497" t="e">
        <f t="shared" ca="1" si="352"/>
        <v>#REF!</v>
      </c>
      <c r="J4497" t="str">
        <f>VLOOKUP($G4497,DefinitionArrays!$I$6:$J$12,2,FALSE)</f>
        <v>Workweek</v>
      </c>
    </row>
    <row r="4498" spans="1:10">
      <c r="A4498" s="159" t="str">
        <f t="shared" si="353"/>
        <v>$H$1:$H$92</v>
      </c>
      <c r="B4498" s="159" t="str">
        <f t="shared" si="354"/>
        <v>$I$1:$I$92</v>
      </c>
      <c r="C4498" s="159" t="str">
        <f t="shared" si="355"/>
        <v>January!$H$1:$H$92</v>
      </c>
      <c r="D4498" s="159" t="str">
        <f t="shared" si="356"/>
        <v>January!$I$1:$I$92</v>
      </c>
      <c r="E4498" t="s">
        <v>9</v>
      </c>
      <c r="F4498" t="s">
        <v>48</v>
      </c>
      <c r="G4498" t="s">
        <v>143</v>
      </c>
      <c r="H4498" t="s">
        <v>24</v>
      </c>
      <c r="I4498" t="e">
        <f t="shared" ca="1" si="352"/>
        <v>#REF!</v>
      </c>
      <c r="J4498" t="str">
        <f>VLOOKUP($G4498,DefinitionArrays!$I$6:$J$12,2,FALSE)</f>
        <v>Workweek</v>
      </c>
    </row>
    <row r="4499" spans="1:10">
      <c r="A4499" s="159" t="str">
        <f t="shared" si="353"/>
        <v>$H$1:$H$92</v>
      </c>
      <c r="B4499" s="159" t="str">
        <f t="shared" si="354"/>
        <v>$I$1:$I$92</v>
      </c>
      <c r="C4499" s="159" t="str">
        <f t="shared" si="355"/>
        <v>January!$H$1:$H$92</v>
      </c>
      <c r="D4499" s="159" t="str">
        <f t="shared" si="356"/>
        <v>January!$I$1:$I$92</v>
      </c>
      <c r="E4499" t="s">
        <v>9</v>
      </c>
      <c r="F4499" t="s">
        <v>48</v>
      </c>
      <c r="G4499" t="s">
        <v>143</v>
      </c>
      <c r="H4499" t="s">
        <v>179</v>
      </c>
      <c r="I4499" t="e">
        <f t="shared" ca="1" si="352"/>
        <v>#REF!</v>
      </c>
      <c r="J4499" t="str">
        <f>VLOOKUP($G4499,DefinitionArrays!$I$6:$J$12,2,FALSE)</f>
        <v>Workweek</v>
      </c>
    </row>
    <row r="4500" spans="1:10">
      <c r="A4500" s="159" t="str">
        <f t="shared" si="353"/>
        <v>$H$1:$H$92</v>
      </c>
      <c r="B4500" s="159" t="str">
        <f t="shared" si="354"/>
        <v>$I$1:$I$92</v>
      </c>
      <c r="C4500" s="159" t="str">
        <f t="shared" si="355"/>
        <v>January!$H$1:$H$92</v>
      </c>
      <c r="D4500" s="159" t="str">
        <f t="shared" si="356"/>
        <v>January!$I$1:$I$92</v>
      </c>
      <c r="E4500" t="s">
        <v>9</v>
      </c>
      <c r="F4500" t="s">
        <v>48</v>
      </c>
      <c r="G4500" t="s">
        <v>143</v>
      </c>
      <c r="H4500" t="s">
        <v>180</v>
      </c>
      <c r="I4500" t="e">
        <f t="shared" ca="1" si="352"/>
        <v>#REF!</v>
      </c>
      <c r="J4500" t="str">
        <f>VLOOKUP($G4500,DefinitionArrays!$I$6:$J$12,2,FALSE)</f>
        <v>Workweek</v>
      </c>
    </row>
    <row r="4501" spans="1:10">
      <c r="A4501" s="159" t="str">
        <f t="shared" si="353"/>
        <v>$H$1:$H$92</v>
      </c>
      <c r="B4501" s="159" t="str">
        <f t="shared" si="354"/>
        <v>$I$1:$I$92</v>
      </c>
      <c r="C4501" s="159" t="str">
        <f t="shared" si="355"/>
        <v>January!$H$1:$H$92</v>
      </c>
      <c r="D4501" s="159" t="str">
        <f t="shared" si="356"/>
        <v>January!$I$1:$I$92</v>
      </c>
      <c r="E4501" t="s">
        <v>9</v>
      </c>
      <c r="F4501" t="s">
        <v>48</v>
      </c>
      <c r="G4501" t="s">
        <v>143</v>
      </c>
      <c r="H4501" t="s">
        <v>44</v>
      </c>
      <c r="I4501" t="e">
        <f t="shared" ca="1" si="352"/>
        <v>#REF!</v>
      </c>
      <c r="J4501" t="str">
        <f>VLOOKUP($G4501,DefinitionArrays!$I$6:$J$12,2,FALSE)</f>
        <v>Workweek</v>
      </c>
    </row>
    <row r="4502" spans="1:10">
      <c r="A4502" s="159" t="str">
        <f t="shared" si="353"/>
        <v>$K$1:$K$92</v>
      </c>
      <c r="B4502" s="159" t="str">
        <f t="shared" si="354"/>
        <v>$L$1:$L$92</v>
      </c>
      <c r="C4502" s="159" t="str">
        <f t="shared" si="355"/>
        <v>January!$K$1:$K$92</v>
      </c>
      <c r="D4502" s="159" t="str">
        <f t="shared" si="356"/>
        <v>January!$L$1:$L$92</v>
      </c>
      <c r="E4502" t="s">
        <v>9</v>
      </c>
      <c r="F4502" t="s">
        <v>48</v>
      </c>
      <c r="G4502" t="s">
        <v>144</v>
      </c>
      <c r="H4502" t="s">
        <v>159</v>
      </c>
      <c r="I4502" t="e">
        <f t="shared" ca="1" si="352"/>
        <v>#REF!</v>
      </c>
      <c r="J4502" t="str">
        <f>VLOOKUP($G4502,DefinitionArrays!$I$6:$J$12,2,FALSE)</f>
        <v>Workweek</v>
      </c>
    </row>
    <row r="4503" spans="1:10">
      <c r="A4503" s="159" t="str">
        <f t="shared" si="353"/>
        <v>$K$1:$K$92</v>
      </c>
      <c r="B4503" s="159" t="str">
        <f t="shared" si="354"/>
        <v>$L$1:$L$92</v>
      </c>
      <c r="C4503" s="159" t="str">
        <f t="shared" si="355"/>
        <v>January!$K$1:$K$92</v>
      </c>
      <c r="D4503" s="159" t="str">
        <f t="shared" si="356"/>
        <v>January!$L$1:$L$92</v>
      </c>
      <c r="E4503" t="s">
        <v>9</v>
      </c>
      <c r="F4503" t="s">
        <v>48</v>
      </c>
      <c r="G4503" t="s">
        <v>144</v>
      </c>
      <c r="H4503" t="s">
        <v>18</v>
      </c>
      <c r="I4503" t="e">
        <f t="shared" ca="1" si="352"/>
        <v>#REF!</v>
      </c>
      <c r="J4503" t="str">
        <f>VLOOKUP($G4503,DefinitionArrays!$I$6:$J$12,2,FALSE)</f>
        <v>Workweek</v>
      </c>
    </row>
    <row r="4504" spans="1:10">
      <c r="A4504" s="159" t="str">
        <f t="shared" si="353"/>
        <v>$K$1:$K$92</v>
      </c>
      <c r="B4504" s="159" t="str">
        <f t="shared" si="354"/>
        <v>$L$1:$L$92</v>
      </c>
      <c r="C4504" s="159" t="str">
        <f t="shared" si="355"/>
        <v>January!$K$1:$K$92</v>
      </c>
      <c r="D4504" s="159" t="str">
        <f t="shared" si="356"/>
        <v>January!$L$1:$L$92</v>
      </c>
      <c r="E4504" t="s">
        <v>9</v>
      </c>
      <c r="F4504" t="s">
        <v>48</v>
      </c>
      <c r="G4504" t="s">
        <v>144</v>
      </c>
      <c r="H4504" t="s">
        <v>153</v>
      </c>
      <c r="I4504" t="e">
        <f t="shared" ca="1" si="352"/>
        <v>#REF!</v>
      </c>
      <c r="J4504" t="str">
        <f>VLOOKUP($G4504,DefinitionArrays!$I$6:$J$12,2,FALSE)</f>
        <v>Workweek</v>
      </c>
    </row>
    <row r="4505" spans="1:10">
      <c r="A4505" s="159" t="str">
        <f t="shared" si="353"/>
        <v>$K$1:$K$92</v>
      </c>
      <c r="B4505" s="159" t="str">
        <f t="shared" si="354"/>
        <v>$L$1:$L$92</v>
      </c>
      <c r="C4505" s="159" t="str">
        <f t="shared" si="355"/>
        <v>January!$K$1:$K$92</v>
      </c>
      <c r="D4505" s="159" t="str">
        <f t="shared" si="356"/>
        <v>January!$L$1:$L$92</v>
      </c>
      <c r="E4505" t="s">
        <v>9</v>
      </c>
      <c r="F4505" t="s">
        <v>48</v>
      </c>
      <c r="G4505" t="s">
        <v>144</v>
      </c>
      <c r="H4505" t="s">
        <v>19</v>
      </c>
      <c r="I4505" t="e">
        <f t="shared" ca="1" si="352"/>
        <v>#REF!</v>
      </c>
      <c r="J4505" t="str">
        <f>VLOOKUP($G4505,DefinitionArrays!$I$6:$J$12,2,FALSE)</f>
        <v>Workweek</v>
      </c>
    </row>
    <row r="4506" spans="1:10">
      <c r="A4506" s="159" t="str">
        <f t="shared" si="353"/>
        <v>$K$1:$K$92</v>
      </c>
      <c r="B4506" s="159" t="str">
        <f t="shared" si="354"/>
        <v>$L$1:$L$92</v>
      </c>
      <c r="C4506" s="159" t="str">
        <f t="shared" si="355"/>
        <v>January!$K$1:$K$92</v>
      </c>
      <c r="D4506" s="159" t="str">
        <f t="shared" si="356"/>
        <v>January!$L$1:$L$92</v>
      </c>
      <c r="E4506" t="s">
        <v>9</v>
      </c>
      <c r="F4506" t="s">
        <v>48</v>
      </c>
      <c r="G4506" t="s">
        <v>144</v>
      </c>
      <c r="H4506" t="s">
        <v>20</v>
      </c>
      <c r="I4506" t="e">
        <f t="shared" ca="1" si="352"/>
        <v>#REF!</v>
      </c>
      <c r="J4506" t="str">
        <f>VLOOKUP($G4506,DefinitionArrays!$I$6:$J$12,2,FALSE)</f>
        <v>Workweek</v>
      </c>
    </row>
    <row r="4507" spans="1:10">
      <c r="A4507" s="159" t="str">
        <f t="shared" si="353"/>
        <v>$K$1:$K$92</v>
      </c>
      <c r="B4507" s="159" t="str">
        <f t="shared" si="354"/>
        <v>$L$1:$L$92</v>
      </c>
      <c r="C4507" s="159" t="str">
        <f t="shared" si="355"/>
        <v>January!$K$1:$K$92</v>
      </c>
      <c r="D4507" s="159" t="str">
        <f t="shared" si="356"/>
        <v>January!$L$1:$L$92</v>
      </c>
      <c r="E4507" t="s">
        <v>9</v>
      </c>
      <c r="F4507" t="s">
        <v>48</v>
      </c>
      <c r="G4507" t="s">
        <v>144</v>
      </c>
      <c r="H4507" t="s">
        <v>21</v>
      </c>
      <c r="I4507" t="e">
        <f t="shared" ca="1" si="352"/>
        <v>#REF!</v>
      </c>
      <c r="J4507" t="str">
        <f>VLOOKUP($G4507,DefinitionArrays!$I$6:$J$12,2,FALSE)</f>
        <v>Workweek</v>
      </c>
    </row>
    <row r="4508" spans="1:10">
      <c r="A4508" s="159" t="str">
        <f t="shared" si="353"/>
        <v>$K$1:$K$92</v>
      </c>
      <c r="B4508" s="159" t="str">
        <f t="shared" si="354"/>
        <v>$L$1:$L$92</v>
      </c>
      <c r="C4508" s="159" t="str">
        <f t="shared" si="355"/>
        <v>January!$K$1:$K$92</v>
      </c>
      <c r="D4508" s="159" t="str">
        <f t="shared" si="356"/>
        <v>January!$L$1:$L$92</v>
      </c>
      <c r="E4508" t="s">
        <v>9</v>
      </c>
      <c r="F4508" t="s">
        <v>48</v>
      </c>
      <c r="G4508" t="s">
        <v>144</v>
      </c>
      <c r="H4508" t="s">
        <v>22</v>
      </c>
      <c r="I4508" t="e">
        <f t="shared" ca="1" si="352"/>
        <v>#REF!</v>
      </c>
      <c r="J4508" t="str">
        <f>VLOOKUP($G4508,DefinitionArrays!$I$6:$J$12,2,FALSE)</f>
        <v>Workweek</v>
      </c>
    </row>
    <row r="4509" spans="1:10">
      <c r="A4509" s="159" t="str">
        <f t="shared" si="353"/>
        <v>$K$1:$K$92</v>
      </c>
      <c r="B4509" s="159" t="str">
        <f t="shared" si="354"/>
        <v>$L$1:$L$92</v>
      </c>
      <c r="C4509" s="159" t="str">
        <f t="shared" si="355"/>
        <v>January!$K$1:$K$92</v>
      </c>
      <c r="D4509" s="159" t="str">
        <f t="shared" si="356"/>
        <v>January!$L$1:$L$92</v>
      </c>
      <c r="E4509" t="s">
        <v>9</v>
      </c>
      <c r="F4509" t="s">
        <v>48</v>
      </c>
      <c r="G4509" t="s">
        <v>144</v>
      </c>
      <c r="H4509" t="s">
        <v>23</v>
      </c>
      <c r="I4509" t="e">
        <f t="shared" ca="1" si="352"/>
        <v>#REF!</v>
      </c>
      <c r="J4509" t="str">
        <f>VLOOKUP($G4509,DefinitionArrays!$I$6:$J$12,2,FALSE)</f>
        <v>Workweek</v>
      </c>
    </row>
    <row r="4510" spans="1:10">
      <c r="A4510" s="159" t="str">
        <f t="shared" si="353"/>
        <v>$K$1:$K$92</v>
      </c>
      <c r="B4510" s="159" t="str">
        <f t="shared" si="354"/>
        <v>$L$1:$L$92</v>
      </c>
      <c r="C4510" s="159" t="str">
        <f t="shared" si="355"/>
        <v>January!$K$1:$K$92</v>
      </c>
      <c r="D4510" s="159" t="str">
        <f t="shared" si="356"/>
        <v>January!$L$1:$L$92</v>
      </c>
      <c r="E4510" t="s">
        <v>9</v>
      </c>
      <c r="F4510" t="s">
        <v>48</v>
      </c>
      <c r="G4510" t="s">
        <v>144</v>
      </c>
      <c r="H4510" t="s">
        <v>24</v>
      </c>
      <c r="I4510" t="e">
        <f t="shared" ca="1" si="352"/>
        <v>#REF!</v>
      </c>
      <c r="J4510" t="str">
        <f>VLOOKUP($G4510,DefinitionArrays!$I$6:$J$12,2,FALSE)</f>
        <v>Workweek</v>
      </c>
    </row>
    <row r="4511" spans="1:10">
      <c r="A4511" s="159" t="str">
        <f t="shared" si="353"/>
        <v>$K$1:$K$92</v>
      </c>
      <c r="B4511" s="159" t="str">
        <f t="shared" si="354"/>
        <v>$L$1:$L$92</v>
      </c>
      <c r="C4511" s="159" t="str">
        <f t="shared" si="355"/>
        <v>January!$K$1:$K$92</v>
      </c>
      <c r="D4511" s="159" t="str">
        <f t="shared" si="356"/>
        <v>January!$L$1:$L$92</v>
      </c>
      <c r="E4511" t="s">
        <v>9</v>
      </c>
      <c r="F4511" t="s">
        <v>48</v>
      </c>
      <c r="G4511" t="s">
        <v>144</v>
      </c>
      <c r="H4511" t="s">
        <v>179</v>
      </c>
      <c r="I4511" t="e">
        <f t="shared" ca="1" si="352"/>
        <v>#REF!</v>
      </c>
      <c r="J4511" t="str">
        <f>VLOOKUP($G4511,DefinitionArrays!$I$6:$J$12,2,FALSE)</f>
        <v>Workweek</v>
      </c>
    </row>
    <row r="4512" spans="1:10">
      <c r="A4512" s="159" t="str">
        <f t="shared" si="353"/>
        <v>$K$1:$K$92</v>
      </c>
      <c r="B4512" s="159" t="str">
        <f t="shared" si="354"/>
        <v>$L$1:$L$92</v>
      </c>
      <c r="C4512" s="159" t="str">
        <f t="shared" si="355"/>
        <v>January!$K$1:$K$92</v>
      </c>
      <c r="D4512" s="159" t="str">
        <f t="shared" si="356"/>
        <v>January!$L$1:$L$92</v>
      </c>
      <c r="E4512" t="s">
        <v>9</v>
      </c>
      <c r="F4512" t="s">
        <v>48</v>
      </c>
      <c r="G4512" t="s">
        <v>144</v>
      </c>
      <c r="H4512" t="s">
        <v>180</v>
      </c>
      <c r="I4512" t="e">
        <f t="shared" ca="1" si="352"/>
        <v>#REF!</v>
      </c>
      <c r="J4512" t="str">
        <f>VLOOKUP($G4512,DefinitionArrays!$I$6:$J$12,2,FALSE)</f>
        <v>Workweek</v>
      </c>
    </row>
    <row r="4513" spans="1:10">
      <c r="A4513" s="159" t="str">
        <f t="shared" si="353"/>
        <v>$K$1:$K$92</v>
      </c>
      <c r="B4513" s="159" t="str">
        <f t="shared" si="354"/>
        <v>$L$1:$L$92</v>
      </c>
      <c r="C4513" s="159" t="str">
        <f t="shared" si="355"/>
        <v>January!$K$1:$K$92</v>
      </c>
      <c r="D4513" s="159" t="str">
        <f t="shared" si="356"/>
        <v>January!$L$1:$L$92</v>
      </c>
      <c r="E4513" t="s">
        <v>9</v>
      </c>
      <c r="F4513" t="s">
        <v>48</v>
      </c>
      <c r="G4513" t="s">
        <v>144</v>
      </c>
      <c r="H4513" t="s">
        <v>44</v>
      </c>
      <c r="I4513" t="e">
        <f t="shared" ca="1" si="352"/>
        <v>#REF!</v>
      </c>
      <c r="J4513" t="str">
        <f>VLOOKUP($G4513,DefinitionArrays!$I$6:$J$12,2,FALSE)</f>
        <v>Workweek</v>
      </c>
    </row>
    <row r="4514" spans="1:10">
      <c r="A4514" s="159" t="str">
        <f t="shared" si="353"/>
        <v>$N$1:$N$92</v>
      </c>
      <c r="B4514" s="159" t="str">
        <f t="shared" si="354"/>
        <v>$O$1:$O$92</v>
      </c>
      <c r="C4514" s="159" t="str">
        <f t="shared" si="355"/>
        <v>January!$N$1:$N$92</v>
      </c>
      <c r="D4514" s="159" t="str">
        <f t="shared" si="356"/>
        <v>January!$O$1:$O$92</v>
      </c>
      <c r="E4514" t="s">
        <v>9</v>
      </c>
      <c r="F4514" t="s">
        <v>48</v>
      </c>
      <c r="G4514" t="s">
        <v>145</v>
      </c>
      <c r="H4514" t="s">
        <v>159</v>
      </c>
      <c r="I4514" t="e">
        <f t="shared" ca="1" si="352"/>
        <v>#REF!</v>
      </c>
      <c r="J4514" t="str">
        <f>VLOOKUP($G4514,DefinitionArrays!$I$6:$J$12,2,FALSE)</f>
        <v>Weekend</v>
      </c>
    </row>
    <row r="4515" spans="1:10">
      <c r="A4515" s="159" t="str">
        <f t="shared" si="353"/>
        <v>$N$1:$N$92</v>
      </c>
      <c r="B4515" s="159" t="str">
        <f t="shared" si="354"/>
        <v>$O$1:$O$92</v>
      </c>
      <c r="C4515" s="159" t="str">
        <f t="shared" si="355"/>
        <v>January!$N$1:$N$92</v>
      </c>
      <c r="D4515" s="159" t="str">
        <f t="shared" si="356"/>
        <v>January!$O$1:$O$92</v>
      </c>
      <c r="E4515" t="s">
        <v>9</v>
      </c>
      <c r="F4515" t="s">
        <v>48</v>
      </c>
      <c r="G4515" t="s">
        <v>145</v>
      </c>
      <c r="H4515" t="s">
        <v>18</v>
      </c>
      <c r="I4515" t="e">
        <f t="shared" ca="1" si="352"/>
        <v>#REF!</v>
      </c>
      <c r="J4515" t="str">
        <f>VLOOKUP($G4515,DefinitionArrays!$I$6:$J$12,2,FALSE)</f>
        <v>Weekend</v>
      </c>
    </row>
    <row r="4516" spans="1:10">
      <c r="A4516" s="159" t="str">
        <f t="shared" si="353"/>
        <v>$N$1:$N$92</v>
      </c>
      <c r="B4516" s="159" t="str">
        <f t="shared" si="354"/>
        <v>$O$1:$O$92</v>
      </c>
      <c r="C4516" s="159" t="str">
        <f t="shared" si="355"/>
        <v>January!$N$1:$N$92</v>
      </c>
      <c r="D4516" s="159" t="str">
        <f t="shared" si="356"/>
        <v>January!$O$1:$O$92</v>
      </c>
      <c r="E4516" t="s">
        <v>9</v>
      </c>
      <c r="F4516" t="s">
        <v>48</v>
      </c>
      <c r="G4516" t="s">
        <v>145</v>
      </c>
      <c r="H4516" t="s">
        <v>153</v>
      </c>
      <c r="I4516" t="e">
        <f t="shared" ca="1" si="352"/>
        <v>#REF!</v>
      </c>
      <c r="J4516" t="str">
        <f>VLOOKUP($G4516,DefinitionArrays!$I$6:$J$12,2,FALSE)</f>
        <v>Weekend</v>
      </c>
    </row>
    <row r="4517" spans="1:10">
      <c r="A4517" s="159" t="str">
        <f t="shared" si="353"/>
        <v>$N$1:$N$92</v>
      </c>
      <c r="B4517" s="159" t="str">
        <f t="shared" si="354"/>
        <v>$O$1:$O$92</v>
      </c>
      <c r="C4517" s="159" t="str">
        <f t="shared" si="355"/>
        <v>January!$N$1:$N$92</v>
      </c>
      <c r="D4517" s="159" t="str">
        <f t="shared" si="356"/>
        <v>January!$O$1:$O$92</v>
      </c>
      <c r="E4517" t="s">
        <v>9</v>
      </c>
      <c r="F4517" t="s">
        <v>48</v>
      </c>
      <c r="G4517" t="s">
        <v>145</v>
      </c>
      <c r="H4517" t="s">
        <v>19</v>
      </c>
      <c r="I4517" t="e">
        <f t="shared" ca="1" si="352"/>
        <v>#REF!</v>
      </c>
      <c r="J4517" t="str">
        <f>VLOOKUP($G4517,DefinitionArrays!$I$6:$J$12,2,FALSE)</f>
        <v>Weekend</v>
      </c>
    </row>
    <row r="4518" spans="1:10">
      <c r="A4518" s="159" t="str">
        <f t="shared" si="353"/>
        <v>$N$1:$N$92</v>
      </c>
      <c r="B4518" s="159" t="str">
        <f t="shared" si="354"/>
        <v>$O$1:$O$92</v>
      </c>
      <c r="C4518" s="159" t="str">
        <f t="shared" si="355"/>
        <v>January!$N$1:$N$92</v>
      </c>
      <c r="D4518" s="159" t="str">
        <f t="shared" si="356"/>
        <v>January!$O$1:$O$92</v>
      </c>
      <c r="E4518" t="s">
        <v>9</v>
      </c>
      <c r="F4518" t="s">
        <v>48</v>
      </c>
      <c r="G4518" t="s">
        <v>145</v>
      </c>
      <c r="H4518" t="s">
        <v>20</v>
      </c>
      <c r="I4518" t="e">
        <f t="shared" ca="1" si="352"/>
        <v>#REF!</v>
      </c>
      <c r="J4518" t="str">
        <f>VLOOKUP($G4518,DefinitionArrays!$I$6:$J$12,2,FALSE)</f>
        <v>Weekend</v>
      </c>
    </row>
    <row r="4519" spans="1:10">
      <c r="A4519" s="159" t="str">
        <f t="shared" si="353"/>
        <v>$N$1:$N$92</v>
      </c>
      <c r="B4519" s="159" t="str">
        <f t="shared" si="354"/>
        <v>$O$1:$O$92</v>
      </c>
      <c r="C4519" s="159" t="str">
        <f t="shared" si="355"/>
        <v>January!$N$1:$N$92</v>
      </c>
      <c r="D4519" s="159" t="str">
        <f t="shared" si="356"/>
        <v>January!$O$1:$O$92</v>
      </c>
      <c r="E4519" t="s">
        <v>9</v>
      </c>
      <c r="F4519" t="s">
        <v>48</v>
      </c>
      <c r="G4519" t="s">
        <v>145</v>
      </c>
      <c r="H4519" t="s">
        <v>21</v>
      </c>
      <c r="I4519" t="e">
        <f t="shared" ca="1" si="352"/>
        <v>#REF!</v>
      </c>
      <c r="J4519" t="str">
        <f>VLOOKUP($G4519,DefinitionArrays!$I$6:$J$12,2,FALSE)</f>
        <v>Weekend</v>
      </c>
    </row>
    <row r="4520" spans="1:10">
      <c r="A4520" s="159" t="str">
        <f t="shared" si="353"/>
        <v>$N$1:$N$92</v>
      </c>
      <c r="B4520" s="159" t="str">
        <f t="shared" si="354"/>
        <v>$O$1:$O$92</v>
      </c>
      <c r="C4520" s="159" t="str">
        <f t="shared" si="355"/>
        <v>January!$N$1:$N$92</v>
      </c>
      <c r="D4520" s="159" t="str">
        <f t="shared" si="356"/>
        <v>January!$O$1:$O$92</v>
      </c>
      <c r="E4520" t="s">
        <v>9</v>
      </c>
      <c r="F4520" t="s">
        <v>48</v>
      </c>
      <c r="G4520" t="s">
        <v>145</v>
      </c>
      <c r="H4520" t="s">
        <v>22</v>
      </c>
      <c r="I4520" t="e">
        <f t="shared" ca="1" si="352"/>
        <v>#REF!</v>
      </c>
      <c r="J4520" t="str">
        <f>VLOOKUP($G4520,DefinitionArrays!$I$6:$J$12,2,FALSE)</f>
        <v>Weekend</v>
      </c>
    </row>
    <row r="4521" spans="1:10">
      <c r="A4521" s="159" t="str">
        <f t="shared" si="353"/>
        <v>$N$1:$N$92</v>
      </c>
      <c r="B4521" s="159" t="str">
        <f t="shared" si="354"/>
        <v>$O$1:$O$92</v>
      </c>
      <c r="C4521" s="159" t="str">
        <f t="shared" si="355"/>
        <v>January!$N$1:$N$92</v>
      </c>
      <c r="D4521" s="159" t="str">
        <f t="shared" si="356"/>
        <v>January!$O$1:$O$92</v>
      </c>
      <c r="E4521" t="s">
        <v>9</v>
      </c>
      <c r="F4521" t="s">
        <v>48</v>
      </c>
      <c r="G4521" t="s">
        <v>145</v>
      </c>
      <c r="H4521" t="s">
        <v>23</v>
      </c>
      <c r="I4521" t="e">
        <f t="shared" ca="1" si="352"/>
        <v>#REF!</v>
      </c>
      <c r="J4521" t="str">
        <f>VLOOKUP($G4521,DefinitionArrays!$I$6:$J$12,2,FALSE)</f>
        <v>Weekend</v>
      </c>
    </row>
    <row r="4522" spans="1:10">
      <c r="A4522" s="159" t="str">
        <f t="shared" si="353"/>
        <v>$N$1:$N$92</v>
      </c>
      <c r="B4522" s="159" t="str">
        <f t="shared" si="354"/>
        <v>$O$1:$O$92</v>
      </c>
      <c r="C4522" s="159" t="str">
        <f t="shared" si="355"/>
        <v>January!$N$1:$N$92</v>
      </c>
      <c r="D4522" s="159" t="str">
        <f t="shared" si="356"/>
        <v>January!$O$1:$O$92</v>
      </c>
      <c r="E4522" t="s">
        <v>9</v>
      </c>
      <c r="F4522" t="s">
        <v>48</v>
      </c>
      <c r="G4522" t="s">
        <v>145</v>
      </c>
      <c r="H4522" t="s">
        <v>24</v>
      </c>
      <c r="I4522" t="e">
        <f t="shared" ca="1" si="352"/>
        <v>#REF!</v>
      </c>
      <c r="J4522" t="str">
        <f>VLOOKUP($G4522,DefinitionArrays!$I$6:$J$12,2,FALSE)</f>
        <v>Weekend</v>
      </c>
    </row>
    <row r="4523" spans="1:10">
      <c r="A4523" s="159" t="str">
        <f t="shared" si="353"/>
        <v>$N$1:$N$92</v>
      </c>
      <c r="B4523" s="159" t="str">
        <f t="shared" si="354"/>
        <v>$O$1:$O$92</v>
      </c>
      <c r="C4523" s="159" t="str">
        <f t="shared" si="355"/>
        <v>January!$N$1:$N$92</v>
      </c>
      <c r="D4523" s="159" t="str">
        <f t="shared" si="356"/>
        <v>January!$O$1:$O$92</v>
      </c>
      <c r="E4523" t="s">
        <v>9</v>
      </c>
      <c r="F4523" t="s">
        <v>48</v>
      </c>
      <c r="G4523" t="s">
        <v>145</v>
      </c>
      <c r="H4523" t="s">
        <v>179</v>
      </c>
      <c r="I4523" t="e">
        <f t="shared" ca="1" si="352"/>
        <v>#REF!</v>
      </c>
      <c r="J4523" t="str">
        <f>VLOOKUP($G4523,DefinitionArrays!$I$6:$J$12,2,FALSE)</f>
        <v>Weekend</v>
      </c>
    </row>
    <row r="4524" spans="1:10">
      <c r="A4524" s="159" t="str">
        <f t="shared" si="353"/>
        <v>$N$1:$N$92</v>
      </c>
      <c r="B4524" s="159" t="str">
        <f t="shared" si="354"/>
        <v>$O$1:$O$92</v>
      </c>
      <c r="C4524" s="159" t="str">
        <f t="shared" si="355"/>
        <v>January!$N$1:$N$92</v>
      </c>
      <c r="D4524" s="159" t="str">
        <f t="shared" si="356"/>
        <v>January!$O$1:$O$92</v>
      </c>
      <c r="E4524" t="s">
        <v>9</v>
      </c>
      <c r="F4524" t="s">
        <v>48</v>
      </c>
      <c r="G4524" t="s">
        <v>145</v>
      </c>
      <c r="H4524" t="s">
        <v>180</v>
      </c>
      <c r="I4524" t="e">
        <f t="shared" ca="1" si="352"/>
        <v>#REF!</v>
      </c>
      <c r="J4524" t="str">
        <f>VLOOKUP($G4524,DefinitionArrays!$I$6:$J$12,2,FALSE)</f>
        <v>Weekend</v>
      </c>
    </row>
    <row r="4525" spans="1:10">
      <c r="A4525" s="159" t="str">
        <f t="shared" si="353"/>
        <v>$N$1:$N$92</v>
      </c>
      <c r="B4525" s="159" t="str">
        <f t="shared" si="354"/>
        <v>$O$1:$O$92</v>
      </c>
      <c r="C4525" s="159" t="str">
        <f t="shared" si="355"/>
        <v>January!$N$1:$N$92</v>
      </c>
      <c r="D4525" s="159" t="str">
        <f t="shared" si="356"/>
        <v>January!$O$1:$O$92</v>
      </c>
      <c r="E4525" t="s">
        <v>9</v>
      </c>
      <c r="F4525" t="s">
        <v>48</v>
      </c>
      <c r="G4525" t="s">
        <v>145</v>
      </c>
      <c r="H4525" t="s">
        <v>44</v>
      </c>
      <c r="I4525" t="e">
        <f t="shared" ca="1" si="352"/>
        <v>#REF!</v>
      </c>
      <c r="J4525" t="str">
        <f>VLOOKUP($G4525,DefinitionArrays!$I$6:$J$12,2,FALSE)</f>
        <v>Weekend</v>
      </c>
    </row>
    <row r="4526" spans="1:10">
      <c r="A4526" s="159" t="str">
        <f t="shared" si="353"/>
        <v>$Q$1:$Q$92</v>
      </c>
      <c r="B4526" s="159" t="str">
        <f t="shared" si="354"/>
        <v>$R$1:$R$92</v>
      </c>
      <c r="C4526" s="159" t="str">
        <f t="shared" si="355"/>
        <v>January!$Q$1:$Q$92</v>
      </c>
      <c r="D4526" s="159" t="str">
        <f t="shared" si="356"/>
        <v>January!$R$1:$R$92</v>
      </c>
      <c r="E4526" t="s">
        <v>9</v>
      </c>
      <c r="F4526" t="s">
        <v>48</v>
      </c>
      <c r="G4526" t="s">
        <v>146</v>
      </c>
      <c r="H4526" t="s">
        <v>159</v>
      </c>
      <c r="I4526" t="e">
        <f t="shared" ca="1" si="352"/>
        <v>#REF!</v>
      </c>
      <c r="J4526" t="str">
        <f>VLOOKUP($G4526,DefinitionArrays!$I$6:$J$12,2,FALSE)</f>
        <v>Weekend</v>
      </c>
    </row>
    <row r="4527" spans="1:10">
      <c r="A4527" s="159" t="str">
        <f t="shared" si="353"/>
        <v>$T$1:$T$92</v>
      </c>
      <c r="B4527" s="159" t="str">
        <f t="shared" si="354"/>
        <v>$U$1:$U$92</v>
      </c>
      <c r="C4527" s="159" t="str">
        <f t="shared" si="355"/>
        <v>January!$T$1:$T$92</v>
      </c>
      <c r="D4527" s="159" t="str">
        <f t="shared" si="356"/>
        <v>January!$U$1:$U$92</v>
      </c>
      <c r="E4527" t="s">
        <v>9</v>
      </c>
      <c r="F4527" t="s">
        <v>48</v>
      </c>
      <c r="G4527" t="s">
        <v>141</v>
      </c>
      <c r="H4527" t="s">
        <v>159</v>
      </c>
      <c r="I4527" t="e">
        <f t="shared" ca="1" si="352"/>
        <v>#REF!</v>
      </c>
      <c r="J4527" t="str">
        <f>VLOOKUP($G4527,DefinitionArrays!$I$6:$J$12,2,FALSE)</f>
        <v>Weekend</v>
      </c>
    </row>
    <row r="4528" spans="1:10">
      <c r="A4528" s="159" t="str">
        <f t="shared" si="353"/>
        <v>$B$1:$B$92</v>
      </c>
      <c r="B4528" s="159" t="str">
        <f t="shared" si="354"/>
        <v>$C$1:$C$92</v>
      </c>
      <c r="C4528" s="159" t="str">
        <f t="shared" si="355"/>
        <v>February!$B$1:$B$92</v>
      </c>
      <c r="D4528" s="159" t="str">
        <f t="shared" si="356"/>
        <v>February!$C$1:$C$92</v>
      </c>
      <c r="E4528" t="s">
        <v>9</v>
      </c>
      <c r="F4528" t="s">
        <v>121</v>
      </c>
      <c r="G4528" t="s">
        <v>13</v>
      </c>
      <c r="H4528" t="s">
        <v>159</v>
      </c>
      <c r="I4528" t="e">
        <f ca="1">COUNTIFS(INDIRECT($C4528),$E4528,INDIRECT($D4528),$H4528)</f>
        <v>#REF!</v>
      </c>
      <c r="J4528" t="str">
        <f>VLOOKUP($G4528,DefinitionArrays!$I$6:$J$12,2,FALSE)</f>
        <v>Workweek</v>
      </c>
    </row>
    <row r="4529" spans="1:10">
      <c r="A4529" s="159" t="str">
        <f t="shared" si="353"/>
        <v>$B$1:$B$92</v>
      </c>
      <c r="B4529" s="159" t="str">
        <f t="shared" si="354"/>
        <v>$C$1:$C$92</v>
      </c>
      <c r="C4529" s="159" t="str">
        <f t="shared" si="355"/>
        <v>February!$B$1:$B$92</v>
      </c>
      <c r="D4529" s="159" t="str">
        <f t="shared" si="356"/>
        <v>February!$C$1:$C$92</v>
      </c>
      <c r="E4529" t="s">
        <v>9</v>
      </c>
      <c r="F4529" t="s">
        <v>121</v>
      </c>
      <c r="G4529" t="s">
        <v>13</v>
      </c>
      <c r="H4529" t="s">
        <v>18</v>
      </c>
      <c r="I4529" t="e">
        <f t="shared" ref="I4529:I4589" ca="1" si="357">COUNTIFS(INDIRECT($C4529),$E4529,INDIRECT($D4529),$H4529)</f>
        <v>#REF!</v>
      </c>
      <c r="J4529" t="str">
        <f>VLOOKUP($G4529,DefinitionArrays!$I$6:$J$12,2,FALSE)</f>
        <v>Workweek</v>
      </c>
    </row>
    <row r="4530" spans="1:10">
      <c r="A4530" s="159" t="str">
        <f t="shared" si="353"/>
        <v>$B$1:$B$92</v>
      </c>
      <c r="B4530" s="159" t="str">
        <f t="shared" si="354"/>
        <v>$C$1:$C$92</v>
      </c>
      <c r="C4530" s="159" t="str">
        <f t="shared" si="355"/>
        <v>February!$B$1:$B$92</v>
      </c>
      <c r="D4530" s="159" t="str">
        <f t="shared" si="356"/>
        <v>February!$C$1:$C$92</v>
      </c>
      <c r="E4530" t="s">
        <v>9</v>
      </c>
      <c r="F4530" t="s">
        <v>121</v>
      </c>
      <c r="G4530" t="s">
        <v>13</v>
      </c>
      <c r="H4530" t="s">
        <v>153</v>
      </c>
      <c r="I4530" t="e">
        <f t="shared" ca="1" si="357"/>
        <v>#REF!</v>
      </c>
      <c r="J4530" t="str">
        <f>VLOOKUP($G4530,DefinitionArrays!$I$6:$J$12,2,FALSE)</f>
        <v>Workweek</v>
      </c>
    </row>
    <row r="4531" spans="1:10">
      <c r="A4531" s="159" t="str">
        <f t="shared" si="353"/>
        <v>$B$1:$B$92</v>
      </c>
      <c r="B4531" s="159" t="str">
        <f t="shared" si="354"/>
        <v>$C$1:$C$92</v>
      </c>
      <c r="C4531" s="159" t="str">
        <f t="shared" si="355"/>
        <v>February!$B$1:$B$92</v>
      </c>
      <c r="D4531" s="159" t="str">
        <f t="shared" si="356"/>
        <v>February!$C$1:$C$92</v>
      </c>
      <c r="E4531" t="s">
        <v>9</v>
      </c>
      <c r="F4531" t="s">
        <v>121</v>
      </c>
      <c r="G4531" t="s">
        <v>13</v>
      </c>
      <c r="H4531" t="s">
        <v>19</v>
      </c>
      <c r="I4531" t="e">
        <f t="shared" ca="1" si="357"/>
        <v>#REF!</v>
      </c>
      <c r="J4531" t="str">
        <f>VLOOKUP($G4531,DefinitionArrays!$I$6:$J$12,2,FALSE)</f>
        <v>Workweek</v>
      </c>
    </row>
    <row r="4532" spans="1:10">
      <c r="A4532" s="159" t="str">
        <f t="shared" si="353"/>
        <v>$B$1:$B$92</v>
      </c>
      <c r="B4532" s="159" t="str">
        <f t="shared" si="354"/>
        <v>$C$1:$C$92</v>
      </c>
      <c r="C4532" s="159" t="str">
        <f t="shared" si="355"/>
        <v>February!$B$1:$B$92</v>
      </c>
      <c r="D4532" s="159" t="str">
        <f t="shared" si="356"/>
        <v>February!$C$1:$C$92</v>
      </c>
      <c r="E4532" t="s">
        <v>9</v>
      </c>
      <c r="F4532" t="s">
        <v>121</v>
      </c>
      <c r="G4532" t="s">
        <v>13</v>
      </c>
      <c r="H4532" t="s">
        <v>20</v>
      </c>
      <c r="I4532" t="e">
        <f t="shared" ca="1" si="357"/>
        <v>#REF!</v>
      </c>
      <c r="J4532" t="str">
        <f>VLOOKUP($G4532,DefinitionArrays!$I$6:$J$12,2,FALSE)</f>
        <v>Workweek</v>
      </c>
    </row>
    <row r="4533" spans="1:10">
      <c r="A4533" s="159" t="str">
        <f t="shared" si="353"/>
        <v>$B$1:$B$92</v>
      </c>
      <c r="B4533" s="159" t="str">
        <f t="shared" si="354"/>
        <v>$C$1:$C$92</v>
      </c>
      <c r="C4533" s="159" t="str">
        <f t="shared" si="355"/>
        <v>February!$B$1:$B$92</v>
      </c>
      <c r="D4533" s="159" t="str">
        <f t="shared" si="356"/>
        <v>February!$C$1:$C$92</v>
      </c>
      <c r="E4533" t="s">
        <v>9</v>
      </c>
      <c r="F4533" t="s">
        <v>121</v>
      </c>
      <c r="G4533" t="s">
        <v>13</v>
      </c>
      <c r="H4533" t="s">
        <v>21</v>
      </c>
      <c r="I4533" t="e">
        <f t="shared" ca="1" si="357"/>
        <v>#REF!</v>
      </c>
      <c r="J4533" t="str">
        <f>VLOOKUP($G4533,DefinitionArrays!$I$6:$J$12,2,FALSE)</f>
        <v>Workweek</v>
      </c>
    </row>
    <row r="4534" spans="1:10">
      <c r="A4534" s="159" t="str">
        <f t="shared" si="353"/>
        <v>$B$1:$B$92</v>
      </c>
      <c r="B4534" s="159" t="str">
        <f t="shared" si="354"/>
        <v>$C$1:$C$92</v>
      </c>
      <c r="C4534" s="159" t="str">
        <f t="shared" si="355"/>
        <v>February!$B$1:$B$92</v>
      </c>
      <c r="D4534" s="159" t="str">
        <f t="shared" si="356"/>
        <v>February!$C$1:$C$92</v>
      </c>
      <c r="E4534" t="s">
        <v>9</v>
      </c>
      <c r="F4534" t="s">
        <v>121</v>
      </c>
      <c r="G4534" t="s">
        <v>13</v>
      </c>
      <c r="H4534" t="s">
        <v>22</v>
      </c>
      <c r="I4534" t="e">
        <f t="shared" ca="1" si="357"/>
        <v>#REF!</v>
      </c>
      <c r="J4534" t="str">
        <f>VLOOKUP($G4534,DefinitionArrays!$I$6:$J$12,2,FALSE)</f>
        <v>Workweek</v>
      </c>
    </row>
    <row r="4535" spans="1:10">
      <c r="A4535" s="159" t="str">
        <f t="shared" si="353"/>
        <v>$B$1:$B$92</v>
      </c>
      <c r="B4535" s="159" t="str">
        <f t="shared" si="354"/>
        <v>$C$1:$C$92</v>
      </c>
      <c r="C4535" s="159" t="str">
        <f t="shared" si="355"/>
        <v>February!$B$1:$B$92</v>
      </c>
      <c r="D4535" s="159" t="str">
        <f t="shared" si="356"/>
        <v>February!$C$1:$C$92</v>
      </c>
      <c r="E4535" t="s">
        <v>9</v>
      </c>
      <c r="F4535" t="s">
        <v>121</v>
      </c>
      <c r="G4535" t="s">
        <v>13</v>
      </c>
      <c r="H4535" t="s">
        <v>23</v>
      </c>
      <c r="I4535" t="e">
        <f t="shared" ca="1" si="357"/>
        <v>#REF!</v>
      </c>
      <c r="J4535" t="str">
        <f>VLOOKUP($G4535,DefinitionArrays!$I$6:$J$12,2,FALSE)</f>
        <v>Workweek</v>
      </c>
    </row>
    <row r="4536" spans="1:10">
      <c r="A4536" s="159" t="str">
        <f t="shared" si="353"/>
        <v>$B$1:$B$92</v>
      </c>
      <c r="B4536" s="159" t="str">
        <f t="shared" si="354"/>
        <v>$C$1:$C$92</v>
      </c>
      <c r="C4536" s="159" t="str">
        <f t="shared" si="355"/>
        <v>February!$B$1:$B$92</v>
      </c>
      <c r="D4536" s="159" t="str">
        <f t="shared" si="356"/>
        <v>February!$C$1:$C$92</v>
      </c>
      <c r="E4536" t="s">
        <v>9</v>
      </c>
      <c r="F4536" t="s">
        <v>121</v>
      </c>
      <c r="G4536" t="s">
        <v>13</v>
      </c>
      <c r="H4536" t="s">
        <v>24</v>
      </c>
      <c r="I4536" t="e">
        <f t="shared" ca="1" si="357"/>
        <v>#REF!</v>
      </c>
      <c r="J4536" t="str">
        <f>VLOOKUP($G4536,DefinitionArrays!$I$6:$J$12,2,FALSE)</f>
        <v>Workweek</v>
      </c>
    </row>
    <row r="4537" spans="1:10">
      <c r="A4537" s="159" t="str">
        <f t="shared" si="353"/>
        <v>$B$1:$B$92</v>
      </c>
      <c r="B4537" s="159" t="str">
        <f t="shared" si="354"/>
        <v>$C$1:$C$92</v>
      </c>
      <c r="C4537" s="159" t="str">
        <f t="shared" si="355"/>
        <v>February!$B$1:$B$92</v>
      </c>
      <c r="D4537" s="159" t="str">
        <f t="shared" si="356"/>
        <v>February!$C$1:$C$92</v>
      </c>
      <c r="E4537" t="s">
        <v>9</v>
      </c>
      <c r="F4537" t="s">
        <v>121</v>
      </c>
      <c r="G4537" t="s">
        <v>13</v>
      </c>
      <c r="H4537" t="s">
        <v>179</v>
      </c>
      <c r="I4537" t="e">
        <f t="shared" ca="1" si="357"/>
        <v>#REF!</v>
      </c>
      <c r="J4537" t="str">
        <f>VLOOKUP($G4537,DefinitionArrays!$I$6:$J$12,2,FALSE)</f>
        <v>Workweek</v>
      </c>
    </row>
    <row r="4538" spans="1:10">
      <c r="A4538" s="159" t="str">
        <f t="shared" si="353"/>
        <v>$B$1:$B$92</v>
      </c>
      <c r="B4538" s="159" t="str">
        <f t="shared" si="354"/>
        <v>$C$1:$C$92</v>
      </c>
      <c r="C4538" s="159" t="str">
        <f t="shared" si="355"/>
        <v>February!$B$1:$B$92</v>
      </c>
      <c r="D4538" s="159" t="str">
        <f t="shared" si="356"/>
        <v>February!$C$1:$C$92</v>
      </c>
      <c r="E4538" t="s">
        <v>9</v>
      </c>
      <c r="F4538" t="s">
        <v>121</v>
      </c>
      <c r="G4538" t="s">
        <v>13</v>
      </c>
      <c r="H4538" t="s">
        <v>180</v>
      </c>
      <c r="I4538" t="e">
        <f t="shared" ca="1" si="357"/>
        <v>#REF!</v>
      </c>
      <c r="J4538" t="str">
        <f>VLOOKUP($G4538,DefinitionArrays!$I$6:$J$12,2,FALSE)</f>
        <v>Workweek</v>
      </c>
    </row>
    <row r="4539" spans="1:10">
      <c r="A4539" s="159" t="str">
        <f t="shared" si="353"/>
        <v>$B$1:$B$92</v>
      </c>
      <c r="B4539" s="159" t="str">
        <f t="shared" si="354"/>
        <v>$C$1:$C$92</v>
      </c>
      <c r="C4539" s="159" t="str">
        <f t="shared" si="355"/>
        <v>February!$B$1:$B$92</v>
      </c>
      <c r="D4539" s="159" t="str">
        <f t="shared" si="356"/>
        <v>February!$C$1:$C$92</v>
      </c>
      <c r="E4539" t="s">
        <v>9</v>
      </c>
      <c r="F4539" t="s">
        <v>121</v>
      </c>
      <c r="G4539" t="s">
        <v>13</v>
      </c>
      <c r="H4539" t="s">
        <v>44</v>
      </c>
      <c r="I4539" t="e">
        <f t="shared" ca="1" si="357"/>
        <v>#REF!</v>
      </c>
      <c r="J4539" t="str">
        <f>VLOOKUP($G4539,DefinitionArrays!$I$6:$J$12,2,FALSE)</f>
        <v>Workweek</v>
      </c>
    </row>
    <row r="4540" spans="1:10">
      <c r="A4540" s="159" t="str">
        <f t="shared" si="353"/>
        <v>$E$1:$E$92</v>
      </c>
      <c r="B4540" s="159" t="str">
        <f t="shared" si="354"/>
        <v>$F$1:$F$92</v>
      </c>
      <c r="C4540" s="159" t="str">
        <f t="shared" si="355"/>
        <v>February!$E$1:$E$92</v>
      </c>
      <c r="D4540" s="159" t="str">
        <f t="shared" si="356"/>
        <v>February!$F$1:$F$92</v>
      </c>
      <c r="E4540" t="s">
        <v>9</v>
      </c>
      <c r="F4540" t="s">
        <v>121</v>
      </c>
      <c r="G4540" t="s">
        <v>142</v>
      </c>
      <c r="H4540" t="s">
        <v>159</v>
      </c>
      <c r="I4540" t="e">
        <f t="shared" ca="1" si="357"/>
        <v>#REF!</v>
      </c>
      <c r="J4540" t="str">
        <f>VLOOKUP($G4540,DefinitionArrays!$I$6:$J$12,2,FALSE)</f>
        <v>Workweek</v>
      </c>
    </row>
    <row r="4541" spans="1:10">
      <c r="A4541" s="159" t="str">
        <f t="shared" si="353"/>
        <v>$E$1:$E$92</v>
      </c>
      <c r="B4541" s="159" t="str">
        <f t="shared" si="354"/>
        <v>$F$1:$F$92</v>
      </c>
      <c r="C4541" s="159" t="str">
        <f t="shared" si="355"/>
        <v>February!$E$1:$E$92</v>
      </c>
      <c r="D4541" s="159" t="str">
        <f t="shared" si="356"/>
        <v>February!$F$1:$F$92</v>
      </c>
      <c r="E4541" t="s">
        <v>9</v>
      </c>
      <c r="F4541" t="s">
        <v>121</v>
      </c>
      <c r="G4541" t="s">
        <v>142</v>
      </c>
      <c r="H4541" t="s">
        <v>18</v>
      </c>
      <c r="I4541" t="e">
        <f t="shared" ca="1" si="357"/>
        <v>#REF!</v>
      </c>
      <c r="J4541" t="str">
        <f>VLOOKUP($G4541,DefinitionArrays!$I$6:$J$12,2,FALSE)</f>
        <v>Workweek</v>
      </c>
    </row>
    <row r="4542" spans="1:10">
      <c r="A4542" s="159" t="str">
        <f t="shared" si="353"/>
        <v>$E$1:$E$92</v>
      </c>
      <c r="B4542" s="159" t="str">
        <f t="shared" si="354"/>
        <v>$F$1:$F$92</v>
      </c>
      <c r="C4542" s="159" t="str">
        <f t="shared" si="355"/>
        <v>February!$E$1:$E$92</v>
      </c>
      <c r="D4542" s="159" t="str">
        <f t="shared" si="356"/>
        <v>February!$F$1:$F$92</v>
      </c>
      <c r="E4542" t="s">
        <v>9</v>
      </c>
      <c r="F4542" t="s">
        <v>121</v>
      </c>
      <c r="G4542" t="s">
        <v>142</v>
      </c>
      <c r="H4542" t="s">
        <v>153</v>
      </c>
      <c r="I4542" t="e">
        <f t="shared" ca="1" si="357"/>
        <v>#REF!</v>
      </c>
      <c r="J4542" t="str">
        <f>VLOOKUP($G4542,DefinitionArrays!$I$6:$J$12,2,FALSE)</f>
        <v>Workweek</v>
      </c>
    </row>
    <row r="4543" spans="1:10">
      <c r="A4543" s="159" t="str">
        <f t="shared" si="353"/>
        <v>$E$1:$E$92</v>
      </c>
      <c r="B4543" s="159" t="str">
        <f t="shared" si="354"/>
        <v>$F$1:$F$92</v>
      </c>
      <c r="C4543" s="159" t="str">
        <f t="shared" si="355"/>
        <v>February!$E$1:$E$92</v>
      </c>
      <c r="D4543" s="159" t="str">
        <f t="shared" si="356"/>
        <v>February!$F$1:$F$92</v>
      </c>
      <c r="E4543" t="s">
        <v>9</v>
      </c>
      <c r="F4543" t="s">
        <v>121</v>
      </c>
      <c r="G4543" t="s">
        <v>142</v>
      </c>
      <c r="H4543" t="s">
        <v>19</v>
      </c>
      <c r="I4543" t="e">
        <f t="shared" ca="1" si="357"/>
        <v>#REF!</v>
      </c>
      <c r="J4543" t="str">
        <f>VLOOKUP($G4543,DefinitionArrays!$I$6:$J$12,2,FALSE)</f>
        <v>Workweek</v>
      </c>
    </row>
    <row r="4544" spans="1:10">
      <c r="A4544" s="159" t="str">
        <f t="shared" si="353"/>
        <v>$E$1:$E$92</v>
      </c>
      <c r="B4544" s="159" t="str">
        <f t="shared" si="354"/>
        <v>$F$1:$F$92</v>
      </c>
      <c r="C4544" s="159" t="str">
        <f t="shared" si="355"/>
        <v>February!$E$1:$E$92</v>
      </c>
      <c r="D4544" s="159" t="str">
        <f t="shared" si="356"/>
        <v>February!$F$1:$F$92</v>
      </c>
      <c r="E4544" t="s">
        <v>9</v>
      </c>
      <c r="F4544" t="s">
        <v>121</v>
      </c>
      <c r="G4544" t="s">
        <v>142</v>
      </c>
      <c r="H4544" t="s">
        <v>20</v>
      </c>
      <c r="I4544" t="e">
        <f t="shared" ca="1" si="357"/>
        <v>#REF!</v>
      </c>
      <c r="J4544" t="str">
        <f>VLOOKUP($G4544,DefinitionArrays!$I$6:$J$12,2,FALSE)</f>
        <v>Workweek</v>
      </c>
    </row>
    <row r="4545" spans="1:10">
      <c r="A4545" s="159" t="str">
        <f t="shared" si="353"/>
        <v>$E$1:$E$92</v>
      </c>
      <c r="B4545" s="159" t="str">
        <f t="shared" si="354"/>
        <v>$F$1:$F$92</v>
      </c>
      <c r="C4545" s="159" t="str">
        <f t="shared" si="355"/>
        <v>February!$E$1:$E$92</v>
      </c>
      <c r="D4545" s="159" t="str">
        <f t="shared" si="356"/>
        <v>February!$F$1:$F$92</v>
      </c>
      <c r="E4545" t="s">
        <v>9</v>
      </c>
      <c r="F4545" t="s">
        <v>121</v>
      </c>
      <c r="G4545" t="s">
        <v>142</v>
      </c>
      <c r="H4545" t="s">
        <v>21</v>
      </c>
      <c r="I4545" t="e">
        <f t="shared" ca="1" si="357"/>
        <v>#REF!</v>
      </c>
      <c r="J4545" t="str">
        <f>VLOOKUP($G4545,DefinitionArrays!$I$6:$J$12,2,FALSE)</f>
        <v>Workweek</v>
      </c>
    </row>
    <row r="4546" spans="1:10">
      <c r="A4546" s="159" t="str">
        <f t="shared" ref="A4546:A4609" si="358">VLOOKUP($G4546,Fx_Code,2,FALSE)</f>
        <v>$E$1:$E$92</v>
      </c>
      <c r="B4546" s="159" t="str">
        <f t="shared" ref="B4546:B4609" si="359">VLOOKUP($G4546,Fx_Code,3,FALSE)</f>
        <v>$F$1:$F$92</v>
      </c>
      <c r="C4546" s="159" t="str">
        <f t="shared" ref="C4546:C4609" si="360">CONCATENATE($F4546,$K$1,A4546)</f>
        <v>February!$E$1:$E$92</v>
      </c>
      <c r="D4546" s="159" t="str">
        <f t="shared" ref="D4546:D4609" si="361">CONCATENATE($F4546,$K$1,B4546)</f>
        <v>February!$F$1:$F$92</v>
      </c>
      <c r="E4546" t="s">
        <v>9</v>
      </c>
      <c r="F4546" t="s">
        <v>121</v>
      </c>
      <c r="G4546" t="s">
        <v>142</v>
      </c>
      <c r="H4546" t="s">
        <v>22</v>
      </c>
      <c r="I4546" t="e">
        <f t="shared" ca="1" si="357"/>
        <v>#REF!</v>
      </c>
      <c r="J4546" t="str">
        <f>VLOOKUP($G4546,DefinitionArrays!$I$6:$J$12,2,FALSE)</f>
        <v>Workweek</v>
      </c>
    </row>
    <row r="4547" spans="1:10">
      <c r="A4547" s="159" t="str">
        <f t="shared" si="358"/>
        <v>$E$1:$E$92</v>
      </c>
      <c r="B4547" s="159" t="str">
        <f t="shared" si="359"/>
        <v>$F$1:$F$92</v>
      </c>
      <c r="C4547" s="159" t="str">
        <f t="shared" si="360"/>
        <v>February!$E$1:$E$92</v>
      </c>
      <c r="D4547" s="159" t="str">
        <f t="shared" si="361"/>
        <v>February!$F$1:$F$92</v>
      </c>
      <c r="E4547" t="s">
        <v>9</v>
      </c>
      <c r="F4547" t="s">
        <v>121</v>
      </c>
      <c r="G4547" t="s">
        <v>142</v>
      </c>
      <c r="H4547" t="s">
        <v>23</v>
      </c>
      <c r="I4547" t="e">
        <f t="shared" ca="1" si="357"/>
        <v>#REF!</v>
      </c>
      <c r="J4547" t="str">
        <f>VLOOKUP($G4547,DefinitionArrays!$I$6:$J$12,2,FALSE)</f>
        <v>Workweek</v>
      </c>
    </row>
    <row r="4548" spans="1:10">
      <c r="A4548" s="159" t="str">
        <f t="shared" si="358"/>
        <v>$E$1:$E$92</v>
      </c>
      <c r="B4548" s="159" t="str">
        <f t="shared" si="359"/>
        <v>$F$1:$F$92</v>
      </c>
      <c r="C4548" s="159" t="str">
        <f t="shared" si="360"/>
        <v>February!$E$1:$E$92</v>
      </c>
      <c r="D4548" s="159" t="str">
        <f t="shared" si="361"/>
        <v>February!$F$1:$F$92</v>
      </c>
      <c r="E4548" t="s">
        <v>9</v>
      </c>
      <c r="F4548" t="s">
        <v>121</v>
      </c>
      <c r="G4548" t="s">
        <v>142</v>
      </c>
      <c r="H4548" t="s">
        <v>24</v>
      </c>
      <c r="I4548" t="e">
        <f t="shared" ca="1" si="357"/>
        <v>#REF!</v>
      </c>
      <c r="J4548" t="str">
        <f>VLOOKUP($G4548,DefinitionArrays!$I$6:$J$12,2,FALSE)</f>
        <v>Workweek</v>
      </c>
    </row>
    <row r="4549" spans="1:10">
      <c r="A4549" s="159" t="str">
        <f t="shared" si="358"/>
        <v>$E$1:$E$92</v>
      </c>
      <c r="B4549" s="159" t="str">
        <f t="shared" si="359"/>
        <v>$F$1:$F$92</v>
      </c>
      <c r="C4549" s="159" t="str">
        <f t="shared" si="360"/>
        <v>February!$E$1:$E$92</v>
      </c>
      <c r="D4549" s="159" t="str">
        <f t="shared" si="361"/>
        <v>February!$F$1:$F$92</v>
      </c>
      <c r="E4549" t="s">
        <v>9</v>
      </c>
      <c r="F4549" t="s">
        <v>121</v>
      </c>
      <c r="G4549" t="s">
        <v>142</v>
      </c>
      <c r="H4549" t="s">
        <v>179</v>
      </c>
      <c r="I4549" t="e">
        <f t="shared" ca="1" si="357"/>
        <v>#REF!</v>
      </c>
      <c r="J4549" t="str">
        <f>VLOOKUP($G4549,DefinitionArrays!$I$6:$J$12,2,FALSE)</f>
        <v>Workweek</v>
      </c>
    </row>
    <row r="4550" spans="1:10">
      <c r="A4550" s="159" t="str">
        <f t="shared" si="358"/>
        <v>$E$1:$E$92</v>
      </c>
      <c r="B4550" s="159" t="str">
        <f t="shared" si="359"/>
        <v>$F$1:$F$92</v>
      </c>
      <c r="C4550" s="159" t="str">
        <f t="shared" si="360"/>
        <v>February!$E$1:$E$92</v>
      </c>
      <c r="D4550" s="159" t="str">
        <f t="shared" si="361"/>
        <v>February!$F$1:$F$92</v>
      </c>
      <c r="E4550" t="s">
        <v>9</v>
      </c>
      <c r="F4550" t="s">
        <v>121</v>
      </c>
      <c r="G4550" t="s">
        <v>142</v>
      </c>
      <c r="H4550" t="s">
        <v>180</v>
      </c>
      <c r="I4550" t="e">
        <f t="shared" ca="1" si="357"/>
        <v>#REF!</v>
      </c>
      <c r="J4550" t="str">
        <f>VLOOKUP($G4550,DefinitionArrays!$I$6:$J$12,2,FALSE)</f>
        <v>Workweek</v>
      </c>
    </row>
    <row r="4551" spans="1:10">
      <c r="A4551" s="159" t="str">
        <f t="shared" si="358"/>
        <v>$E$1:$E$92</v>
      </c>
      <c r="B4551" s="159" t="str">
        <f t="shared" si="359"/>
        <v>$F$1:$F$92</v>
      </c>
      <c r="C4551" s="159" t="str">
        <f t="shared" si="360"/>
        <v>February!$E$1:$E$92</v>
      </c>
      <c r="D4551" s="159" t="str">
        <f t="shared" si="361"/>
        <v>February!$F$1:$F$92</v>
      </c>
      <c r="E4551" t="s">
        <v>9</v>
      </c>
      <c r="F4551" t="s">
        <v>121</v>
      </c>
      <c r="G4551" t="s">
        <v>142</v>
      </c>
      <c r="H4551" t="s">
        <v>44</v>
      </c>
      <c r="I4551" t="e">
        <f t="shared" ca="1" si="357"/>
        <v>#REF!</v>
      </c>
      <c r="J4551" t="str">
        <f>VLOOKUP($G4551,DefinitionArrays!$I$6:$J$12,2,FALSE)</f>
        <v>Workweek</v>
      </c>
    </row>
    <row r="4552" spans="1:10">
      <c r="A4552" s="159" t="str">
        <f t="shared" si="358"/>
        <v>$H$1:$H$92</v>
      </c>
      <c r="B4552" s="159" t="str">
        <f t="shared" si="359"/>
        <v>$I$1:$I$92</v>
      </c>
      <c r="C4552" s="159" t="str">
        <f t="shared" si="360"/>
        <v>February!$H$1:$H$92</v>
      </c>
      <c r="D4552" s="159" t="str">
        <f t="shared" si="361"/>
        <v>February!$I$1:$I$92</v>
      </c>
      <c r="E4552" t="s">
        <v>9</v>
      </c>
      <c r="F4552" t="s">
        <v>121</v>
      </c>
      <c r="G4552" t="s">
        <v>143</v>
      </c>
      <c r="H4552" t="s">
        <v>159</v>
      </c>
      <c r="I4552" t="e">
        <f t="shared" ca="1" si="357"/>
        <v>#REF!</v>
      </c>
      <c r="J4552" t="str">
        <f>VLOOKUP($G4552,DefinitionArrays!$I$6:$J$12,2,FALSE)</f>
        <v>Workweek</v>
      </c>
    </row>
    <row r="4553" spans="1:10">
      <c r="A4553" s="159" t="str">
        <f t="shared" si="358"/>
        <v>$H$1:$H$92</v>
      </c>
      <c r="B4553" s="159" t="str">
        <f t="shared" si="359"/>
        <v>$I$1:$I$92</v>
      </c>
      <c r="C4553" s="159" t="str">
        <f t="shared" si="360"/>
        <v>February!$H$1:$H$92</v>
      </c>
      <c r="D4553" s="159" t="str">
        <f t="shared" si="361"/>
        <v>February!$I$1:$I$92</v>
      </c>
      <c r="E4553" t="s">
        <v>9</v>
      </c>
      <c r="F4553" t="s">
        <v>121</v>
      </c>
      <c r="G4553" t="s">
        <v>143</v>
      </c>
      <c r="H4553" t="s">
        <v>18</v>
      </c>
      <c r="I4553" t="e">
        <f t="shared" ca="1" si="357"/>
        <v>#REF!</v>
      </c>
      <c r="J4553" t="str">
        <f>VLOOKUP($G4553,DefinitionArrays!$I$6:$J$12,2,FALSE)</f>
        <v>Workweek</v>
      </c>
    </row>
    <row r="4554" spans="1:10">
      <c r="A4554" s="159" t="str">
        <f t="shared" si="358"/>
        <v>$H$1:$H$92</v>
      </c>
      <c r="B4554" s="159" t="str">
        <f t="shared" si="359"/>
        <v>$I$1:$I$92</v>
      </c>
      <c r="C4554" s="159" t="str">
        <f t="shared" si="360"/>
        <v>February!$H$1:$H$92</v>
      </c>
      <c r="D4554" s="159" t="str">
        <f t="shared" si="361"/>
        <v>February!$I$1:$I$92</v>
      </c>
      <c r="E4554" t="s">
        <v>9</v>
      </c>
      <c r="F4554" t="s">
        <v>121</v>
      </c>
      <c r="G4554" t="s">
        <v>143</v>
      </c>
      <c r="H4554" t="s">
        <v>153</v>
      </c>
      <c r="I4554" t="e">
        <f t="shared" ca="1" si="357"/>
        <v>#REF!</v>
      </c>
      <c r="J4554" t="str">
        <f>VLOOKUP($G4554,DefinitionArrays!$I$6:$J$12,2,FALSE)</f>
        <v>Workweek</v>
      </c>
    </row>
    <row r="4555" spans="1:10">
      <c r="A4555" s="159" t="str">
        <f t="shared" si="358"/>
        <v>$H$1:$H$92</v>
      </c>
      <c r="B4555" s="159" t="str">
        <f t="shared" si="359"/>
        <v>$I$1:$I$92</v>
      </c>
      <c r="C4555" s="159" t="str">
        <f t="shared" si="360"/>
        <v>February!$H$1:$H$92</v>
      </c>
      <c r="D4555" s="159" t="str">
        <f t="shared" si="361"/>
        <v>February!$I$1:$I$92</v>
      </c>
      <c r="E4555" t="s">
        <v>9</v>
      </c>
      <c r="F4555" t="s">
        <v>121</v>
      </c>
      <c r="G4555" t="s">
        <v>143</v>
      </c>
      <c r="H4555" t="s">
        <v>19</v>
      </c>
      <c r="I4555" t="e">
        <f t="shared" ca="1" si="357"/>
        <v>#REF!</v>
      </c>
      <c r="J4555" t="str">
        <f>VLOOKUP($G4555,DefinitionArrays!$I$6:$J$12,2,FALSE)</f>
        <v>Workweek</v>
      </c>
    </row>
    <row r="4556" spans="1:10">
      <c r="A4556" s="159" t="str">
        <f t="shared" si="358"/>
        <v>$H$1:$H$92</v>
      </c>
      <c r="B4556" s="159" t="str">
        <f t="shared" si="359"/>
        <v>$I$1:$I$92</v>
      </c>
      <c r="C4556" s="159" t="str">
        <f t="shared" si="360"/>
        <v>February!$H$1:$H$92</v>
      </c>
      <c r="D4556" s="159" t="str">
        <f t="shared" si="361"/>
        <v>February!$I$1:$I$92</v>
      </c>
      <c r="E4556" t="s">
        <v>9</v>
      </c>
      <c r="F4556" t="s">
        <v>121</v>
      </c>
      <c r="G4556" t="s">
        <v>143</v>
      </c>
      <c r="H4556" t="s">
        <v>20</v>
      </c>
      <c r="I4556" t="e">
        <f t="shared" ca="1" si="357"/>
        <v>#REF!</v>
      </c>
      <c r="J4556" t="str">
        <f>VLOOKUP($G4556,DefinitionArrays!$I$6:$J$12,2,FALSE)</f>
        <v>Workweek</v>
      </c>
    </row>
    <row r="4557" spans="1:10">
      <c r="A4557" s="159" t="str">
        <f t="shared" si="358"/>
        <v>$H$1:$H$92</v>
      </c>
      <c r="B4557" s="159" t="str">
        <f t="shared" si="359"/>
        <v>$I$1:$I$92</v>
      </c>
      <c r="C4557" s="159" t="str">
        <f t="shared" si="360"/>
        <v>February!$H$1:$H$92</v>
      </c>
      <c r="D4557" s="159" t="str">
        <f t="shared" si="361"/>
        <v>February!$I$1:$I$92</v>
      </c>
      <c r="E4557" t="s">
        <v>9</v>
      </c>
      <c r="F4557" t="s">
        <v>121</v>
      </c>
      <c r="G4557" t="s">
        <v>143</v>
      </c>
      <c r="H4557" t="s">
        <v>21</v>
      </c>
      <c r="I4557" t="e">
        <f t="shared" ca="1" si="357"/>
        <v>#REF!</v>
      </c>
      <c r="J4557" t="str">
        <f>VLOOKUP($G4557,DefinitionArrays!$I$6:$J$12,2,FALSE)</f>
        <v>Workweek</v>
      </c>
    </row>
    <row r="4558" spans="1:10">
      <c r="A4558" s="159" t="str">
        <f t="shared" si="358"/>
        <v>$H$1:$H$92</v>
      </c>
      <c r="B4558" s="159" t="str">
        <f t="shared" si="359"/>
        <v>$I$1:$I$92</v>
      </c>
      <c r="C4558" s="159" t="str">
        <f t="shared" si="360"/>
        <v>February!$H$1:$H$92</v>
      </c>
      <c r="D4558" s="159" t="str">
        <f t="shared" si="361"/>
        <v>February!$I$1:$I$92</v>
      </c>
      <c r="E4558" t="s">
        <v>9</v>
      </c>
      <c r="F4558" t="s">
        <v>121</v>
      </c>
      <c r="G4558" t="s">
        <v>143</v>
      </c>
      <c r="H4558" t="s">
        <v>22</v>
      </c>
      <c r="I4558" t="e">
        <f t="shared" ca="1" si="357"/>
        <v>#REF!</v>
      </c>
      <c r="J4558" t="str">
        <f>VLOOKUP($G4558,DefinitionArrays!$I$6:$J$12,2,FALSE)</f>
        <v>Workweek</v>
      </c>
    </row>
    <row r="4559" spans="1:10">
      <c r="A4559" s="159" t="str">
        <f t="shared" si="358"/>
        <v>$H$1:$H$92</v>
      </c>
      <c r="B4559" s="159" t="str">
        <f t="shared" si="359"/>
        <v>$I$1:$I$92</v>
      </c>
      <c r="C4559" s="159" t="str">
        <f t="shared" si="360"/>
        <v>February!$H$1:$H$92</v>
      </c>
      <c r="D4559" s="159" t="str">
        <f t="shared" si="361"/>
        <v>February!$I$1:$I$92</v>
      </c>
      <c r="E4559" t="s">
        <v>9</v>
      </c>
      <c r="F4559" t="s">
        <v>121</v>
      </c>
      <c r="G4559" t="s">
        <v>143</v>
      </c>
      <c r="H4559" t="s">
        <v>23</v>
      </c>
      <c r="I4559" t="e">
        <f t="shared" ca="1" si="357"/>
        <v>#REF!</v>
      </c>
      <c r="J4559" t="str">
        <f>VLOOKUP($G4559,DefinitionArrays!$I$6:$J$12,2,FALSE)</f>
        <v>Workweek</v>
      </c>
    </row>
    <row r="4560" spans="1:10">
      <c r="A4560" s="159" t="str">
        <f t="shared" si="358"/>
        <v>$H$1:$H$92</v>
      </c>
      <c r="B4560" s="159" t="str">
        <f t="shared" si="359"/>
        <v>$I$1:$I$92</v>
      </c>
      <c r="C4560" s="159" t="str">
        <f t="shared" si="360"/>
        <v>February!$H$1:$H$92</v>
      </c>
      <c r="D4560" s="159" t="str">
        <f t="shared" si="361"/>
        <v>February!$I$1:$I$92</v>
      </c>
      <c r="E4560" t="s">
        <v>9</v>
      </c>
      <c r="F4560" t="s">
        <v>121</v>
      </c>
      <c r="G4560" t="s">
        <v>143</v>
      </c>
      <c r="H4560" t="s">
        <v>24</v>
      </c>
      <c r="I4560" t="e">
        <f t="shared" ca="1" si="357"/>
        <v>#REF!</v>
      </c>
      <c r="J4560" t="str">
        <f>VLOOKUP($G4560,DefinitionArrays!$I$6:$J$12,2,FALSE)</f>
        <v>Workweek</v>
      </c>
    </row>
    <row r="4561" spans="1:10">
      <c r="A4561" s="159" t="str">
        <f t="shared" si="358"/>
        <v>$H$1:$H$92</v>
      </c>
      <c r="B4561" s="159" t="str">
        <f t="shared" si="359"/>
        <v>$I$1:$I$92</v>
      </c>
      <c r="C4561" s="159" t="str">
        <f t="shared" si="360"/>
        <v>February!$H$1:$H$92</v>
      </c>
      <c r="D4561" s="159" t="str">
        <f t="shared" si="361"/>
        <v>February!$I$1:$I$92</v>
      </c>
      <c r="E4561" t="s">
        <v>9</v>
      </c>
      <c r="F4561" t="s">
        <v>121</v>
      </c>
      <c r="G4561" t="s">
        <v>143</v>
      </c>
      <c r="H4561" t="s">
        <v>179</v>
      </c>
      <c r="I4561" t="e">
        <f t="shared" ca="1" si="357"/>
        <v>#REF!</v>
      </c>
      <c r="J4561" t="str">
        <f>VLOOKUP($G4561,DefinitionArrays!$I$6:$J$12,2,FALSE)</f>
        <v>Workweek</v>
      </c>
    </row>
    <row r="4562" spans="1:10">
      <c r="A4562" s="159" t="str">
        <f t="shared" si="358"/>
        <v>$H$1:$H$92</v>
      </c>
      <c r="B4562" s="159" t="str">
        <f t="shared" si="359"/>
        <v>$I$1:$I$92</v>
      </c>
      <c r="C4562" s="159" t="str">
        <f t="shared" si="360"/>
        <v>February!$H$1:$H$92</v>
      </c>
      <c r="D4562" s="159" t="str">
        <f t="shared" si="361"/>
        <v>February!$I$1:$I$92</v>
      </c>
      <c r="E4562" t="s">
        <v>9</v>
      </c>
      <c r="F4562" t="s">
        <v>121</v>
      </c>
      <c r="G4562" t="s">
        <v>143</v>
      </c>
      <c r="H4562" t="s">
        <v>180</v>
      </c>
      <c r="I4562" t="e">
        <f t="shared" ca="1" si="357"/>
        <v>#REF!</v>
      </c>
      <c r="J4562" t="str">
        <f>VLOOKUP($G4562,DefinitionArrays!$I$6:$J$12,2,FALSE)</f>
        <v>Workweek</v>
      </c>
    </row>
    <row r="4563" spans="1:10">
      <c r="A4563" s="159" t="str">
        <f t="shared" si="358"/>
        <v>$H$1:$H$92</v>
      </c>
      <c r="B4563" s="159" t="str">
        <f t="shared" si="359"/>
        <v>$I$1:$I$92</v>
      </c>
      <c r="C4563" s="159" t="str">
        <f t="shared" si="360"/>
        <v>February!$H$1:$H$92</v>
      </c>
      <c r="D4563" s="159" t="str">
        <f t="shared" si="361"/>
        <v>February!$I$1:$I$92</v>
      </c>
      <c r="E4563" t="s">
        <v>9</v>
      </c>
      <c r="F4563" t="s">
        <v>121</v>
      </c>
      <c r="G4563" t="s">
        <v>143</v>
      </c>
      <c r="H4563" t="s">
        <v>44</v>
      </c>
      <c r="I4563" t="e">
        <f t="shared" ca="1" si="357"/>
        <v>#REF!</v>
      </c>
      <c r="J4563" t="str">
        <f>VLOOKUP($G4563,DefinitionArrays!$I$6:$J$12,2,FALSE)</f>
        <v>Workweek</v>
      </c>
    </row>
    <row r="4564" spans="1:10">
      <c r="A4564" s="159" t="str">
        <f t="shared" si="358"/>
        <v>$K$1:$K$92</v>
      </c>
      <c r="B4564" s="159" t="str">
        <f t="shared" si="359"/>
        <v>$L$1:$L$92</v>
      </c>
      <c r="C4564" s="159" t="str">
        <f t="shared" si="360"/>
        <v>February!$K$1:$K$92</v>
      </c>
      <c r="D4564" s="159" t="str">
        <f t="shared" si="361"/>
        <v>February!$L$1:$L$92</v>
      </c>
      <c r="E4564" t="s">
        <v>9</v>
      </c>
      <c r="F4564" t="s">
        <v>121</v>
      </c>
      <c r="G4564" t="s">
        <v>144</v>
      </c>
      <c r="H4564" t="s">
        <v>159</v>
      </c>
      <c r="I4564" t="e">
        <f t="shared" ca="1" si="357"/>
        <v>#REF!</v>
      </c>
      <c r="J4564" t="str">
        <f>VLOOKUP($G4564,DefinitionArrays!$I$6:$J$12,2,FALSE)</f>
        <v>Workweek</v>
      </c>
    </row>
    <row r="4565" spans="1:10">
      <c r="A4565" s="159" t="str">
        <f t="shared" si="358"/>
        <v>$K$1:$K$92</v>
      </c>
      <c r="B4565" s="159" t="str">
        <f t="shared" si="359"/>
        <v>$L$1:$L$92</v>
      </c>
      <c r="C4565" s="159" t="str">
        <f t="shared" si="360"/>
        <v>February!$K$1:$K$92</v>
      </c>
      <c r="D4565" s="159" t="str">
        <f t="shared" si="361"/>
        <v>February!$L$1:$L$92</v>
      </c>
      <c r="E4565" t="s">
        <v>9</v>
      </c>
      <c r="F4565" t="s">
        <v>121</v>
      </c>
      <c r="G4565" t="s">
        <v>144</v>
      </c>
      <c r="H4565" t="s">
        <v>18</v>
      </c>
      <c r="I4565" t="e">
        <f t="shared" ca="1" si="357"/>
        <v>#REF!</v>
      </c>
      <c r="J4565" t="str">
        <f>VLOOKUP($G4565,DefinitionArrays!$I$6:$J$12,2,FALSE)</f>
        <v>Workweek</v>
      </c>
    </row>
    <row r="4566" spans="1:10">
      <c r="A4566" s="159" t="str">
        <f t="shared" si="358"/>
        <v>$K$1:$K$92</v>
      </c>
      <c r="B4566" s="159" t="str">
        <f t="shared" si="359"/>
        <v>$L$1:$L$92</v>
      </c>
      <c r="C4566" s="159" t="str">
        <f t="shared" si="360"/>
        <v>February!$K$1:$K$92</v>
      </c>
      <c r="D4566" s="159" t="str">
        <f t="shared" si="361"/>
        <v>February!$L$1:$L$92</v>
      </c>
      <c r="E4566" t="s">
        <v>9</v>
      </c>
      <c r="F4566" t="s">
        <v>121</v>
      </c>
      <c r="G4566" t="s">
        <v>144</v>
      </c>
      <c r="H4566" t="s">
        <v>153</v>
      </c>
      <c r="I4566" t="e">
        <f t="shared" ca="1" si="357"/>
        <v>#REF!</v>
      </c>
      <c r="J4566" t="str">
        <f>VLOOKUP($G4566,DefinitionArrays!$I$6:$J$12,2,FALSE)</f>
        <v>Workweek</v>
      </c>
    </row>
    <row r="4567" spans="1:10">
      <c r="A4567" s="159" t="str">
        <f t="shared" si="358"/>
        <v>$K$1:$K$92</v>
      </c>
      <c r="B4567" s="159" t="str">
        <f t="shared" si="359"/>
        <v>$L$1:$L$92</v>
      </c>
      <c r="C4567" s="159" t="str">
        <f t="shared" si="360"/>
        <v>February!$K$1:$K$92</v>
      </c>
      <c r="D4567" s="159" t="str">
        <f t="shared" si="361"/>
        <v>February!$L$1:$L$92</v>
      </c>
      <c r="E4567" t="s">
        <v>9</v>
      </c>
      <c r="F4567" t="s">
        <v>121</v>
      </c>
      <c r="G4567" t="s">
        <v>144</v>
      </c>
      <c r="H4567" t="s">
        <v>19</v>
      </c>
      <c r="I4567" t="e">
        <f t="shared" ca="1" si="357"/>
        <v>#REF!</v>
      </c>
      <c r="J4567" t="str">
        <f>VLOOKUP($G4567,DefinitionArrays!$I$6:$J$12,2,FALSE)</f>
        <v>Workweek</v>
      </c>
    </row>
    <row r="4568" spans="1:10">
      <c r="A4568" s="159" t="str">
        <f t="shared" si="358"/>
        <v>$K$1:$K$92</v>
      </c>
      <c r="B4568" s="159" t="str">
        <f t="shared" si="359"/>
        <v>$L$1:$L$92</v>
      </c>
      <c r="C4568" s="159" t="str">
        <f t="shared" si="360"/>
        <v>February!$K$1:$K$92</v>
      </c>
      <c r="D4568" s="159" t="str">
        <f t="shared" si="361"/>
        <v>February!$L$1:$L$92</v>
      </c>
      <c r="E4568" t="s">
        <v>9</v>
      </c>
      <c r="F4568" t="s">
        <v>121</v>
      </c>
      <c r="G4568" t="s">
        <v>144</v>
      </c>
      <c r="H4568" t="s">
        <v>20</v>
      </c>
      <c r="I4568" t="e">
        <f t="shared" ca="1" si="357"/>
        <v>#REF!</v>
      </c>
      <c r="J4568" t="str">
        <f>VLOOKUP($G4568,DefinitionArrays!$I$6:$J$12,2,FALSE)</f>
        <v>Workweek</v>
      </c>
    </row>
    <row r="4569" spans="1:10">
      <c r="A4569" s="159" t="str">
        <f t="shared" si="358"/>
        <v>$K$1:$K$92</v>
      </c>
      <c r="B4569" s="159" t="str">
        <f t="shared" si="359"/>
        <v>$L$1:$L$92</v>
      </c>
      <c r="C4569" s="159" t="str">
        <f t="shared" si="360"/>
        <v>February!$K$1:$K$92</v>
      </c>
      <c r="D4569" s="159" t="str">
        <f t="shared" si="361"/>
        <v>February!$L$1:$L$92</v>
      </c>
      <c r="E4569" t="s">
        <v>9</v>
      </c>
      <c r="F4569" t="s">
        <v>121</v>
      </c>
      <c r="G4569" t="s">
        <v>144</v>
      </c>
      <c r="H4569" t="s">
        <v>21</v>
      </c>
      <c r="I4569" t="e">
        <f t="shared" ca="1" si="357"/>
        <v>#REF!</v>
      </c>
      <c r="J4569" t="str">
        <f>VLOOKUP($G4569,DefinitionArrays!$I$6:$J$12,2,FALSE)</f>
        <v>Workweek</v>
      </c>
    </row>
    <row r="4570" spans="1:10">
      <c r="A4570" s="159" t="str">
        <f t="shared" si="358"/>
        <v>$K$1:$K$92</v>
      </c>
      <c r="B4570" s="159" t="str">
        <f t="shared" si="359"/>
        <v>$L$1:$L$92</v>
      </c>
      <c r="C4570" s="159" t="str">
        <f t="shared" si="360"/>
        <v>February!$K$1:$K$92</v>
      </c>
      <c r="D4570" s="159" t="str">
        <f t="shared" si="361"/>
        <v>February!$L$1:$L$92</v>
      </c>
      <c r="E4570" t="s">
        <v>9</v>
      </c>
      <c r="F4570" t="s">
        <v>121</v>
      </c>
      <c r="G4570" t="s">
        <v>144</v>
      </c>
      <c r="H4570" t="s">
        <v>22</v>
      </c>
      <c r="I4570" t="e">
        <f t="shared" ca="1" si="357"/>
        <v>#REF!</v>
      </c>
      <c r="J4570" t="str">
        <f>VLOOKUP($G4570,DefinitionArrays!$I$6:$J$12,2,FALSE)</f>
        <v>Workweek</v>
      </c>
    </row>
    <row r="4571" spans="1:10">
      <c r="A4571" s="159" t="str">
        <f t="shared" si="358"/>
        <v>$K$1:$K$92</v>
      </c>
      <c r="B4571" s="159" t="str">
        <f t="shared" si="359"/>
        <v>$L$1:$L$92</v>
      </c>
      <c r="C4571" s="159" t="str">
        <f t="shared" si="360"/>
        <v>February!$K$1:$K$92</v>
      </c>
      <c r="D4571" s="159" t="str">
        <f t="shared" si="361"/>
        <v>February!$L$1:$L$92</v>
      </c>
      <c r="E4571" t="s">
        <v>9</v>
      </c>
      <c r="F4571" t="s">
        <v>121</v>
      </c>
      <c r="G4571" t="s">
        <v>144</v>
      </c>
      <c r="H4571" t="s">
        <v>23</v>
      </c>
      <c r="I4571" t="e">
        <f t="shared" ca="1" si="357"/>
        <v>#REF!</v>
      </c>
      <c r="J4571" t="str">
        <f>VLOOKUP($G4571,DefinitionArrays!$I$6:$J$12,2,FALSE)</f>
        <v>Workweek</v>
      </c>
    </row>
    <row r="4572" spans="1:10">
      <c r="A4572" s="159" t="str">
        <f t="shared" si="358"/>
        <v>$K$1:$K$92</v>
      </c>
      <c r="B4572" s="159" t="str">
        <f t="shared" si="359"/>
        <v>$L$1:$L$92</v>
      </c>
      <c r="C4572" s="159" t="str">
        <f t="shared" si="360"/>
        <v>February!$K$1:$K$92</v>
      </c>
      <c r="D4572" s="159" t="str">
        <f t="shared" si="361"/>
        <v>February!$L$1:$L$92</v>
      </c>
      <c r="E4572" t="s">
        <v>9</v>
      </c>
      <c r="F4572" t="s">
        <v>121</v>
      </c>
      <c r="G4572" t="s">
        <v>144</v>
      </c>
      <c r="H4572" t="s">
        <v>24</v>
      </c>
      <c r="I4572" t="e">
        <f t="shared" ca="1" si="357"/>
        <v>#REF!</v>
      </c>
      <c r="J4572" t="str">
        <f>VLOOKUP($G4572,DefinitionArrays!$I$6:$J$12,2,FALSE)</f>
        <v>Workweek</v>
      </c>
    </row>
    <row r="4573" spans="1:10">
      <c r="A4573" s="159" t="str">
        <f t="shared" si="358"/>
        <v>$K$1:$K$92</v>
      </c>
      <c r="B4573" s="159" t="str">
        <f t="shared" si="359"/>
        <v>$L$1:$L$92</v>
      </c>
      <c r="C4573" s="159" t="str">
        <f t="shared" si="360"/>
        <v>February!$K$1:$K$92</v>
      </c>
      <c r="D4573" s="159" t="str">
        <f t="shared" si="361"/>
        <v>February!$L$1:$L$92</v>
      </c>
      <c r="E4573" t="s">
        <v>9</v>
      </c>
      <c r="F4573" t="s">
        <v>121</v>
      </c>
      <c r="G4573" t="s">
        <v>144</v>
      </c>
      <c r="H4573" t="s">
        <v>179</v>
      </c>
      <c r="I4573" t="e">
        <f t="shared" ca="1" si="357"/>
        <v>#REF!</v>
      </c>
      <c r="J4573" t="str">
        <f>VLOOKUP($G4573,DefinitionArrays!$I$6:$J$12,2,FALSE)</f>
        <v>Workweek</v>
      </c>
    </row>
    <row r="4574" spans="1:10">
      <c r="A4574" s="159" t="str">
        <f t="shared" si="358"/>
        <v>$K$1:$K$92</v>
      </c>
      <c r="B4574" s="159" t="str">
        <f t="shared" si="359"/>
        <v>$L$1:$L$92</v>
      </c>
      <c r="C4574" s="159" t="str">
        <f t="shared" si="360"/>
        <v>February!$K$1:$K$92</v>
      </c>
      <c r="D4574" s="159" t="str">
        <f t="shared" si="361"/>
        <v>February!$L$1:$L$92</v>
      </c>
      <c r="E4574" t="s">
        <v>9</v>
      </c>
      <c r="F4574" t="s">
        <v>121</v>
      </c>
      <c r="G4574" t="s">
        <v>144</v>
      </c>
      <c r="H4574" t="s">
        <v>180</v>
      </c>
      <c r="I4574" t="e">
        <f t="shared" ca="1" si="357"/>
        <v>#REF!</v>
      </c>
      <c r="J4574" t="str">
        <f>VLOOKUP($G4574,DefinitionArrays!$I$6:$J$12,2,FALSE)</f>
        <v>Workweek</v>
      </c>
    </row>
    <row r="4575" spans="1:10">
      <c r="A4575" s="159" t="str">
        <f t="shared" si="358"/>
        <v>$K$1:$K$92</v>
      </c>
      <c r="B4575" s="159" t="str">
        <f t="shared" si="359"/>
        <v>$L$1:$L$92</v>
      </c>
      <c r="C4575" s="159" t="str">
        <f t="shared" si="360"/>
        <v>February!$K$1:$K$92</v>
      </c>
      <c r="D4575" s="159" t="str">
        <f t="shared" si="361"/>
        <v>February!$L$1:$L$92</v>
      </c>
      <c r="E4575" t="s">
        <v>9</v>
      </c>
      <c r="F4575" t="s">
        <v>121</v>
      </c>
      <c r="G4575" t="s">
        <v>144</v>
      </c>
      <c r="H4575" t="s">
        <v>44</v>
      </c>
      <c r="I4575" t="e">
        <f t="shared" ca="1" si="357"/>
        <v>#REF!</v>
      </c>
      <c r="J4575" t="str">
        <f>VLOOKUP($G4575,DefinitionArrays!$I$6:$J$12,2,FALSE)</f>
        <v>Workweek</v>
      </c>
    </row>
    <row r="4576" spans="1:10">
      <c r="A4576" s="159" t="str">
        <f t="shared" si="358"/>
        <v>$N$1:$N$92</v>
      </c>
      <c r="B4576" s="159" t="str">
        <f t="shared" si="359"/>
        <v>$O$1:$O$92</v>
      </c>
      <c r="C4576" s="159" t="str">
        <f t="shared" si="360"/>
        <v>February!$N$1:$N$92</v>
      </c>
      <c r="D4576" s="159" t="str">
        <f t="shared" si="361"/>
        <v>February!$O$1:$O$92</v>
      </c>
      <c r="E4576" t="s">
        <v>9</v>
      </c>
      <c r="F4576" t="s">
        <v>121</v>
      </c>
      <c r="G4576" t="s">
        <v>145</v>
      </c>
      <c r="H4576" t="s">
        <v>159</v>
      </c>
      <c r="I4576" t="e">
        <f t="shared" ca="1" si="357"/>
        <v>#REF!</v>
      </c>
      <c r="J4576" t="str">
        <f>VLOOKUP($G4576,DefinitionArrays!$I$6:$J$12,2,FALSE)</f>
        <v>Weekend</v>
      </c>
    </row>
    <row r="4577" spans="1:10">
      <c r="A4577" s="159" t="str">
        <f t="shared" si="358"/>
        <v>$N$1:$N$92</v>
      </c>
      <c r="B4577" s="159" t="str">
        <f t="shared" si="359"/>
        <v>$O$1:$O$92</v>
      </c>
      <c r="C4577" s="159" t="str">
        <f t="shared" si="360"/>
        <v>February!$N$1:$N$92</v>
      </c>
      <c r="D4577" s="159" t="str">
        <f t="shared" si="361"/>
        <v>February!$O$1:$O$92</v>
      </c>
      <c r="E4577" t="s">
        <v>9</v>
      </c>
      <c r="F4577" t="s">
        <v>121</v>
      </c>
      <c r="G4577" t="s">
        <v>145</v>
      </c>
      <c r="H4577" t="s">
        <v>18</v>
      </c>
      <c r="I4577" t="e">
        <f t="shared" ca="1" si="357"/>
        <v>#REF!</v>
      </c>
      <c r="J4577" t="str">
        <f>VLOOKUP($G4577,DefinitionArrays!$I$6:$J$12,2,FALSE)</f>
        <v>Weekend</v>
      </c>
    </row>
    <row r="4578" spans="1:10">
      <c r="A4578" s="159" t="str">
        <f t="shared" si="358"/>
        <v>$N$1:$N$92</v>
      </c>
      <c r="B4578" s="159" t="str">
        <f t="shared" si="359"/>
        <v>$O$1:$O$92</v>
      </c>
      <c r="C4578" s="159" t="str">
        <f t="shared" si="360"/>
        <v>February!$N$1:$N$92</v>
      </c>
      <c r="D4578" s="159" t="str">
        <f t="shared" si="361"/>
        <v>February!$O$1:$O$92</v>
      </c>
      <c r="E4578" t="s">
        <v>9</v>
      </c>
      <c r="F4578" t="s">
        <v>121</v>
      </c>
      <c r="G4578" t="s">
        <v>145</v>
      </c>
      <c r="H4578" t="s">
        <v>153</v>
      </c>
      <c r="I4578" t="e">
        <f t="shared" ca="1" si="357"/>
        <v>#REF!</v>
      </c>
      <c r="J4578" t="str">
        <f>VLOOKUP($G4578,DefinitionArrays!$I$6:$J$12,2,FALSE)</f>
        <v>Weekend</v>
      </c>
    </row>
    <row r="4579" spans="1:10">
      <c r="A4579" s="159" t="str">
        <f t="shared" si="358"/>
        <v>$N$1:$N$92</v>
      </c>
      <c r="B4579" s="159" t="str">
        <f t="shared" si="359"/>
        <v>$O$1:$O$92</v>
      </c>
      <c r="C4579" s="159" t="str">
        <f t="shared" si="360"/>
        <v>February!$N$1:$N$92</v>
      </c>
      <c r="D4579" s="159" t="str">
        <f t="shared" si="361"/>
        <v>February!$O$1:$O$92</v>
      </c>
      <c r="E4579" t="s">
        <v>9</v>
      </c>
      <c r="F4579" t="s">
        <v>121</v>
      </c>
      <c r="G4579" t="s">
        <v>145</v>
      </c>
      <c r="H4579" t="s">
        <v>19</v>
      </c>
      <c r="I4579" t="e">
        <f t="shared" ca="1" si="357"/>
        <v>#REF!</v>
      </c>
      <c r="J4579" t="str">
        <f>VLOOKUP($G4579,DefinitionArrays!$I$6:$J$12,2,FALSE)</f>
        <v>Weekend</v>
      </c>
    </row>
    <row r="4580" spans="1:10">
      <c r="A4580" s="159" t="str">
        <f t="shared" si="358"/>
        <v>$N$1:$N$92</v>
      </c>
      <c r="B4580" s="159" t="str">
        <f t="shared" si="359"/>
        <v>$O$1:$O$92</v>
      </c>
      <c r="C4580" s="159" t="str">
        <f t="shared" si="360"/>
        <v>February!$N$1:$N$92</v>
      </c>
      <c r="D4580" s="159" t="str">
        <f t="shared" si="361"/>
        <v>February!$O$1:$O$92</v>
      </c>
      <c r="E4580" t="s">
        <v>9</v>
      </c>
      <c r="F4580" t="s">
        <v>121</v>
      </c>
      <c r="G4580" t="s">
        <v>145</v>
      </c>
      <c r="H4580" t="s">
        <v>20</v>
      </c>
      <c r="I4580" t="e">
        <f t="shared" ca="1" si="357"/>
        <v>#REF!</v>
      </c>
      <c r="J4580" t="str">
        <f>VLOOKUP($G4580,DefinitionArrays!$I$6:$J$12,2,FALSE)</f>
        <v>Weekend</v>
      </c>
    </row>
    <row r="4581" spans="1:10">
      <c r="A4581" s="159" t="str">
        <f t="shared" si="358"/>
        <v>$N$1:$N$92</v>
      </c>
      <c r="B4581" s="159" t="str">
        <f t="shared" si="359"/>
        <v>$O$1:$O$92</v>
      </c>
      <c r="C4581" s="159" t="str">
        <f t="shared" si="360"/>
        <v>February!$N$1:$N$92</v>
      </c>
      <c r="D4581" s="159" t="str">
        <f t="shared" si="361"/>
        <v>February!$O$1:$O$92</v>
      </c>
      <c r="E4581" t="s">
        <v>9</v>
      </c>
      <c r="F4581" t="s">
        <v>121</v>
      </c>
      <c r="G4581" t="s">
        <v>145</v>
      </c>
      <c r="H4581" t="s">
        <v>21</v>
      </c>
      <c r="I4581" t="e">
        <f t="shared" ca="1" si="357"/>
        <v>#REF!</v>
      </c>
      <c r="J4581" t="str">
        <f>VLOOKUP($G4581,DefinitionArrays!$I$6:$J$12,2,FALSE)</f>
        <v>Weekend</v>
      </c>
    </row>
    <row r="4582" spans="1:10">
      <c r="A4582" s="159" t="str">
        <f t="shared" si="358"/>
        <v>$N$1:$N$92</v>
      </c>
      <c r="B4582" s="159" t="str">
        <f t="shared" si="359"/>
        <v>$O$1:$O$92</v>
      </c>
      <c r="C4582" s="159" t="str">
        <f t="shared" si="360"/>
        <v>February!$N$1:$N$92</v>
      </c>
      <c r="D4582" s="159" t="str">
        <f t="shared" si="361"/>
        <v>February!$O$1:$O$92</v>
      </c>
      <c r="E4582" t="s">
        <v>9</v>
      </c>
      <c r="F4582" t="s">
        <v>121</v>
      </c>
      <c r="G4582" t="s">
        <v>145</v>
      </c>
      <c r="H4582" t="s">
        <v>22</v>
      </c>
      <c r="I4582" t="e">
        <f t="shared" ca="1" si="357"/>
        <v>#REF!</v>
      </c>
      <c r="J4582" t="str">
        <f>VLOOKUP($G4582,DefinitionArrays!$I$6:$J$12,2,FALSE)</f>
        <v>Weekend</v>
      </c>
    </row>
    <row r="4583" spans="1:10">
      <c r="A4583" s="159" t="str">
        <f t="shared" si="358"/>
        <v>$N$1:$N$92</v>
      </c>
      <c r="B4583" s="159" t="str">
        <f t="shared" si="359"/>
        <v>$O$1:$O$92</v>
      </c>
      <c r="C4583" s="159" t="str">
        <f t="shared" si="360"/>
        <v>February!$N$1:$N$92</v>
      </c>
      <c r="D4583" s="159" t="str">
        <f t="shared" si="361"/>
        <v>February!$O$1:$O$92</v>
      </c>
      <c r="E4583" t="s">
        <v>9</v>
      </c>
      <c r="F4583" t="s">
        <v>121</v>
      </c>
      <c r="G4583" t="s">
        <v>145</v>
      </c>
      <c r="H4583" t="s">
        <v>23</v>
      </c>
      <c r="I4583" t="e">
        <f t="shared" ca="1" si="357"/>
        <v>#REF!</v>
      </c>
      <c r="J4583" t="str">
        <f>VLOOKUP($G4583,DefinitionArrays!$I$6:$J$12,2,FALSE)</f>
        <v>Weekend</v>
      </c>
    </row>
    <row r="4584" spans="1:10">
      <c r="A4584" s="159" t="str">
        <f t="shared" si="358"/>
        <v>$N$1:$N$92</v>
      </c>
      <c r="B4584" s="159" t="str">
        <f t="shared" si="359"/>
        <v>$O$1:$O$92</v>
      </c>
      <c r="C4584" s="159" t="str">
        <f t="shared" si="360"/>
        <v>February!$N$1:$N$92</v>
      </c>
      <c r="D4584" s="159" t="str">
        <f t="shared" si="361"/>
        <v>February!$O$1:$O$92</v>
      </c>
      <c r="E4584" t="s">
        <v>9</v>
      </c>
      <c r="F4584" t="s">
        <v>121</v>
      </c>
      <c r="G4584" t="s">
        <v>145</v>
      </c>
      <c r="H4584" t="s">
        <v>24</v>
      </c>
      <c r="I4584" t="e">
        <f t="shared" ca="1" si="357"/>
        <v>#REF!</v>
      </c>
      <c r="J4584" t="str">
        <f>VLOOKUP($G4584,DefinitionArrays!$I$6:$J$12,2,FALSE)</f>
        <v>Weekend</v>
      </c>
    </row>
    <row r="4585" spans="1:10">
      <c r="A4585" s="159" t="str">
        <f t="shared" si="358"/>
        <v>$N$1:$N$92</v>
      </c>
      <c r="B4585" s="159" t="str">
        <f t="shared" si="359"/>
        <v>$O$1:$O$92</v>
      </c>
      <c r="C4585" s="159" t="str">
        <f t="shared" si="360"/>
        <v>February!$N$1:$N$92</v>
      </c>
      <c r="D4585" s="159" t="str">
        <f t="shared" si="361"/>
        <v>February!$O$1:$O$92</v>
      </c>
      <c r="E4585" t="s">
        <v>9</v>
      </c>
      <c r="F4585" t="s">
        <v>121</v>
      </c>
      <c r="G4585" t="s">
        <v>145</v>
      </c>
      <c r="H4585" t="s">
        <v>179</v>
      </c>
      <c r="I4585" t="e">
        <f t="shared" ca="1" si="357"/>
        <v>#REF!</v>
      </c>
      <c r="J4585" t="str">
        <f>VLOOKUP($G4585,DefinitionArrays!$I$6:$J$12,2,FALSE)</f>
        <v>Weekend</v>
      </c>
    </row>
    <row r="4586" spans="1:10">
      <c r="A4586" s="159" t="str">
        <f t="shared" si="358"/>
        <v>$N$1:$N$92</v>
      </c>
      <c r="B4586" s="159" t="str">
        <f t="shared" si="359"/>
        <v>$O$1:$O$92</v>
      </c>
      <c r="C4586" s="159" t="str">
        <f t="shared" si="360"/>
        <v>February!$N$1:$N$92</v>
      </c>
      <c r="D4586" s="159" t="str">
        <f t="shared" si="361"/>
        <v>February!$O$1:$O$92</v>
      </c>
      <c r="E4586" t="s">
        <v>9</v>
      </c>
      <c r="F4586" t="s">
        <v>121</v>
      </c>
      <c r="G4586" t="s">
        <v>145</v>
      </c>
      <c r="H4586" t="s">
        <v>180</v>
      </c>
      <c r="I4586" t="e">
        <f t="shared" ca="1" si="357"/>
        <v>#REF!</v>
      </c>
      <c r="J4586" t="str">
        <f>VLOOKUP($G4586,DefinitionArrays!$I$6:$J$12,2,FALSE)</f>
        <v>Weekend</v>
      </c>
    </row>
    <row r="4587" spans="1:10">
      <c r="A4587" s="159" t="str">
        <f t="shared" si="358"/>
        <v>$N$1:$N$92</v>
      </c>
      <c r="B4587" s="159" t="str">
        <f t="shared" si="359"/>
        <v>$O$1:$O$92</v>
      </c>
      <c r="C4587" s="159" t="str">
        <f t="shared" si="360"/>
        <v>February!$N$1:$N$92</v>
      </c>
      <c r="D4587" s="159" t="str">
        <f t="shared" si="361"/>
        <v>February!$O$1:$O$92</v>
      </c>
      <c r="E4587" t="s">
        <v>9</v>
      </c>
      <c r="F4587" t="s">
        <v>121</v>
      </c>
      <c r="G4587" t="s">
        <v>145</v>
      </c>
      <c r="H4587" t="s">
        <v>44</v>
      </c>
      <c r="I4587" t="e">
        <f t="shared" ca="1" si="357"/>
        <v>#REF!</v>
      </c>
      <c r="J4587" t="str">
        <f>VLOOKUP($G4587,DefinitionArrays!$I$6:$J$12,2,FALSE)</f>
        <v>Weekend</v>
      </c>
    </row>
    <row r="4588" spans="1:10">
      <c r="A4588" s="159" t="str">
        <f t="shared" si="358"/>
        <v>$Q$1:$Q$92</v>
      </c>
      <c r="B4588" s="159" t="str">
        <f t="shared" si="359"/>
        <v>$R$1:$R$92</v>
      </c>
      <c r="C4588" s="159" t="str">
        <f t="shared" si="360"/>
        <v>February!$Q$1:$Q$92</v>
      </c>
      <c r="D4588" s="159" t="str">
        <f t="shared" si="361"/>
        <v>February!$R$1:$R$92</v>
      </c>
      <c r="E4588" t="s">
        <v>9</v>
      </c>
      <c r="F4588" t="s">
        <v>121</v>
      </c>
      <c r="G4588" t="s">
        <v>146</v>
      </c>
      <c r="H4588" t="s">
        <v>159</v>
      </c>
      <c r="I4588" t="e">
        <f t="shared" ca="1" si="357"/>
        <v>#REF!</v>
      </c>
      <c r="J4588" t="str">
        <f>VLOOKUP($G4588,DefinitionArrays!$I$6:$J$12,2,FALSE)</f>
        <v>Weekend</v>
      </c>
    </row>
    <row r="4589" spans="1:10">
      <c r="A4589" s="159" t="str">
        <f t="shared" si="358"/>
        <v>$T$1:$T$92</v>
      </c>
      <c r="B4589" s="159" t="str">
        <f t="shared" si="359"/>
        <v>$U$1:$U$92</v>
      </c>
      <c r="C4589" s="159" t="str">
        <f t="shared" si="360"/>
        <v>February!$T$1:$T$92</v>
      </c>
      <c r="D4589" s="159" t="str">
        <f t="shared" si="361"/>
        <v>February!$U$1:$U$92</v>
      </c>
      <c r="E4589" t="s">
        <v>9</v>
      </c>
      <c r="F4589" t="s">
        <v>121</v>
      </c>
      <c r="G4589" t="s">
        <v>141</v>
      </c>
      <c r="H4589" t="s">
        <v>159</v>
      </c>
      <c r="I4589" t="e">
        <f t="shared" ca="1" si="357"/>
        <v>#REF!</v>
      </c>
      <c r="J4589" t="str">
        <f>VLOOKUP($G4589,DefinitionArrays!$I$6:$J$12,2,FALSE)</f>
        <v>Weekend</v>
      </c>
    </row>
    <row r="4590" spans="1:10">
      <c r="A4590" s="159" t="str">
        <f t="shared" si="358"/>
        <v>$B$1:$B$92</v>
      </c>
      <c r="B4590" s="159" t="str">
        <f t="shared" si="359"/>
        <v>$C$1:$C$92</v>
      </c>
      <c r="C4590" s="159" t="str">
        <f t="shared" si="360"/>
        <v>March!$B$1:$B$92</v>
      </c>
      <c r="D4590" s="159" t="str">
        <f t="shared" si="361"/>
        <v>March!$C$1:$C$92</v>
      </c>
      <c r="E4590" t="s">
        <v>9</v>
      </c>
      <c r="F4590" t="s">
        <v>122</v>
      </c>
      <c r="G4590" t="s">
        <v>13</v>
      </c>
      <c r="H4590" t="s">
        <v>159</v>
      </c>
      <c r="I4590" t="e">
        <f ca="1">COUNTIFS(INDIRECT($C4590),$E4590,INDIRECT($D4590),$H4590)</f>
        <v>#REF!</v>
      </c>
      <c r="J4590" t="str">
        <f>VLOOKUP($G4590,DefinitionArrays!$I$6:$J$12,2,FALSE)</f>
        <v>Workweek</v>
      </c>
    </row>
    <row r="4591" spans="1:10">
      <c r="A4591" s="159" t="str">
        <f t="shared" si="358"/>
        <v>$B$1:$B$92</v>
      </c>
      <c r="B4591" s="159" t="str">
        <f t="shared" si="359"/>
        <v>$C$1:$C$92</v>
      </c>
      <c r="C4591" s="159" t="str">
        <f t="shared" si="360"/>
        <v>March!$B$1:$B$92</v>
      </c>
      <c r="D4591" s="159" t="str">
        <f t="shared" si="361"/>
        <v>March!$C$1:$C$92</v>
      </c>
      <c r="E4591" t="s">
        <v>9</v>
      </c>
      <c r="F4591" t="s">
        <v>122</v>
      </c>
      <c r="G4591" t="s">
        <v>13</v>
      </c>
      <c r="H4591" t="s">
        <v>18</v>
      </c>
      <c r="I4591" t="e">
        <f t="shared" ref="I4591:I4651" ca="1" si="362">COUNTIFS(INDIRECT($C4591),$E4591,INDIRECT($D4591),$H4591)</f>
        <v>#REF!</v>
      </c>
      <c r="J4591" t="str">
        <f>VLOOKUP($G4591,DefinitionArrays!$I$6:$J$12,2,FALSE)</f>
        <v>Workweek</v>
      </c>
    </row>
    <row r="4592" spans="1:10">
      <c r="A4592" s="159" t="str">
        <f t="shared" si="358"/>
        <v>$B$1:$B$92</v>
      </c>
      <c r="B4592" s="159" t="str">
        <f t="shared" si="359"/>
        <v>$C$1:$C$92</v>
      </c>
      <c r="C4592" s="159" t="str">
        <f t="shared" si="360"/>
        <v>March!$B$1:$B$92</v>
      </c>
      <c r="D4592" s="159" t="str">
        <f t="shared" si="361"/>
        <v>March!$C$1:$C$92</v>
      </c>
      <c r="E4592" t="s">
        <v>9</v>
      </c>
      <c r="F4592" t="s">
        <v>122</v>
      </c>
      <c r="G4592" t="s">
        <v>13</v>
      </c>
      <c r="H4592" t="s">
        <v>153</v>
      </c>
      <c r="I4592" t="e">
        <f t="shared" ca="1" si="362"/>
        <v>#REF!</v>
      </c>
      <c r="J4592" t="str">
        <f>VLOOKUP($G4592,DefinitionArrays!$I$6:$J$12,2,FALSE)</f>
        <v>Workweek</v>
      </c>
    </row>
    <row r="4593" spans="1:10">
      <c r="A4593" s="159" t="str">
        <f t="shared" si="358"/>
        <v>$B$1:$B$92</v>
      </c>
      <c r="B4593" s="159" t="str">
        <f t="shared" si="359"/>
        <v>$C$1:$C$92</v>
      </c>
      <c r="C4593" s="159" t="str">
        <f t="shared" si="360"/>
        <v>March!$B$1:$B$92</v>
      </c>
      <c r="D4593" s="159" t="str">
        <f t="shared" si="361"/>
        <v>March!$C$1:$C$92</v>
      </c>
      <c r="E4593" t="s">
        <v>9</v>
      </c>
      <c r="F4593" t="s">
        <v>122</v>
      </c>
      <c r="G4593" t="s">
        <v>13</v>
      </c>
      <c r="H4593" t="s">
        <v>19</v>
      </c>
      <c r="I4593" t="e">
        <f t="shared" ca="1" si="362"/>
        <v>#REF!</v>
      </c>
      <c r="J4593" t="str">
        <f>VLOOKUP($G4593,DefinitionArrays!$I$6:$J$12,2,FALSE)</f>
        <v>Workweek</v>
      </c>
    </row>
    <row r="4594" spans="1:10">
      <c r="A4594" s="159" t="str">
        <f t="shared" si="358"/>
        <v>$B$1:$B$92</v>
      </c>
      <c r="B4594" s="159" t="str">
        <f t="shared" si="359"/>
        <v>$C$1:$C$92</v>
      </c>
      <c r="C4594" s="159" t="str">
        <f t="shared" si="360"/>
        <v>March!$B$1:$B$92</v>
      </c>
      <c r="D4594" s="159" t="str">
        <f t="shared" si="361"/>
        <v>March!$C$1:$C$92</v>
      </c>
      <c r="E4594" t="s">
        <v>9</v>
      </c>
      <c r="F4594" t="s">
        <v>122</v>
      </c>
      <c r="G4594" t="s">
        <v>13</v>
      </c>
      <c r="H4594" t="s">
        <v>20</v>
      </c>
      <c r="I4594" t="e">
        <f t="shared" ca="1" si="362"/>
        <v>#REF!</v>
      </c>
      <c r="J4594" t="str">
        <f>VLOOKUP($G4594,DefinitionArrays!$I$6:$J$12,2,FALSE)</f>
        <v>Workweek</v>
      </c>
    </row>
    <row r="4595" spans="1:10">
      <c r="A4595" s="159" t="str">
        <f t="shared" si="358"/>
        <v>$B$1:$B$92</v>
      </c>
      <c r="B4595" s="159" t="str">
        <f t="shared" si="359"/>
        <v>$C$1:$C$92</v>
      </c>
      <c r="C4595" s="159" t="str">
        <f t="shared" si="360"/>
        <v>March!$B$1:$B$92</v>
      </c>
      <c r="D4595" s="159" t="str">
        <f t="shared" si="361"/>
        <v>March!$C$1:$C$92</v>
      </c>
      <c r="E4595" t="s">
        <v>9</v>
      </c>
      <c r="F4595" t="s">
        <v>122</v>
      </c>
      <c r="G4595" t="s">
        <v>13</v>
      </c>
      <c r="H4595" t="s">
        <v>21</v>
      </c>
      <c r="I4595" t="e">
        <f t="shared" ca="1" si="362"/>
        <v>#REF!</v>
      </c>
      <c r="J4595" t="str">
        <f>VLOOKUP($G4595,DefinitionArrays!$I$6:$J$12,2,FALSE)</f>
        <v>Workweek</v>
      </c>
    </row>
    <row r="4596" spans="1:10">
      <c r="A4596" s="159" t="str">
        <f t="shared" si="358"/>
        <v>$B$1:$B$92</v>
      </c>
      <c r="B4596" s="159" t="str">
        <f t="shared" si="359"/>
        <v>$C$1:$C$92</v>
      </c>
      <c r="C4596" s="159" t="str">
        <f t="shared" si="360"/>
        <v>March!$B$1:$B$92</v>
      </c>
      <c r="D4596" s="159" t="str">
        <f t="shared" si="361"/>
        <v>March!$C$1:$C$92</v>
      </c>
      <c r="E4596" t="s">
        <v>9</v>
      </c>
      <c r="F4596" t="s">
        <v>122</v>
      </c>
      <c r="G4596" t="s">
        <v>13</v>
      </c>
      <c r="H4596" t="s">
        <v>22</v>
      </c>
      <c r="I4596" t="e">
        <f t="shared" ca="1" si="362"/>
        <v>#REF!</v>
      </c>
      <c r="J4596" t="str">
        <f>VLOOKUP($G4596,DefinitionArrays!$I$6:$J$12,2,FALSE)</f>
        <v>Workweek</v>
      </c>
    </row>
    <row r="4597" spans="1:10">
      <c r="A4597" s="159" t="str">
        <f t="shared" si="358"/>
        <v>$B$1:$B$92</v>
      </c>
      <c r="B4597" s="159" t="str">
        <f t="shared" si="359"/>
        <v>$C$1:$C$92</v>
      </c>
      <c r="C4597" s="159" t="str">
        <f t="shared" si="360"/>
        <v>March!$B$1:$B$92</v>
      </c>
      <c r="D4597" s="159" t="str">
        <f t="shared" si="361"/>
        <v>March!$C$1:$C$92</v>
      </c>
      <c r="E4597" t="s">
        <v>9</v>
      </c>
      <c r="F4597" t="s">
        <v>122</v>
      </c>
      <c r="G4597" t="s">
        <v>13</v>
      </c>
      <c r="H4597" t="s">
        <v>23</v>
      </c>
      <c r="I4597" t="e">
        <f t="shared" ca="1" si="362"/>
        <v>#REF!</v>
      </c>
      <c r="J4597" t="str">
        <f>VLOOKUP($G4597,DefinitionArrays!$I$6:$J$12,2,FALSE)</f>
        <v>Workweek</v>
      </c>
    </row>
    <row r="4598" spans="1:10">
      <c r="A4598" s="159" t="str">
        <f t="shared" si="358"/>
        <v>$B$1:$B$92</v>
      </c>
      <c r="B4598" s="159" t="str">
        <f t="shared" si="359"/>
        <v>$C$1:$C$92</v>
      </c>
      <c r="C4598" s="159" t="str">
        <f t="shared" si="360"/>
        <v>March!$B$1:$B$92</v>
      </c>
      <c r="D4598" s="159" t="str">
        <f t="shared" si="361"/>
        <v>March!$C$1:$C$92</v>
      </c>
      <c r="E4598" t="s">
        <v>9</v>
      </c>
      <c r="F4598" t="s">
        <v>122</v>
      </c>
      <c r="G4598" t="s">
        <v>13</v>
      </c>
      <c r="H4598" t="s">
        <v>24</v>
      </c>
      <c r="I4598" t="e">
        <f t="shared" ca="1" si="362"/>
        <v>#REF!</v>
      </c>
      <c r="J4598" t="str">
        <f>VLOOKUP($G4598,DefinitionArrays!$I$6:$J$12,2,FALSE)</f>
        <v>Workweek</v>
      </c>
    </row>
    <row r="4599" spans="1:10">
      <c r="A4599" s="159" t="str">
        <f t="shared" si="358"/>
        <v>$B$1:$B$92</v>
      </c>
      <c r="B4599" s="159" t="str">
        <f t="shared" si="359"/>
        <v>$C$1:$C$92</v>
      </c>
      <c r="C4599" s="159" t="str">
        <f t="shared" si="360"/>
        <v>March!$B$1:$B$92</v>
      </c>
      <c r="D4599" s="159" t="str">
        <f t="shared" si="361"/>
        <v>March!$C$1:$C$92</v>
      </c>
      <c r="E4599" t="s">
        <v>9</v>
      </c>
      <c r="F4599" t="s">
        <v>122</v>
      </c>
      <c r="G4599" t="s">
        <v>13</v>
      </c>
      <c r="H4599" t="s">
        <v>179</v>
      </c>
      <c r="I4599" t="e">
        <f t="shared" ca="1" si="362"/>
        <v>#REF!</v>
      </c>
      <c r="J4599" t="str">
        <f>VLOOKUP($G4599,DefinitionArrays!$I$6:$J$12,2,FALSE)</f>
        <v>Workweek</v>
      </c>
    </row>
    <row r="4600" spans="1:10">
      <c r="A4600" s="159" t="str">
        <f t="shared" si="358"/>
        <v>$B$1:$B$92</v>
      </c>
      <c r="B4600" s="159" t="str">
        <f t="shared" si="359"/>
        <v>$C$1:$C$92</v>
      </c>
      <c r="C4600" s="159" t="str">
        <f t="shared" si="360"/>
        <v>March!$B$1:$B$92</v>
      </c>
      <c r="D4600" s="159" t="str">
        <f t="shared" si="361"/>
        <v>March!$C$1:$C$92</v>
      </c>
      <c r="E4600" t="s">
        <v>9</v>
      </c>
      <c r="F4600" t="s">
        <v>122</v>
      </c>
      <c r="G4600" t="s">
        <v>13</v>
      </c>
      <c r="H4600" t="s">
        <v>180</v>
      </c>
      <c r="I4600" t="e">
        <f t="shared" ca="1" si="362"/>
        <v>#REF!</v>
      </c>
      <c r="J4600" t="str">
        <f>VLOOKUP($G4600,DefinitionArrays!$I$6:$J$12,2,FALSE)</f>
        <v>Workweek</v>
      </c>
    </row>
    <row r="4601" spans="1:10">
      <c r="A4601" s="159" t="str">
        <f t="shared" si="358"/>
        <v>$B$1:$B$92</v>
      </c>
      <c r="B4601" s="159" t="str">
        <f t="shared" si="359"/>
        <v>$C$1:$C$92</v>
      </c>
      <c r="C4601" s="159" t="str">
        <f t="shared" si="360"/>
        <v>March!$B$1:$B$92</v>
      </c>
      <c r="D4601" s="159" t="str">
        <f t="shared" si="361"/>
        <v>March!$C$1:$C$92</v>
      </c>
      <c r="E4601" t="s">
        <v>9</v>
      </c>
      <c r="F4601" t="s">
        <v>122</v>
      </c>
      <c r="G4601" t="s">
        <v>13</v>
      </c>
      <c r="H4601" t="s">
        <v>44</v>
      </c>
      <c r="I4601" t="e">
        <f t="shared" ca="1" si="362"/>
        <v>#REF!</v>
      </c>
      <c r="J4601" t="str">
        <f>VLOOKUP($G4601,DefinitionArrays!$I$6:$J$12,2,FALSE)</f>
        <v>Workweek</v>
      </c>
    </row>
    <row r="4602" spans="1:10">
      <c r="A4602" s="159" t="str">
        <f t="shared" si="358"/>
        <v>$E$1:$E$92</v>
      </c>
      <c r="B4602" s="159" t="str">
        <f t="shared" si="359"/>
        <v>$F$1:$F$92</v>
      </c>
      <c r="C4602" s="159" t="str">
        <f t="shared" si="360"/>
        <v>March!$E$1:$E$92</v>
      </c>
      <c r="D4602" s="159" t="str">
        <f t="shared" si="361"/>
        <v>March!$F$1:$F$92</v>
      </c>
      <c r="E4602" t="s">
        <v>9</v>
      </c>
      <c r="F4602" t="s">
        <v>122</v>
      </c>
      <c r="G4602" t="s">
        <v>142</v>
      </c>
      <c r="H4602" t="s">
        <v>159</v>
      </c>
      <c r="I4602" t="e">
        <f t="shared" ca="1" si="362"/>
        <v>#REF!</v>
      </c>
      <c r="J4602" t="str">
        <f>VLOOKUP($G4602,DefinitionArrays!$I$6:$J$12,2,FALSE)</f>
        <v>Workweek</v>
      </c>
    </row>
    <row r="4603" spans="1:10">
      <c r="A4603" s="159" t="str">
        <f t="shared" si="358"/>
        <v>$E$1:$E$92</v>
      </c>
      <c r="B4603" s="159" t="str">
        <f t="shared" si="359"/>
        <v>$F$1:$F$92</v>
      </c>
      <c r="C4603" s="159" t="str">
        <f t="shared" si="360"/>
        <v>March!$E$1:$E$92</v>
      </c>
      <c r="D4603" s="159" t="str">
        <f t="shared" si="361"/>
        <v>March!$F$1:$F$92</v>
      </c>
      <c r="E4603" t="s">
        <v>9</v>
      </c>
      <c r="F4603" t="s">
        <v>122</v>
      </c>
      <c r="G4603" t="s">
        <v>142</v>
      </c>
      <c r="H4603" t="s">
        <v>18</v>
      </c>
      <c r="I4603" t="e">
        <f t="shared" ca="1" si="362"/>
        <v>#REF!</v>
      </c>
      <c r="J4603" t="str">
        <f>VLOOKUP($G4603,DefinitionArrays!$I$6:$J$12,2,FALSE)</f>
        <v>Workweek</v>
      </c>
    </row>
    <row r="4604" spans="1:10">
      <c r="A4604" s="159" t="str">
        <f t="shared" si="358"/>
        <v>$E$1:$E$92</v>
      </c>
      <c r="B4604" s="159" t="str">
        <f t="shared" si="359"/>
        <v>$F$1:$F$92</v>
      </c>
      <c r="C4604" s="159" t="str">
        <f t="shared" si="360"/>
        <v>March!$E$1:$E$92</v>
      </c>
      <c r="D4604" s="159" t="str">
        <f t="shared" si="361"/>
        <v>March!$F$1:$F$92</v>
      </c>
      <c r="E4604" t="s">
        <v>9</v>
      </c>
      <c r="F4604" t="s">
        <v>122</v>
      </c>
      <c r="G4604" t="s">
        <v>142</v>
      </c>
      <c r="H4604" t="s">
        <v>153</v>
      </c>
      <c r="I4604" t="e">
        <f t="shared" ca="1" si="362"/>
        <v>#REF!</v>
      </c>
      <c r="J4604" t="str">
        <f>VLOOKUP($G4604,DefinitionArrays!$I$6:$J$12,2,FALSE)</f>
        <v>Workweek</v>
      </c>
    </row>
    <row r="4605" spans="1:10">
      <c r="A4605" s="159" t="str">
        <f t="shared" si="358"/>
        <v>$E$1:$E$92</v>
      </c>
      <c r="B4605" s="159" t="str">
        <f t="shared" si="359"/>
        <v>$F$1:$F$92</v>
      </c>
      <c r="C4605" s="159" t="str">
        <f t="shared" si="360"/>
        <v>March!$E$1:$E$92</v>
      </c>
      <c r="D4605" s="159" t="str">
        <f t="shared" si="361"/>
        <v>March!$F$1:$F$92</v>
      </c>
      <c r="E4605" t="s">
        <v>9</v>
      </c>
      <c r="F4605" t="s">
        <v>122</v>
      </c>
      <c r="G4605" t="s">
        <v>142</v>
      </c>
      <c r="H4605" t="s">
        <v>19</v>
      </c>
      <c r="I4605" t="e">
        <f t="shared" ca="1" si="362"/>
        <v>#REF!</v>
      </c>
      <c r="J4605" t="str">
        <f>VLOOKUP($G4605,DefinitionArrays!$I$6:$J$12,2,FALSE)</f>
        <v>Workweek</v>
      </c>
    </row>
    <row r="4606" spans="1:10">
      <c r="A4606" s="159" t="str">
        <f t="shared" si="358"/>
        <v>$E$1:$E$92</v>
      </c>
      <c r="B4606" s="159" t="str">
        <f t="shared" si="359"/>
        <v>$F$1:$F$92</v>
      </c>
      <c r="C4606" s="159" t="str">
        <f t="shared" si="360"/>
        <v>March!$E$1:$E$92</v>
      </c>
      <c r="D4606" s="159" t="str">
        <f t="shared" si="361"/>
        <v>March!$F$1:$F$92</v>
      </c>
      <c r="E4606" t="s">
        <v>9</v>
      </c>
      <c r="F4606" t="s">
        <v>122</v>
      </c>
      <c r="G4606" t="s">
        <v>142</v>
      </c>
      <c r="H4606" t="s">
        <v>20</v>
      </c>
      <c r="I4606" t="e">
        <f t="shared" ca="1" si="362"/>
        <v>#REF!</v>
      </c>
      <c r="J4606" t="str">
        <f>VLOOKUP($G4606,DefinitionArrays!$I$6:$J$12,2,FALSE)</f>
        <v>Workweek</v>
      </c>
    </row>
    <row r="4607" spans="1:10">
      <c r="A4607" s="159" t="str">
        <f t="shared" si="358"/>
        <v>$E$1:$E$92</v>
      </c>
      <c r="B4607" s="159" t="str">
        <f t="shared" si="359"/>
        <v>$F$1:$F$92</v>
      </c>
      <c r="C4607" s="159" t="str">
        <f t="shared" si="360"/>
        <v>March!$E$1:$E$92</v>
      </c>
      <c r="D4607" s="159" t="str">
        <f t="shared" si="361"/>
        <v>March!$F$1:$F$92</v>
      </c>
      <c r="E4607" t="s">
        <v>9</v>
      </c>
      <c r="F4607" t="s">
        <v>122</v>
      </c>
      <c r="G4607" t="s">
        <v>142</v>
      </c>
      <c r="H4607" t="s">
        <v>21</v>
      </c>
      <c r="I4607" t="e">
        <f t="shared" ca="1" si="362"/>
        <v>#REF!</v>
      </c>
      <c r="J4607" t="str">
        <f>VLOOKUP($G4607,DefinitionArrays!$I$6:$J$12,2,FALSE)</f>
        <v>Workweek</v>
      </c>
    </row>
    <row r="4608" spans="1:10">
      <c r="A4608" s="159" t="str">
        <f t="shared" si="358"/>
        <v>$E$1:$E$92</v>
      </c>
      <c r="B4608" s="159" t="str">
        <f t="shared" si="359"/>
        <v>$F$1:$F$92</v>
      </c>
      <c r="C4608" s="159" t="str">
        <f t="shared" si="360"/>
        <v>March!$E$1:$E$92</v>
      </c>
      <c r="D4608" s="159" t="str">
        <f t="shared" si="361"/>
        <v>March!$F$1:$F$92</v>
      </c>
      <c r="E4608" t="s">
        <v>9</v>
      </c>
      <c r="F4608" t="s">
        <v>122</v>
      </c>
      <c r="G4608" t="s">
        <v>142</v>
      </c>
      <c r="H4608" t="s">
        <v>22</v>
      </c>
      <c r="I4608" t="e">
        <f t="shared" ca="1" si="362"/>
        <v>#REF!</v>
      </c>
      <c r="J4608" t="str">
        <f>VLOOKUP($G4608,DefinitionArrays!$I$6:$J$12,2,FALSE)</f>
        <v>Workweek</v>
      </c>
    </row>
    <row r="4609" spans="1:10">
      <c r="A4609" s="159" t="str">
        <f t="shared" si="358"/>
        <v>$E$1:$E$92</v>
      </c>
      <c r="B4609" s="159" t="str">
        <f t="shared" si="359"/>
        <v>$F$1:$F$92</v>
      </c>
      <c r="C4609" s="159" t="str">
        <f t="shared" si="360"/>
        <v>March!$E$1:$E$92</v>
      </c>
      <c r="D4609" s="159" t="str">
        <f t="shared" si="361"/>
        <v>March!$F$1:$F$92</v>
      </c>
      <c r="E4609" t="s">
        <v>9</v>
      </c>
      <c r="F4609" t="s">
        <v>122</v>
      </c>
      <c r="G4609" t="s">
        <v>142</v>
      </c>
      <c r="H4609" t="s">
        <v>23</v>
      </c>
      <c r="I4609" t="e">
        <f t="shared" ca="1" si="362"/>
        <v>#REF!</v>
      </c>
      <c r="J4609" t="str">
        <f>VLOOKUP($G4609,DefinitionArrays!$I$6:$J$12,2,FALSE)</f>
        <v>Workweek</v>
      </c>
    </row>
    <row r="4610" spans="1:10">
      <c r="A4610" s="159" t="str">
        <f t="shared" ref="A4610:A4673" si="363">VLOOKUP($G4610,Fx_Code,2,FALSE)</f>
        <v>$E$1:$E$92</v>
      </c>
      <c r="B4610" s="159" t="str">
        <f t="shared" ref="B4610:B4673" si="364">VLOOKUP($G4610,Fx_Code,3,FALSE)</f>
        <v>$F$1:$F$92</v>
      </c>
      <c r="C4610" s="159" t="str">
        <f t="shared" ref="C4610:C4673" si="365">CONCATENATE($F4610,$K$1,A4610)</f>
        <v>March!$E$1:$E$92</v>
      </c>
      <c r="D4610" s="159" t="str">
        <f t="shared" ref="D4610:D4673" si="366">CONCATENATE($F4610,$K$1,B4610)</f>
        <v>March!$F$1:$F$92</v>
      </c>
      <c r="E4610" t="s">
        <v>9</v>
      </c>
      <c r="F4610" t="s">
        <v>122</v>
      </c>
      <c r="G4610" t="s">
        <v>142</v>
      </c>
      <c r="H4610" t="s">
        <v>24</v>
      </c>
      <c r="I4610" t="e">
        <f t="shared" ca="1" si="362"/>
        <v>#REF!</v>
      </c>
      <c r="J4610" t="str">
        <f>VLOOKUP($G4610,DefinitionArrays!$I$6:$J$12,2,FALSE)</f>
        <v>Workweek</v>
      </c>
    </row>
    <row r="4611" spans="1:10">
      <c r="A4611" s="159" t="str">
        <f t="shared" si="363"/>
        <v>$E$1:$E$92</v>
      </c>
      <c r="B4611" s="159" t="str">
        <f t="shared" si="364"/>
        <v>$F$1:$F$92</v>
      </c>
      <c r="C4611" s="159" t="str">
        <f t="shared" si="365"/>
        <v>March!$E$1:$E$92</v>
      </c>
      <c r="D4611" s="159" t="str">
        <f t="shared" si="366"/>
        <v>March!$F$1:$F$92</v>
      </c>
      <c r="E4611" t="s">
        <v>9</v>
      </c>
      <c r="F4611" t="s">
        <v>122</v>
      </c>
      <c r="G4611" t="s">
        <v>142</v>
      </c>
      <c r="H4611" t="s">
        <v>179</v>
      </c>
      <c r="I4611" t="e">
        <f t="shared" ca="1" si="362"/>
        <v>#REF!</v>
      </c>
      <c r="J4611" t="str">
        <f>VLOOKUP($G4611,DefinitionArrays!$I$6:$J$12,2,FALSE)</f>
        <v>Workweek</v>
      </c>
    </row>
    <row r="4612" spans="1:10">
      <c r="A4612" s="159" t="str">
        <f t="shared" si="363"/>
        <v>$E$1:$E$92</v>
      </c>
      <c r="B4612" s="159" t="str">
        <f t="shared" si="364"/>
        <v>$F$1:$F$92</v>
      </c>
      <c r="C4612" s="159" t="str">
        <f t="shared" si="365"/>
        <v>March!$E$1:$E$92</v>
      </c>
      <c r="D4612" s="159" t="str">
        <f t="shared" si="366"/>
        <v>March!$F$1:$F$92</v>
      </c>
      <c r="E4612" t="s">
        <v>9</v>
      </c>
      <c r="F4612" t="s">
        <v>122</v>
      </c>
      <c r="G4612" t="s">
        <v>142</v>
      </c>
      <c r="H4612" t="s">
        <v>180</v>
      </c>
      <c r="I4612" t="e">
        <f t="shared" ca="1" si="362"/>
        <v>#REF!</v>
      </c>
      <c r="J4612" t="str">
        <f>VLOOKUP($G4612,DefinitionArrays!$I$6:$J$12,2,FALSE)</f>
        <v>Workweek</v>
      </c>
    </row>
    <row r="4613" spans="1:10">
      <c r="A4613" s="159" t="str">
        <f t="shared" si="363"/>
        <v>$E$1:$E$92</v>
      </c>
      <c r="B4613" s="159" t="str">
        <f t="shared" si="364"/>
        <v>$F$1:$F$92</v>
      </c>
      <c r="C4613" s="159" t="str">
        <f t="shared" si="365"/>
        <v>March!$E$1:$E$92</v>
      </c>
      <c r="D4613" s="159" t="str">
        <f t="shared" si="366"/>
        <v>March!$F$1:$F$92</v>
      </c>
      <c r="E4613" t="s">
        <v>9</v>
      </c>
      <c r="F4613" t="s">
        <v>122</v>
      </c>
      <c r="G4613" t="s">
        <v>142</v>
      </c>
      <c r="H4613" t="s">
        <v>44</v>
      </c>
      <c r="I4613" t="e">
        <f t="shared" ca="1" si="362"/>
        <v>#REF!</v>
      </c>
      <c r="J4613" t="str">
        <f>VLOOKUP($G4613,DefinitionArrays!$I$6:$J$12,2,FALSE)</f>
        <v>Workweek</v>
      </c>
    </row>
    <row r="4614" spans="1:10">
      <c r="A4614" s="159" t="str">
        <f t="shared" si="363"/>
        <v>$H$1:$H$92</v>
      </c>
      <c r="B4614" s="159" t="str">
        <f t="shared" si="364"/>
        <v>$I$1:$I$92</v>
      </c>
      <c r="C4614" s="159" t="str">
        <f t="shared" si="365"/>
        <v>March!$H$1:$H$92</v>
      </c>
      <c r="D4614" s="159" t="str">
        <f t="shared" si="366"/>
        <v>March!$I$1:$I$92</v>
      </c>
      <c r="E4614" t="s">
        <v>9</v>
      </c>
      <c r="F4614" t="s">
        <v>122</v>
      </c>
      <c r="G4614" t="s">
        <v>143</v>
      </c>
      <c r="H4614" t="s">
        <v>159</v>
      </c>
      <c r="I4614" t="e">
        <f t="shared" ca="1" si="362"/>
        <v>#REF!</v>
      </c>
      <c r="J4614" t="str">
        <f>VLOOKUP($G4614,DefinitionArrays!$I$6:$J$12,2,FALSE)</f>
        <v>Workweek</v>
      </c>
    </row>
    <row r="4615" spans="1:10">
      <c r="A4615" s="159" t="str">
        <f t="shared" si="363"/>
        <v>$H$1:$H$92</v>
      </c>
      <c r="B4615" s="159" t="str">
        <f t="shared" si="364"/>
        <v>$I$1:$I$92</v>
      </c>
      <c r="C4615" s="159" t="str">
        <f t="shared" si="365"/>
        <v>March!$H$1:$H$92</v>
      </c>
      <c r="D4615" s="159" t="str">
        <f t="shared" si="366"/>
        <v>March!$I$1:$I$92</v>
      </c>
      <c r="E4615" t="s">
        <v>9</v>
      </c>
      <c r="F4615" t="s">
        <v>122</v>
      </c>
      <c r="G4615" t="s">
        <v>143</v>
      </c>
      <c r="H4615" t="s">
        <v>18</v>
      </c>
      <c r="I4615" t="e">
        <f t="shared" ca="1" si="362"/>
        <v>#REF!</v>
      </c>
      <c r="J4615" t="str">
        <f>VLOOKUP($G4615,DefinitionArrays!$I$6:$J$12,2,FALSE)</f>
        <v>Workweek</v>
      </c>
    </row>
    <row r="4616" spans="1:10">
      <c r="A4616" s="159" t="str">
        <f t="shared" si="363"/>
        <v>$H$1:$H$92</v>
      </c>
      <c r="B4616" s="159" t="str">
        <f t="shared" si="364"/>
        <v>$I$1:$I$92</v>
      </c>
      <c r="C4616" s="159" t="str">
        <f t="shared" si="365"/>
        <v>March!$H$1:$H$92</v>
      </c>
      <c r="D4616" s="159" t="str">
        <f t="shared" si="366"/>
        <v>March!$I$1:$I$92</v>
      </c>
      <c r="E4616" t="s">
        <v>9</v>
      </c>
      <c r="F4616" t="s">
        <v>122</v>
      </c>
      <c r="G4616" t="s">
        <v>143</v>
      </c>
      <c r="H4616" t="s">
        <v>153</v>
      </c>
      <c r="I4616" t="e">
        <f t="shared" ca="1" si="362"/>
        <v>#REF!</v>
      </c>
      <c r="J4616" t="str">
        <f>VLOOKUP($G4616,DefinitionArrays!$I$6:$J$12,2,FALSE)</f>
        <v>Workweek</v>
      </c>
    </row>
    <row r="4617" spans="1:10">
      <c r="A4617" s="159" t="str">
        <f t="shared" si="363"/>
        <v>$H$1:$H$92</v>
      </c>
      <c r="B4617" s="159" t="str">
        <f t="shared" si="364"/>
        <v>$I$1:$I$92</v>
      </c>
      <c r="C4617" s="159" t="str">
        <f t="shared" si="365"/>
        <v>March!$H$1:$H$92</v>
      </c>
      <c r="D4617" s="159" t="str">
        <f t="shared" si="366"/>
        <v>March!$I$1:$I$92</v>
      </c>
      <c r="E4617" t="s">
        <v>9</v>
      </c>
      <c r="F4617" t="s">
        <v>122</v>
      </c>
      <c r="G4617" t="s">
        <v>143</v>
      </c>
      <c r="H4617" t="s">
        <v>19</v>
      </c>
      <c r="I4617" t="e">
        <f t="shared" ca="1" si="362"/>
        <v>#REF!</v>
      </c>
      <c r="J4617" t="str">
        <f>VLOOKUP($G4617,DefinitionArrays!$I$6:$J$12,2,FALSE)</f>
        <v>Workweek</v>
      </c>
    </row>
    <row r="4618" spans="1:10">
      <c r="A4618" s="159" t="str">
        <f t="shared" si="363"/>
        <v>$H$1:$H$92</v>
      </c>
      <c r="B4618" s="159" t="str">
        <f t="shared" si="364"/>
        <v>$I$1:$I$92</v>
      </c>
      <c r="C4618" s="159" t="str">
        <f t="shared" si="365"/>
        <v>March!$H$1:$H$92</v>
      </c>
      <c r="D4618" s="159" t="str">
        <f t="shared" si="366"/>
        <v>March!$I$1:$I$92</v>
      </c>
      <c r="E4618" t="s">
        <v>9</v>
      </c>
      <c r="F4618" t="s">
        <v>122</v>
      </c>
      <c r="G4618" t="s">
        <v>143</v>
      </c>
      <c r="H4618" t="s">
        <v>20</v>
      </c>
      <c r="I4618" t="e">
        <f t="shared" ca="1" si="362"/>
        <v>#REF!</v>
      </c>
      <c r="J4618" t="str">
        <f>VLOOKUP($G4618,DefinitionArrays!$I$6:$J$12,2,FALSE)</f>
        <v>Workweek</v>
      </c>
    </row>
    <row r="4619" spans="1:10">
      <c r="A4619" s="159" t="str">
        <f t="shared" si="363"/>
        <v>$H$1:$H$92</v>
      </c>
      <c r="B4619" s="159" t="str">
        <f t="shared" si="364"/>
        <v>$I$1:$I$92</v>
      </c>
      <c r="C4619" s="159" t="str">
        <f t="shared" si="365"/>
        <v>March!$H$1:$H$92</v>
      </c>
      <c r="D4619" s="159" t="str">
        <f t="shared" si="366"/>
        <v>March!$I$1:$I$92</v>
      </c>
      <c r="E4619" t="s">
        <v>9</v>
      </c>
      <c r="F4619" t="s">
        <v>122</v>
      </c>
      <c r="G4619" t="s">
        <v>143</v>
      </c>
      <c r="H4619" t="s">
        <v>21</v>
      </c>
      <c r="I4619" t="e">
        <f t="shared" ca="1" si="362"/>
        <v>#REF!</v>
      </c>
      <c r="J4619" t="str">
        <f>VLOOKUP($G4619,DefinitionArrays!$I$6:$J$12,2,FALSE)</f>
        <v>Workweek</v>
      </c>
    </row>
    <row r="4620" spans="1:10">
      <c r="A4620" s="159" t="str">
        <f t="shared" si="363"/>
        <v>$H$1:$H$92</v>
      </c>
      <c r="B4620" s="159" t="str">
        <f t="shared" si="364"/>
        <v>$I$1:$I$92</v>
      </c>
      <c r="C4620" s="159" t="str">
        <f t="shared" si="365"/>
        <v>March!$H$1:$H$92</v>
      </c>
      <c r="D4620" s="159" t="str">
        <f t="shared" si="366"/>
        <v>March!$I$1:$I$92</v>
      </c>
      <c r="E4620" t="s">
        <v>9</v>
      </c>
      <c r="F4620" t="s">
        <v>122</v>
      </c>
      <c r="G4620" t="s">
        <v>143</v>
      </c>
      <c r="H4620" t="s">
        <v>22</v>
      </c>
      <c r="I4620" t="e">
        <f t="shared" ca="1" si="362"/>
        <v>#REF!</v>
      </c>
      <c r="J4620" t="str">
        <f>VLOOKUP($G4620,DefinitionArrays!$I$6:$J$12,2,FALSE)</f>
        <v>Workweek</v>
      </c>
    </row>
    <row r="4621" spans="1:10">
      <c r="A4621" s="159" t="str">
        <f t="shared" si="363"/>
        <v>$H$1:$H$92</v>
      </c>
      <c r="B4621" s="159" t="str">
        <f t="shared" si="364"/>
        <v>$I$1:$I$92</v>
      </c>
      <c r="C4621" s="159" t="str">
        <f t="shared" si="365"/>
        <v>March!$H$1:$H$92</v>
      </c>
      <c r="D4621" s="159" t="str">
        <f t="shared" si="366"/>
        <v>March!$I$1:$I$92</v>
      </c>
      <c r="E4621" t="s">
        <v>9</v>
      </c>
      <c r="F4621" t="s">
        <v>122</v>
      </c>
      <c r="G4621" t="s">
        <v>143</v>
      </c>
      <c r="H4621" t="s">
        <v>23</v>
      </c>
      <c r="I4621" t="e">
        <f t="shared" ca="1" si="362"/>
        <v>#REF!</v>
      </c>
      <c r="J4621" t="str">
        <f>VLOOKUP($G4621,DefinitionArrays!$I$6:$J$12,2,FALSE)</f>
        <v>Workweek</v>
      </c>
    </row>
    <row r="4622" spans="1:10">
      <c r="A4622" s="159" t="str">
        <f t="shared" si="363"/>
        <v>$H$1:$H$92</v>
      </c>
      <c r="B4622" s="159" t="str">
        <f t="shared" si="364"/>
        <v>$I$1:$I$92</v>
      </c>
      <c r="C4622" s="159" t="str">
        <f t="shared" si="365"/>
        <v>March!$H$1:$H$92</v>
      </c>
      <c r="D4622" s="159" t="str">
        <f t="shared" si="366"/>
        <v>March!$I$1:$I$92</v>
      </c>
      <c r="E4622" t="s">
        <v>9</v>
      </c>
      <c r="F4622" t="s">
        <v>122</v>
      </c>
      <c r="G4622" t="s">
        <v>143</v>
      </c>
      <c r="H4622" t="s">
        <v>24</v>
      </c>
      <c r="I4622" t="e">
        <f t="shared" ca="1" si="362"/>
        <v>#REF!</v>
      </c>
      <c r="J4622" t="str">
        <f>VLOOKUP($G4622,DefinitionArrays!$I$6:$J$12,2,FALSE)</f>
        <v>Workweek</v>
      </c>
    </row>
    <row r="4623" spans="1:10">
      <c r="A4623" s="159" t="str">
        <f t="shared" si="363"/>
        <v>$H$1:$H$92</v>
      </c>
      <c r="B4623" s="159" t="str">
        <f t="shared" si="364"/>
        <v>$I$1:$I$92</v>
      </c>
      <c r="C4623" s="159" t="str">
        <f t="shared" si="365"/>
        <v>March!$H$1:$H$92</v>
      </c>
      <c r="D4623" s="159" t="str">
        <f t="shared" si="366"/>
        <v>March!$I$1:$I$92</v>
      </c>
      <c r="E4623" t="s">
        <v>9</v>
      </c>
      <c r="F4623" t="s">
        <v>122</v>
      </c>
      <c r="G4623" t="s">
        <v>143</v>
      </c>
      <c r="H4623" t="s">
        <v>179</v>
      </c>
      <c r="I4623" t="e">
        <f t="shared" ca="1" si="362"/>
        <v>#REF!</v>
      </c>
      <c r="J4623" t="str">
        <f>VLOOKUP($G4623,DefinitionArrays!$I$6:$J$12,2,FALSE)</f>
        <v>Workweek</v>
      </c>
    </row>
    <row r="4624" spans="1:10">
      <c r="A4624" s="159" t="str">
        <f t="shared" si="363"/>
        <v>$H$1:$H$92</v>
      </c>
      <c r="B4624" s="159" t="str">
        <f t="shared" si="364"/>
        <v>$I$1:$I$92</v>
      </c>
      <c r="C4624" s="159" t="str">
        <f t="shared" si="365"/>
        <v>March!$H$1:$H$92</v>
      </c>
      <c r="D4624" s="159" t="str">
        <f t="shared" si="366"/>
        <v>March!$I$1:$I$92</v>
      </c>
      <c r="E4624" t="s">
        <v>9</v>
      </c>
      <c r="F4624" t="s">
        <v>122</v>
      </c>
      <c r="G4624" t="s">
        <v>143</v>
      </c>
      <c r="H4624" t="s">
        <v>180</v>
      </c>
      <c r="I4624" t="e">
        <f t="shared" ca="1" si="362"/>
        <v>#REF!</v>
      </c>
      <c r="J4624" t="str">
        <f>VLOOKUP($G4624,DefinitionArrays!$I$6:$J$12,2,FALSE)</f>
        <v>Workweek</v>
      </c>
    </row>
    <row r="4625" spans="1:10">
      <c r="A4625" s="159" t="str">
        <f t="shared" si="363"/>
        <v>$H$1:$H$92</v>
      </c>
      <c r="B4625" s="159" t="str">
        <f t="shared" si="364"/>
        <v>$I$1:$I$92</v>
      </c>
      <c r="C4625" s="159" t="str">
        <f t="shared" si="365"/>
        <v>March!$H$1:$H$92</v>
      </c>
      <c r="D4625" s="159" t="str">
        <f t="shared" si="366"/>
        <v>March!$I$1:$I$92</v>
      </c>
      <c r="E4625" t="s">
        <v>9</v>
      </c>
      <c r="F4625" t="s">
        <v>122</v>
      </c>
      <c r="G4625" t="s">
        <v>143</v>
      </c>
      <c r="H4625" t="s">
        <v>44</v>
      </c>
      <c r="I4625" t="e">
        <f t="shared" ca="1" si="362"/>
        <v>#REF!</v>
      </c>
      <c r="J4625" t="str">
        <f>VLOOKUP($G4625,DefinitionArrays!$I$6:$J$12,2,FALSE)</f>
        <v>Workweek</v>
      </c>
    </row>
    <row r="4626" spans="1:10">
      <c r="A4626" s="159" t="str">
        <f t="shared" si="363"/>
        <v>$K$1:$K$92</v>
      </c>
      <c r="B4626" s="159" t="str">
        <f t="shared" si="364"/>
        <v>$L$1:$L$92</v>
      </c>
      <c r="C4626" s="159" t="str">
        <f t="shared" si="365"/>
        <v>March!$K$1:$K$92</v>
      </c>
      <c r="D4626" s="159" t="str">
        <f t="shared" si="366"/>
        <v>March!$L$1:$L$92</v>
      </c>
      <c r="E4626" t="s">
        <v>9</v>
      </c>
      <c r="F4626" t="s">
        <v>122</v>
      </c>
      <c r="G4626" t="s">
        <v>144</v>
      </c>
      <c r="H4626" t="s">
        <v>159</v>
      </c>
      <c r="I4626" t="e">
        <f t="shared" ca="1" si="362"/>
        <v>#REF!</v>
      </c>
      <c r="J4626" t="str">
        <f>VLOOKUP($G4626,DefinitionArrays!$I$6:$J$12,2,FALSE)</f>
        <v>Workweek</v>
      </c>
    </row>
    <row r="4627" spans="1:10">
      <c r="A4627" s="159" t="str">
        <f t="shared" si="363"/>
        <v>$K$1:$K$92</v>
      </c>
      <c r="B4627" s="159" t="str">
        <f t="shared" si="364"/>
        <v>$L$1:$L$92</v>
      </c>
      <c r="C4627" s="159" t="str">
        <f t="shared" si="365"/>
        <v>March!$K$1:$K$92</v>
      </c>
      <c r="D4627" s="159" t="str">
        <f t="shared" si="366"/>
        <v>March!$L$1:$L$92</v>
      </c>
      <c r="E4627" t="s">
        <v>9</v>
      </c>
      <c r="F4627" t="s">
        <v>122</v>
      </c>
      <c r="G4627" t="s">
        <v>144</v>
      </c>
      <c r="H4627" t="s">
        <v>18</v>
      </c>
      <c r="I4627" t="e">
        <f t="shared" ca="1" si="362"/>
        <v>#REF!</v>
      </c>
      <c r="J4627" t="str">
        <f>VLOOKUP($G4627,DefinitionArrays!$I$6:$J$12,2,FALSE)</f>
        <v>Workweek</v>
      </c>
    </row>
    <row r="4628" spans="1:10">
      <c r="A4628" s="159" t="str">
        <f t="shared" si="363"/>
        <v>$K$1:$K$92</v>
      </c>
      <c r="B4628" s="159" t="str">
        <f t="shared" si="364"/>
        <v>$L$1:$L$92</v>
      </c>
      <c r="C4628" s="159" t="str">
        <f t="shared" si="365"/>
        <v>March!$K$1:$K$92</v>
      </c>
      <c r="D4628" s="159" t="str">
        <f t="shared" si="366"/>
        <v>March!$L$1:$L$92</v>
      </c>
      <c r="E4628" t="s">
        <v>9</v>
      </c>
      <c r="F4628" t="s">
        <v>122</v>
      </c>
      <c r="G4628" t="s">
        <v>144</v>
      </c>
      <c r="H4628" t="s">
        <v>153</v>
      </c>
      <c r="I4628" t="e">
        <f t="shared" ca="1" si="362"/>
        <v>#REF!</v>
      </c>
      <c r="J4628" t="str">
        <f>VLOOKUP($G4628,DefinitionArrays!$I$6:$J$12,2,FALSE)</f>
        <v>Workweek</v>
      </c>
    </row>
    <row r="4629" spans="1:10">
      <c r="A4629" s="159" t="str">
        <f t="shared" si="363"/>
        <v>$K$1:$K$92</v>
      </c>
      <c r="B4629" s="159" t="str">
        <f t="shared" si="364"/>
        <v>$L$1:$L$92</v>
      </c>
      <c r="C4629" s="159" t="str">
        <f t="shared" si="365"/>
        <v>March!$K$1:$K$92</v>
      </c>
      <c r="D4629" s="159" t="str">
        <f t="shared" si="366"/>
        <v>March!$L$1:$L$92</v>
      </c>
      <c r="E4629" t="s">
        <v>9</v>
      </c>
      <c r="F4629" t="s">
        <v>122</v>
      </c>
      <c r="G4629" t="s">
        <v>144</v>
      </c>
      <c r="H4629" t="s">
        <v>19</v>
      </c>
      <c r="I4629" t="e">
        <f t="shared" ca="1" si="362"/>
        <v>#REF!</v>
      </c>
      <c r="J4629" t="str">
        <f>VLOOKUP($G4629,DefinitionArrays!$I$6:$J$12,2,FALSE)</f>
        <v>Workweek</v>
      </c>
    </row>
    <row r="4630" spans="1:10">
      <c r="A4630" s="159" t="str">
        <f t="shared" si="363"/>
        <v>$K$1:$K$92</v>
      </c>
      <c r="B4630" s="159" t="str">
        <f t="shared" si="364"/>
        <v>$L$1:$L$92</v>
      </c>
      <c r="C4630" s="159" t="str">
        <f t="shared" si="365"/>
        <v>March!$K$1:$K$92</v>
      </c>
      <c r="D4630" s="159" t="str">
        <f t="shared" si="366"/>
        <v>March!$L$1:$L$92</v>
      </c>
      <c r="E4630" t="s">
        <v>9</v>
      </c>
      <c r="F4630" t="s">
        <v>122</v>
      </c>
      <c r="G4630" t="s">
        <v>144</v>
      </c>
      <c r="H4630" t="s">
        <v>20</v>
      </c>
      <c r="I4630" t="e">
        <f t="shared" ca="1" si="362"/>
        <v>#REF!</v>
      </c>
      <c r="J4630" t="str">
        <f>VLOOKUP($G4630,DefinitionArrays!$I$6:$J$12,2,FALSE)</f>
        <v>Workweek</v>
      </c>
    </row>
    <row r="4631" spans="1:10">
      <c r="A4631" s="159" t="str">
        <f t="shared" si="363"/>
        <v>$K$1:$K$92</v>
      </c>
      <c r="B4631" s="159" t="str">
        <f t="shared" si="364"/>
        <v>$L$1:$L$92</v>
      </c>
      <c r="C4631" s="159" t="str">
        <f t="shared" si="365"/>
        <v>March!$K$1:$K$92</v>
      </c>
      <c r="D4631" s="159" t="str">
        <f t="shared" si="366"/>
        <v>March!$L$1:$L$92</v>
      </c>
      <c r="E4631" t="s">
        <v>9</v>
      </c>
      <c r="F4631" t="s">
        <v>122</v>
      </c>
      <c r="G4631" t="s">
        <v>144</v>
      </c>
      <c r="H4631" t="s">
        <v>21</v>
      </c>
      <c r="I4631" t="e">
        <f t="shared" ca="1" si="362"/>
        <v>#REF!</v>
      </c>
      <c r="J4631" t="str">
        <f>VLOOKUP($G4631,DefinitionArrays!$I$6:$J$12,2,FALSE)</f>
        <v>Workweek</v>
      </c>
    </row>
    <row r="4632" spans="1:10">
      <c r="A4632" s="159" t="str">
        <f t="shared" si="363"/>
        <v>$K$1:$K$92</v>
      </c>
      <c r="B4632" s="159" t="str">
        <f t="shared" si="364"/>
        <v>$L$1:$L$92</v>
      </c>
      <c r="C4632" s="159" t="str">
        <f t="shared" si="365"/>
        <v>March!$K$1:$K$92</v>
      </c>
      <c r="D4632" s="159" t="str">
        <f t="shared" si="366"/>
        <v>March!$L$1:$L$92</v>
      </c>
      <c r="E4632" t="s">
        <v>9</v>
      </c>
      <c r="F4632" t="s">
        <v>122</v>
      </c>
      <c r="G4632" t="s">
        <v>144</v>
      </c>
      <c r="H4632" t="s">
        <v>22</v>
      </c>
      <c r="I4632" t="e">
        <f t="shared" ca="1" si="362"/>
        <v>#REF!</v>
      </c>
      <c r="J4632" t="str">
        <f>VLOOKUP($G4632,DefinitionArrays!$I$6:$J$12,2,FALSE)</f>
        <v>Workweek</v>
      </c>
    </row>
    <row r="4633" spans="1:10">
      <c r="A4633" s="159" t="str">
        <f t="shared" si="363"/>
        <v>$K$1:$K$92</v>
      </c>
      <c r="B4633" s="159" t="str">
        <f t="shared" si="364"/>
        <v>$L$1:$L$92</v>
      </c>
      <c r="C4633" s="159" t="str">
        <f t="shared" si="365"/>
        <v>March!$K$1:$K$92</v>
      </c>
      <c r="D4633" s="159" t="str">
        <f t="shared" si="366"/>
        <v>March!$L$1:$L$92</v>
      </c>
      <c r="E4633" t="s">
        <v>9</v>
      </c>
      <c r="F4633" t="s">
        <v>122</v>
      </c>
      <c r="G4633" t="s">
        <v>144</v>
      </c>
      <c r="H4633" t="s">
        <v>23</v>
      </c>
      <c r="I4633" t="e">
        <f t="shared" ca="1" si="362"/>
        <v>#REF!</v>
      </c>
      <c r="J4633" t="str">
        <f>VLOOKUP($G4633,DefinitionArrays!$I$6:$J$12,2,FALSE)</f>
        <v>Workweek</v>
      </c>
    </row>
    <row r="4634" spans="1:10">
      <c r="A4634" s="159" t="str">
        <f t="shared" si="363"/>
        <v>$K$1:$K$92</v>
      </c>
      <c r="B4634" s="159" t="str">
        <f t="shared" si="364"/>
        <v>$L$1:$L$92</v>
      </c>
      <c r="C4634" s="159" t="str">
        <f t="shared" si="365"/>
        <v>March!$K$1:$K$92</v>
      </c>
      <c r="D4634" s="159" t="str">
        <f t="shared" si="366"/>
        <v>March!$L$1:$L$92</v>
      </c>
      <c r="E4634" t="s">
        <v>9</v>
      </c>
      <c r="F4634" t="s">
        <v>122</v>
      </c>
      <c r="G4634" t="s">
        <v>144</v>
      </c>
      <c r="H4634" t="s">
        <v>24</v>
      </c>
      <c r="I4634" t="e">
        <f t="shared" ca="1" si="362"/>
        <v>#REF!</v>
      </c>
      <c r="J4634" t="str">
        <f>VLOOKUP($G4634,DefinitionArrays!$I$6:$J$12,2,FALSE)</f>
        <v>Workweek</v>
      </c>
    </row>
    <row r="4635" spans="1:10">
      <c r="A4635" s="159" t="str">
        <f t="shared" si="363"/>
        <v>$K$1:$K$92</v>
      </c>
      <c r="B4635" s="159" t="str">
        <f t="shared" si="364"/>
        <v>$L$1:$L$92</v>
      </c>
      <c r="C4635" s="159" t="str">
        <f t="shared" si="365"/>
        <v>March!$K$1:$K$92</v>
      </c>
      <c r="D4635" s="159" t="str">
        <f t="shared" si="366"/>
        <v>March!$L$1:$L$92</v>
      </c>
      <c r="E4635" t="s">
        <v>9</v>
      </c>
      <c r="F4635" t="s">
        <v>122</v>
      </c>
      <c r="G4635" t="s">
        <v>144</v>
      </c>
      <c r="H4635" t="s">
        <v>179</v>
      </c>
      <c r="I4635" t="e">
        <f t="shared" ca="1" si="362"/>
        <v>#REF!</v>
      </c>
      <c r="J4635" t="str">
        <f>VLOOKUP($G4635,DefinitionArrays!$I$6:$J$12,2,FALSE)</f>
        <v>Workweek</v>
      </c>
    </row>
    <row r="4636" spans="1:10">
      <c r="A4636" s="159" t="str">
        <f t="shared" si="363"/>
        <v>$K$1:$K$92</v>
      </c>
      <c r="B4636" s="159" t="str">
        <f t="shared" si="364"/>
        <v>$L$1:$L$92</v>
      </c>
      <c r="C4636" s="159" t="str">
        <f t="shared" si="365"/>
        <v>March!$K$1:$K$92</v>
      </c>
      <c r="D4636" s="159" t="str">
        <f t="shared" si="366"/>
        <v>March!$L$1:$L$92</v>
      </c>
      <c r="E4636" t="s">
        <v>9</v>
      </c>
      <c r="F4636" t="s">
        <v>122</v>
      </c>
      <c r="G4636" t="s">
        <v>144</v>
      </c>
      <c r="H4636" t="s">
        <v>180</v>
      </c>
      <c r="I4636" t="e">
        <f t="shared" ca="1" si="362"/>
        <v>#REF!</v>
      </c>
      <c r="J4636" t="str">
        <f>VLOOKUP($G4636,DefinitionArrays!$I$6:$J$12,2,FALSE)</f>
        <v>Workweek</v>
      </c>
    </row>
    <row r="4637" spans="1:10">
      <c r="A4637" s="159" t="str">
        <f t="shared" si="363"/>
        <v>$K$1:$K$92</v>
      </c>
      <c r="B4637" s="159" t="str">
        <f t="shared" si="364"/>
        <v>$L$1:$L$92</v>
      </c>
      <c r="C4637" s="159" t="str">
        <f t="shared" si="365"/>
        <v>March!$K$1:$K$92</v>
      </c>
      <c r="D4637" s="159" t="str">
        <f t="shared" si="366"/>
        <v>March!$L$1:$L$92</v>
      </c>
      <c r="E4637" t="s">
        <v>9</v>
      </c>
      <c r="F4637" t="s">
        <v>122</v>
      </c>
      <c r="G4637" t="s">
        <v>144</v>
      </c>
      <c r="H4637" t="s">
        <v>44</v>
      </c>
      <c r="I4637" t="e">
        <f t="shared" ca="1" si="362"/>
        <v>#REF!</v>
      </c>
      <c r="J4637" t="str">
        <f>VLOOKUP($G4637,DefinitionArrays!$I$6:$J$12,2,FALSE)</f>
        <v>Workweek</v>
      </c>
    </row>
    <row r="4638" spans="1:10">
      <c r="A4638" s="159" t="str">
        <f t="shared" si="363"/>
        <v>$N$1:$N$92</v>
      </c>
      <c r="B4638" s="159" t="str">
        <f t="shared" si="364"/>
        <v>$O$1:$O$92</v>
      </c>
      <c r="C4638" s="159" t="str">
        <f t="shared" si="365"/>
        <v>March!$N$1:$N$92</v>
      </c>
      <c r="D4638" s="159" t="str">
        <f t="shared" si="366"/>
        <v>March!$O$1:$O$92</v>
      </c>
      <c r="E4638" t="s">
        <v>9</v>
      </c>
      <c r="F4638" t="s">
        <v>122</v>
      </c>
      <c r="G4638" t="s">
        <v>145</v>
      </c>
      <c r="H4638" t="s">
        <v>159</v>
      </c>
      <c r="I4638" t="e">
        <f t="shared" ca="1" si="362"/>
        <v>#REF!</v>
      </c>
      <c r="J4638" t="str">
        <f>VLOOKUP($G4638,DefinitionArrays!$I$6:$J$12,2,FALSE)</f>
        <v>Weekend</v>
      </c>
    </row>
    <row r="4639" spans="1:10">
      <c r="A4639" s="159" t="str">
        <f t="shared" si="363"/>
        <v>$N$1:$N$92</v>
      </c>
      <c r="B4639" s="159" t="str">
        <f t="shared" si="364"/>
        <v>$O$1:$O$92</v>
      </c>
      <c r="C4639" s="159" t="str">
        <f t="shared" si="365"/>
        <v>March!$N$1:$N$92</v>
      </c>
      <c r="D4639" s="159" t="str">
        <f t="shared" si="366"/>
        <v>March!$O$1:$O$92</v>
      </c>
      <c r="E4639" t="s">
        <v>9</v>
      </c>
      <c r="F4639" t="s">
        <v>122</v>
      </c>
      <c r="G4639" t="s">
        <v>145</v>
      </c>
      <c r="H4639" t="s">
        <v>18</v>
      </c>
      <c r="I4639" t="e">
        <f t="shared" ca="1" si="362"/>
        <v>#REF!</v>
      </c>
      <c r="J4639" t="str">
        <f>VLOOKUP($G4639,DefinitionArrays!$I$6:$J$12,2,FALSE)</f>
        <v>Weekend</v>
      </c>
    </row>
    <row r="4640" spans="1:10">
      <c r="A4640" s="159" t="str">
        <f t="shared" si="363"/>
        <v>$N$1:$N$92</v>
      </c>
      <c r="B4640" s="159" t="str">
        <f t="shared" si="364"/>
        <v>$O$1:$O$92</v>
      </c>
      <c r="C4640" s="159" t="str">
        <f t="shared" si="365"/>
        <v>March!$N$1:$N$92</v>
      </c>
      <c r="D4640" s="159" t="str">
        <f t="shared" si="366"/>
        <v>March!$O$1:$O$92</v>
      </c>
      <c r="E4640" t="s">
        <v>9</v>
      </c>
      <c r="F4640" t="s">
        <v>122</v>
      </c>
      <c r="G4640" t="s">
        <v>145</v>
      </c>
      <c r="H4640" t="s">
        <v>153</v>
      </c>
      <c r="I4640" t="e">
        <f t="shared" ca="1" si="362"/>
        <v>#REF!</v>
      </c>
      <c r="J4640" t="str">
        <f>VLOOKUP($G4640,DefinitionArrays!$I$6:$J$12,2,FALSE)</f>
        <v>Weekend</v>
      </c>
    </row>
    <row r="4641" spans="1:10">
      <c r="A4641" s="159" t="str">
        <f t="shared" si="363"/>
        <v>$N$1:$N$92</v>
      </c>
      <c r="B4641" s="159" t="str">
        <f t="shared" si="364"/>
        <v>$O$1:$O$92</v>
      </c>
      <c r="C4641" s="159" t="str">
        <f t="shared" si="365"/>
        <v>March!$N$1:$N$92</v>
      </c>
      <c r="D4641" s="159" t="str">
        <f t="shared" si="366"/>
        <v>March!$O$1:$O$92</v>
      </c>
      <c r="E4641" t="s">
        <v>9</v>
      </c>
      <c r="F4641" t="s">
        <v>122</v>
      </c>
      <c r="G4641" t="s">
        <v>145</v>
      </c>
      <c r="H4641" t="s">
        <v>19</v>
      </c>
      <c r="I4641" t="e">
        <f t="shared" ca="1" si="362"/>
        <v>#REF!</v>
      </c>
      <c r="J4641" t="str">
        <f>VLOOKUP($G4641,DefinitionArrays!$I$6:$J$12,2,FALSE)</f>
        <v>Weekend</v>
      </c>
    </row>
    <row r="4642" spans="1:10">
      <c r="A4642" s="159" t="str">
        <f t="shared" si="363"/>
        <v>$N$1:$N$92</v>
      </c>
      <c r="B4642" s="159" t="str">
        <f t="shared" si="364"/>
        <v>$O$1:$O$92</v>
      </c>
      <c r="C4642" s="159" t="str">
        <f t="shared" si="365"/>
        <v>March!$N$1:$N$92</v>
      </c>
      <c r="D4642" s="159" t="str">
        <f t="shared" si="366"/>
        <v>March!$O$1:$O$92</v>
      </c>
      <c r="E4642" t="s">
        <v>9</v>
      </c>
      <c r="F4642" t="s">
        <v>122</v>
      </c>
      <c r="G4642" t="s">
        <v>145</v>
      </c>
      <c r="H4642" t="s">
        <v>20</v>
      </c>
      <c r="I4642" t="e">
        <f t="shared" ca="1" si="362"/>
        <v>#REF!</v>
      </c>
      <c r="J4642" t="str">
        <f>VLOOKUP($G4642,DefinitionArrays!$I$6:$J$12,2,FALSE)</f>
        <v>Weekend</v>
      </c>
    </row>
    <row r="4643" spans="1:10">
      <c r="A4643" s="159" t="str">
        <f t="shared" si="363"/>
        <v>$N$1:$N$92</v>
      </c>
      <c r="B4643" s="159" t="str">
        <f t="shared" si="364"/>
        <v>$O$1:$O$92</v>
      </c>
      <c r="C4643" s="159" t="str">
        <f t="shared" si="365"/>
        <v>March!$N$1:$N$92</v>
      </c>
      <c r="D4643" s="159" t="str">
        <f t="shared" si="366"/>
        <v>March!$O$1:$O$92</v>
      </c>
      <c r="E4643" t="s">
        <v>9</v>
      </c>
      <c r="F4643" t="s">
        <v>122</v>
      </c>
      <c r="G4643" t="s">
        <v>145</v>
      </c>
      <c r="H4643" t="s">
        <v>21</v>
      </c>
      <c r="I4643" t="e">
        <f t="shared" ca="1" si="362"/>
        <v>#REF!</v>
      </c>
      <c r="J4643" t="str">
        <f>VLOOKUP($G4643,DefinitionArrays!$I$6:$J$12,2,FALSE)</f>
        <v>Weekend</v>
      </c>
    </row>
    <row r="4644" spans="1:10">
      <c r="A4644" s="159" t="str">
        <f t="shared" si="363"/>
        <v>$N$1:$N$92</v>
      </c>
      <c r="B4644" s="159" t="str">
        <f t="shared" si="364"/>
        <v>$O$1:$O$92</v>
      </c>
      <c r="C4644" s="159" t="str">
        <f t="shared" si="365"/>
        <v>March!$N$1:$N$92</v>
      </c>
      <c r="D4644" s="159" t="str">
        <f t="shared" si="366"/>
        <v>March!$O$1:$O$92</v>
      </c>
      <c r="E4644" t="s">
        <v>9</v>
      </c>
      <c r="F4644" t="s">
        <v>122</v>
      </c>
      <c r="G4644" t="s">
        <v>145</v>
      </c>
      <c r="H4644" t="s">
        <v>22</v>
      </c>
      <c r="I4644" t="e">
        <f t="shared" ca="1" si="362"/>
        <v>#REF!</v>
      </c>
      <c r="J4644" t="str">
        <f>VLOOKUP($G4644,DefinitionArrays!$I$6:$J$12,2,FALSE)</f>
        <v>Weekend</v>
      </c>
    </row>
    <row r="4645" spans="1:10">
      <c r="A4645" s="159" t="str">
        <f t="shared" si="363"/>
        <v>$N$1:$N$92</v>
      </c>
      <c r="B4645" s="159" t="str">
        <f t="shared" si="364"/>
        <v>$O$1:$O$92</v>
      </c>
      <c r="C4645" s="159" t="str">
        <f t="shared" si="365"/>
        <v>March!$N$1:$N$92</v>
      </c>
      <c r="D4645" s="159" t="str">
        <f t="shared" si="366"/>
        <v>March!$O$1:$O$92</v>
      </c>
      <c r="E4645" t="s">
        <v>9</v>
      </c>
      <c r="F4645" t="s">
        <v>122</v>
      </c>
      <c r="G4645" t="s">
        <v>145</v>
      </c>
      <c r="H4645" t="s">
        <v>23</v>
      </c>
      <c r="I4645" t="e">
        <f t="shared" ca="1" si="362"/>
        <v>#REF!</v>
      </c>
      <c r="J4645" t="str">
        <f>VLOOKUP($G4645,DefinitionArrays!$I$6:$J$12,2,FALSE)</f>
        <v>Weekend</v>
      </c>
    </row>
    <row r="4646" spans="1:10">
      <c r="A4646" s="159" t="str">
        <f t="shared" si="363"/>
        <v>$N$1:$N$92</v>
      </c>
      <c r="B4646" s="159" t="str">
        <f t="shared" si="364"/>
        <v>$O$1:$O$92</v>
      </c>
      <c r="C4646" s="159" t="str">
        <f t="shared" si="365"/>
        <v>March!$N$1:$N$92</v>
      </c>
      <c r="D4646" s="159" t="str">
        <f t="shared" si="366"/>
        <v>March!$O$1:$O$92</v>
      </c>
      <c r="E4646" t="s">
        <v>9</v>
      </c>
      <c r="F4646" t="s">
        <v>122</v>
      </c>
      <c r="G4646" t="s">
        <v>145</v>
      </c>
      <c r="H4646" t="s">
        <v>24</v>
      </c>
      <c r="I4646" t="e">
        <f t="shared" ca="1" si="362"/>
        <v>#REF!</v>
      </c>
      <c r="J4646" t="str">
        <f>VLOOKUP($G4646,DefinitionArrays!$I$6:$J$12,2,FALSE)</f>
        <v>Weekend</v>
      </c>
    </row>
    <row r="4647" spans="1:10">
      <c r="A4647" s="159" t="str">
        <f t="shared" si="363"/>
        <v>$N$1:$N$92</v>
      </c>
      <c r="B4647" s="159" t="str">
        <f t="shared" si="364"/>
        <v>$O$1:$O$92</v>
      </c>
      <c r="C4647" s="159" t="str">
        <f t="shared" si="365"/>
        <v>March!$N$1:$N$92</v>
      </c>
      <c r="D4647" s="159" t="str">
        <f t="shared" si="366"/>
        <v>March!$O$1:$O$92</v>
      </c>
      <c r="E4647" t="s">
        <v>9</v>
      </c>
      <c r="F4647" t="s">
        <v>122</v>
      </c>
      <c r="G4647" t="s">
        <v>145</v>
      </c>
      <c r="H4647" t="s">
        <v>179</v>
      </c>
      <c r="I4647" t="e">
        <f t="shared" ca="1" si="362"/>
        <v>#REF!</v>
      </c>
      <c r="J4647" t="str">
        <f>VLOOKUP($G4647,DefinitionArrays!$I$6:$J$12,2,FALSE)</f>
        <v>Weekend</v>
      </c>
    </row>
    <row r="4648" spans="1:10">
      <c r="A4648" s="159" t="str">
        <f t="shared" si="363"/>
        <v>$N$1:$N$92</v>
      </c>
      <c r="B4648" s="159" t="str">
        <f t="shared" si="364"/>
        <v>$O$1:$O$92</v>
      </c>
      <c r="C4648" s="159" t="str">
        <f t="shared" si="365"/>
        <v>March!$N$1:$N$92</v>
      </c>
      <c r="D4648" s="159" t="str">
        <f t="shared" si="366"/>
        <v>March!$O$1:$O$92</v>
      </c>
      <c r="E4648" t="s">
        <v>9</v>
      </c>
      <c r="F4648" t="s">
        <v>122</v>
      </c>
      <c r="G4648" t="s">
        <v>145</v>
      </c>
      <c r="H4648" t="s">
        <v>180</v>
      </c>
      <c r="I4648" t="e">
        <f t="shared" ca="1" si="362"/>
        <v>#REF!</v>
      </c>
      <c r="J4648" t="str">
        <f>VLOOKUP($G4648,DefinitionArrays!$I$6:$J$12,2,FALSE)</f>
        <v>Weekend</v>
      </c>
    </row>
    <row r="4649" spans="1:10">
      <c r="A4649" s="159" t="str">
        <f t="shared" si="363"/>
        <v>$N$1:$N$92</v>
      </c>
      <c r="B4649" s="159" t="str">
        <f t="shared" si="364"/>
        <v>$O$1:$O$92</v>
      </c>
      <c r="C4649" s="159" t="str">
        <f t="shared" si="365"/>
        <v>March!$N$1:$N$92</v>
      </c>
      <c r="D4649" s="159" t="str">
        <f t="shared" si="366"/>
        <v>March!$O$1:$O$92</v>
      </c>
      <c r="E4649" t="s">
        <v>9</v>
      </c>
      <c r="F4649" t="s">
        <v>122</v>
      </c>
      <c r="G4649" t="s">
        <v>145</v>
      </c>
      <c r="H4649" t="s">
        <v>44</v>
      </c>
      <c r="I4649" t="e">
        <f t="shared" ca="1" si="362"/>
        <v>#REF!</v>
      </c>
      <c r="J4649" t="str">
        <f>VLOOKUP($G4649,DefinitionArrays!$I$6:$J$12,2,FALSE)</f>
        <v>Weekend</v>
      </c>
    </row>
    <row r="4650" spans="1:10">
      <c r="A4650" s="159" t="str">
        <f t="shared" si="363"/>
        <v>$Q$1:$Q$92</v>
      </c>
      <c r="B4650" s="159" t="str">
        <f t="shared" si="364"/>
        <v>$R$1:$R$92</v>
      </c>
      <c r="C4650" s="159" t="str">
        <f t="shared" si="365"/>
        <v>March!$Q$1:$Q$92</v>
      </c>
      <c r="D4650" s="159" t="str">
        <f t="shared" si="366"/>
        <v>March!$R$1:$R$92</v>
      </c>
      <c r="E4650" t="s">
        <v>9</v>
      </c>
      <c r="F4650" t="s">
        <v>122</v>
      </c>
      <c r="G4650" t="s">
        <v>146</v>
      </c>
      <c r="H4650" t="s">
        <v>159</v>
      </c>
      <c r="I4650" t="e">
        <f t="shared" ca="1" si="362"/>
        <v>#REF!</v>
      </c>
      <c r="J4650" t="str">
        <f>VLOOKUP($G4650,DefinitionArrays!$I$6:$J$12,2,FALSE)</f>
        <v>Weekend</v>
      </c>
    </row>
    <row r="4651" spans="1:10">
      <c r="A4651" s="159" t="str">
        <f t="shared" si="363"/>
        <v>$T$1:$T$92</v>
      </c>
      <c r="B4651" s="159" t="str">
        <f t="shared" si="364"/>
        <v>$U$1:$U$92</v>
      </c>
      <c r="C4651" s="159" t="str">
        <f t="shared" si="365"/>
        <v>March!$T$1:$T$92</v>
      </c>
      <c r="D4651" s="159" t="str">
        <f t="shared" si="366"/>
        <v>March!$U$1:$U$92</v>
      </c>
      <c r="E4651" t="s">
        <v>9</v>
      </c>
      <c r="F4651" t="s">
        <v>122</v>
      </c>
      <c r="G4651" t="s">
        <v>141</v>
      </c>
      <c r="H4651" t="s">
        <v>159</v>
      </c>
      <c r="I4651" t="e">
        <f t="shared" ca="1" si="362"/>
        <v>#REF!</v>
      </c>
      <c r="J4651" t="str">
        <f>VLOOKUP($G4651,DefinitionArrays!$I$6:$J$12,2,FALSE)</f>
        <v>Weekend</v>
      </c>
    </row>
    <row r="4652" spans="1:10">
      <c r="A4652" s="159" t="str">
        <f t="shared" si="363"/>
        <v>$B$1:$B$92</v>
      </c>
      <c r="B4652" s="159" t="str">
        <f t="shared" si="364"/>
        <v>$C$1:$C$92</v>
      </c>
      <c r="C4652" s="159" t="str">
        <f t="shared" si="365"/>
        <v>April!$B$1:$B$92</v>
      </c>
      <c r="D4652" s="159" t="str">
        <f t="shared" si="366"/>
        <v>April!$C$1:$C$92</v>
      </c>
      <c r="E4652" t="s">
        <v>9</v>
      </c>
      <c r="F4652" t="s">
        <v>123</v>
      </c>
      <c r="G4652" t="s">
        <v>13</v>
      </c>
      <c r="H4652" t="s">
        <v>159</v>
      </c>
      <c r="I4652" t="e">
        <f ca="1">COUNTIFS(INDIRECT($C4652),$E4652,INDIRECT($D4652),$H4652)</f>
        <v>#REF!</v>
      </c>
      <c r="J4652" t="str">
        <f>VLOOKUP($G4652,DefinitionArrays!$I$6:$J$12,2,FALSE)</f>
        <v>Workweek</v>
      </c>
    </row>
    <row r="4653" spans="1:10">
      <c r="A4653" s="159" t="str">
        <f t="shared" si="363"/>
        <v>$B$1:$B$92</v>
      </c>
      <c r="B4653" s="159" t="str">
        <f t="shared" si="364"/>
        <v>$C$1:$C$92</v>
      </c>
      <c r="C4653" s="159" t="str">
        <f t="shared" si="365"/>
        <v>April!$B$1:$B$92</v>
      </c>
      <c r="D4653" s="159" t="str">
        <f t="shared" si="366"/>
        <v>April!$C$1:$C$92</v>
      </c>
      <c r="E4653" t="s">
        <v>9</v>
      </c>
      <c r="F4653" t="s">
        <v>123</v>
      </c>
      <c r="G4653" t="s">
        <v>13</v>
      </c>
      <c r="H4653" t="s">
        <v>18</v>
      </c>
      <c r="I4653" t="e">
        <f t="shared" ref="I4653:I4713" ca="1" si="367">COUNTIFS(INDIRECT($C4653),$E4653,INDIRECT($D4653),$H4653)</f>
        <v>#REF!</v>
      </c>
      <c r="J4653" t="str">
        <f>VLOOKUP($G4653,DefinitionArrays!$I$6:$J$12,2,FALSE)</f>
        <v>Workweek</v>
      </c>
    </row>
    <row r="4654" spans="1:10">
      <c r="A4654" s="159" t="str">
        <f t="shared" si="363"/>
        <v>$B$1:$B$92</v>
      </c>
      <c r="B4654" s="159" t="str">
        <f t="shared" si="364"/>
        <v>$C$1:$C$92</v>
      </c>
      <c r="C4654" s="159" t="str">
        <f t="shared" si="365"/>
        <v>April!$B$1:$B$92</v>
      </c>
      <c r="D4654" s="159" t="str">
        <f t="shared" si="366"/>
        <v>April!$C$1:$C$92</v>
      </c>
      <c r="E4654" t="s">
        <v>9</v>
      </c>
      <c r="F4654" t="s">
        <v>123</v>
      </c>
      <c r="G4654" t="s">
        <v>13</v>
      </c>
      <c r="H4654" t="s">
        <v>153</v>
      </c>
      <c r="I4654" t="e">
        <f t="shared" ca="1" si="367"/>
        <v>#REF!</v>
      </c>
      <c r="J4654" t="str">
        <f>VLOOKUP($G4654,DefinitionArrays!$I$6:$J$12,2,FALSE)</f>
        <v>Workweek</v>
      </c>
    </row>
    <row r="4655" spans="1:10">
      <c r="A4655" s="159" t="str">
        <f t="shared" si="363"/>
        <v>$B$1:$B$92</v>
      </c>
      <c r="B4655" s="159" t="str">
        <f t="shared" si="364"/>
        <v>$C$1:$C$92</v>
      </c>
      <c r="C4655" s="159" t="str">
        <f t="shared" si="365"/>
        <v>April!$B$1:$B$92</v>
      </c>
      <c r="D4655" s="159" t="str">
        <f t="shared" si="366"/>
        <v>April!$C$1:$C$92</v>
      </c>
      <c r="E4655" t="s">
        <v>9</v>
      </c>
      <c r="F4655" t="s">
        <v>123</v>
      </c>
      <c r="G4655" t="s">
        <v>13</v>
      </c>
      <c r="H4655" t="s">
        <v>19</v>
      </c>
      <c r="I4655" t="e">
        <f t="shared" ca="1" si="367"/>
        <v>#REF!</v>
      </c>
      <c r="J4655" t="str">
        <f>VLOOKUP($G4655,DefinitionArrays!$I$6:$J$12,2,FALSE)</f>
        <v>Workweek</v>
      </c>
    </row>
    <row r="4656" spans="1:10">
      <c r="A4656" s="159" t="str">
        <f t="shared" si="363"/>
        <v>$B$1:$B$92</v>
      </c>
      <c r="B4656" s="159" t="str">
        <f t="shared" si="364"/>
        <v>$C$1:$C$92</v>
      </c>
      <c r="C4656" s="159" t="str">
        <f t="shared" si="365"/>
        <v>April!$B$1:$B$92</v>
      </c>
      <c r="D4656" s="159" t="str">
        <f t="shared" si="366"/>
        <v>April!$C$1:$C$92</v>
      </c>
      <c r="E4656" t="s">
        <v>9</v>
      </c>
      <c r="F4656" t="s">
        <v>123</v>
      </c>
      <c r="G4656" t="s">
        <v>13</v>
      </c>
      <c r="H4656" t="s">
        <v>20</v>
      </c>
      <c r="I4656" t="e">
        <f t="shared" ca="1" si="367"/>
        <v>#REF!</v>
      </c>
      <c r="J4656" t="str">
        <f>VLOOKUP($G4656,DefinitionArrays!$I$6:$J$12,2,FALSE)</f>
        <v>Workweek</v>
      </c>
    </row>
    <row r="4657" spans="1:10">
      <c r="A4657" s="159" t="str">
        <f t="shared" si="363"/>
        <v>$B$1:$B$92</v>
      </c>
      <c r="B4657" s="159" t="str">
        <f t="shared" si="364"/>
        <v>$C$1:$C$92</v>
      </c>
      <c r="C4657" s="159" t="str">
        <f t="shared" si="365"/>
        <v>April!$B$1:$B$92</v>
      </c>
      <c r="D4657" s="159" t="str">
        <f t="shared" si="366"/>
        <v>April!$C$1:$C$92</v>
      </c>
      <c r="E4657" t="s">
        <v>9</v>
      </c>
      <c r="F4657" t="s">
        <v>123</v>
      </c>
      <c r="G4657" t="s">
        <v>13</v>
      </c>
      <c r="H4657" t="s">
        <v>21</v>
      </c>
      <c r="I4657" t="e">
        <f t="shared" ca="1" si="367"/>
        <v>#REF!</v>
      </c>
      <c r="J4657" t="str">
        <f>VLOOKUP($G4657,DefinitionArrays!$I$6:$J$12,2,FALSE)</f>
        <v>Workweek</v>
      </c>
    </row>
    <row r="4658" spans="1:10">
      <c r="A4658" s="159" t="str">
        <f t="shared" si="363"/>
        <v>$B$1:$B$92</v>
      </c>
      <c r="B4658" s="159" t="str">
        <f t="shared" si="364"/>
        <v>$C$1:$C$92</v>
      </c>
      <c r="C4658" s="159" t="str">
        <f t="shared" si="365"/>
        <v>April!$B$1:$B$92</v>
      </c>
      <c r="D4658" s="159" t="str">
        <f t="shared" si="366"/>
        <v>April!$C$1:$C$92</v>
      </c>
      <c r="E4658" t="s">
        <v>9</v>
      </c>
      <c r="F4658" t="s">
        <v>123</v>
      </c>
      <c r="G4658" t="s">
        <v>13</v>
      </c>
      <c r="H4658" t="s">
        <v>22</v>
      </c>
      <c r="I4658" t="e">
        <f t="shared" ca="1" si="367"/>
        <v>#REF!</v>
      </c>
      <c r="J4658" t="str">
        <f>VLOOKUP($G4658,DefinitionArrays!$I$6:$J$12,2,FALSE)</f>
        <v>Workweek</v>
      </c>
    </row>
    <row r="4659" spans="1:10">
      <c r="A4659" s="159" t="str">
        <f t="shared" si="363"/>
        <v>$B$1:$B$92</v>
      </c>
      <c r="B4659" s="159" t="str">
        <f t="shared" si="364"/>
        <v>$C$1:$C$92</v>
      </c>
      <c r="C4659" s="159" t="str">
        <f t="shared" si="365"/>
        <v>April!$B$1:$B$92</v>
      </c>
      <c r="D4659" s="159" t="str">
        <f t="shared" si="366"/>
        <v>April!$C$1:$C$92</v>
      </c>
      <c r="E4659" t="s">
        <v>9</v>
      </c>
      <c r="F4659" t="s">
        <v>123</v>
      </c>
      <c r="G4659" t="s">
        <v>13</v>
      </c>
      <c r="H4659" t="s">
        <v>23</v>
      </c>
      <c r="I4659" t="e">
        <f t="shared" ca="1" si="367"/>
        <v>#REF!</v>
      </c>
      <c r="J4659" t="str">
        <f>VLOOKUP($G4659,DefinitionArrays!$I$6:$J$12,2,FALSE)</f>
        <v>Workweek</v>
      </c>
    </row>
    <row r="4660" spans="1:10">
      <c r="A4660" s="159" t="str">
        <f t="shared" si="363"/>
        <v>$B$1:$B$92</v>
      </c>
      <c r="B4660" s="159" t="str">
        <f t="shared" si="364"/>
        <v>$C$1:$C$92</v>
      </c>
      <c r="C4660" s="159" t="str">
        <f t="shared" si="365"/>
        <v>April!$B$1:$B$92</v>
      </c>
      <c r="D4660" s="159" t="str">
        <f t="shared" si="366"/>
        <v>April!$C$1:$C$92</v>
      </c>
      <c r="E4660" t="s">
        <v>9</v>
      </c>
      <c r="F4660" t="s">
        <v>123</v>
      </c>
      <c r="G4660" t="s">
        <v>13</v>
      </c>
      <c r="H4660" t="s">
        <v>24</v>
      </c>
      <c r="I4660" t="e">
        <f t="shared" ca="1" si="367"/>
        <v>#REF!</v>
      </c>
      <c r="J4660" t="str">
        <f>VLOOKUP($G4660,DefinitionArrays!$I$6:$J$12,2,FALSE)</f>
        <v>Workweek</v>
      </c>
    </row>
    <row r="4661" spans="1:10">
      <c r="A4661" s="159" t="str">
        <f t="shared" si="363"/>
        <v>$B$1:$B$92</v>
      </c>
      <c r="B4661" s="159" t="str">
        <f t="shared" si="364"/>
        <v>$C$1:$C$92</v>
      </c>
      <c r="C4661" s="159" t="str">
        <f t="shared" si="365"/>
        <v>April!$B$1:$B$92</v>
      </c>
      <c r="D4661" s="159" t="str">
        <f t="shared" si="366"/>
        <v>April!$C$1:$C$92</v>
      </c>
      <c r="E4661" t="s">
        <v>9</v>
      </c>
      <c r="F4661" t="s">
        <v>123</v>
      </c>
      <c r="G4661" t="s">
        <v>13</v>
      </c>
      <c r="H4661" t="s">
        <v>179</v>
      </c>
      <c r="I4661" t="e">
        <f t="shared" ca="1" si="367"/>
        <v>#REF!</v>
      </c>
      <c r="J4661" t="str">
        <f>VLOOKUP($G4661,DefinitionArrays!$I$6:$J$12,2,FALSE)</f>
        <v>Workweek</v>
      </c>
    </row>
    <row r="4662" spans="1:10">
      <c r="A4662" s="159" t="str">
        <f t="shared" si="363"/>
        <v>$B$1:$B$92</v>
      </c>
      <c r="B4662" s="159" t="str">
        <f t="shared" si="364"/>
        <v>$C$1:$C$92</v>
      </c>
      <c r="C4662" s="159" t="str">
        <f t="shared" si="365"/>
        <v>April!$B$1:$B$92</v>
      </c>
      <c r="D4662" s="159" t="str">
        <f t="shared" si="366"/>
        <v>April!$C$1:$C$92</v>
      </c>
      <c r="E4662" t="s">
        <v>9</v>
      </c>
      <c r="F4662" t="s">
        <v>123</v>
      </c>
      <c r="G4662" t="s">
        <v>13</v>
      </c>
      <c r="H4662" t="s">
        <v>180</v>
      </c>
      <c r="I4662" t="e">
        <f t="shared" ca="1" si="367"/>
        <v>#REF!</v>
      </c>
      <c r="J4662" t="str">
        <f>VLOOKUP($G4662,DefinitionArrays!$I$6:$J$12,2,FALSE)</f>
        <v>Workweek</v>
      </c>
    </row>
    <row r="4663" spans="1:10">
      <c r="A4663" s="159" t="str">
        <f t="shared" si="363"/>
        <v>$B$1:$B$92</v>
      </c>
      <c r="B4663" s="159" t="str">
        <f t="shared" si="364"/>
        <v>$C$1:$C$92</v>
      </c>
      <c r="C4663" s="159" t="str">
        <f t="shared" si="365"/>
        <v>April!$B$1:$B$92</v>
      </c>
      <c r="D4663" s="159" t="str">
        <f t="shared" si="366"/>
        <v>April!$C$1:$C$92</v>
      </c>
      <c r="E4663" t="s">
        <v>9</v>
      </c>
      <c r="F4663" t="s">
        <v>123</v>
      </c>
      <c r="G4663" t="s">
        <v>13</v>
      </c>
      <c r="H4663" t="s">
        <v>44</v>
      </c>
      <c r="I4663" t="e">
        <f t="shared" ca="1" si="367"/>
        <v>#REF!</v>
      </c>
      <c r="J4663" t="str">
        <f>VLOOKUP($G4663,DefinitionArrays!$I$6:$J$12,2,FALSE)</f>
        <v>Workweek</v>
      </c>
    </row>
    <row r="4664" spans="1:10">
      <c r="A4664" s="159" t="str">
        <f t="shared" si="363"/>
        <v>$E$1:$E$92</v>
      </c>
      <c r="B4664" s="159" t="str">
        <f t="shared" si="364"/>
        <v>$F$1:$F$92</v>
      </c>
      <c r="C4664" s="159" t="str">
        <f t="shared" si="365"/>
        <v>April!$E$1:$E$92</v>
      </c>
      <c r="D4664" s="159" t="str">
        <f t="shared" si="366"/>
        <v>April!$F$1:$F$92</v>
      </c>
      <c r="E4664" t="s">
        <v>9</v>
      </c>
      <c r="F4664" t="s">
        <v>123</v>
      </c>
      <c r="G4664" t="s">
        <v>142</v>
      </c>
      <c r="H4664" t="s">
        <v>159</v>
      </c>
      <c r="I4664" t="e">
        <f t="shared" ca="1" si="367"/>
        <v>#REF!</v>
      </c>
      <c r="J4664" t="str">
        <f>VLOOKUP($G4664,DefinitionArrays!$I$6:$J$12,2,FALSE)</f>
        <v>Workweek</v>
      </c>
    </row>
    <row r="4665" spans="1:10">
      <c r="A4665" s="159" t="str">
        <f t="shared" si="363"/>
        <v>$E$1:$E$92</v>
      </c>
      <c r="B4665" s="159" t="str">
        <f t="shared" si="364"/>
        <v>$F$1:$F$92</v>
      </c>
      <c r="C4665" s="159" t="str">
        <f t="shared" si="365"/>
        <v>April!$E$1:$E$92</v>
      </c>
      <c r="D4665" s="159" t="str">
        <f t="shared" si="366"/>
        <v>April!$F$1:$F$92</v>
      </c>
      <c r="E4665" t="s">
        <v>9</v>
      </c>
      <c r="F4665" t="s">
        <v>123</v>
      </c>
      <c r="G4665" t="s">
        <v>142</v>
      </c>
      <c r="H4665" t="s">
        <v>18</v>
      </c>
      <c r="I4665" t="e">
        <f t="shared" ca="1" si="367"/>
        <v>#REF!</v>
      </c>
      <c r="J4665" t="str">
        <f>VLOOKUP($G4665,DefinitionArrays!$I$6:$J$12,2,FALSE)</f>
        <v>Workweek</v>
      </c>
    </row>
    <row r="4666" spans="1:10">
      <c r="A4666" s="159" t="str">
        <f t="shared" si="363"/>
        <v>$E$1:$E$92</v>
      </c>
      <c r="B4666" s="159" t="str">
        <f t="shared" si="364"/>
        <v>$F$1:$F$92</v>
      </c>
      <c r="C4666" s="159" t="str">
        <f t="shared" si="365"/>
        <v>April!$E$1:$E$92</v>
      </c>
      <c r="D4666" s="159" t="str">
        <f t="shared" si="366"/>
        <v>April!$F$1:$F$92</v>
      </c>
      <c r="E4666" t="s">
        <v>9</v>
      </c>
      <c r="F4666" t="s">
        <v>123</v>
      </c>
      <c r="G4666" t="s">
        <v>142</v>
      </c>
      <c r="H4666" t="s">
        <v>153</v>
      </c>
      <c r="I4666" t="e">
        <f t="shared" ca="1" si="367"/>
        <v>#REF!</v>
      </c>
      <c r="J4666" t="str">
        <f>VLOOKUP($G4666,DefinitionArrays!$I$6:$J$12,2,FALSE)</f>
        <v>Workweek</v>
      </c>
    </row>
    <row r="4667" spans="1:10">
      <c r="A4667" s="159" t="str">
        <f t="shared" si="363"/>
        <v>$E$1:$E$92</v>
      </c>
      <c r="B4667" s="159" t="str">
        <f t="shared" si="364"/>
        <v>$F$1:$F$92</v>
      </c>
      <c r="C4667" s="159" t="str">
        <f t="shared" si="365"/>
        <v>April!$E$1:$E$92</v>
      </c>
      <c r="D4667" s="159" t="str">
        <f t="shared" si="366"/>
        <v>April!$F$1:$F$92</v>
      </c>
      <c r="E4667" t="s">
        <v>9</v>
      </c>
      <c r="F4667" t="s">
        <v>123</v>
      </c>
      <c r="G4667" t="s">
        <v>142</v>
      </c>
      <c r="H4667" t="s">
        <v>19</v>
      </c>
      <c r="I4667" t="e">
        <f t="shared" ca="1" si="367"/>
        <v>#REF!</v>
      </c>
      <c r="J4667" t="str">
        <f>VLOOKUP($G4667,DefinitionArrays!$I$6:$J$12,2,FALSE)</f>
        <v>Workweek</v>
      </c>
    </row>
    <row r="4668" spans="1:10">
      <c r="A4668" s="159" t="str">
        <f t="shared" si="363"/>
        <v>$E$1:$E$92</v>
      </c>
      <c r="B4668" s="159" t="str">
        <f t="shared" si="364"/>
        <v>$F$1:$F$92</v>
      </c>
      <c r="C4668" s="159" t="str">
        <f t="shared" si="365"/>
        <v>April!$E$1:$E$92</v>
      </c>
      <c r="D4668" s="159" t="str">
        <f t="shared" si="366"/>
        <v>April!$F$1:$F$92</v>
      </c>
      <c r="E4668" t="s">
        <v>9</v>
      </c>
      <c r="F4668" t="s">
        <v>123</v>
      </c>
      <c r="G4668" t="s">
        <v>142</v>
      </c>
      <c r="H4668" t="s">
        <v>20</v>
      </c>
      <c r="I4668" t="e">
        <f t="shared" ca="1" si="367"/>
        <v>#REF!</v>
      </c>
      <c r="J4668" t="str">
        <f>VLOOKUP($G4668,DefinitionArrays!$I$6:$J$12,2,FALSE)</f>
        <v>Workweek</v>
      </c>
    </row>
    <row r="4669" spans="1:10">
      <c r="A4669" s="159" t="str">
        <f t="shared" si="363"/>
        <v>$E$1:$E$92</v>
      </c>
      <c r="B4669" s="159" t="str">
        <f t="shared" si="364"/>
        <v>$F$1:$F$92</v>
      </c>
      <c r="C4669" s="159" t="str">
        <f t="shared" si="365"/>
        <v>April!$E$1:$E$92</v>
      </c>
      <c r="D4669" s="159" t="str">
        <f t="shared" si="366"/>
        <v>April!$F$1:$F$92</v>
      </c>
      <c r="E4669" t="s">
        <v>9</v>
      </c>
      <c r="F4669" t="s">
        <v>123</v>
      </c>
      <c r="G4669" t="s">
        <v>142</v>
      </c>
      <c r="H4669" t="s">
        <v>21</v>
      </c>
      <c r="I4669" t="e">
        <f t="shared" ca="1" si="367"/>
        <v>#REF!</v>
      </c>
      <c r="J4669" t="str">
        <f>VLOOKUP($G4669,DefinitionArrays!$I$6:$J$12,2,FALSE)</f>
        <v>Workweek</v>
      </c>
    </row>
    <row r="4670" spans="1:10">
      <c r="A4670" s="159" t="str">
        <f t="shared" si="363"/>
        <v>$E$1:$E$92</v>
      </c>
      <c r="B4670" s="159" t="str">
        <f t="shared" si="364"/>
        <v>$F$1:$F$92</v>
      </c>
      <c r="C4670" s="159" t="str">
        <f t="shared" si="365"/>
        <v>April!$E$1:$E$92</v>
      </c>
      <c r="D4670" s="159" t="str">
        <f t="shared" si="366"/>
        <v>April!$F$1:$F$92</v>
      </c>
      <c r="E4670" t="s">
        <v>9</v>
      </c>
      <c r="F4670" t="s">
        <v>123</v>
      </c>
      <c r="G4670" t="s">
        <v>142</v>
      </c>
      <c r="H4670" t="s">
        <v>22</v>
      </c>
      <c r="I4670" t="e">
        <f t="shared" ca="1" si="367"/>
        <v>#REF!</v>
      </c>
      <c r="J4670" t="str">
        <f>VLOOKUP($G4670,DefinitionArrays!$I$6:$J$12,2,FALSE)</f>
        <v>Workweek</v>
      </c>
    </row>
    <row r="4671" spans="1:10">
      <c r="A4671" s="159" t="str">
        <f t="shared" si="363"/>
        <v>$E$1:$E$92</v>
      </c>
      <c r="B4671" s="159" t="str">
        <f t="shared" si="364"/>
        <v>$F$1:$F$92</v>
      </c>
      <c r="C4671" s="159" t="str">
        <f t="shared" si="365"/>
        <v>April!$E$1:$E$92</v>
      </c>
      <c r="D4671" s="159" t="str">
        <f t="shared" si="366"/>
        <v>April!$F$1:$F$92</v>
      </c>
      <c r="E4671" t="s">
        <v>9</v>
      </c>
      <c r="F4671" t="s">
        <v>123</v>
      </c>
      <c r="G4671" t="s">
        <v>142</v>
      </c>
      <c r="H4671" t="s">
        <v>23</v>
      </c>
      <c r="I4671" t="e">
        <f t="shared" ca="1" si="367"/>
        <v>#REF!</v>
      </c>
      <c r="J4671" t="str">
        <f>VLOOKUP($G4671,DefinitionArrays!$I$6:$J$12,2,FALSE)</f>
        <v>Workweek</v>
      </c>
    </row>
    <row r="4672" spans="1:10">
      <c r="A4672" s="159" t="str">
        <f t="shared" si="363"/>
        <v>$E$1:$E$92</v>
      </c>
      <c r="B4672" s="159" t="str">
        <f t="shared" si="364"/>
        <v>$F$1:$F$92</v>
      </c>
      <c r="C4672" s="159" t="str">
        <f t="shared" si="365"/>
        <v>April!$E$1:$E$92</v>
      </c>
      <c r="D4672" s="159" t="str">
        <f t="shared" si="366"/>
        <v>April!$F$1:$F$92</v>
      </c>
      <c r="E4672" t="s">
        <v>9</v>
      </c>
      <c r="F4672" t="s">
        <v>123</v>
      </c>
      <c r="G4672" t="s">
        <v>142</v>
      </c>
      <c r="H4672" t="s">
        <v>24</v>
      </c>
      <c r="I4672" t="e">
        <f t="shared" ca="1" si="367"/>
        <v>#REF!</v>
      </c>
      <c r="J4672" t="str">
        <f>VLOOKUP($G4672,DefinitionArrays!$I$6:$J$12,2,FALSE)</f>
        <v>Workweek</v>
      </c>
    </row>
    <row r="4673" spans="1:10">
      <c r="A4673" s="159" t="str">
        <f t="shared" si="363"/>
        <v>$E$1:$E$92</v>
      </c>
      <c r="B4673" s="159" t="str">
        <f t="shared" si="364"/>
        <v>$F$1:$F$92</v>
      </c>
      <c r="C4673" s="159" t="str">
        <f t="shared" si="365"/>
        <v>April!$E$1:$E$92</v>
      </c>
      <c r="D4673" s="159" t="str">
        <f t="shared" si="366"/>
        <v>April!$F$1:$F$92</v>
      </c>
      <c r="E4673" t="s">
        <v>9</v>
      </c>
      <c r="F4673" t="s">
        <v>123</v>
      </c>
      <c r="G4673" t="s">
        <v>142</v>
      </c>
      <c r="H4673" t="s">
        <v>179</v>
      </c>
      <c r="I4673" t="e">
        <f t="shared" ca="1" si="367"/>
        <v>#REF!</v>
      </c>
      <c r="J4673" t="str">
        <f>VLOOKUP($G4673,DefinitionArrays!$I$6:$J$12,2,FALSE)</f>
        <v>Workweek</v>
      </c>
    </row>
    <row r="4674" spans="1:10">
      <c r="A4674" s="159" t="str">
        <f t="shared" ref="A4674:A4737" si="368">VLOOKUP($G4674,Fx_Code,2,FALSE)</f>
        <v>$E$1:$E$92</v>
      </c>
      <c r="B4674" s="159" t="str">
        <f t="shared" ref="B4674:B4737" si="369">VLOOKUP($G4674,Fx_Code,3,FALSE)</f>
        <v>$F$1:$F$92</v>
      </c>
      <c r="C4674" s="159" t="str">
        <f t="shared" ref="C4674:C4737" si="370">CONCATENATE($F4674,$K$1,A4674)</f>
        <v>April!$E$1:$E$92</v>
      </c>
      <c r="D4674" s="159" t="str">
        <f t="shared" ref="D4674:D4737" si="371">CONCATENATE($F4674,$K$1,B4674)</f>
        <v>April!$F$1:$F$92</v>
      </c>
      <c r="E4674" t="s">
        <v>9</v>
      </c>
      <c r="F4674" t="s">
        <v>123</v>
      </c>
      <c r="G4674" t="s">
        <v>142</v>
      </c>
      <c r="H4674" t="s">
        <v>180</v>
      </c>
      <c r="I4674" t="e">
        <f t="shared" ca="1" si="367"/>
        <v>#REF!</v>
      </c>
      <c r="J4674" t="str">
        <f>VLOOKUP($G4674,DefinitionArrays!$I$6:$J$12,2,FALSE)</f>
        <v>Workweek</v>
      </c>
    </row>
    <row r="4675" spans="1:10">
      <c r="A4675" s="159" t="str">
        <f t="shared" si="368"/>
        <v>$E$1:$E$92</v>
      </c>
      <c r="B4675" s="159" t="str">
        <f t="shared" si="369"/>
        <v>$F$1:$F$92</v>
      </c>
      <c r="C4675" s="159" t="str">
        <f t="shared" si="370"/>
        <v>April!$E$1:$E$92</v>
      </c>
      <c r="D4675" s="159" t="str">
        <f t="shared" si="371"/>
        <v>April!$F$1:$F$92</v>
      </c>
      <c r="E4675" t="s">
        <v>9</v>
      </c>
      <c r="F4675" t="s">
        <v>123</v>
      </c>
      <c r="G4675" t="s">
        <v>142</v>
      </c>
      <c r="H4675" t="s">
        <v>44</v>
      </c>
      <c r="I4675" t="e">
        <f t="shared" ca="1" si="367"/>
        <v>#REF!</v>
      </c>
      <c r="J4675" t="str">
        <f>VLOOKUP($G4675,DefinitionArrays!$I$6:$J$12,2,FALSE)</f>
        <v>Workweek</v>
      </c>
    </row>
    <row r="4676" spans="1:10">
      <c r="A4676" s="159" t="str">
        <f t="shared" si="368"/>
        <v>$H$1:$H$92</v>
      </c>
      <c r="B4676" s="159" t="str">
        <f t="shared" si="369"/>
        <v>$I$1:$I$92</v>
      </c>
      <c r="C4676" s="159" t="str">
        <f t="shared" si="370"/>
        <v>April!$H$1:$H$92</v>
      </c>
      <c r="D4676" s="159" t="str">
        <f t="shared" si="371"/>
        <v>April!$I$1:$I$92</v>
      </c>
      <c r="E4676" t="s">
        <v>9</v>
      </c>
      <c r="F4676" t="s">
        <v>123</v>
      </c>
      <c r="G4676" t="s">
        <v>143</v>
      </c>
      <c r="H4676" t="s">
        <v>159</v>
      </c>
      <c r="I4676" t="e">
        <f t="shared" ca="1" si="367"/>
        <v>#REF!</v>
      </c>
      <c r="J4676" t="str">
        <f>VLOOKUP($G4676,DefinitionArrays!$I$6:$J$12,2,FALSE)</f>
        <v>Workweek</v>
      </c>
    </row>
    <row r="4677" spans="1:10">
      <c r="A4677" s="159" t="str">
        <f t="shared" si="368"/>
        <v>$H$1:$H$92</v>
      </c>
      <c r="B4677" s="159" t="str">
        <f t="shared" si="369"/>
        <v>$I$1:$I$92</v>
      </c>
      <c r="C4677" s="159" t="str">
        <f t="shared" si="370"/>
        <v>April!$H$1:$H$92</v>
      </c>
      <c r="D4677" s="159" t="str">
        <f t="shared" si="371"/>
        <v>April!$I$1:$I$92</v>
      </c>
      <c r="E4677" t="s">
        <v>9</v>
      </c>
      <c r="F4677" t="s">
        <v>123</v>
      </c>
      <c r="G4677" t="s">
        <v>143</v>
      </c>
      <c r="H4677" t="s">
        <v>18</v>
      </c>
      <c r="I4677" t="e">
        <f t="shared" ca="1" si="367"/>
        <v>#REF!</v>
      </c>
      <c r="J4677" t="str">
        <f>VLOOKUP($G4677,DefinitionArrays!$I$6:$J$12,2,FALSE)</f>
        <v>Workweek</v>
      </c>
    </row>
    <row r="4678" spans="1:10">
      <c r="A4678" s="159" t="str">
        <f t="shared" si="368"/>
        <v>$H$1:$H$92</v>
      </c>
      <c r="B4678" s="159" t="str">
        <f t="shared" si="369"/>
        <v>$I$1:$I$92</v>
      </c>
      <c r="C4678" s="159" t="str">
        <f t="shared" si="370"/>
        <v>April!$H$1:$H$92</v>
      </c>
      <c r="D4678" s="159" t="str">
        <f t="shared" si="371"/>
        <v>April!$I$1:$I$92</v>
      </c>
      <c r="E4678" t="s">
        <v>9</v>
      </c>
      <c r="F4678" t="s">
        <v>123</v>
      </c>
      <c r="G4678" t="s">
        <v>143</v>
      </c>
      <c r="H4678" t="s">
        <v>153</v>
      </c>
      <c r="I4678" t="e">
        <f t="shared" ca="1" si="367"/>
        <v>#REF!</v>
      </c>
      <c r="J4678" t="str">
        <f>VLOOKUP($G4678,DefinitionArrays!$I$6:$J$12,2,FALSE)</f>
        <v>Workweek</v>
      </c>
    </row>
    <row r="4679" spans="1:10">
      <c r="A4679" s="159" t="str">
        <f t="shared" si="368"/>
        <v>$H$1:$H$92</v>
      </c>
      <c r="B4679" s="159" t="str">
        <f t="shared" si="369"/>
        <v>$I$1:$I$92</v>
      </c>
      <c r="C4679" s="159" t="str">
        <f t="shared" si="370"/>
        <v>April!$H$1:$H$92</v>
      </c>
      <c r="D4679" s="159" t="str">
        <f t="shared" si="371"/>
        <v>April!$I$1:$I$92</v>
      </c>
      <c r="E4679" t="s">
        <v>9</v>
      </c>
      <c r="F4679" t="s">
        <v>123</v>
      </c>
      <c r="G4679" t="s">
        <v>143</v>
      </c>
      <c r="H4679" t="s">
        <v>19</v>
      </c>
      <c r="I4679" t="e">
        <f t="shared" ca="1" si="367"/>
        <v>#REF!</v>
      </c>
      <c r="J4679" t="str">
        <f>VLOOKUP($G4679,DefinitionArrays!$I$6:$J$12,2,FALSE)</f>
        <v>Workweek</v>
      </c>
    </row>
    <row r="4680" spans="1:10">
      <c r="A4680" s="159" t="str">
        <f t="shared" si="368"/>
        <v>$H$1:$H$92</v>
      </c>
      <c r="B4680" s="159" t="str">
        <f t="shared" si="369"/>
        <v>$I$1:$I$92</v>
      </c>
      <c r="C4680" s="159" t="str">
        <f t="shared" si="370"/>
        <v>April!$H$1:$H$92</v>
      </c>
      <c r="D4680" s="159" t="str">
        <f t="shared" si="371"/>
        <v>April!$I$1:$I$92</v>
      </c>
      <c r="E4680" t="s">
        <v>9</v>
      </c>
      <c r="F4680" t="s">
        <v>123</v>
      </c>
      <c r="G4680" t="s">
        <v>143</v>
      </c>
      <c r="H4680" t="s">
        <v>20</v>
      </c>
      <c r="I4680" t="e">
        <f t="shared" ca="1" si="367"/>
        <v>#REF!</v>
      </c>
      <c r="J4680" t="str">
        <f>VLOOKUP($G4680,DefinitionArrays!$I$6:$J$12,2,FALSE)</f>
        <v>Workweek</v>
      </c>
    </row>
    <row r="4681" spans="1:10">
      <c r="A4681" s="159" t="str">
        <f t="shared" si="368"/>
        <v>$H$1:$H$92</v>
      </c>
      <c r="B4681" s="159" t="str">
        <f t="shared" si="369"/>
        <v>$I$1:$I$92</v>
      </c>
      <c r="C4681" s="159" t="str">
        <f t="shared" si="370"/>
        <v>April!$H$1:$H$92</v>
      </c>
      <c r="D4681" s="159" t="str">
        <f t="shared" si="371"/>
        <v>April!$I$1:$I$92</v>
      </c>
      <c r="E4681" t="s">
        <v>9</v>
      </c>
      <c r="F4681" t="s">
        <v>123</v>
      </c>
      <c r="G4681" t="s">
        <v>143</v>
      </c>
      <c r="H4681" t="s">
        <v>21</v>
      </c>
      <c r="I4681" t="e">
        <f t="shared" ca="1" si="367"/>
        <v>#REF!</v>
      </c>
      <c r="J4681" t="str">
        <f>VLOOKUP($G4681,DefinitionArrays!$I$6:$J$12,2,FALSE)</f>
        <v>Workweek</v>
      </c>
    </row>
    <row r="4682" spans="1:10">
      <c r="A4682" s="159" t="str">
        <f t="shared" si="368"/>
        <v>$H$1:$H$92</v>
      </c>
      <c r="B4682" s="159" t="str">
        <f t="shared" si="369"/>
        <v>$I$1:$I$92</v>
      </c>
      <c r="C4682" s="159" t="str">
        <f t="shared" si="370"/>
        <v>April!$H$1:$H$92</v>
      </c>
      <c r="D4682" s="159" t="str">
        <f t="shared" si="371"/>
        <v>April!$I$1:$I$92</v>
      </c>
      <c r="E4682" t="s">
        <v>9</v>
      </c>
      <c r="F4682" t="s">
        <v>123</v>
      </c>
      <c r="G4682" t="s">
        <v>143</v>
      </c>
      <c r="H4682" t="s">
        <v>22</v>
      </c>
      <c r="I4682" t="e">
        <f t="shared" ca="1" si="367"/>
        <v>#REF!</v>
      </c>
      <c r="J4682" t="str">
        <f>VLOOKUP($G4682,DefinitionArrays!$I$6:$J$12,2,FALSE)</f>
        <v>Workweek</v>
      </c>
    </row>
    <row r="4683" spans="1:10">
      <c r="A4683" s="159" t="str">
        <f t="shared" si="368"/>
        <v>$H$1:$H$92</v>
      </c>
      <c r="B4683" s="159" t="str">
        <f t="shared" si="369"/>
        <v>$I$1:$I$92</v>
      </c>
      <c r="C4683" s="159" t="str">
        <f t="shared" si="370"/>
        <v>April!$H$1:$H$92</v>
      </c>
      <c r="D4683" s="159" t="str">
        <f t="shared" si="371"/>
        <v>April!$I$1:$I$92</v>
      </c>
      <c r="E4683" t="s">
        <v>9</v>
      </c>
      <c r="F4683" t="s">
        <v>123</v>
      </c>
      <c r="G4683" t="s">
        <v>143</v>
      </c>
      <c r="H4683" t="s">
        <v>23</v>
      </c>
      <c r="I4683" t="e">
        <f t="shared" ca="1" si="367"/>
        <v>#REF!</v>
      </c>
      <c r="J4683" t="str">
        <f>VLOOKUP($G4683,DefinitionArrays!$I$6:$J$12,2,FALSE)</f>
        <v>Workweek</v>
      </c>
    </row>
    <row r="4684" spans="1:10">
      <c r="A4684" s="159" t="str">
        <f t="shared" si="368"/>
        <v>$H$1:$H$92</v>
      </c>
      <c r="B4684" s="159" t="str">
        <f t="shared" si="369"/>
        <v>$I$1:$I$92</v>
      </c>
      <c r="C4684" s="159" t="str">
        <f t="shared" si="370"/>
        <v>April!$H$1:$H$92</v>
      </c>
      <c r="D4684" s="159" t="str">
        <f t="shared" si="371"/>
        <v>April!$I$1:$I$92</v>
      </c>
      <c r="E4684" t="s">
        <v>9</v>
      </c>
      <c r="F4684" t="s">
        <v>123</v>
      </c>
      <c r="G4684" t="s">
        <v>143</v>
      </c>
      <c r="H4684" t="s">
        <v>24</v>
      </c>
      <c r="I4684" t="e">
        <f t="shared" ca="1" si="367"/>
        <v>#REF!</v>
      </c>
      <c r="J4684" t="str">
        <f>VLOOKUP($G4684,DefinitionArrays!$I$6:$J$12,2,FALSE)</f>
        <v>Workweek</v>
      </c>
    </row>
    <row r="4685" spans="1:10">
      <c r="A4685" s="159" t="str">
        <f t="shared" si="368"/>
        <v>$H$1:$H$92</v>
      </c>
      <c r="B4685" s="159" t="str">
        <f t="shared" si="369"/>
        <v>$I$1:$I$92</v>
      </c>
      <c r="C4685" s="159" t="str">
        <f t="shared" si="370"/>
        <v>April!$H$1:$H$92</v>
      </c>
      <c r="D4685" s="159" t="str">
        <f t="shared" si="371"/>
        <v>April!$I$1:$I$92</v>
      </c>
      <c r="E4685" t="s">
        <v>9</v>
      </c>
      <c r="F4685" t="s">
        <v>123</v>
      </c>
      <c r="G4685" t="s">
        <v>143</v>
      </c>
      <c r="H4685" t="s">
        <v>179</v>
      </c>
      <c r="I4685" t="e">
        <f t="shared" ca="1" si="367"/>
        <v>#REF!</v>
      </c>
      <c r="J4685" t="str">
        <f>VLOOKUP($G4685,DefinitionArrays!$I$6:$J$12,2,FALSE)</f>
        <v>Workweek</v>
      </c>
    </row>
    <row r="4686" spans="1:10">
      <c r="A4686" s="159" t="str">
        <f t="shared" si="368"/>
        <v>$H$1:$H$92</v>
      </c>
      <c r="B4686" s="159" t="str">
        <f t="shared" si="369"/>
        <v>$I$1:$I$92</v>
      </c>
      <c r="C4686" s="159" t="str">
        <f t="shared" si="370"/>
        <v>April!$H$1:$H$92</v>
      </c>
      <c r="D4686" s="159" t="str">
        <f t="shared" si="371"/>
        <v>April!$I$1:$I$92</v>
      </c>
      <c r="E4686" t="s">
        <v>9</v>
      </c>
      <c r="F4686" t="s">
        <v>123</v>
      </c>
      <c r="G4686" t="s">
        <v>143</v>
      </c>
      <c r="H4686" t="s">
        <v>180</v>
      </c>
      <c r="I4686" t="e">
        <f t="shared" ca="1" si="367"/>
        <v>#REF!</v>
      </c>
      <c r="J4686" t="str">
        <f>VLOOKUP($G4686,DefinitionArrays!$I$6:$J$12,2,FALSE)</f>
        <v>Workweek</v>
      </c>
    </row>
    <row r="4687" spans="1:10">
      <c r="A4687" s="159" t="str">
        <f t="shared" si="368"/>
        <v>$H$1:$H$92</v>
      </c>
      <c r="B4687" s="159" t="str">
        <f t="shared" si="369"/>
        <v>$I$1:$I$92</v>
      </c>
      <c r="C4687" s="159" t="str">
        <f t="shared" si="370"/>
        <v>April!$H$1:$H$92</v>
      </c>
      <c r="D4687" s="159" t="str">
        <f t="shared" si="371"/>
        <v>April!$I$1:$I$92</v>
      </c>
      <c r="E4687" t="s">
        <v>9</v>
      </c>
      <c r="F4687" t="s">
        <v>123</v>
      </c>
      <c r="G4687" t="s">
        <v>143</v>
      </c>
      <c r="H4687" t="s">
        <v>44</v>
      </c>
      <c r="I4687" t="e">
        <f t="shared" ca="1" si="367"/>
        <v>#REF!</v>
      </c>
      <c r="J4687" t="str">
        <f>VLOOKUP($G4687,DefinitionArrays!$I$6:$J$12,2,FALSE)</f>
        <v>Workweek</v>
      </c>
    </row>
    <row r="4688" spans="1:10">
      <c r="A4688" s="159" t="str">
        <f t="shared" si="368"/>
        <v>$K$1:$K$92</v>
      </c>
      <c r="B4688" s="159" t="str">
        <f t="shared" si="369"/>
        <v>$L$1:$L$92</v>
      </c>
      <c r="C4688" s="159" t="str">
        <f t="shared" si="370"/>
        <v>April!$K$1:$K$92</v>
      </c>
      <c r="D4688" s="159" t="str">
        <f t="shared" si="371"/>
        <v>April!$L$1:$L$92</v>
      </c>
      <c r="E4688" t="s">
        <v>9</v>
      </c>
      <c r="F4688" t="s">
        <v>123</v>
      </c>
      <c r="G4688" t="s">
        <v>144</v>
      </c>
      <c r="H4688" t="s">
        <v>159</v>
      </c>
      <c r="I4688" t="e">
        <f t="shared" ca="1" si="367"/>
        <v>#REF!</v>
      </c>
      <c r="J4688" t="str">
        <f>VLOOKUP($G4688,DefinitionArrays!$I$6:$J$12,2,FALSE)</f>
        <v>Workweek</v>
      </c>
    </row>
    <row r="4689" spans="1:10">
      <c r="A4689" s="159" t="str">
        <f t="shared" si="368"/>
        <v>$K$1:$K$92</v>
      </c>
      <c r="B4689" s="159" t="str">
        <f t="shared" si="369"/>
        <v>$L$1:$L$92</v>
      </c>
      <c r="C4689" s="159" t="str">
        <f t="shared" si="370"/>
        <v>April!$K$1:$K$92</v>
      </c>
      <c r="D4689" s="159" t="str">
        <f t="shared" si="371"/>
        <v>April!$L$1:$L$92</v>
      </c>
      <c r="E4689" t="s">
        <v>9</v>
      </c>
      <c r="F4689" t="s">
        <v>123</v>
      </c>
      <c r="G4689" t="s">
        <v>144</v>
      </c>
      <c r="H4689" t="s">
        <v>18</v>
      </c>
      <c r="I4689" t="e">
        <f t="shared" ca="1" si="367"/>
        <v>#REF!</v>
      </c>
      <c r="J4689" t="str">
        <f>VLOOKUP($G4689,DefinitionArrays!$I$6:$J$12,2,FALSE)</f>
        <v>Workweek</v>
      </c>
    </row>
    <row r="4690" spans="1:10">
      <c r="A4690" s="159" t="str">
        <f t="shared" si="368"/>
        <v>$K$1:$K$92</v>
      </c>
      <c r="B4690" s="159" t="str">
        <f t="shared" si="369"/>
        <v>$L$1:$L$92</v>
      </c>
      <c r="C4690" s="159" t="str">
        <f t="shared" si="370"/>
        <v>April!$K$1:$K$92</v>
      </c>
      <c r="D4690" s="159" t="str">
        <f t="shared" si="371"/>
        <v>April!$L$1:$L$92</v>
      </c>
      <c r="E4690" t="s">
        <v>9</v>
      </c>
      <c r="F4690" t="s">
        <v>123</v>
      </c>
      <c r="G4690" t="s">
        <v>144</v>
      </c>
      <c r="H4690" t="s">
        <v>153</v>
      </c>
      <c r="I4690" t="e">
        <f t="shared" ca="1" si="367"/>
        <v>#REF!</v>
      </c>
      <c r="J4690" t="str">
        <f>VLOOKUP($G4690,DefinitionArrays!$I$6:$J$12,2,FALSE)</f>
        <v>Workweek</v>
      </c>
    </row>
    <row r="4691" spans="1:10">
      <c r="A4691" s="159" t="str">
        <f t="shared" si="368"/>
        <v>$K$1:$K$92</v>
      </c>
      <c r="B4691" s="159" t="str">
        <f t="shared" si="369"/>
        <v>$L$1:$L$92</v>
      </c>
      <c r="C4691" s="159" t="str">
        <f t="shared" si="370"/>
        <v>April!$K$1:$K$92</v>
      </c>
      <c r="D4691" s="159" t="str">
        <f t="shared" si="371"/>
        <v>April!$L$1:$L$92</v>
      </c>
      <c r="E4691" t="s">
        <v>9</v>
      </c>
      <c r="F4691" t="s">
        <v>123</v>
      </c>
      <c r="G4691" t="s">
        <v>144</v>
      </c>
      <c r="H4691" t="s">
        <v>19</v>
      </c>
      <c r="I4691" t="e">
        <f t="shared" ca="1" si="367"/>
        <v>#REF!</v>
      </c>
      <c r="J4691" t="str">
        <f>VLOOKUP($G4691,DefinitionArrays!$I$6:$J$12,2,FALSE)</f>
        <v>Workweek</v>
      </c>
    </row>
    <row r="4692" spans="1:10">
      <c r="A4692" s="159" t="str">
        <f t="shared" si="368"/>
        <v>$K$1:$K$92</v>
      </c>
      <c r="B4692" s="159" t="str">
        <f t="shared" si="369"/>
        <v>$L$1:$L$92</v>
      </c>
      <c r="C4692" s="159" t="str">
        <f t="shared" si="370"/>
        <v>April!$K$1:$K$92</v>
      </c>
      <c r="D4692" s="159" t="str">
        <f t="shared" si="371"/>
        <v>April!$L$1:$L$92</v>
      </c>
      <c r="E4692" t="s">
        <v>9</v>
      </c>
      <c r="F4692" t="s">
        <v>123</v>
      </c>
      <c r="G4692" t="s">
        <v>144</v>
      </c>
      <c r="H4692" t="s">
        <v>20</v>
      </c>
      <c r="I4692" t="e">
        <f t="shared" ca="1" si="367"/>
        <v>#REF!</v>
      </c>
      <c r="J4692" t="str">
        <f>VLOOKUP($G4692,DefinitionArrays!$I$6:$J$12,2,FALSE)</f>
        <v>Workweek</v>
      </c>
    </row>
    <row r="4693" spans="1:10">
      <c r="A4693" s="159" t="str">
        <f t="shared" si="368"/>
        <v>$K$1:$K$92</v>
      </c>
      <c r="B4693" s="159" t="str">
        <f t="shared" si="369"/>
        <v>$L$1:$L$92</v>
      </c>
      <c r="C4693" s="159" t="str">
        <f t="shared" si="370"/>
        <v>April!$K$1:$K$92</v>
      </c>
      <c r="D4693" s="159" t="str">
        <f t="shared" si="371"/>
        <v>April!$L$1:$L$92</v>
      </c>
      <c r="E4693" t="s">
        <v>9</v>
      </c>
      <c r="F4693" t="s">
        <v>123</v>
      </c>
      <c r="G4693" t="s">
        <v>144</v>
      </c>
      <c r="H4693" t="s">
        <v>21</v>
      </c>
      <c r="I4693" t="e">
        <f t="shared" ca="1" si="367"/>
        <v>#REF!</v>
      </c>
      <c r="J4693" t="str">
        <f>VLOOKUP($G4693,DefinitionArrays!$I$6:$J$12,2,FALSE)</f>
        <v>Workweek</v>
      </c>
    </row>
    <row r="4694" spans="1:10">
      <c r="A4694" s="159" t="str">
        <f t="shared" si="368"/>
        <v>$K$1:$K$92</v>
      </c>
      <c r="B4694" s="159" t="str">
        <f t="shared" si="369"/>
        <v>$L$1:$L$92</v>
      </c>
      <c r="C4694" s="159" t="str">
        <f t="shared" si="370"/>
        <v>April!$K$1:$K$92</v>
      </c>
      <c r="D4694" s="159" t="str">
        <f t="shared" si="371"/>
        <v>April!$L$1:$L$92</v>
      </c>
      <c r="E4694" t="s">
        <v>9</v>
      </c>
      <c r="F4694" t="s">
        <v>123</v>
      </c>
      <c r="G4694" t="s">
        <v>144</v>
      </c>
      <c r="H4694" t="s">
        <v>22</v>
      </c>
      <c r="I4694" t="e">
        <f t="shared" ca="1" si="367"/>
        <v>#REF!</v>
      </c>
      <c r="J4694" t="str">
        <f>VLOOKUP($G4694,DefinitionArrays!$I$6:$J$12,2,FALSE)</f>
        <v>Workweek</v>
      </c>
    </row>
    <row r="4695" spans="1:10">
      <c r="A4695" s="159" t="str">
        <f t="shared" si="368"/>
        <v>$K$1:$K$92</v>
      </c>
      <c r="B4695" s="159" t="str">
        <f t="shared" si="369"/>
        <v>$L$1:$L$92</v>
      </c>
      <c r="C4695" s="159" t="str">
        <f t="shared" si="370"/>
        <v>April!$K$1:$K$92</v>
      </c>
      <c r="D4695" s="159" t="str">
        <f t="shared" si="371"/>
        <v>April!$L$1:$L$92</v>
      </c>
      <c r="E4695" t="s">
        <v>9</v>
      </c>
      <c r="F4695" t="s">
        <v>123</v>
      </c>
      <c r="G4695" t="s">
        <v>144</v>
      </c>
      <c r="H4695" t="s">
        <v>23</v>
      </c>
      <c r="I4695" t="e">
        <f t="shared" ca="1" si="367"/>
        <v>#REF!</v>
      </c>
      <c r="J4695" t="str">
        <f>VLOOKUP($G4695,DefinitionArrays!$I$6:$J$12,2,FALSE)</f>
        <v>Workweek</v>
      </c>
    </row>
    <row r="4696" spans="1:10">
      <c r="A4696" s="159" t="str">
        <f t="shared" si="368"/>
        <v>$K$1:$K$92</v>
      </c>
      <c r="B4696" s="159" t="str">
        <f t="shared" si="369"/>
        <v>$L$1:$L$92</v>
      </c>
      <c r="C4696" s="159" t="str">
        <f t="shared" si="370"/>
        <v>April!$K$1:$K$92</v>
      </c>
      <c r="D4696" s="159" t="str">
        <f t="shared" si="371"/>
        <v>April!$L$1:$L$92</v>
      </c>
      <c r="E4696" t="s">
        <v>9</v>
      </c>
      <c r="F4696" t="s">
        <v>123</v>
      </c>
      <c r="G4696" t="s">
        <v>144</v>
      </c>
      <c r="H4696" t="s">
        <v>24</v>
      </c>
      <c r="I4696" t="e">
        <f t="shared" ca="1" si="367"/>
        <v>#REF!</v>
      </c>
      <c r="J4696" t="str">
        <f>VLOOKUP($G4696,DefinitionArrays!$I$6:$J$12,2,FALSE)</f>
        <v>Workweek</v>
      </c>
    </row>
    <row r="4697" spans="1:10">
      <c r="A4697" s="159" t="str">
        <f t="shared" si="368"/>
        <v>$K$1:$K$92</v>
      </c>
      <c r="B4697" s="159" t="str">
        <f t="shared" si="369"/>
        <v>$L$1:$L$92</v>
      </c>
      <c r="C4697" s="159" t="str">
        <f t="shared" si="370"/>
        <v>April!$K$1:$K$92</v>
      </c>
      <c r="D4697" s="159" t="str">
        <f t="shared" si="371"/>
        <v>April!$L$1:$L$92</v>
      </c>
      <c r="E4697" t="s">
        <v>9</v>
      </c>
      <c r="F4697" t="s">
        <v>123</v>
      </c>
      <c r="G4697" t="s">
        <v>144</v>
      </c>
      <c r="H4697" t="s">
        <v>179</v>
      </c>
      <c r="I4697" t="e">
        <f t="shared" ca="1" si="367"/>
        <v>#REF!</v>
      </c>
      <c r="J4697" t="str">
        <f>VLOOKUP($G4697,DefinitionArrays!$I$6:$J$12,2,FALSE)</f>
        <v>Workweek</v>
      </c>
    </row>
    <row r="4698" spans="1:10">
      <c r="A4698" s="159" t="str">
        <f t="shared" si="368"/>
        <v>$K$1:$K$92</v>
      </c>
      <c r="B4698" s="159" t="str">
        <f t="shared" si="369"/>
        <v>$L$1:$L$92</v>
      </c>
      <c r="C4698" s="159" t="str">
        <f t="shared" si="370"/>
        <v>April!$K$1:$K$92</v>
      </c>
      <c r="D4698" s="159" t="str">
        <f t="shared" si="371"/>
        <v>April!$L$1:$L$92</v>
      </c>
      <c r="E4698" t="s">
        <v>9</v>
      </c>
      <c r="F4698" t="s">
        <v>123</v>
      </c>
      <c r="G4698" t="s">
        <v>144</v>
      </c>
      <c r="H4698" t="s">
        <v>180</v>
      </c>
      <c r="I4698" t="e">
        <f t="shared" ca="1" si="367"/>
        <v>#REF!</v>
      </c>
      <c r="J4698" t="str">
        <f>VLOOKUP($G4698,DefinitionArrays!$I$6:$J$12,2,FALSE)</f>
        <v>Workweek</v>
      </c>
    </row>
    <row r="4699" spans="1:10">
      <c r="A4699" s="159" t="str">
        <f t="shared" si="368"/>
        <v>$K$1:$K$92</v>
      </c>
      <c r="B4699" s="159" t="str">
        <f t="shared" si="369"/>
        <v>$L$1:$L$92</v>
      </c>
      <c r="C4699" s="159" t="str">
        <f t="shared" si="370"/>
        <v>April!$K$1:$K$92</v>
      </c>
      <c r="D4699" s="159" t="str">
        <f t="shared" si="371"/>
        <v>April!$L$1:$L$92</v>
      </c>
      <c r="E4699" t="s">
        <v>9</v>
      </c>
      <c r="F4699" t="s">
        <v>123</v>
      </c>
      <c r="G4699" t="s">
        <v>144</v>
      </c>
      <c r="H4699" t="s">
        <v>44</v>
      </c>
      <c r="I4699" t="e">
        <f t="shared" ca="1" si="367"/>
        <v>#REF!</v>
      </c>
      <c r="J4699" t="str">
        <f>VLOOKUP($G4699,DefinitionArrays!$I$6:$J$12,2,FALSE)</f>
        <v>Workweek</v>
      </c>
    </row>
    <row r="4700" spans="1:10">
      <c r="A4700" s="159" t="str">
        <f t="shared" si="368"/>
        <v>$N$1:$N$92</v>
      </c>
      <c r="B4700" s="159" t="str">
        <f t="shared" si="369"/>
        <v>$O$1:$O$92</v>
      </c>
      <c r="C4700" s="159" t="str">
        <f t="shared" si="370"/>
        <v>April!$N$1:$N$92</v>
      </c>
      <c r="D4700" s="159" t="str">
        <f t="shared" si="371"/>
        <v>April!$O$1:$O$92</v>
      </c>
      <c r="E4700" t="s">
        <v>9</v>
      </c>
      <c r="F4700" t="s">
        <v>123</v>
      </c>
      <c r="G4700" t="s">
        <v>145</v>
      </c>
      <c r="H4700" t="s">
        <v>159</v>
      </c>
      <c r="I4700" t="e">
        <f t="shared" ca="1" si="367"/>
        <v>#REF!</v>
      </c>
      <c r="J4700" t="str">
        <f>VLOOKUP($G4700,DefinitionArrays!$I$6:$J$12,2,FALSE)</f>
        <v>Weekend</v>
      </c>
    </row>
    <row r="4701" spans="1:10">
      <c r="A4701" s="159" t="str">
        <f t="shared" si="368"/>
        <v>$N$1:$N$92</v>
      </c>
      <c r="B4701" s="159" t="str">
        <f t="shared" si="369"/>
        <v>$O$1:$O$92</v>
      </c>
      <c r="C4701" s="159" t="str">
        <f t="shared" si="370"/>
        <v>April!$N$1:$N$92</v>
      </c>
      <c r="D4701" s="159" t="str">
        <f t="shared" si="371"/>
        <v>April!$O$1:$O$92</v>
      </c>
      <c r="E4701" t="s">
        <v>9</v>
      </c>
      <c r="F4701" t="s">
        <v>123</v>
      </c>
      <c r="G4701" t="s">
        <v>145</v>
      </c>
      <c r="H4701" t="s">
        <v>18</v>
      </c>
      <c r="I4701" t="e">
        <f t="shared" ca="1" si="367"/>
        <v>#REF!</v>
      </c>
      <c r="J4701" t="str">
        <f>VLOOKUP($G4701,DefinitionArrays!$I$6:$J$12,2,FALSE)</f>
        <v>Weekend</v>
      </c>
    </row>
    <row r="4702" spans="1:10">
      <c r="A4702" s="159" t="str">
        <f t="shared" si="368"/>
        <v>$N$1:$N$92</v>
      </c>
      <c r="B4702" s="159" t="str">
        <f t="shared" si="369"/>
        <v>$O$1:$O$92</v>
      </c>
      <c r="C4702" s="159" t="str">
        <f t="shared" si="370"/>
        <v>April!$N$1:$N$92</v>
      </c>
      <c r="D4702" s="159" t="str">
        <f t="shared" si="371"/>
        <v>April!$O$1:$O$92</v>
      </c>
      <c r="E4702" t="s">
        <v>9</v>
      </c>
      <c r="F4702" t="s">
        <v>123</v>
      </c>
      <c r="G4702" t="s">
        <v>145</v>
      </c>
      <c r="H4702" t="s">
        <v>153</v>
      </c>
      <c r="I4702" t="e">
        <f t="shared" ca="1" si="367"/>
        <v>#REF!</v>
      </c>
      <c r="J4702" t="str">
        <f>VLOOKUP($G4702,DefinitionArrays!$I$6:$J$12,2,FALSE)</f>
        <v>Weekend</v>
      </c>
    </row>
    <row r="4703" spans="1:10">
      <c r="A4703" s="159" t="str">
        <f t="shared" si="368"/>
        <v>$N$1:$N$92</v>
      </c>
      <c r="B4703" s="159" t="str">
        <f t="shared" si="369"/>
        <v>$O$1:$O$92</v>
      </c>
      <c r="C4703" s="159" t="str">
        <f t="shared" si="370"/>
        <v>April!$N$1:$N$92</v>
      </c>
      <c r="D4703" s="159" t="str">
        <f t="shared" si="371"/>
        <v>April!$O$1:$O$92</v>
      </c>
      <c r="E4703" t="s">
        <v>9</v>
      </c>
      <c r="F4703" t="s">
        <v>123</v>
      </c>
      <c r="G4703" t="s">
        <v>145</v>
      </c>
      <c r="H4703" t="s">
        <v>19</v>
      </c>
      <c r="I4703" t="e">
        <f t="shared" ca="1" si="367"/>
        <v>#REF!</v>
      </c>
      <c r="J4703" t="str">
        <f>VLOOKUP($G4703,DefinitionArrays!$I$6:$J$12,2,FALSE)</f>
        <v>Weekend</v>
      </c>
    </row>
    <row r="4704" spans="1:10">
      <c r="A4704" s="159" t="str">
        <f t="shared" si="368"/>
        <v>$N$1:$N$92</v>
      </c>
      <c r="B4704" s="159" t="str">
        <f t="shared" si="369"/>
        <v>$O$1:$O$92</v>
      </c>
      <c r="C4704" s="159" t="str">
        <f t="shared" si="370"/>
        <v>April!$N$1:$N$92</v>
      </c>
      <c r="D4704" s="159" t="str">
        <f t="shared" si="371"/>
        <v>April!$O$1:$O$92</v>
      </c>
      <c r="E4704" t="s">
        <v>9</v>
      </c>
      <c r="F4704" t="s">
        <v>123</v>
      </c>
      <c r="G4704" t="s">
        <v>145</v>
      </c>
      <c r="H4704" t="s">
        <v>20</v>
      </c>
      <c r="I4704" t="e">
        <f t="shared" ca="1" si="367"/>
        <v>#REF!</v>
      </c>
      <c r="J4704" t="str">
        <f>VLOOKUP($G4704,DefinitionArrays!$I$6:$J$12,2,FALSE)</f>
        <v>Weekend</v>
      </c>
    </row>
    <row r="4705" spans="1:10">
      <c r="A4705" s="159" t="str">
        <f t="shared" si="368"/>
        <v>$N$1:$N$92</v>
      </c>
      <c r="B4705" s="159" t="str">
        <f t="shared" si="369"/>
        <v>$O$1:$O$92</v>
      </c>
      <c r="C4705" s="159" t="str">
        <f t="shared" si="370"/>
        <v>April!$N$1:$N$92</v>
      </c>
      <c r="D4705" s="159" t="str">
        <f t="shared" si="371"/>
        <v>April!$O$1:$O$92</v>
      </c>
      <c r="E4705" t="s">
        <v>9</v>
      </c>
      <c r="F4705" t="s">
        <v>123</v>
      </c>
      <c r="G4705" t="s">
        <v>145</v>
      </c>
      <c r="H4705" t="s">
        <v>21</v>
      </c>
      <c r="I4705" t="e">
        <f t="shared" ca="1" si="367"/>
        <v>#REF!</v>
      </c>
      <c r="J4705" t="str">
        <f>VLOOKUP($G4705,DefinitionArrays!$I$6:$J$12,2,FALSE)</f>
        <v>Weekend</v>
      </c>
    </row>
    <row r="4706" spans="1:10">
      <c r="A4706" s="159" t="str">
        <f t="shared" si="368"/>
        <v>$N$1:$N$92</v>
      </c>
      <c r="B4706" s="159" t="str">
        <f t="shared" si="369"/>
        <v>$O$1:$O$92</v>
      </c>
      <c r="C4706" s="159" t="str">
        <f t="shared" si="370"/>
        <v>April!$N$1:$N$92</v>
      </c>
      <c r="D4706" s="159" t="str">
        <f t="shared" si="371"/>
        <v>April!$O$1:$O$92</v>
      </c>
      <c r="E4706" t="s">
        <v>9</v>
      </c>
      <c r="F4706" t="s">
        <v>123</v>
      </c>
      <c r="G4706" t="s">
        <v>145</v>
      </c>
      <c r="H4706" t="s">
        <v>22</v>
      </c>
      <c r="I4706" t="e">
        <f t="shared" ca="1" si="367"/>
        <v>#REF!</v>
      </c>
      <c r="J4706" t="str">
        <f>VLOOKUP($G4706,DefinitionArrays!$I$6:$J$12,2,FALSE)</f>
        <v>Weekend</v>
      </c>
    </row>
    <row r="4707" spans="1:10">
      <c r="A4707" s="159" t="str">
        <f t="shared" si="368"/>
        <v>$N$1:$N$92</v>
      </c>
      <c r="B4707" s="159" t="str">
        <f t="shared" si="369"/>
        <v>$O$1:$O$92</v>
      </c>
      <c r="C4707" s="159" t="str">
        <f t="shared" si="370"/>
        <v>April!$N$1:$N$92</v>
      </c>
      <c r="D4707" s="159" t="str">
        <f t="shared" si="371"/>
        <v>April!$O$1:$O$92</v>
      </c>
      <c r="E4707" t="s">
        <v>9</v>
      </c>
      <c r="F4707" t="s">
        <v>123</v>
      </c>
      <c r="G4707" t="s">
        <v>145</v>
      </c>
      <c r="H4707" t="s">
        <v>23</v>
      </c>
      <c r="I4707" t="e">
        <f t="shared" ca="1" si="367"/>
        <v>#REF!</v>
      </c>
      <c r="J4707" t="str">
        <f>VLOOKUP($G4707,DefinitionArrays!$I$6:$J$12,2,FALSE)</f>
        <v>Weekend</v>
      </c>
    </row>
    <row r="4708" spans="1:10">
      <c r="A4708" s="159" t="str">
        <f t="shared" si="368"/>
        <v>$N$1:$N$92</v>
      </c>
      <c r="B4708" s="159" t="str">
        <f t="shared" si="369"/>
        <v>$O$1:$O$92</v>
      </c>
      <c r="C4708" s="159" t="str">
        <f t="shared" si="370"/>
        <v>April!$N$1:$N$92</v>
      </c>
      <c r="D4708" s="159" t="str">
        <f t="shared" si="371"/>
        <v>April!$O$1:$O$92</v>
      </c>
      <c r="E4708" t="s">
        <v>9</v>
      </c>
      <c r="F4708" t="s">
        <v>123</v>
      </c>
      <c r="G4708" t="s">
        <v>145</v>
      </c>
      <c r="H4708" t="s">
        <v>24</v>
      </c>
      <c r="I4708" t="e">
        <f t="shared" ca="1" si="367"/>
        <v>#REF!</v>
      </c>
      <c r="J4708" t="str">
        <f>VLOOKUP($G4708,DefinitionArrays!$I$6:$J$12,2,FALSE)</f>
        <v>Weekend</v>
      </c>
    </row>
    <row r="4709" spans="1:10">
      <c r="A4709" s="159" t="str">
        <f t="shared" si="368"/>
        <v>$N$1:$N$92</v>
      </c>
      <c r="B4709" s="159" t="str">
        <f t="shared" si="369"/>
        <v>$O$1:$O$92</v>
      </c>
      <c r="C4709" s="159" t="str">
        <f t="shared" si="370"/>
        <v>April!$N$1:$N$92</v>
      </c>
      <c r="D4709" s="159" t="str">
        <f t="shared" si="371"/>
        <v>April!$O$1:$O$92</v>
      </c>
      <c r="E4709" t="s">
        <v>9</v>
      </c>
      <c r="F4709" t="s">
        <v>123</v>
      </c>
      <c r="G4709" t="s">
        <v>145</v>
      </c>
      <c r="H4709" t="s">
        <v>179</v>
      </c>
      <c r="I4709" t="e">
        <f t="shared" ca="1" si="367"/>
        <v>#REF!</v>
      </c>
      <c r="J4709" t="str">
        <f>VLOOKUP($G4709,DefinitionArrays!$I$6:$J$12,2,FALSE)</f>
        <v>Weekend</v>
      </c>
    </row>
    <row r="4710" spans="1:10">
      <c r="A4710" s="159" t="str">
        <f t="shared" si="368"/>
        <v>$N$1:$N$92</v>
      </c>
      <c r="B4710" s="159" t="str">
        <f t="shared" si="369"/>
        <v>$O$1:$O$92</v>
      </c>
      <c r="C4710" s="159" t="str">
        <f t="shared" si="370"/>
        <v>April!$N$1:$N$92</v>
      </c>
      <c r="D4710" s="159" t="str">
        <f t="shared" si="371"/>
        <v>April!$O$1:$O$92</v>
      </c>
      <c r="E4710" t="s">
        <v>9</v>
      </c>
      <c r="F4710" t="s">
        <v>123</v>
      </c>
      <c r="G4710" t="s">
        <v>145</v>
      </c>
      <c r="H4710" t="s">
        <v>180</v>
      </c>
      <c r="I4710" t="e">
        <f t="shared" ca="1" si="367"/>
        <v>#REF!</v>
      </c>
      <c r="J4710" t="str">
        <f>VLOOKUP($G4710,DefinitionArrays!$I$6:$J$12,2,FALSE)</f>
        <v>Weekend</v>
      </c>
    </row>
    <row r="4711" spans="1:10">
      <c r="A4711" s="159" t="str">
        <f t="shared" si="368"/>
        <v>$N$1:$N$92</v>
      </c>
      <c r="B4711" s="159" t="str">
        <f t="shared" si="369"/>
        <v>$O$1:$O$92</v>
      </c>
      <c r="C4711" s="159" t="str">
        <f t="shared" si="370"/>
        <v>April!$N$1:$N$92</v>
      </c>
      <c r="D4711" s="159" t="str">
        <f t="shared" si="371"/>
        <v>April!$O$1:$O$92</v>
      </c>
      <c r="E4711" t="s">
        <v>9</v>
      </c>
      <c r="F4711" t="s">
        <v>123</v>
      </c>
      <c r="G4711" t="s">
        <v>145</v>
      </c>
      <c r="H4711" t="s">
        <v>44</v>
      </c>
      <c r="I4711" t="e">
        <f t="shared" ca="1" si="367"/>
        <v>#REF!</v>
      </c>
      <c r="J4711" t="str">
        <f>VLOOKUP($G4711,DefinitionArrays!$I$6:$J$12,2,FALSE)</f>
        <v>Weekend</v>
      </c>
    </row>
    <row r="4712" spans="1:10">
      <c r="A4712" s="159" t="str">
        <f t="shared" si="368"/>
        <v>$Q$1:$Q$92</v>
      </c>
      <c r="B4712" s="159" t="str">
        <f t="shared" si="369"/>
        <v>$R$1:$R$92</v>
      </c>
      <c r="C4712" s="159" t="str">
        <f t="shared" si="370"/>
        <v>April!$Q$1:$Q$92</v>
      </c>
      <c r="D4712" s="159" t="str">
        <f t="shared" si="371"/>
        <v>April!$R$1:$R$92</v>
      </c>
      <c r="E4712" t="s">
        <v>9</v>
      </c>
      <c r="F4712" t="s">
        <v>123</v>
      </c>
      <c r="G4712" t="s">
        <v>146</v>
      </c>
      <c r="H4712" t="s">
        <v>159</v>
      </c>
      <c r="I4712" t="e">
        <f t="shared" ca="1" si="367"/>
        <v>#REF!</v>
      </c>
      <c r="J4712" t="str">
        <f>VLOOKUP($G4712,DefinitionArrays!$I$6:$J$12,2,FALSE)</f>
        <v>Weekend</v>
      </c>
    </row>
    <row r="4713" spans="1:10">
      <c r="A4713" s="159" t="str">
        <f t="shared" si="368"/>
        <v>$T$1:$T$92</v>
      </c>
      <c r="B4713" s="159" t="str">
        <f t="shared" si="369"/>
        <v>$U$1:$U$92</v>
      </c>
      <c r="C4713" s="159" t="str">
        <f t="shared" si="370"/>
        <v>April!$T$1:$T$92</v>
      </c>
      <c r="D4713" s="159" t="str">
        <f t="shared" si="371"/>
        <v>April!$U$1:$U$92</v>
      </c>
      <c r="E4713" t="s">
        <v>9</v>
      </c>
      <c r="F4713" t="s">
        <v>123</v>
      </c>
      <c r="G4713" t="s">
        <v>141</v>
      </c>
      <c r="H4713" t="s">
        <v>159</v>
      </c>
      <c r="I4713" t="e">
        <f t="shared" ca="1" si="367"/>
        <v>#REF!</v>
      </c>
      <c r="J4713" t="str">
        <f>VLOOKUP($G4713,DefinitionArrays!$I$6:$J$12,2,FALSE)</f>
        <v>Weekend</v>
      </c>
    </row>
    <row r="4714" spans="1:10">
      <c r="A4714" s="159" t="str">
        <f t="shared" si="368"/>
        <v>$B$1:$B$92</v>
      </c>
      <c r="B4714" s="159" t="str">
        <f t="shared" si="369"/>
        <v>$C$1:$C$92</v>
      </c>
      <c r="C4714" s="159" t="str">
        <f t="shared" si="370"/>
        <v>May!$B$1:$B$92</v>
      </c>
      <c r="D4714" s="159" t="str">
        <f t="shared" si="371"/>
        <v>May!$C$1:$C$92</v>
      </c>
      <c r="E4714" t="s">
        <v>9</v>
      </c>
      <c r="F4714" t="s">
        <v>124</v>
      </c>
      <c r="G4714" t="s">
        <v>13</v>
      </c>
      <c r="H4714" t="s">
        <v>159</v>
      </c>
      <c r="I4714" t="e">
        <f ca="1">COUNTIFS(INDIRECT($C4714),$E4714,INDIRECT($D4714),$H4714)</f>
        <v>#REF!</v>
      </c>
      <c r="J4714" t="str">
        <f>VLOOKUP($G4714,DefinitionArrays!$I$6:$J$12,2,FALSE)</f>
        <v>Workweek</v>
      </c>
    </row>
    <row r="4715" spans="1:10">
      <c r="A4715" s="159" t="str">
        <f t="shared" si="368"/>
        <v>$B$1:$B$92</v>
      </c>
      <c r="B4715" s="159" t="str">
        <f t="shared" si="369"/>
        <v>$C$1:$C$92</v>
      </c>
      <c r="C4715" s="159" t="str">
        <f t="shared" si="370"/>
        <v>May!$B$1:$B$92</v>
      </c>
      <c r="D4715" s="159" t="str">
        <f t="shared" si="371"/>
        <v>May!$C$1:$C$92</v>
      </c>
      <c r="E4715" t="s">
        <v>9</v>
      </c>
      <c r="F4715" t="s">
        <v>124</v>
      </c>
      <c r="G4715" t="s">
        <v>13</v>
      </c>
      <c r="H4715" t="s">
        <v>18</v>
      </c>
      <c r="I4715" t="e">
        <f t="shared" ref="I4715:I4775" ca="1" si="372">COUNTIFS(INDIRECT($C4715),$E4715,INDIRECT($D4715),$H4715)</f>
        <v>#REF!</v>
      </c>
      <c r="J4715" t="str">
        <f>VLOOKUP($G4715,DefinitionArrays!$I$6:$J$12,2,FALSE)</f>
        <v>Workweek</v>
      </c>
    </row>
    <row r="4716" spans="1:10">
      <c r="A4716" s="159" t="str">
        <f t="shared" si="368"/>
        <v>$B$1:$B$92</v>
      </c>
      <c r="B4716" s="159" t="str">
        <f t="shared" si="369"/>
        <v>$C$1:$C$92</v>
      </c>
      <c r="C4716" s="159" t="str">
        <f t="shared" si="370"/>
        <v>May!$B$1:$B$92</v>
      </c>
      <c r="D4716" s="159" t="str">
        <f t="shared" si="371"/>
        <v>May!$C$1:$C$92</v>
      </c>
      <c r="E4716" t="s">
        <v>9</v>
      </c>
      <c r="F4716" t="s">
        <v>124</v>
      </c>
      <c r="G4716" t="s">
        <v>13</v>
      </c>
      <c r="H4716" t="s">
        <v>153</v>
      </c>
      <c r="I4716" t="e">
        <f t="shared" ca="1" si="372"/>
        <v>#REF!</v>
      </c>
      <c r="J4716" t="str">
        <f>VLOOKUP($G4716,DefinitionArrays!$I$6:$J$12,2,FALSE)</f>
        <v>Workweek</v>
      </c>
    </row>
    <row r="4717" spans="1:10">
      <c r="A4717" s="159" t="str">
        <f t="shared" si="368"/>
        <v>$B$1:$B$92</v>
      </c>
      <c r="B4717" s="159" t="str">
        <f t="shared" si="369"/>
        <v>$C$1:$C$92</v>
      </c>
      <c r="C4717" s="159" t="str">
        <f t="shared" si="370"/>
        <v>May!$B$1:$B$92</v>
      </c>
      <c r="D4717" s="159" t="str">
        <f t="shared" si="371"/>
        <v>May!$C$1:$C$92</v>
      </c>
      <c r="E4717" t="s">
        <v>9</v>
      </c>
      <c r="F4717" t="s">
        <v>124</v>
      </c>
      <c r="G4717" t="s">
        <v>13</v>
      </c>
      <c r="H4717" t="s">
        <v>19</v>
      </c>
      <c r="I4717" t="e">
        <f t="shared" ca="1" si="372"/>
        <v>#REF!</v>
      </c>
      <c r="J4717" t="str">
        <f>VLOOKUP($G4717,DefinitionArrays!$I$6:$J$12,2,FALSE)</f>
        <v>Workweek</v>
      </c>
    </row>
    <row r="4718" spans="1:10">
      <c r="A4718" s="159" t="str">
        <f t="shared" si="368"/>
        <v>$B$1:$B$92</v>
      </c>
      <c r="B4718" s="159" t="str">
        <f t="shared" si="369"/>
        <v>$C$1:$C$92</v>
      </c>
      <c r="C4718" s="159" t="str">
        <f t="shared" si="370"/>
        <v>May!$B$1:$B$92</v>
      </c>
      <c r="D4718" s="159" t="str">
        <f t="shared" si="371"/>
        <v>May!$C$1:$C$92</v>
      </c>
      <c r="E4718" t="s">
        <v>9</v>
      </c>
      <c r="F4718" t="s">
        <v>124</v>
      </c>
      <c r="G4718" t="s">
        <v>13</v>
      </c>
      <c r="H4718" t="s">
        <v>20</v>
      </c>
      <c r="I4718" t="e">
        <f t="shared" ca="1" si="372"/>
        <v>#REF!</v>
      </c>
      <c r="J4718" t="str">
        <f>VLOOKUP($G4718,DefinitionArrays!$I$6:$J$12,2,FALSE)</f>
        <v>Workweek</v>
      </c>
    </row>
    <row r="4719" spans="1:10">
      <c r="A4719" s="159" t="str">
        <f t="shared" si="368"/>
        <v>$B$1:$B$92</v>
      </c>
      <c r="B4719" s="159" t="str">
        <f t="shared" si="369"/>
        <v>$C$1:$C$92</v>
      </c>
      <c r="C4719" s="159" t="str">
        <f t="shared" si="370"/>
        <v>May!$B$1:$B$92</v>
      </c>
      <c r="D4719" s="159" t="str">
        <f t="shared" si="371"/>
        <v>May!$C$1:$C$92</v>
      </c>
      <c r="E4719" t="s">
        <v>9</v>
      </c>
      <c r="F4719" t="s">
        <v>124</v>
      </c>
      <c r="G4719" t="s">
        <v>13</v>
      </c>
      <c r="H4719" t="s">
        <v>21</v>
      </c>
      <c r="I4719" t="e">
        <f t="shared" ca="1" si="372"/>
        <v>#REF!</v>
      </c>
      <c r="J4719" t="str">
        <f>VLOOKUP($G4719,DefinitionArrays!$I$6:$J$12,2,FALSE)</f>
        <v>Workweek</v>
      </c>
    </row>
    <row r="4720" spans="1:10">
      <c r="A4720" s="159" t="str">
        <f t="shared" si="368"/>
        <v>$B$1:$B$92</v>
      </c>
      <c r="B4720" s="159" t="str">
        <f t="shared" si="369"/>
        <v>$C$1:$C$92</v>
      </c>
      <c r="C4720" s="159" t="str">
        <f t="shared" si="370"/>
        <v>May!$B$1:$B$92</v>
      </c>
      <c r="D4720" s="159" t="str">
        <f t="shared" si="371"/>
        <v>May!$C$1:$C$92</v>
      </c>
      <c r="E4720" t="s">
        <v>9</v>
      </c>
      <c r="F4720" t="s">
        <v>124</v>
      </c>
      <c r="G4720" t="s">
        <v>13</v>
      </c>
      <c r="H4720" t="s">
        <v>22</v>
      </c>
      <c r="I4720" t="e">
        <f t="shared" ca="1" si="372"/>
        <v>#REF!</v>
      </c>
      <c r="J4720" t="str">
        <f>VLOOKUP($G4720,DefinitionArrays!$I$6:$J$12,2,FALSE)</f>
        <v>Workweek</v>
      </c>
    </row>
    <row r="4721" spans="1:10">
      <c r="A4721" s="159" t="str">
        <f t="shared" si="368"/>
        <v>$B$1:$B$92</v>
      </c>
      <c r="B4721" s="159" t="str">
        <f t="shared" si="369"/>
        <v>$C$1:$C$92</v>
      </c>
      <c r="C4721" s="159" t="str">
        <f t="shared" si="370"/>
        <v>May!$B$1:$B$92</v>
      </c>
      <c r="D4721" s="159" t="str">
        <f t="shared" si="371"/>
        <v>May!$C$1:$C$92</v>
      </c>
      <c r="E4721" t="s">
        <v>9</v>
      </c>
      <c r="F4721" t="s">
        <v>124</v>
      </c>
      <c r="G4721" t="s">
        <v>13</v>
      </c>
      <c r="H4721" t="s">
        <v>23</v>
      </c>
      <c r="I4721" t="e">
        <f t="shared" ca="1" si="372"/>
        <v>#REF!</v>
      </c>
      <c r="J4721" t="str">
        <f>VLOOKUP($G4721,DefinitionArrays!$I$6:$J$12,2,FALSE)</f>
        <v>Workweek</v>
      </c>
    </row>
    <row r="4722" spans="1:10">
      <c r="A4722" s="159" t="str">
        <f t="shared" si="368"/>
        <v>$B$1:$B$92</v>
      </c>
      <c r="B4722" s="159" t="str">
        <f t="shared" si="369"/>
        <v>$C$1:$C$92</v>
      </c>
      <c r="C4722" s="159" t="str">
        <f t="shared" si="370"/>
        <v>May!$B$1:$B$92</v>
      </c>
      <c r="D4722" s="159" t="str">
        <f t="shared" si="371"/>
        <v>May!$C$1:$C$92</v>
      </c>
      <c r="E4722" t="s">
        <v>9</v>
      </c>
      <c r="F4722" t="s">
        <v>124</v>
      </c>
      <c r="G4722" t="s">
        <v>13</v>
      </c>
      <c r="H4722" t="s">
        <v>24</v>
      </c>
      <c r="I4722" t="e">
        <f t="shared" ca="1" si="372"/>
        <v>#REF!</v>
      </c>
      <c r="J4722" t="str">
        <f>VLOOKUP($G4722,DefinitionArrays!$I$6:$J$12,2,FALSE)</f>
        <v>Workweek</v>
      </c>
    </row>
    <row r="4723" spans="1:10">
      <c r="A4723" s="159" t="str">
        <f t="shared" si="368"/>
        <v>$B$1:$B$92</v>
      </c>
      <c r="B4723" s="159" t="str">
        <f t="shared" si="369"/>
        <v>$C$1:$C$92</v>
      </c>
      <c r="C4723" s="159" t="str">
        <f t="shared" si="370"/>
        <v>May!$B$1:$B$92</v>
      </c>
      <c r="D4723" s="159" t="str">
        <f t="shared" si="371"/>
        <v>May!$C$1:$C$92</v>
      </c>
      <c r="E4723" t="s">
        <v>9</v>
      </c>
      <c r="F4723" t="s">
        <v>124</v>
      </c>
      <c r="G4723" t="s">
        <v>13</v>
      </c>
      <c r="H4723" t="s">
        <v>179</v>
      </c>
      <c r="I4723" t="e">
        <f t="shared" ca="1" si="372"/>
        <v>#REF!</v>
      </c>
      <c r="J4723" t="str">
        <f>VLOOKUP($G4723,DefinitionArrays!$I$6:$J$12,2,FALSE)</f>
        <v>Workweek</v>
      </c>
    </row>
    <row r="4724" spans="1:10">
      <c r="A4724" s="159" t="str">
        <f t="shared" si="368"/>
        <v>$B$1:$B$92</v>
      </c>
      <c r="B4724" s="159" t="str">
        <f t="shared" si="369"/>
        <v>$C$1:$C$92</v>
      </c>
      <c r="C4724" s="159" t="str">
        <f t="shared" si="370"/>
        <v>May!$B$1:$B$92</v>
      </c>
      <c r="D4724" s="159" t="str">
        <f t="shared" si="371"/>
        <v>May!$C$1:$C$92</v>
      </c>
      <c r="E4724" t="s">
        <v>9</v>
      </c>
      <c r="F4724" t="s">
        <v>124</v>
      </c>
      <c r="G4724" t="s">
        <v>13</v>
      </c>
      <c r="H4724" t="s">
        <v>180</v>
      </c>
      <c r="I4724" t="e">
        <f t="shared" ca="1" si="372"/>
        <v>#REF!</v>
      </c>
      <c r="J4724" t="str">
        <f>VLOOKUP($G4724,DefinitionArrays!$I$6:$J$12,2,FALSE)</f>
        <v>Workweek</v>
      </c>
    </row>
    <row r="4725" spans="1:10">
      <c r="A4725" s="159" t="str">
        <f t="shared" si="368"/>
        <v>$B$1:$B$92</v>
      </c>
      <c r="B4725" s="159" t="str">
        <f t="shared" si="369"/>
        <v>$C$1:$C$92</v>
      </c>
      <c r="C4725" s="159" t="str">
        <f t="shared" si="370"/>
        <v>May!$B$1:$B$92</v>
      </c>
      <c r="D4725" s="159" t="str">
        <f t="shared" si="371"/>
        <v>May!$C$1:$C$92</v>
      </c>
      <c r="E4725" t="s">
        <v>9</v>
      </c>
      <c r="F4725" t="s">
        <v>124</v>
      </c>
      <c r="G4725" t="s">
        <v>13</v>
      </c>
      <c r="H4725" t="s">
        <v>44</v>
      </c>
      <c r="I4725" t="e">
        <f t="shared" ca="1" si="372"/>
        <v>#REF!</v>
      </c>
      <c r="J4725" t="str">
        <f>VLOOKUP($G4725,DefinitionArrays!$I$6:$J$12,2,FALSE)</f>
        <v>Workweek</v>
      </c>
    </row>
    <row r="4726" spans="1:10">
      <c r="A4726" s="159" t="str">
        <f t="shared" si="368"/>
        <v>$E$1:$E$92</v>
      </c>
      <c r="B4726" s="159" t="str">
        <f t="shared" si="369"/>
        <v>$F$1:$F$92</v>
      </c>
      <c r="C4726" s="159" t="str">
        <f t="shared" si="370"/>
        <v>May!$E$1:$E$92</v>
      </c>
      <c r="D4726" s="159" t="str">
        <f t="shared" si="371"/>
        <v>May!$F$1:$F$92</v>
      </c>
      <c r="E4726" t="s">
        <v>9</v>
      </c>
      <c r="F4726" t="s">
        <v>124</v>
      </c>
      <c r="G4726" t="s">
        <v>142</v>
      </c>
      <c r="H4726" t="s">
        <v>159</v>
      </c>
      <c r="I4726" t="e">
        <f t="shared" ca="1" si="372"/>
        <v>#REF!</v>
      </c>
      <c r="J4726" t="str">
        <f>VLOOKUP($G4726,DefinitionArrays!$I$6:$J$12,2,FALSE)</f>
        <v>Workweek</v>
      </c>
    </row>
    <row r="4727" spans="1:10">
      <c r="A4727" s="159" t="str">
        <f t="shared" si="368"/>
        <v>$E$1:$E$92</v>
      </c>
      <c r="B4727" s="159" t="str">
        <f t="shared" si="369"/>
        <v>$F$1:$F$92</v>
      </c>
      <c r="C4727" s="159" t="str">
        <f t="shared" si="370"/>
        <v>May!$E$1:$E$92</v>
      </c>
      <c r="D4727" s="159" t="str">
        <f t="shared" si="371"/>
        <v>May!$F$1:$F$92</v>
      </c>
      <c r="E4727" t="s">
        <v>9</v>
      </c>
      <c r="F4727" t="s">
        <v>124</v>
      </c>
      <c r="G4727" t="s">
        <v>142</v>
      </c>
      <c r="H4727" t="s">
        <v>18</v>
      </c>
      <c r="I4727" t="e">
        <f t="shared" ca="1" si="372"/>
        <v>#REF!</v>
      </c>
      <c r="J4727" t="str">
        <f>VLOOKUP($G4727,DefinitionArrays!$I$6:$J$12,2,FALSE)</f>
        <v>Workweek</v>
      </c>
    </row>
    <row r="4728" spans="1:10">
      <c r="A4728" s="159" t="str">
        <f t="shared" si="368"/>
        <v>$E$1:$E$92</v>
      </c>
      <c r="B4728" s="159" t="str">
        <f t="shared" si="369"/>
        <v>$F$1:$F$92</v>
      </c>
      <c r="C4728" s="159" t="str">
        <f t="shared" si="370"/>
        <v>May!$E$1:$E$92</v>
      </c>
      <c r="D4728" s="159" t="str">
        <f t="shared" si="371"/>
        <v>May!$F$1:$F$92</v>
      </c>
      <c r="E4728" t="s">
        <v>9</v>
      </c>
      <c r="F4728" t="s">
        <v>124</v>
      </c>
      <c r="G4728" t="s">
        <v>142</v>
      </c>
      <c r="H4728" t="s">
        <v>153</v>
      </c>
      <c r="I4728" t="e">
        <f t="shared" ca="1" si="372"/>
        <v>#REF!</v>
      </c>
      <c r="J4728" t="str">
        <f>VLOOKUP($G4728,DefinitionArrays!$I$6:$J$12,2,FALSE)</f>
        <v>Workweek</v>
      </c>
    </row>
    <row r="4729" spans="1:10">
      <c r="A4729" s="159" t="str">
        <f t="shared" si="368"/>
        <v>$E$1:$E$92</v>
      </c>
      <c r="B4729" s="159" t="str">
        <f t="shared" si="369"/>
        <v>$F$1:$F$92</v>
      </c>
      <c r="C4729" s="159" t="str">
        <f t="shared" si="370"/>
        <v>May!$E$1:$E$92</v>
      </c>
      <c r="D4729" s="159" t="str">
        <f t="shared" si="371"/>
        <v>May!$F$1:$F$92</v>
      </c>
      <c r="E4729" t="s">
        <v>9</v>
      </c>
      <c r="F4729" t="s">
        <v>124</v>
      </c>
      <c r="G4729" t="s">
        <v>142</v>
      </c>
      <c r="H4729" t="s">
        <v>19</v>
      </c>
      <c r="I4729" t="e">
        <f t="shared" ca="1" si="372"/>
        <v>#REF!</v>
      </c>
      <c r="J4729" t="str">
        <f>VLOOKUP($G4729,DefinitionArrays!$I$6:$J$12,2,FALSE)</f>
        <v>Workweek</v>
      </c>
    </row>
    <row r="4730" spans="1:10">
      <c r="A4730" s="159" t="str">
        <f t="shared" si="368"/>
        <v>$E$1:$E$92</v>
      </c>
      <c r="B4730" s="159" t="str">
        <f t="shared" si="369"/>
        <v>$F$1:$F$92</v>
      </c>
      <c r="C4730" s="159" t="str">
        <f t="shared" si="370"/>
        <v>May!$E$1:$E$92</v>
      </c>
      <c r="D4730" s="159" t="str">
        <f t="shared" si="371"/>
        <v>May!$F$1:$F$92</v>
      </c>
      <c r="E4730" t="s">
        <v>9</v>
      </c>
      <c r="F4730" t="s">
        <v>124</v>
      </c>
      <c r="G4730" t="s">
        <v>142</v>
      </c>
      <c r="H4730" t="s">
        <v>20</v>
      </c>
      <c r="I4730" t="e">
        <f t="shared" ca="1" si="372"/>
        <v>#REF!</v>
      </c>
      <c r="J4730" t="str">
        <f>VLOOKUP($G4730,DefinitionArrays!$I$6:$J$12,2,FALSE)</f>
        <v>Workweek</v>
      </c>
    </row>
    <row r="4731" spans="1:10">
      <c r="A4731" s="159" t="str">
        <f t="shared" si="368"/>
        <v>$E$1:$E$92</v>
      </c>
      <c r="B4731" s="159" t="str">
        <f t="shared" si="369"/>
        <v>$F$1:$F$92</v>
      </c>
      <c r="C4731" s="159" t="str">
        <f t="shared" si="370"/>
        <v>May!$E$1:$E$92</v>
      </c>
      <c r="D4731" s="159" t="str">
        <f t="shared" si="371"/>
        <v>May!$F$1:$F$92</v>
      </c>
      <c r="E4731" t="s">
        <v>9</v>
      </c>
      <c r="F4731" t="s">
        <v>124</v>
      </c>
      <c r="G4731" t="s">
        <v>142</v>
      </c>
      <c r="H4731" t="s">
        <v>21</v>
      </c>
      <c r="I4731" t="e">
        <f t="shared" ca="1" si="372"/>
        <v>#REF!</v>
      </c>
      <c r="J4731" t="str">
        <f>VLOOKUP($G4731,DefinitionArrays!$I$6:$J$12,2,FALSE)</f>
        <v>Workweek</v>
      </c>
    </row>
    <row r="4732" spans="1:10">
      <c r="A4732" s="159" t="str">
        <f t="shared" si="368"/>
        <v>$E$1:$E$92</v>
      </c>
      <c r="B4732" s="159" t="str">
        <f t="shared" si="369"/>
        <v>$F$1:$F$92</v>
      </c>
      <c r="C4732" s="159" t="str">
        <f t="shared" si="370"/>
        <v>May!$E$1:$E$92</v>
      </c>
      <c r="D4732" s="159" t="str">
        <f t="shared" si="371"/>
        <v>May!$F$1:$F$92</v>
      </c>
      <c r="E4732" t="s">
        <v>9</v>
      </c>
      <c r="F4732" t="s">
        <v>124</v>
      </c>
      <c r="G4732" t="s">
        <v>142</v>
      </c>
      <c r="H4732" t="s">
        <v>22</v>
      </c>
      <c r="I4732" t="e">
        <f t="shared" ca="1" si="372"/>
        <v>#REF!</v>
      </c>
      <c r="J4732" t="str">
        <f>VLOOKUP($G4732,DefinitionArrays!$I$6:$J$12,2,FALSE)</f>
        <v>Workweek</v>
      </c>
    </row>
    <row r="4733" spans="1:10">
      <c r="A4733" s="159" t="str">
        <f t="shared" si="368"/>
        <v>$E$1:$E$92</v>
      </c>
      <c r="B4733" s="159" t="str">
        <f t="shared" si="369"/>
        <v>$F$1:$F$92</v>
      </c>
      <c r="C4733" s="159" t="str">
        <f t="shared" si="370"/>
        <v>May!$E$1:$E$92</v>
      </c>
      <c r="D4733" s="159" t="str">
        <f t="shared" si="371"/>
        <v>May!$F$1:$F$92</v>
      </c>
      <c r="E4733" t="s">
        <v>9</v>
      </c>
      <c r="F4733" t="s">
        <v>124</v>
      </c>
      <c r="G4733" t="s">
        <v>142</v>
      </c>
      <c r="H4733" t="s">
        <v>23</v>
      </c>
      <c r="I4733" t="e">
        <f t="shared" ca="1" si="372"/>
        <v>#REF!</v>
      </c>
      <c r="J4733" t="str">
        <f>VLOOKUP($G4733,DefinitionArrays!$I$6:$J$12,2,FALSE)</f>
        <v>Workweek</v>
      </c>
    </row>
    <row r="4734" spans="1:10">
      <c r="A4734" s="159" t="str">
        <f t="shared" si="368"/>
        <v>$E$1:$E$92</v>
      </c>
      <c r="B4734" s="159" t="str">
        <f t="shared" si="369"/>
        <v>$F$1:$F$92</v>
      </c>
      <c r="C4734" s="159" t="str">
        <f t="shared" si="370"/>
        <v>May!$E$1:$E$92</v>
      </c>
      <c r="D4734" s="159" t="str">
        <f t="shared" si="371"/>
        <v>May!$F$1:$F$92</v>
      </c>
      <c r="E4734" t="s">
        <v>9</v>
      </c>
      <c r="F4734" t="s">
        <v>124</v>
      </c>
      <c r="G4734" t="s">
        <v>142</v>
      </c>
      <c r="H4734" t="s">
        <v>24</v>
      </c>
      <c r="I4734" t="e">
        <f t="shared" ca="1" si="372"/>
        <v>#REF!</v>
      </c>
      <c r="J4734" t="str">
        <f>VLOOKUP($G4734,DefinitionArrays!$I$6:$J$12,2,FALSE)</f>
        <v>Workweek</v>
      </c>
    </row>
    <row r="4735" spans="1:10">
      <c r="A4735" s="159" t="str">
        <f t="shared" si="368"/>
        <v>$E$1:$E$92</v>
      </c>
      <c r="B4735" s="159" t="str">
        <f t="shared" si="369"/>
        <v>$F$1:$F$92</v>
      </c>
      <c r="C4735" s="159" t="str">
        <f t="shared" si="370"/>
        <v>May!$E$1:$E$92</v>
      </c>
      <c r="D4735" s="159" t="str">
        <f t="shared" si="371"/>
        <v>May!$F$1:$F$92</v>
      </c>
      <c r="E4735" t="s">
        <v>9</v>
      </c>
      <c r="F4735" t="s">
        <v>124</v>
      </c>
      <c r="G4735" t="s">
        <v>142</v>
      </c>
      <c r="H4735" t="s">
        <v>179</v>
      </c>
      <c r="I4735" t="e">
        <f t="shared" ca="1" si="372"/>
        <v>#REF!</v>
      </c>
      <c r="J4735" t="str">
        <f>VLOOKUP($G4735,DefinitionArrays!$I$6:$J$12,2,FALSE)</f>
        <v>Workweek</v>
      </c>
    </row>
    <row r="4736" spans="1:10">
      <c r="A4736" s="159" t="str">
        <f t="shared" si="368"/>
        <v>$E$1:$E$92</v>
      </c>
      <c r="B4736" s="159" t="str">
        <f t="shared" si="369"/>
        <v>$F$1:$F$92</v>
      </c>
      <c r="C4736" s="159" t="str">
        <f t="shared" si="370"/>
        <v>May!$E$1:$E$92</v>
      </c>
      <c r="D4736" s="159" t="str">
        <f t="shared" si="371"/>
        <v>May!$F$1:$F$92</v>
      </c>
      <c r="E4736" t="s">
        <v>9</v>
      </c>
      <c r="F4736" t="s">
        <v>124</v>
      </c>
      <c r="G4736" t="s">
        <v>142</v>
      </c>
      <c r="H4736" t="s">
        <v>180</v>
      </c>
      <c r="I4736" t="e">
        <f t="shared" ca="1" si="372"/>
        <v>#REF!</v>
      </c>
      <c r="J4736" t="str">
        <f>VLOOKUP($G4736,DefinitionArrays!$I$6:$J$12,2,FALSE)</f>
        <v>Workweek</v>
      </c>
    </row>
    <row r="4737" spans="1:10">
      <c r="A4737" s="159" t="str">
        <f t="shared" si="368"/>
        <v>$E$1:$E$92</v>
      </c>
      <c r="B4737" s="159" t="str">
        <f t="shared" si="369"/>
        <v>$F$1:$F$92</v>
      </c>
      <c r="C4737" s="159" t="str">
        <f t="shared" si="370"/>
        <v>May!$E$1:$E$92</v>
      </c>
      <c r="D4737" s="159" t="str">
        <f t="shared" si="371"/>
        <v>May!$F$1:$F$92</v>
      </c>
      <c r="E4737" t="s">
        <v>9</v>
      </c>
      <c r="F4737" t="s">
        <v>124</v>
      </c>
      <c r="G4737" t="s">
        <v>142</v>
      </c>
      <c r="H4737" t="s">
        <v>44</v>
      </c>
      <c r="I4737" t="e">
        <f t="shared" ca="1" si="372"/>
        <v>#REF!</v>
      </c>
      <c r="J4737" t="str">
        <f>VLOOKUP($G4737,DefinitionArrays!$I$6:$J$12,2,FALSE)</f>
        <v>Workweek</v>
      </c>
    </row>
    <row r="4738" spans="1:10">
      <c r="A4738" s="159" t="str">
        <f t="shared" ref="A4738:A4801" si="373">VLOOKUP($G4738,Fx_Code,2,FALSE)</f>
        <v>$H$1:$H$92</v>
      </c>
      <c r="B4738" s="159" t="str">
        <f t="shared" ref="B4738:B4801" si="374">VLOOKUP($G4738,Fx_Code,3,FALSE)</f>
        <v>$I$1:$I$92</v>
      </c>
      <c r="C4738" s="159" t="str">
        <f t="shared" ref="C4738:C4801" si="375">CONCATENATE($F4738,$K$1,A4738)</f>
        <v>May!$H$1:$H$92</v>
      </c>
      <c r="D4738" s="159" t="str">
        <f t="shared" ref="D4738:D4801" si="376">CONCATENATE($F4738,$K$1,B4738)</f>
        <v>May!$I$1:$I$92</v>
      </c>
      <c r="E4738" t="s">
        <v>9</v>
      </c>
      <c r="F4738" t="s">
        <v>124</v>
      </c>
      <c r="G4738" t="s">
        <v>143</v>
      </c>
      <c r="H4738" t="s">
        <v>159</v>
      </c>
      <c r="I4738" t="e">
        <f t="shared" ca="1" si="372"/>
        <v>#REF!</v>
      </c>
      <c r="J4738" t="str">
        <f>VLOOKUP($G4738,DefinitionArrays!$I$6:$J$12,2,FALSE)</f>
        <v>Workweek</v>
      </c>
    </row>
    <row r="4739" spans="1:10">
      <c r="A4739" s="159" t="str">
        <f t="shared" si="373"/>
        <v>$H$1:$H$92</v>
      </c>
      <c r="B4739" s="159" t="str">
        <f t="shared" si="374"/>
        <v>$I$1:$I$92</v>
      </c>
      <c r="C4739" s="159" t="str">
        <f t="shared" si="375"/>
        <v>May!$H$1:$H$92</v>
      </c>
      <c r="D4739" s="159" t="str">
        <f t="shared" si="376"/>
        <v>May!$I$1:$I$92</v>
      </c>
      <c r="E4739" t="s">
        <v>9</v>
      </c>
      <c r="F4739" t="s">
        <v>124</v>
      </c>
      <c r="G4739" t="s">
        <v>143</v>
      </c>
      <c r="H4739" t="s">
        <v>18</v>
      </c>
      <c r="I4739" t="e">
        <f t="shared" ca="1" si="372"/>
        <v>#REF!</v>
      </c>
      <c r="J4739" t="str">
        <f>VLOOKUP($G4739,DefinitionArrays!$I$6:$J$12,2,FALSE)</f>
        <v>Workweek</v>
      </c>
    </row>
    <row r="4740" spans="1:10">
      <c r="A4740" s="159" t="str">
        <f t="shared" si="373"/>
        <v>$H$1:$H$92</v>
      </c>
      <c r="B4740" s="159" t="str">
        <f t="shared" si="374"/>
        <v>$I$1:$I$92</v>
      </c>
      <c r="C4740" s="159" t="str">
        <f t="shared" si="375"/>
        <v>May!$H$1:$H$92</v>
      </c>
      <c r="D4740" s="159" t="str">
        <f t="shared" si="376"/>
        <v>May!$I$1:$I$92</v>
      </c>
      <c r="E4740" t="s">
        <v>9</v>
      </c>
      <c r="F4740" t="s">
        <v>124</v>
      </c>
      <c r="G4740" t="s">
        <v>143</v>
      </c>
      <c r="H4740" t="s">
        <v>153</v>
      </c>
      <c r="I4740" t="e">
        <f t="shared" ca="1" si="372"/>
        <v>#REF!</v>
      </c>
      <c r="J4740" t="str">
        <f>VLOOKUP($G4740,DefinitionArrays!$I$6:$J$12,2,FALSE)</f>
        <v>Workweek</v>
      </c>
    </row>
    <row r="4741" spans="1:10">
      <c r="A4741" s="159" t="str">
        <f t="shared" si="373"/>
        <v>$H$1:$H$92</v>
      </c>
      <c r="B4741" s="159" t="str">
        <f t="shared" si="374"/>
        <v>$I$1:$I$92</v>
      </c>
      <c r="C4741" s="159" t="str">
        <f t="shared" si="375"/>
        <v>May!$H$1:$H$92</v>
      </c>
      <c r="D4741" s="159" t="str">
        <f t="shared" si="376"/>
        <v>May!$I$1:$I$92</v>
      </c>
      <c r="E4741" t="s">
        <v>9</v>
      </c>
      <c r="F4741" t="s">
        <v>124</v>
      </c>
      <c r="G4741" t="s">
        <v>143</v>
      </c>
      <c r="H4741" t="s">
        <v>19</v>
      </c>
      <c r="I4741" t="e">
        <f t="shared" ca="1" si="372"/>
        <v>#REF!</v>
      </c>
      <c r="J4741" t="str">
        <f>VLOOKUP($G4741,DefinitionArrays!$I$6:$J$12,2,FALSE)</f>
        <v>Workweek</v>
      </c>
    </row>
    <row r="4742" spans="1:10">
      <c r="A4742" s="159" t="str">
        <f t="shared" si="373"/>
        <v>$H$1:$H$92</v>
      </c>
      <c r="B4742" s="159" t="str">
        <f t="shared" si="374"/>
        <v>$I$1:$I$92</v>
      </c>
      <c r="C4742" s="159" t="str">
        <f t="shared" si="375"/>
        <v>May!$H$1:$H$92</v>
      </c>
      <c r="D4742" s="159" t="str">
        <f t="shared" si="376"/>
        <v>May!$I$1:$I$92</v>
      </c>
      <c r="E4742" t="s">
        <v>9</v>
      </c>
      <c r="F4742" t="s">
        <v>124</v>
      </c>
      <c r="G4742" t="s">
        <v>143</v>
      </c>
      <c r="H4742" t="s">
        <v>20</v>
      </c>
      <c r="I4742" t="e">
        <f t="shared" ca="1" si="372"/>
        <v>#REF!</v>
      </c>
      <c r="J4742" t="str">
        <f>VLOOKUP($G4742,DefinitionArrays!$I$6:$J$12,2,FALSE)</f>
        <v>Workweek</v>
      </c>
    </row>
    <row r="4743" spans="1:10">
      <c r="A4743" s="159" t="str">
        <f t="shared" si="373"/>
        <v>$H$1:$H$92</v>
      </c>
      <c r="B4743" s="159" t="str">
        <f t="shared" si="374"/>
        <v>$I$1:$I$92</v>
      </c>
      <c r="C4743" s="159" t="str">
        <f t="shared" si="375"/>
        <v>May!$H$1:$H$92</v>
      </c>
      <c r="D4743" s="159" t="str">
        <f t="shared" si="376"/>
        <v>May!$I$1:$I$92</v>
      </c>
      <c r="E4743" t="s">
        <v>9</v>
      </c>
      <c r="F4743" t="s">
        <v>124</v>
      </c>
      <c r="G4743" t="s">
        <v>143</v>
      </c>
      <c r="H4743" t="s">
        <v>21</v>
      </c>
      <c r="I4743" t="e">
        <f t="shared" ca="1" si="372"/>
        <v>#REF!</v>
      </c>
      <c r="J4743" t="str">
        <f>VLOOKUP($G4743,DefinitionArrays!$I$6:$J$12,2,FALSE)</f>
        <v>Workweek</v>
      </c>
    </row>
    <row r="4744" spans="1:10">
      <c r="A4744" s="159" t="str">
        <f t="shared" si="373"/>
        <v>$H$1:$H$92</v>
      </c>
      <c r="B4744" s="159" t="str">
        <f t="shared" si="374"/>
        <v>$I$1:$I$92</v>
      </c>
      <c r="C4744" s="159" t="str">
        <f t="shared" si="375"/>
        <v>May!$H$1:$H$92</v>
      </c>
      <c r="D4744" s="159" t="str">
        <f t="shared" si="376"/>
        <v>May!$I$1:$I$92</v>
      </c>
      <c r="E4744" t="s">
        <v>9</v>
      </c>
      <c r="F4744" t="s">
        <v>124</v>
      </c>
      <c r="G4744" t="s">
        <v>143</v>
      </c>
      <c r="H4744" t="s">
        <v>22</v>
      </c>
      <c r="I4744" t="e">
        <f t="shared" ca="1" si="372"/>
        <v>#REF!</v>
      </c>
      <c r="J4744" t="str">
        <f>VLOOKUP($G4744,DefinitionArrays!$I$6:$J$12,2,FALSE)</f>
        <v>Workweek</v>
      </c>
    </row>
    <row r="4745" spans="1:10">
      <c r="A4745" s="159" t="str">
        <f t="shared" si="373"/>
        <v>$H$1:$H$92</v>
      </c>
      <c r="B4745" s="159" t="str">
        <f t="shared" si="374"/>
        <v>$I$1:$I$92</v>
      </c>
      <c r="C4745" s="159" t="str">
        <f t="shared" si="375"/>
        <v>May!$H$1:$H$92</v>
      </c>
      <c r="D4745" s="159" t="str">
        <f t="shared" si="376"/>
        <v>May!$I$1:$I$92</v>
      </c>
      <c r="E4745" t="s">
        <v>9</v>
      </c>
      <c r="F4745" t="s">
        <v>124</v>
      </c>
      <c r="G4745" t="s">
        <v>143</v>
      </c>
      <c r="H4745" t="s">
        <v>23</v>
      </c>
      <c r="I4745" t="e">
        <f t="shared" ca="1" si="372"/>
        <v>#REF!</v>
      </c>
      <c r="J4745" t="str">
        <f>VLOOKUP($G4745,DefinitionArrays!$I$6:$J$12,2,FALSE)</f>
        <v>Workweek</v>
      </c>
    </row>
    <row r="4746" spans="1:10">
      <c r="A4746" s="159" t="str">
        <f t="shared" si="373"/>
        <v>$H$1:$H$92</v>
      </c>
      <c r="B4746" s="159" t="str">
        <f t="shared" si="374"/>
        <v>$I$1:$I$92</v>
      </c>
      <c r="C4746" s="159" t="str">
        <f t="shared" si="375"/>
        <v>May!$H$1:$H$92</v>
      </c>
      <c r="D4746" s="159" t="str">
        <f t="shared" si="376"/>
        <v>May!$I$1:$I$92</v>
      </c>
      <c r="E4746" t="s">
        <v>9</v>
      </c>
      <c r="F4746" t="s">
        <v>124</v>
      </c>
      <c r="G4746" t="s">
        <v>143</v>
      </c>
      <c r="H4746" t="s">
        <v>24</v>
      </c>
      <c r="I4746" t="e">
        <f t="shared" ca="1" si="372"/>
        <v>#REF!</v>
      </c>
      <c r="J4746" t="str">
        <f>VLOOKUP($G4746,DefinitionArrays!$I$6:$J$12,2,FALSE)</f>
        <v>Workweek</v>
      </c>
    </row>
    <row r="4747" spans="1:10">
      <c r="A4747" s="159" t="str">
        <f t="shared" si="373"/>
        <v>$H$1:$H$92</v>
      </c>
      <c r="B4747" s="159" t="str">
        <f t="shared" si="374"/>
        <v>$I$1:$I$92</v>
      </c>
      <c r="C4747" s="159" t="str">
        <f t="shared" si="375"/>
        <v>May!$H$1:$H$92</v>
      </c>
      <c r="D4747" s="159" t="str">
        <f t="shared" si="376"/>
        <v>May!$I$1:$I$92</v>
      </c>
      <c r="E4747" t="s">
        <v>9</v>
      </c>
      <c r="F4747" t="s">
        <v>124</v>
      </c>
      <c r="G4747" t="s">
        <v>143</v>
      </c>
      <c r="H4747" t="s">
        <v>179</v>
      </c>
      <c r="I4747" t="e">
        <f t="shared" ca="1" si="372"/>
        <v>#REF!</v>
      </c>
      <c r="J4747" t="str">
        <f>VLOOKUP($G4747,DefinitionArrays!$I$6:$J$12,2,FALSE)</f>
        <v>Workweek</v>
      </c>
    </row>
    <row r="4748" spans="1:10">
      <c r="A4748" s="159" t="str">
        <f t="shared" si="373"/>
        <v>$H$1:$H$92</v>
      </c>
      <c r="B4748" s="159" t="str">
        <f t="shared" si="374"/>
        <v>$I$1:$I$92</v>
      </c>
      <c r="C4748" s="159" t="str">
        <f t="shared" si="375"/>
        <v>May!$H$1:$H$92</v>
      </c>
      <c r="D4748" s="159" t="str">
        <f t="shared" si="376"/>
        <v>May!$I$1:$I$92</v>
      </c>
      <c r="E4748" t="s">
        <v>9</v>
      </c>
      <c r="F4748" t="s">
        <v>124</v>
      </c>
      <c r="G4748" t="s">
        <v>143</v>
      </c>
      <c r="H4748" t="s">
        <v>180</v>
      </c>
      <c r="I4748" t="e">
        <f t="shared" ca="1" si="372"/>
        <v>#REF!</v>
      </c>
      <c r="J4748" t="str">
        <f>VLOOKUP($G4748,DefinitionArrays!$I$6:$J$12,2,FALSE)</f>
        <v>Workweek</v>
      </c>
    </row>
    <row r="4749" spans="1:10">
      <c r="A4749" s="159" t="str">
        <f t="shared" si="373"/>
        <v>$H$1:$H$92</v>
      </c>
      <c r="B4749" s="159" t="str">
        <f t="shared" si="374"/>
        <v>$I$1:$I$92</v>
      </c>
      <c r="C4749" s="159" t="str">
        <f t="shared" si="375"/>
        <v>May!$H$1:$H$92</v>
      </c>
      <c r="D4749" s="159" t="str">
        <f t="shared" si="376"/>
        <v>May!$I$1:$I$92</v>
      </c>
      <c r="E4749" t="s">
        <v>9</v>
      </c>
      <c r="F4749" t="s">
        <v>124</v>
      </c>
      <c r="G4749" t="s">
        <v>143</v>
      </c>
      <c r="H4749" t="s">
        <v>44</v>
      </c>
      <c r="I4749" t="e">
        <f t="shared" ca="1" si="372"/>
        <v>#REF!</v>
      </c>
      <c r="J4749" t="str">
        <f>VLOOKUP($G4749,DefinitionArrays!$I$6:$J$12,2,FALSE)</f>
        <v>Workweek</v>
      </c>
    </row>
    <row r="4750" spans="1:10">
      <c r="A4750" s="159" t="str">
        <f t="shared" si="373"/>
        <v>$K$1:$K$92</v>
      </c>
      <c r="B4750" s="159" t="str">
        <f t="shared" si="374"/>
        <v>$L$1:$L$92</v>
      </c>
      <c r="C4750" s="159" t="str">
        <f t="shared" si="375"/>
        <v>May!$K$1:$K$92</v>
      </c>
      <c r="D4750" s="159" t="str">
        <f t="shared" si="376"/>
        <v>May!$L$1:$L$92</v>
      </c>
      <c r="E4750" t="s">
        <v>9</v>
      </c>
      <c r="F4750" t="s">
        <v>124</v>
      </c>
      <c r="G4750" t="s">
        <v>144</v>
      </c>
      <c r="H4750" t="s">
        <v>159</v>
      </c>
      <c r="I4750" t="e">
        <f t="shared" ca="1" si="372"/>
        <v>#REF!</v>
      </c>
      <c r="J4750" t="str">
        <f>VLOOKUP($G4750,DefinitionArrays!$I$6:$J$12,2,FALSE)</f>
        <v>Workweek</v>
      </c>
    </row>
    <row r="4751" spans="1:10">
      <c r="A4751" s="159" t="str">
        <f t="shared" si="373"/>
        <v>$K$1:$K$92</v>
      </c>
      <c r="B4751" s="159" t="str">
        <f t="shared" si="374"/>
        <v>$L$1:$L$92</v>
      </c>
      <c r="C4751" s="159" t="str">
        <f t="shared" si="375"/>
        <v>May!$K$1:$K$92</v>
      </c>
      <c r="D4751" s="159" t="str">
        <f t="shared" si="376"/>
        <v>May!$L$1:$L$92</v>
      </c>
      <c r="E4751" t="s">
        <v>9</v>
      </c>
      <c r="F4751" t="s">
        <v>124</v>
      </c>
      <c r="G4751" t="s">
        <v>144</v>
      </c>
      <c r="H4751" t="s">
        <v>18</v>
      </c>
      <c r="I4751" t="e">
        <f t="shared" ca="1" si="372"/>
        <v>#REF!</v>
      </c>
      <c r="J4751" t="str">
        <f>VLOOKUP($G4751,DefinitionArrays!$I$6:$J$12,2,FALSE)</f>
        <v>Workweek</v>
      </c>
    </row>
    <row r="4752" spans="1:10">
      <c r="A4752" s="159" t="str">
        <f t="shared" si="373"/>
        <v>$K$1:$K$92</v>
      </c>
      <c r="B4752" s="159" t="str">
        <f t="shared" si="374"/>
        <v>$L$1:$L$92</v>
      </c>
      <c r="C4752" s="159" t="str">
        <f t="shared" si="375"/>
        <v>May!$K$1:$K$92</v>
      </c>
      <c r="D4752" s="159" t="str">
        <f t="shared" si="376"/>
        <v>May!$L$1:$L$92</v>
      </c>
      <c r="E4752" t="s">
        <v>9</v>
      </c>
      <c r="F4752" t="s">
        <v>124</v>
      </c>
      <c r="G4752" t="s">
        <v>144</v>
      </c>
      <c r="H4752" t="s">
        <v>153</v>
      </c>
      <c r="I4752" t="e">
        <f t="shared" ca="1" si="372"/>
        <v>#REF!</v>
      </c>
      <c r="J4752" t="str">
        <f>VLOOKUP($G4752,DefinitionArrays!$I$6:$J$12,2,FALSE)</f>
        <v>Workweek</v>
      </c>
    </row>
    <row r="4753" spans="1:10">
      <c r="A4753" s="159" t="str">
        <f t="shared" si="373"/>
        <v>$K$1:$K$92</v>
      </c>
      <c r="B4753" s="159" t="str">
        <f t="shared" si="374"/>
        <v>$L$1:$L$92</v>
      </c>
      <c r="C4753" s="159" t="str">
        <f t="shared" si="375"/>
        <v>May!$K$1:$K$92</v>
      </c>
      <c r="D4753" s="159" t="str">
        <f t="shared" si="376"/>
        <v>May!$L$1:$L$92</v>
      </c>
      <c r="E4753" t="s">
        <v>9</v>
      </c>
      <c r="F4753" t="s">
        <v>124</v>
      </c>
      <c r="G4753" t="s">
        <v>144</v>
      </c>
      <c r="H4753" t="s">
        <v>19</v>
      </c>
      <c r="I4753" t="e">
        <f t="shared" ca="1" si="372"/>
        <v>#REF!</v>
      </c>
      <c r="J4753" t="str">
        <f>VLOOKUP($G4753,DefinitionArrays!$I$6:$J$12,2,FALSE)</f>
        <v>Workweek</v>
      </c>
    </row>
    <row r="4754" spans="1:10">
      <c r="A4754" s="159" t="str">
        <f t="shared" si="373"/>
        <v>$K$1:$K$92</v>
      </c>
      <c r="B4754" s="159" t="str">
        <f t="shared" si="374"/>
        <v>$L$1:$L$92</v>
      </c>
      <c r="C4754" s="159" t="str">
        <f t="shared" si="375"/>
        <v>May!$K$1:$K$92</v>
      </c>
      <c r="D4754" s="159" t="str">
        <f t="shared" si="376"/>
        <v>May!$L$1:$L$92</v>
      </c>
      <c r="E4754" t="s">
        <v>9</v>
      </c>
      <c r="F4754" t="s">
        <v>124</v>
      </c>
      <c r="G4754" t="s">
        <v>144</v>
      </c>
      <c r="H4754" t="s">
        <v>20</v>
      </c>
      <c r="I4754" t="e">
        <f t="shared" ca="1" si="372"/>
        <v>#REF!</v>
      </c>
      <c r="J4754" t="str">
        <f>VLOOKUP($G4754,DefinitionArrays!$I$6:$J$12,2,FALSE)</f>
        <v>Workweek</v>
      </c>
    </row>
    <row r="4755" spans="1:10">
      <c r="A4755" s="159" t="str">
        <f t="shared" si="373"/>
        <v>$K$1:$K$92</v>
      </c>
      <c r="B4755" s="159" t="str">
        <f t="shared" si="374"/>
        <v>$L$1:$L$92</v>
      </c>
      <c r="C4755" s="159" t="str">
        <f t="shared" si="375"/>
        <v>May!$K$1:$K$92</v>
      </c>
      <c r="D4755" s="159" t="str">
        <f t="shared" si="376"/>
        <v>May!$L$1:$L$92</v>
      </c>
      <c r="E4755" t="s">
        <v>9</v>
      </c>
      <c r="F4755" t="s">
        <v>124</v>
      </c>
      <c r="G4755" t="s">
        <v>144</v>
      </c>
      <c r="H4755" t="s">
        <v>21</v>
      </c>
      <c r="I4755" t="e">
        <f t="shared" ca="1" si="372"/>
        <v>#REF!</v>
      </c>
      <c r="J4755" t="str">
        <f>VLOOKUP($G4755,DefinitionArrays!$I$6:$J$12,2,FALSE)</f>
        <v>Workweek</v>
      </c>
    </row>
    <row r="4756" spans="1:10">
      <c r="A4756" s="159" t="str">
        <f t="shared" si="373"/>
        <v>$K$1:$K$92</v>
      </c>
      <c r="B4756" s="159" t="str">
        <f t="shared" si="374"/>
        <v>$L$1:$L$92</v>
      </c>
      <c r="C4756" s="159" t="str">
        <f t="shared" si="375"/>
        <v>May!$K$1:$K$92</v>
      </c>
      <c r="D4756" s="159" t="str">
        <f t="shared" si="376"/>
        <v>May!$L$1:$L$92</v>
      </c>
      <c r="E4756" t="s">
        <v>9</v>
      </c>
      <c r="F4756" t="s">
        <v>124</v>
      </c>
      <c r="G4756" t="s">
        <v>144</v>
      </c>
      <c r="H4756" t="s">
        <v>22</v>
      </c>
      <c r="I4756" t="e">
        <f t="shared" ca="1" si="372"/>
        <v>#REF!</v>
      </c>
      <c r="J4756" t="str">
        <f>VLOOKUP($G4756,DefinitionArrays!$I$6:$J$12,2,FALSE)</f>
        <v>Workweek</v>
      </c>
    </row>
    <row r="4757" spans="1:10">
      <c r="A4757" s="159" t="str">
        <f t="shared" si="373"/>
        <v>$K$1:$K$92</v>
      </c>
      <c r="B4757" s="159" t="str">
        <f t="shared" si="374"/>
        <v>$L$1:$L$92</v>
      </c>
      <c r="C4757" s="159" t="str">
        <f t="shared" si="375"/>
        <v>May!$K$1:$K$92</v>
      </c>
      <c r="D4757" s="159" t="str">
        <f t="shared" si="376"/>
        <v>May!$L$1:$L$92</v>
      </c>
      <c r="E4757" t="s">
        <v>9</v>
      </c>
      <c r="F4757" t="s">
        <v>124</v>
      </c>
      <c r="G4757" t="s">
        <v>144</v>
      </c>
      <c r="H4757" t="s">
        <v>23</v>
      </c>
      <c r="I4757" t="e">
        <f t="shared" ca="1" si="372"/>
        <v>#REF!</v>
      </c>
      <c r="J4757" t="str">
        <f>VLOOKUP($G4757,DefinitionArrays!$I$6:$J$12,2,FALSE)</f>
        <v>Workweek</v>
      </c>
    </row>
    <row r="4758" spans="1:10">
      <c r="A4758" s="159" t="str">
        <f t="shared" si="373"/>
        <v>$K$1:$K$92</v>
      </c>
      <c r="B4758" s="159" t="str">
        <f t="shared" si="374"/>
        <v>$L$1:$L$92</v>
      </c>
      <c r="C4758" s="159" t="str">
        <f t="shared" si="375"/>
        <v>May!$K$1:$K$92</v>
      </c>
      <c r="D4758" s="159" t="str">
        <f t="shared" si="376"/>
        <v>May!$L$1:$L$92</v>
      </c>
      <c r="E4758" t="s">
        <v>9</v>
      </c>
      <c r="F4758" t="s">
        <v>124</v>
      </c>
      <c r="G4758" t="s">
        <v>144</v>
      </c>
      <c r="H4758" t="s">
        <v>24</v>
      </c>
      <c r="I4758" t="e">
        <f t="shared" ca="1" si="372"/>
        <v>#REF!</v>
      </c>
      <c r="J4758" t="str">
        <f>VLOOKUP($G4758,DefinitionArrays!$I$6:$J$12,2,FALSE)</f>
        <v>Workweek</v>
      </c>
    </row>
    <row r="4759" spans="1:10">
      <c r="A4759" s="159" t="str">
        <f t="shared" si="373"/>
        <v>$K$1:$K$92</v>
      </c>
      <c r="B4759" s="159" t="str">
        <f t="shared" si="374"/>
        <v>$L$1:$L$92</v>
      </c>
      <c r="C4759" s="159" t="str">
        <f t="shared" si="375"/>
        <v>May!$K$1:$K$92</v>
      </c>
      <c r="D4759" s="159" t="str">
        <f t="shared" si="376"/>
        <v>May!$L$1:$L$92</v>
      </c>
      <c r="E4759" t="s">
        <v>9</v>
      </c>
      <c r="F4759" t="s">
        <v>124</v>
      </c>
      <c r="G4759" t="s">
        <v>144</v>
      </c>
      <c r="H4759" t="s">
        <v>179</v>
      </c>
      <c r="I4759" t="e">
        <f t="shared" ca="1" si="372"/>
        <v>#REF!</v>
      </c>
      <c r="J4759" t="str">
        <f>VLOOKUP($G4759,DefinitionArrays!$I$6:$J$12,2,FALSE)</f>
        <v>Workweek</v>
      </c>
    </row>
    <row r="4760" spans="1:10">
      <c r="A4760" s="159" t="str">
        <f t="shared" si="373"/>
        <v>$K$1:$K$92</v>
      </c>
      <c r="B4760" s="159" t="str">
        <f t="shared" si="374"/>
        <v>$L$1:$L$92</v>
      </c>
      <c r="C4760" s="159" t="str">
        <f t="shared" si="375"/>
        <v>May!$K$1:$K$92</v>
      </c>
      <c r="D4760" s="159" t="str">
        <f t="shared" si="376"/>
        <v>May!$L$1:$L$92</v>
      </c>
      <c r="E4760" t="s">
        <v>9</v>
      </c>
      <c r="F4760" t="s">
        <v>124</v>
      </c>
      <c r="G4760" t="s">
        <v>144</v>
      </c>
      <c r="H4760" t="s">
        <v>180</v>
      </c>
      <c r="I4760" t="e">
        <f t="shared" ca="1" si="372"/>
        <v>#REF!</v>
      </c>
      <c r="J4760" t="str">
        <f>VLOOKUP($G4760,DefinitionArrays!$I$6:$J$12,2,FALSE)</f>
        <v>Workweek</v>
      </c>
    </row>
    <row r="4761" spans="1:10">
      <c r="A4761" s="159" t="str">
        <f t="shared" si="373"/>
        <v>$K$1:$K$92</v>
      </c>
      <c r="B4761" s="159" t="str">
        <f t="shared" si="374"/>
        <v>$L$1:$L$92</v>
      </c>
      <c r="C4761" s="159" t="str">
        <f t="shared" si="375"/>
        <v>May!$K$1:$K$92</v>
      </c>
      <c r="D4761" s="159" t="str">
        <f t="shared" si="376"/>
        <v>May!$L$1:$L$92</v>
      </c>
      <c r="E4761" t="s">
        <v>9</v>
      </c>
      <c r="F4761" t="s">
        <v>124</v>
      </c>
      <c r="G4761" t="s">
        <v>144</v>
      </c>
      <c r="H4761" t="s">
        <v>44</v>
      </c>
      <c r="I4761" t="e">
        <f t="shared" ca="1" si="372"/>
        <v>#REF!</v>
      </c>
      <c r="J4761" t="str">
        <f>VLOOKUP($G4761,DefinitionArrays!$I$6:$J$12,2,FALSE)</f>
        <v>Workweek</v>
      </c>
    </row>
    <row r="4762" spans="1:10">
      <c r="A4762" s="159" t="str">
        <f t="shared" si="373"/>
        <v>$N$1:$N$92</v>
      </c>
      <c r="B4762" s="159" t="str">
        <f t="shared" si="374"/>
        <v>$O$1:$O$92</v>
      </c>
      <c r="C4762" s="159" t="str">
        <f t="shared" si="375"/>
        <v>May!$N$1:$N$92</v>
      </c>
      <c r="D4762" s="159" t="str">
        <f t="shared" si="376"/>
        <v>May!$O$1:$O$92</v>
      </c>
      <c r="E4762" t="s">
        <v>9</v>
      </c>
      <c r="F4762" t="s">
        <v>124</v>
      </c>
      <c r="G4762" t="s">
        <v>145</v>
      </c>
      <c r="H4762" t="s">
        <v>159</v>
      </c>
      <c r="I4762" t="e">
        <f t="shared" ca="1" si="372"/>
        <v>#REF!</v>
      </c>
      <c r="J4762" t="str">
        <f>VLOOKUP($G4762,DefinitionArrays!$I$6:$J$12,2,FALSE)</f>
        <v>Weekend</v>
      </c>
    </row>
    <row r="4763" spans="1:10">
      <c r="A4763" s="159" t="str">
        <f t="shared" si="373"/>
        <v>$N$1:$N$92</v>
      </c>
      <c r="B4763" s="159" t="str">
        <f t="shared" si="374"/>
        <v>$O$1:$O$92</v>
      </c>
      <c r="C4763" s="159" t="str">
        <f t="shared" si="375"/>
        <v>May!$N$1:$N$92</v>
      </c>
      <c r="D4763" s="159" t="str">
        <f t="shared" si="376"/>
        <v>May!$O$1:$O$92</v>
      </c>
      <c r="E4763" t="s">
        <v>9</v>
      </c>
      <c r="F4763" t="s">
        <v>124</v>
      </c>
      <c r="G4763" t="s">
        <v>145</v>
      </c>
      <c r="H4763" t="s">
        <v>18</v>
      </c>
      <c r="I4763" t="e">
        <f t="shared" ca="1" si="372"/>
        <v>#REF!</v>
      </c>
      <c r="J4763" t="str">
        <f>VLOOKUP($G4763,DefinitionArrays!$I$6:$J$12,2,FALSE)</f>
        <v>Weekend</v>
      </c>
    </row>
    <row r="4764" spans="1:10">
      <c r="A4764" s="159" t="str">
        <f t="shared" si="373"/>
        <v>$N$1:$N$92</v>
      </c>
      <c r="B4764" s="159" t="str">
        <f t="shared" si="374"/>
        <v>$O$1:$O$92</v>
      </c>
      <c r="C4764" s="159" t="str">
        <f t="shared" si="375"/>
        <v>May!$N$1:$N$92</v>
      </c>
      <c r="D4764" s="159" t="str">
        <f t="shared" si="376"/>
        <v>May!$O$1:$O$92</v>
      </c>
      <c r="E4764" t="s">
        <v>9</v>
      </c>
      <c r="F4764" t="s">
        <v>124</v>
      </c>
      <c r="G4764" t="s">
        <v>145</v>
      </c>
      <c r="H4764" t="s">
        <v>153</v>
      </c>
      <c r="I4764" t="e">
        <f t="shared" ca="1" si="372"/>
        <v>#REF!</v>
      </c>
      <c r="J4764" t="str">
        <f>VLOOKUP($G4764,DefinitionArrays!$I$6:$J$12,2,FALSE)</f>
        <v>Weekend</v>
      </c>
    </row>
    <row r="4765" spans="1:10">
      <c r="A4765" s="159" t="str">
        <f t="shared" si="373"/>
        <v>$N$1:$N$92</v>
      </c>
      <c r="B4765" s="159" t="str">
        <f t="shared" si="374"/>
        <v>$O$1:$O$92</v>
      </c>
      <c r="C4765" s="159" t="str">
        <f t="shared" si="375"/>
        <v>May!$N$1:$N$92</v>
      </c>
      <c r="D4765" s="159" t="str">
        <f t="shared" si="376"/>
        <v>May!$O$1:$O$92</v>
      </c>
      <c r="E4765" t="s">
        <v>9</v>
      </c>
      <c r="F4765" t="s">
        <v>124</v>
      </c>
      <c r="G4765" t="s">
        <v>145</v>
      </c>
      <c r="H4765" t="s">
        <v>19</v>
      </c>
      <c r="I4765" t="e">
        <f t="shared" ca="1" si="372"/>
        <v>#REF!</v>
      </c>
      <c r="J4765" t="str">
        <f>VLOOKUP($G4765,DefinitionArrays!$I$6:$J$12,2,FALSE)</f>
        <v>Weekend</v>
      </c>
    </row>
    <row r="4766" spans="1:10">
      <c r="A4766" s="159" t="str">
        <f t="shared" si="373"/>
        <v>$N$1:$N$92</v>
      </c>
      <c r="B4766" s="159" t="str">
        <f t="shared" si="374"/>
        <v>$O$1:$O$92</v>
      </c>
      <c r="C4766" s="159" t="str">
        <f t="shared" si="375"/>
        <v>May!$N$1:$N$92</v>
      </c>
      <c r="D4766" s="159" t="str">
        <f t="shared" si="376"/>
        <v>May!$O$1:$O$92</v>
      </c>
      <c r="E4766" t="s">
        <v>9</v>
      </c>
      <c r="F4766" t="s">
        <v>124</v>
      </c>
      <c r="G4766" t="s">
        <v>145</v>
      </c>
      <c r="H4766" t="s">
        <v>20</v>
      </c>
      <c r="I4766" t="e">
        <f t="shared" ca="1" si="372"/>
        <v>#REF!</v>
      </c>
      <c r="J4766" t="str">
        <f>VLOOKUP($G4766,DefinitionArrays!$I$6:$J$12,2,FALSE)</f>
        <v>Weekend</v>
      </c>
    </row>
    <row r="4767" spans="1:10">
      <c r="A4767" s="159" t="str">
        <f t="shared" si="373"/>
        <v>$N$1:$N$92</v>
      </c>
      <c r="B4767" s="159" t="str">
        <f t="shared" si="374"/>
        <v>$O$1:$O$92</v>
      </c>
      <c r="C4767" s="159" t="str">
        <f t="shared" si="375"/>
        <v>May!$N$1:$N$92</v>
      </c>
      <c r="D4767" s="159" t="str">
        <f t="shared" si="376"/>
        <v>May!$O$1:$O$92</v>
      </c>
      <c r="E4767" t="s">
        <v>9</v>
      </c>
      <c r="F4767" t="s">
        <v>124</v>
      </c>
      <c r="G4767" t="s">
        <v>145</v>
      </c>
      <c r="H4767" t="s">
        <v>21</v>
      </c>
      <c r="I4767" t="e">
        <f t="shared" ca="1" si="372"/>
        <v>#REF!</v>
      </c>
      <c r="J4767" t="str">
        <f>VLOOKUP($G4767,DefinitionArrays!$I$6:$J$12,2,FALSE)</f>
        <v>Weekend</v>
      </c>
    </row>
    <row r="4768" spans="1:10">
      <c r="A4768" s="159" t="str">
        <f t="shared" si="373"/>
        <v>$N$1:$N$92</v>
      </c>
      <c r="B4768" s="159" t="str">
        <f t="shared" si="374"/>
        <v>$O$1:$O$92</v>
      </c>
      <c r="C4768" s="159" t="str">
        <f t="shared" si="375"/>
        <v>May!$N$1:$N$92</v>
      </c>
      <c r="D4768" s="159" t="str">
        <f t="shared" si="376"/>
        <v>May!$O$1:$O$92</v>
      </c>
      <c r="E4768" t="s">
        <v>9</v>
      </c>
      <c r="F4768" t="s">
        <v>124</v>
      </c>
      <c r="G4768" t="s">
        <v>145</v>
      </c>
      <c r="H4768" t="s">
        <v>22</v>
      </c>
      <c r="I4768" t="e">
        <f t="shared" ca="1" si="372"/>
        <v>#REF!</v>
      </c>
      <c r="J4768" t="str">
        <f>VLOOKUP($G4768,DefinitionArrays!$I$6:$J$12,2,FALSE)</f>
        <v>Weekend</v>
      </c>
    </row>
    <row r="4769" spans="1:10">
      <c r="A4769" s="159" t="str">
        <f t="shared" si="373"/>
        <v>$N$1:$N$92</v>
      </c>
      <c r="B4769" s="159" t="str">
        <f t="shared" si="374"/>
        <v>$O$1:$O$92</v>
      </c>
      <c r="C4769" s="159" t="str">
        <f t="shared" si="375"/>
        <v>May!$N$1:$N$92</v>
      </c>
      <c r="D4769" s="159" t="str">
        <f t="shared" si="376"/>
        <v>May!$O$1:$O$92</v>
      </c>
      <c r="E4769" t="s">
        <v>9</v>
      </c>
      <c r="F4769" t="s">
        <v>124</v>
      </c>
      <c r="G4769" t="s">
        <v>145</v>
      </c>
      <c r="H4769" t="s">
        <v>23</v>
      </c>
      <c r="I4769" t="e">
        <f t="shared" ca="1" si="372"/>
        <v>#REF!</v>
      </c>
      <c r="J4769" t="str">
        <f>VLOOKUP($G4769,DefinitionArrays!$I$6:$J$12,2,FALSE)</f>
        <v>Weekend</v>
      </c>
    </row>
    <row r="4770" spans="1:10">
      <c r="A4770" s="159" t="str">
        <f t="shared" si="373"/>
        <v>$N$1:$N$92</v>
      </c>
      <c r="B4770" s="159" t="str">
        <f t="shared" si="374"/>
        <v>$O$1:$O$92</v>
      </c>
      <c r="C4770" s="159" t="str">
        <f t="shared" si="375"/>
        <v>May!$N$1:$N$92</v>
      </c>
      <c r="D4770" s="159" t="str">
        <f t="shared" si="376"/>
        <v>May!$O$1:$O$92</v>
      </c>
      <c r="E4770" t="s">
        <v>9</v>
      </c>
      <c r="F4770" t="s">
        <v>124</v>
      </c>
      <c r="G4770" t="s">
        <v>145</v>
      </c>
      <c r="H4770" t="s">
        <v>24</v>
      </c>
      <c r="I4770" t="e">
        <f t="shared" ca="1" si="372"/>
        <v>#REF!</v>
      </c>
      <c r="J4770" t="str">
        <f>VLOOKUP($G4770,DefinitionArrays!$I$6:$J$12,2,FALSE)</f>
        <v>Weekend</v>
      </c>
    </row>
    <row r="4771" spans="1:10">
      <c r="A4771" s="159" t="str">
        <f t="shared" si="373"/>
        <v>$N$1:$N$92</v>
      </c>
      <c r="B4771" s="159" t="str">
        <f t="shared" si="374"/>
        <v>$O$1:$O$92</v>
      </c>
      <c r="C4771" s="159" t="str">
        <f t="shared" si="375"/>
        <v>May!$N$1:$N$92</v>
      </c>
      <c r="D4771" s="159" t="str">
        <f t="shared" si="376"/>
        <v>May!$O$1:$O$92</v>
      </c>
      <c r="E4771" t="s">
        <v>9</v>
      </c>
      <c r="F4771" t="s">
        <v>124</v>
      </c>
      <c r="G4771" t="s">
        <v>145</v>
      </c>
      <c r="H4771" t="s">
        <v>179</v>
      </c>
      <c r="I4771" t="e">
        <f t="shared" ca="1" si="372"/>
        <v>#REF!</v>
      </c>
      <c r="J4771" t="str">
        <f>VLOOKUP($G4771,DefinitionArrays!$I$6:$J$12,2,FALSE)</f>
        <v>Weekend</v>
      </c>
    </row>
    <row r="4772" spans="1:10">
      <c r="A4772" s="159" t="str">
        <f t="shared" si="373"/>
        <v>$N$1:$N$92</v>
      </c>
      <c r="B4772" s="159" t="str">
        <f t="shared" si="374"/>
        <v>$O$1:$O$92</v>
      </c>
      <c r="C4772" s="159" t="str">
        <f t="shared" si="375"/>
        <v>May!$N$1:$N$92</v>
      </c>
      <c r="D4772" s="159" t="str">
        <f t="shared" si="376"/>
        <v>May!$O$1:$O$92</v>
      </c>
      <c r="E4772" t="s">
        <v>9</v>
      </c>
      <c r="F4772" t="s">
        <v>124</v>
      </c>
      <c r="G4772" t="s">
        <v>145</v>
      </c>
      <c r="H4772" t="s">
        <v>180</v>
      </c>
      <c r="I4772" t="e">
        <f t="shared" ca="1" si="372"/>
        <v>#REF!</v>
      </c>
      <c r="J4772" t="str">
        <f>VLOOKUP($G4772,DefinitionArrays!$I$6:$J$12,2,FALSE)</f>
        <v>Weekend</v>
      </c>
    </row>
    <row r="4773" spans="1:10">
      <c r="A4773" s="159" t="str">
        <f t="shared" si="373"/>
        <v>$N$1:$N$92</v>
      </c>
      <c r="B4773" s="159" t="str">
        <f t="shared" si="374"/>
        <v>$O$1:$O$92</v>
      </c>
      <c r="C4773" s="159" t="str">
        <f t="shared" si="375"/>
        <v>May!$N$1:$N$92</v>
      </c>
      <c r="D4773" s="159" t="str">
        <f t="shared" si="376"/>
        <v>May!$O$1:$O$92</v>
      </c>
      <c r="E4773" t="s">
        <v>9</v>
      </c>
      <c r="F4773" t="s">
        <v>124</v>
      </c>
      <c r="G4773" t="s">
        <v>145</v>
      </c>
      <c r="H4773" t="s">
        <v>44</v>
      </c>
      <c r="I4773" t="e">
        <f t="shared" ca="1" si="372"/>
        <v>#REF!</v>
      </c>
      <c r="J4773" t="str">
        <f>VLOOKUP($G4773,DefinitionArrays!$I$6:$J$12,2,FALSE)</f>
        <v>Weekend</v>
      </c>
    </row>
    <row r="4774" spans="1:10">
      <c r="A4774" s="159" t="str">
        <f t="shared" si="373"/>
        <v>$Q$1:$Q$92</v>
      </c>
      <c r="B4774" s="159" t="str">
        <f t="shared" si="374"/>
        <v>$R$1:$R$92</v>
      </c>
      <c r="C4774" s="159" t="str">
        <f t="shared" si="375"/>
        <v>May!$Q$1:$Q$92</v>
      </c>
      <c r="D4774" s="159" t="str">
        <f t="shared" si="376"/>
        <v>May!$R$1:$R$92</v>
      </c>
      <c r="E4774" t="s">
        <v>9</v>
      </c>
      <c r="F4774" t="s">
        <v>124</v>
      </c>
      <c r="G4774" t="s">
        <v>146</v>
      </c>
      <c r="H4774" t="s">
        <v>159</v>
      </c>
      <c r="I4774" t="e">
        <f t="shared" ca="1" si="372"/>
        <v>#REF!</v>
      </c>
      <c r="J4774" t="str">
        <f>VLOOKUP($G4774,DefinitionArrays!$I$6:$J$12,2,FALSE)</f>
        <v>Weekend</v>
      </c>
    </row>
    <row r="4775" spans="1:10">
      <c r="A4775" s="159" t="str">
        <f t="shared" si="373"/>
        <v>$T$1:$T$92</v>
      </c>
      <c r="B4775" s="159" t="str">
        <f t="shared" si="374"/>
        <v>$U$1:$U$92</v>
      </c>
      <c r="C4775" s="159" t="str">
        <f t="shared" si="375"/>
        <v>May!$T$1:$T$92</v>
      </c>
      <c r="D4775" s="159" t="str">
        <f t="shared" si="376"/>
        <v>May!$U$1:$U$92</v>
      </c>
      <c r="E4775" t="s">
        <v>9</v>
      </c>
      <c r="F4775" t="s">
        <v>124</v>
      </c>
      <c r="G4775" t="s">
        <v>141</v>
      </c>
      <c r="H4775" t="s">
        <v>159</v>
      </c>
      <c r="I4775" t="e">
        <f t="shared" ca="1" si="372"/>
        <v>#REF!</v>
      </c>
      <c r="J4775" t="str">
        <f>VLOOKUP($G4775,DefinitionArrays!$I$6:$J$12,2,FALSE)</f>
        <v>Weekend</v>
      </c>
    </row>
    <row r="4776" spans="1:10">
      <c r="A4776" s="159" t="str">
        <f t="shared" si="373"/>
        <v>$B$1:$B$92</v>
      </c>
      <c r="B4776" s="159" t="str">
        <f t="shared" si="374"/>
        <v>$C$1:$C$92</v>
      </c>
      <c r="C4776" s="159" t="str">
        <f t="shared" si="375"/>
        <v>June!$B$1:$B$92</v>
      </c>
      <c r="D4776" s="159" t="str">
        <f t="shared" si="376"/>
        <v>June!$C$1:$C$92</v>
      </c>
      <c r="E4776" t="s">
        <v>9</v>
      </c>
      <c r="F4776" t="s">
        <v>125</v>
      </c>
      <c r="G4776" t="s">
        <v>13</v>
      </c>
      <c r="H4776" t="s">
        <v>159</v>
      </c>
      <c r="I4776" t="e">
        <f ca="1">COUNTIFS(INDIRECT($C4776),$E4776,INDIRECT($D4776),$H4776)</f>
        <v>#REF!</v>
      </c>
      <c r="J4776" t="str">
        <f>VLOOKUP($G4776,DefinitionArrays!$I$6:$J$12,2,FALSE)</f>
        <v>Workweek</v>
      </c>
    </row>
    <row r="4777" spans="1:10">
      <c r="A4777" s="159" t="str">
        <f t="shared" si="373"/>
        <v>$B$1:$B$92</v>
      </c>
      <c r="B4777" s="159" t="str">
        <f t="shared" si="374"/>
        <v>$C$1:$C$92</v>
      </c>
      <c r="C4777" s="159" t="str">
        <f t="shared" si="375"/>
        <v>June!$B$1:$B$92</v>
      </c>
      <c r="D4777" s="159" t="str">
        <f t="shared" si="376"/>
        <v>June!$C$1:$C$92</v>
      </c>
      <c r="E4777" t="s">
        <v>9</v>
      </c>
      <c r="F4777" t="s">
        <v>125</v>
      </c>
      <c r="G4777" t="s">
        <v>13</v>
      </c>
      <c r="H4777" t="s">
        <v>18</v>
      </c>
      <c r="I4777" t="e">
        <f t="shared" ref="I4777:I4837" ca="1" si="377">COUNTIFS(INDIRECT($C4777),$E4777,INDIRECT($D4777),$H4777)</f>
        <v>#REF!</v>
      </c>
      <c r="J4777" t="str">
        <f>VLOOKUP($G4777,DefinitionArrays!$I$6:$J$12,2,FALSE)</f>
        <v>Workweek</v>
      </c>
    </row>
    <row r="4778" spans="1:10">
      <c r="A4778" s="159" t="str">
        <f t="shared" si="373"/>
        <v>$B$1:$B$92</v>
      </c>
      <c r="B4778" s="159" t="str">
        <f t="shared" si="374"/>
        <v>$C$1:$C$92</v>
      </c>
      <c r="C4778" s="159" t="str">
        <f t="shared" si="375"/>
        <v>June!$B$1:$B$92</v>
      </c>
      <c r="D4778" s="159" t="str">
        <f t="shared" si="376"/>
        <v>June!$C$1:$C$92</v>
      </c>
      <c r="E4778" t="s">
        <v>9</v>
      </c>
      <c r="F4778" t="s">
        <v>125</v>
      </c>
      <c r="G4778" t="s">
        <v>13</v>
      </c>
      <c r="H4778" t="s">
        <v>153</v>
      </c>
      <c r="I4778" t="e">
        <f t="shared" ca="1" si="377"/>
        <v>#REF!</v>
      </c>
      <c r="J4778" t="str">
        <f>VLOOKUP($G4778,DefinitionArrays!$I$6:$J$12,2,FALSE)</f>
        <v>Workweek</v>
      </c>
    </row>
    <row r="4779" spans="1:10">
      <c r="A4779" s="159" t="str">
        <f t="shared" si="373"/>
        <v>$B$1:$B$92</v>
      </c>
      <c r="B4779" s="159" t="str">
        <f t="shared" si="374"/>
        <v>$C$1:$C$92</v>
      </c>
      <c r="C4779" s="159" t="str">
        <f t="shared" si="375"/>
        <v>June!$B$1:$B$92</v>
      </c>
      <c r="D4779" s="159" t="str">
        <f t="shared" si="376"/>
        <v>June!$C$1:$C$92</v>
      </c>
      <c r="E4779" t="s">
        <v>9</v>
      </c>
      <c r="F4779" t="s">
        <v>125</v>
      </c>
      <c r="G4779" t="s">
        <v>13</v>
      </c>
      <c r="H4779" t="s">
        <v>19</v>
      </c>
      <c r="I4779" t="e">
        <f t="shared" ca="1" si="377"/>
        <v>#REF!</v>
      </c>
      <c r="J4779" t="str">
        <f>VLOOKUP($G4779,DefinitionArrays!$I$6:$J$12,2,FALSE)</f>
        <v>Workweek</v>
      </c>
    </row>
    <row r="4780" spans="1:10">
      <c r="A4780" s="159" t="str">
        <f t="shared" si="373"/>
        <v>$B$1:$B$92</v>
      </c>
      <c r="B4780" s="159" t="str">
        <f t="shared" si="374"/>
        <v>$C$1:$C$92</v>
      </c>
      <c r="C4780" s="159" t="str">
        <f t="shared" si="375"/>
        <v>June!$B$1:$B$92</v>
      </c>
      <c r="D4780" s="159" t="str">
        <f t="shared" si="376"/>
        <v>June!$C$1:$C$92</v>
      </c>
      <c r="E4780" t="s">
        <v>9</v>
      </c>
      <c r="F4780" t="s">
        <v>125</v>
      </c>
      <c r="G4780" t="s">
        <v>13</v>
      </c>
      <c r="H4780" t="s">
        <v>20</v>
      </c>
      <c r="I4780" t="e">
        <f t="shared" ca="1" si="377"/>
        <v>#REF!</v>
      </c>
      <c r="J4780" t="str">
        <f>VLOOKUP($G4780,DefinitionArrays!$I$6:$J$12,2,FALSE)</f>
        <v>Workweek</v>
      </c>
    </row>
    <row r="4781" spans="1:10">
      <c r="A4781" s="159" t="str">
        <f t="shared" si="373"/>
        <v>$B$1:$B$92</v>
      </c>
      <c r="B4781" s="159" t="str">
        <f t="shared" si="374"/>
        <v>$C$1:$C$92</v>
      </c>
      <c r="C4781" s="159" t="str">
        <f t="shared" si="375"/>
        <v>June!$B$1:$B$92</v>
      </c>
      <c r="D4781" s="159" t="str">
        <f t="shared" si="376"/>
        <v>June!$C$1:$C$92</v>
      </c>
      <c r="E4781" t="s">
        <v>9</v>
      </c>
      <c r="F4781" t="s">
        <v>125</v>
      </c>
      <c r="G4781" t="s">
        <v>13</v>
      </c>
      <c r="H4781" t="s">
        <v>21</v>
      </c>
      <c r="I4781" t="e">
        <f t="shared" ca="1" si="377"/>
        <v>#REF!</v>
      </c>
      <c r="J4781" t="str">
        <f>VLOOKUP($G4781,DefinitionArrays!$I$6:$J$12,2,FALSE)</f>
        <v>Workweek</v>
      </c>
    </row>
    <row r="4782" spans="1:10">
      <c r="A4782" s="159" t="str">
        <f t="shared" si="373"/>
        <v>$B$1:$B$92</v>
      </c>
      <c r="B4782" s="159" t="str">
        <f t="shared" si="374"/>
        <v>$C$1:$C$92</v>
      </c>
      <c r="C4782" s="159" t="str">
        <f t="shared" si="375"/>
        <v>June!$B$1:$B$92</v>
      </c>
      <c r="D4782" s="159" t="str">
        <f t="shared" si="376"/>
        <v>June!$C$1:$C$92</v>
      </c>
      <c r="E4782" t="s">
        <v>9</v>
      </c>
      <c r="F4782" t="s">
        <v>125</v>
      </c>
      <c r="G4782" t="s">
        <v>13</v>
      </c>
      <c r="H4782" t="s">
        <v>22</v>
      </c>
      <c r="I4782" t="e">
        <f t="shared" ca="1" si="377"/>
        <v>#REF!</v>
      </c>
      <c r="J4782" t="str">
        <f>VLOOKUP($G4782,DefinitionArrays!$I$6:$J$12,2,FALSE)</f>
        <v>Workweek</v>
      </c>
    </row>
    <row r="4783" spans="1:10">
      <c r="A4783" s="159" t="str">
        <f t="shared" si="373"/>
        <v>$B$1:$B$92</v>
      </c>
      <c r="B4783" s="159" t="str">
        <f t="shared" si="374"/>
        <v>$C$1:$C$92</v>
      </c>
      <c r="C4783" s="159" t="str">
        <f t="shared" si="375"/>
        <v>June!$B$1:$B$92</v>
      </c>
      <c r="D4783" s="159" t="str">
        <f t="shared" si="376"/>
        <v>June!$C$1:$C$92</v>
      </c>
      <c r="E4783" t="s">
        <v>9</v>
      </c>
      <c r="F4783" t="s">
        <v>125</v>
      </c>
      <c r="G4783" t="s">
        <v>13</v>
      </c>
      <c r="H4783" t="s">
        <v>23</v>
      </c>
      <c r="I4783" t="e">
        <f t="shared" ca="1" si="377"/>
        <v>#REF!</v>
      </c>
      <c r="J4783" t="str">
        <f>VLOOKUP($G4783,DefinitionArrays!$I$6:$J$12,2,FALSE)</f>
        <v>Workweek</v>
      </c>
    </row>
    <row r="4784" spans="1:10">
      <c r="A4784" s="159" t="str">
        <f t="shared" si="373"/>
        <v>$B$1:$B$92</v>
      </c>
      <c r="B4784" s="159" t="str">
        <f t="shared" si="374"/>
        <v>$C$1:$C$92</v>
      </c>
      <c r="C4784" s="159" t="str">
        <f t="shared" si="375"/>
        <v>June!$B$1:$B$92</v>
      </c>
      <c r="D4784" s="159" t="str">
        <f t="shared" si="376"/>
        <v>June!$C$1:$C$92</v>
      </c>
      <c r="E4784" t="s">
        <v>9</v>
      </c>
      <c r="F4784" t="s">
        <v>125</v>
      </c>
      <c r="G4784" t="s">
        <v>13</v>
      </c>
      <c r="H4784" t="s">
        <v>24</v>
      </c>
      <c r="I4784" t="e">
        <f t="shared" ca="1" si="377"/>
        <v>#REF!</v>
      </c>
      <c r="J4784" t="str">
        <f>VLOOKUP($G4784,DefinitionArrays!$I$6:$J$12,2,FALSE)</f>
        <v>Workweek</v>
      </c>
    </row>
    <row r="4785" spans="1:10">
      <c r="A4785" s="159" t="str">
        <f t="shared" si="373"/>
        <v>$B$1:$B$92</v>
      </c>
      <c r="B4785" s="159" t="str">
        <f t="shared" si="374"/>
        <v>$C$1:$C$92</v>
      </c>
      <c r="C4785" s="159" t="str">
        <f t="shared" si="375"/>
        <v>June!$B$1:$B$92</v>
      </c>
      <c r="D4785" s="159" t="str">
        <f t="shared" si="376"/>
        <v>June!$C$1:$C$92</v>
      </c>
      <c r="E4785" t="s">
        <v>9</v>
      </c>
      <c r="F4785" t="s">
        <v>125</v>
      </c>
      <c r="G4785" t="s">
        <v>13</v>
      </c>
      <c r="H4785" t="s">
        <v>179</v>
      </c>
      <c r="I4785" t="e">
        <f t="shared" ca="1" si="377"/>
        <v>#REF!</v>
      </c>
      <c r="J4785" t="str">
        <f>VLOOKUP($G4785,DefinitionArrays!$I$6:$J$12,2,FALSE)</f>
        <v>Workweek</v>
      </c>
    </row>
    <row r="4786" spans="1:10">
      <c r="A4786" s="159" t="str">
        <f t="shared" si="373"/>
        <v>$B$1:$B$92</v>
      </c>
      <c r="B4786" s="159" t="str">
        <f t="shared" si="374"/>
        <v>$C$1:$C$92</v>
      </c>
      <c r="C4786" s="159" t="str">
        <f t="shared" si="375"/>
        <v>June!$B$1:$B$92</v>
      </c>
      <c r="D4786" s="159" t="str">
        <f t="shared" si="376"/>
        <v>June!$C$1:$C$92</v>
      </c>
      <c r="E4786" t="s">
        <v>9</v>
      </c>
      <c r="F4786" t="s">
        <v>125</v>
      </c>
      <c r="G4786" t="s">
        <v>13</v>
      </c>
      <c r="H4786" t="s">
        <v>180</v>
      </c>
      <c r="I4786" t="e">
        <f t="shared" ca="1" si="377"/>
        <v>#REF!</v>
      </c>
      <c r="J4786" t="str">
        <f>VLOOKUP($G4786,DefinitionArrays!$I$6:$J$12,2,FALSE)</f>
        <v>Workweek</v>
      </c>
    </row>
    <row r="4787" spans="1:10">
      <c r="A4787" s="159" t="str">
        <f t="shared" si="373"/>
        <v>$B$1:$B$92</v>
      </c>
      <c r="B4787" s="159" t="str">
        <f t="shared" si="374"/>
        <v>$C$1:$C$92</v>
      </c>
      <c r="C4787" s="159" t="str">
        <f t="shared" si="375"/>
        <v>June!$B$1:$B$92</v>
      </c>
      <c r="D4787" s="159" t="str">
        <f t="shared" si="376"/>
        <v>June!$C$1:$C$92</v>
      </c>
      <c r="E4787" t="s">
        <v>9</v>
      </c>
      <c r="F4787" t="s">
        <v>125</v>
      </c>
      <c r="G4787" t="s">
        <v>13</v>
      </c>
      <c r="H4787" t="s">
        <v>44</v>
      </c>
      <c r="I4787" t="e">
        <f t="shared" ca="1" si="377"/>
        <v>#REF!</v>
      </c>
      <c r="J4787" t="str">
        <f>VLOOKUP($G4787,DefinitionArrays!$I$6:$J$12,2,FALSE)</f>
        <v>Workweek</v>
      </c>
    </row>
    <row r="4788" spans="1:10">
      <c r="A4788" s="159" t="str">
        <f t="shared" si="373"/>
        <v>$E$1:$E$92</v>
      </c>
      <c r="B4788" s="159" t="str">
        <f t="shared" si="374"/>
        <v>$F$1:$F$92</v>
      </c>
      <c r="C4788" s="159" t="str">
        <f t="shared" si="375"/>
        <v>June!$E$1:$E$92</v>
      </c>
      <c r="D4788" s="159" t="str">
        <f t="shared" si="376"/>
        <v>June!$F$1:$F$92</v>
      </c>
      <c r="E4788" t="s">
        <v>9</v>
      </c>
      <c r="F4788" t="s">
        <v>125</v>
      </c>
      <c r="G4788" t="s">
        <v>142</v>
      </c>
      <c r="H4788" t="s">
        <v>159</v>
      </c>
      <c r="I4788" t="e">
        <f t="shared" ca="1" si="377"/>
        <v>#REF!</v>
      </c>
      <c r="J4788" t="str">
        <f>VLOOKUP($G4788,DefinitionArrays!$I$6:$J$12,2,FALSE)</f>
        <v>Workweek</v>
      </c>
    </row>
    <row r="4789" spans="1:10">
      <c r="A4789" s="159" t="str">
        <f t="shared" si="373"/>
        <v>$E$1:$E$92</v>
      </c>
      <c r="B4789" s="159" t="str">
        <f t="shared" si="374"/>
        <v>$F$1:$F$92</v>
      </c>
      <c r="C4789" s="159" t="str">
        <f t="shared" si="375"/>
        <v>June!$E$1:$E$92</v>
      </c>
      <c r="D4789" s="159" t="str">
        <f t="shared" si="376"/>
        <v>June!$F$1:$F$92</v>
      </c>
      <c r="E4789" t="s">
        <v>9</v>
      </c>
      <c r="F4789" t="s">
        <v>125</v>
      </c>
      <c r="G4789" t="s">
        <v>142</v>
      </c>
      <c r="H4789" t="s">
        <v>18</v>
      </c>
      <c r="I4789" t="e">
        <f t="shared" ca="1" si="377"/>
        <v>#REF!</v>
      </c>
      <c r="J4789" t="str">
        <f>VLOOKUP($G4789,DefinitionArrays!$I$6:$J$12,2,FALSE)</f>
        <v>Workweek</v>
      </c>
    </row>
    <row r="4790" spans="1:10">
      <c r="A4790" s="159" t="str">
        <f t="shared" si="373"/>
        <v>$E$1:$E$92</v>
      </c>
      <c r="B4790" s="159" t="str">
        <f t="shared" si="374"/>
        <v>$F$1:$F$92</v>
      </c>
      <c r="C4790" s="159" t="str">
        <f t="shared" si="375"/>
        <v>June!$E$1:$E$92</v>
      </c>
      <c r="D4790" s="159" t="str">
        <f t="shared" si="376"/>
        <v>June!$F$1:$F$92</v>
      </c>
      <c r="E4790" t="s">
        <v>9</v>
      </c>
      <c r="F4790" t="s">
        <v>125</v>
      </c>
      <c r="G4790" t="s">
        <v>142</v>
      </c>
      <c r="H4790" t="s">
        <v>153</v>
      </c>
      <c r="I4790" t="e">
        <f t="shared" ca="1" si="377"/>
        <v>#REF!</v>
      </c>
      <c r="J4790" t="str">
        <f>VLOOKUP($G4790,DefinitionArrays!$I$6:$J$12,2,FALSE)</f>
        <v>Workweek</v>
      </c>
    </row>
    <row r="4791" spans="1:10">
      <c r="A4791" s="159" t="str">
        <f t="shared" si="373"/>
        <v>$E$1:$E$92</v>
      </c>
      <c r="B4791" s="159" t="str">
        <f t="shared" si="374"/>
        <v>$F$1:$F$92</v>
      </c>
      <c r="C4791" s="159" t="str">
        <f t="shared" si="375"/>
        <v>June!$E$1:$E$92</v>
      </c>
      <c r="D4791" s="159" t="str">
        <f t="shared" si="376"/>
        <v>June!$F$1:$F$92</v>
      </c>
      <c r="E4791" t="s">
        <v>9</v>
      </c>
      <c r="F4791" t="s">
        <v>125</v>
      </c>
      <c r="G4791" t="s">
        <v>142</v>
      </c>
      <c r="H4791" t="s">
        <v>19</v>
      </c>
      <c r="I4791" t="e">
        <f t="shared" ca="1" si="377"/>
        <v>#REF!</v>
      </c>
      <c r="J4791" t="str">
        <f>VLOOKUP($G4791,DefinitionArrays!$I$6:$J$12,2,FALSE)</f>
        <v>Workweek</v>
      </c>
    </row>
    <row r="4792" spans="1:10">
      <c r="A4792" s="159" t="str">
        <f t="shared" si="373"/>
        <v>$E$1:$E$92</v>
      </c>
      <c r="B4792" s="159" t="str">
        <f t="shared" si="374"/>
        <v>$F$1:$F$92</v>
      </c>
      <c r="C4792" s="159" t="str">
        <f t="shared" si="375"/>
        <v>June!$E$1:$E$92</v>
      </c>
      <c r="D4792" s="159" t="str">
        <f t="shared" si="376"/>
        <v>June!$F$1:$F$92</v>
      </c>
      <c r="E4792" t="s">
        <v>9</v>
      </c>
      <c r="F4792" t="s">
        <v>125</v>
      </c>
      <c r="G4792" t="s">
        <v>142</v>
      </c>
      <c r="H4792" t="s">
        <v>20</v>
      </c>
      <c r="I4792" t="e">
        <f t="shared" ca="1" si="377"/>
        <v>#REF!</v>
      </c>
      <c r="J4792" t="str">
        <f>VLOOKUP($G4792,DefinitionArrays!$I$6:$J$12,2,FALSE)</f>
        <v>Workweek</v>
      </c>
    </row>
    <row r="4793" spans="1:10">
      <c r="A4793" s="159" t="str">
        <f t="shared" si="373"/>
        <v>$E$1:$E$92</v>
      </c>
      <c r="B4793" s="159" t="str">
        <f t="shared" si="374"/>
        <v>$F$1:$F$92</v>
      </c>
      <c r="C4793" s="159" t="str">
        <f t="shared" si="375"/>
        <v>June!$E$1:$E$92</v>
      </c>
      <c r="D4793" s="159" t="str">
        <f t="shared" si="376"/>
        <v>June!$F$1:$F$92</v>
      </c>
      <c r="E4793" t="s">
        <v>9</v>
      </c>
      <c r="F4793" t="s">
        <v>125</v>
      </c>
      <c r="G4793" t="s">
        <v>142</v>
      </c>
      <c r="H4793" t="s">
        <v>21</v>
      </c>
      <c r="I4793" t="e">
        <f t="shared" ca="1" si="377"/>
        <v>#REF!</v>
      </c>
      <c r="J4793" t="str">
        <f>VLOOKUP($G4793,DefinitionArrays!$I$6:$J$12,2,FALSE)</f>
        <v>Workweek</v>
      </c>
    </row>
    <row r="4794" spans="1:10">
      <c r="A4794" s="159" t="str">
        <f t="shared" si="373"/>
        <v>$E$1:$E$92</v>
      </c>
      <c r="B4794" s="159" t="str">
        <f t="shared" si="374"/>
        <v>$F$1:$F$92</v>
      </c>
      <c r="C4794" s="159" t="str">
        <f t="shared" si="375"/>
        <v>June!$E$1:$E$92</v>
      </c>
      <c r="D4794" s="159" t="str">
        <f t="shared" si="376"/>
        <v>June!$F$1:$F$92</v>
      </c>
      <c r="E4794" t="s">
        <v>9</v>
      </c>
      <c r="F4794" t="s">
        <v>125</v>
      </c>
      <c r="G4794" t="s">
        <v>142</v>
      </c>
      <c r="H4794" t="s">
        <v>22</v>
      </c>
      <c r="I4794" t="e">
        <f t="shared" ca="1" si="377"/>
        <v>#REF!</v>
      </c>
      <c r="J4794" t="str">
        <f>VLOOKUP($G4794,DefinitionArrays!$I$6:$J$12,2,FALSE)</f>
        <v>Workweek</v>
      </c>
    </row>
    <row r="4795" spans="1:10">
      <c r="A4795" s="159" t="str">
        <f t="shared" si="373"/>
        <v>$E$1:$E$92</v>
      </c>
      <c r="B4795" s="159" t="str">
        <f t="shared" si="374"/>
        <v>$F$1:$F$92</v>
      </c>
      <c r="C4795" s="159" t="str">
        <f t="shared" si="375"/>
        <v>June!$E$1:$E$92</v>
      </c>
      <c r="D4795" s="159" t="str">
        <f t="shared" si="376"/>
        <v>June!$F$1:$F$92</v>
      </c>
      <c r="E4795" t="s">
        <v>9</v>
      </c>
      <c r="F4795" t="s">
        <v>125</v>
      </c>
      <c r="G4795" t="s">
        <v>142</v>
      </c>
      <c r="H4795" t="s">
        <v>23</v>
      </c>
      <c r="I4795" t="e">
        <f t="shared" ca="1" si="377"/>
        <v>#REF!</v>
      </c>
      <c r="J4795" t="str">
        <f>VLOOKUP($G4795,DefinitionArrays!$I$6:$J$12,2,FALSE)</f>
        <v>Workweek</v>
      </c>
    </row>
    <row r="4796" spans="1:10">
      <c r="A4796" s="159" t="str">
        <f t="shared" si="373"/>
        <v>$E$1:$E$92</v>
      </c>
      <c r="B4796" s="159" t="str">
        <f t="shared" si="374"/>
        <v>$F$1:$F$92</v>
      </c>
      <c r="C4796" s="159" t="str">
        <f t="shared" si="375"/>
        <v>June!$E$1:$E$92</v>
      </c>
      <c r="D4796" s="159" t="str">
        <f t="shared" si="376"/>
        <v>June!$F$1:$F$92</v>
      </c>
      <c r="E4796" t="s">
        <v>9</v>
      </c>
      <c r="F4796" t="s">
        <v>125</v>
      </c>
      <c r="G4796" t="s">
        <v>142</v>
      </c>
      <c r="H4796" t="s">
        <v>24</v>
      </c>
      <c r="I4796" t="e">
        <f t="shared" ca="1" si="377"/>
        <v>#REF!</v>
      </c>
      <c r="J4796" t="str">
        <f>VLOOKUP($G4796,DefinitionArrays!$I$6:$J$12,2,FALSE)</f>
        <v>Workweek</v>
      </c>
    </row>
    <row r="4797" spans="1:10">
      <c r="A4797" s="159" t="str">
        <f t="shared" si="373"/>
        <v>$E$1:$E$92</v>
      </c>
      <c r="B4797" s="159" t="str">
        <f t="shared" si="374"/>
        <v>$F$1:$F$92</v>
      </c>
      <c r="C4797" s="159" t="str">
        <f t="shared" si="375"/>
        <v>June!$E$1:$E$92</v>
      </c>
      <c r="D4797" s="159" t="str">
        <f t="shared" si="376"/>
        <v>June!$F$1:$F$92</v>
      </c>
      <c r="E4797" t="s">
        <v>9</v>
      </c>
      <c r="F4797" t="s">
        <v>125</v>
      </c>
      <c r="G4797" t="s">
        <v>142</v>
      </c>
      <c r="H4797" t="s">
        <v>179</v>
      </c>
      <c r="I4797" t="e">
        <f t="shared" ca="1" si="377"/>
        <v>#REF!</v>
      </c>
      <c r="J4797" t="str">
        <f>VLOOKUP($G4797,DefinitionArrays!$I$6:$J$12,2,FALSE)</f>
        <v>Workweek</v>
      </c>
    </row>
    <row r="4798" spans="1:10">
      <c r="A4798" s="159" t="str">
        <f t="shared" si="373"/>
        <v>$E$1:$E$92</v>
      </c>
      <c r="B4798" s="159" t="str">
        <f t="shared" si="374"/>
        <v>$F$1:$F$92</v>
      </c>
      <c r="C4798" s="159" t="str">
        <f t="shared" si="375"/>
        <v>June!$E$1:$E$92</v>
      </c>
      <c r="D4798" s="159" t="str">
        <f t="shared" si="376"/>
        <v>June!$F$1:$F$92</v>
      </c>
      <c r="E4798" t="s">
        <v>9</v>
      </c>
      <c r="F4798" t="s">
        <v>125</v>
      </c>
      <c r="G4798" t="s">
        <v>142</v>
      </c>
      <c r="H4798" t="s">
        <v>180</v>
      </c>
      <c r="I4798" t="e">
        <f t="shared" ca="1" si="377"/>
        <v>#REF!</v>
      </c>
      <c r="J4798" t="str">
        <f>VLOOKUP($G4798,DefinitionArrays!$I$6:$J$12,2,FALSE)</f>
        <v>Workweek</v>
      </c>
    </row>
    <row r="4799" spans="1:10">
      <c r="A4799" s="159" t="str">
        <f t="shared" si="373"/>
        <v>$E$1:$E$92</v>
      </c>
      <c r="B4799" s="159" t="str">
        <f t="shared" si="374"/>
        <v>$F$1:$F$92</v>
      </c>
      <c r="C4799" s="159" t="str">
        <f t="shared" si="375"/>
        <v>June!$E$1:$E$92</v>
      </c>
      <c r="D4799" s="159" t="str">
        <f t="shared" si="376"/>
        <v>June!$F$1:$F$92</v>
      </c>
      <c r="E4799" t="s">
        <v>9</v>
      </c>
      <c r="F4799" t="s">
        <v>125</v>
      </c>
      <c r="G4799" t="s">
        <v>142</v>
      </c>
      <c r="H4799" t="s">
        <v>44</v>
      </c>
      <c r="I4799" t="e">
        <f t="shared" ca="1" si="377"/>
        <v>#REF!</v>
      </c>
      <c r="J4799" t="str">
        <f>VLOOKUP($G4799,DefinitionArrays!$I$6:$J$12,2,FALSE)</f>
        <v>Workweek</v>
      </c>
    </row>
    <row r="4800" spans="1:10">
      <c r="A4800" s="159" t="str">
        <f t="shared" si="373"/>
        <v>$H$1:$H$92</v>
      </c>
      <c r="B4800" s="159" t="str">
        <f t="shared" si="374"/>
        <v>$I$1:$I$92</v>
      </c>
      <c r="C4800" s="159" t="str">
        <f t="shared" si="375"/>
        <v>June!$H$1:$H$92</v>
      </c>
      <c r="D4800" s="159" t="str">
        <f t="shared" si="376"/>
        <v>June!$I$1:$I$92</v>
      </c>
      <c r="E4800" t="s">
        <v>9</v>
      </c>
      <c r="F4800" t="s">
        <v>125</v>
      </c>
      <c r="G4800" t="s">
        <v>143</v>
      </c>
      <c r="H4800" t="s">
        <v>159</v>
      </c>
      <c r="I4800" t="e">
        <f t="shared" ca="1" si="377"/>
        <v>#REF!</v>
      </c>
      <c r="J4800" t="str">
        <f>VLOOKUP($G4800,DefinitionArrays!$I$6:$J$12,2,FALSE)</f>
        <v>Workweek</v>
      </c>
    </row>
    <row r="4801" spans="1:10">
      <c r="A4801" s="159" t="str">
        <f t="shared" si="373"/>
        <v>$H$1:$H$92</v>
      </c>
      <c r="B4801" s="159" t="str">
        <f t="shared" si="374"/>
        <v>$I$1:$I$92</v>
      </c>
      <c r="C4801" s="159" t="str">
        <f t="shared" si="375"/>
        <v>June!$H$1:$H$92</v>
      </c>
      <c r="D4801" s="159" t="str">
        <f t="shared" si="376"/>
        <v>June!$I$1:$I$92</v>
      </c>
      <c r="E4801" t="s">
        <v>9</v>
      </c>
      <c r="F4801" t="s">
        <v>125</v>
      </c>
      <c r="G4801" t="s">
        <v>143</v>
      </c>
      <c r="H4801" t="s">
        <v>18</v>
      </c>
      <c r="I4801" t="e">
        <f t="shared" ca="1" si="377"/>
        <v>#REF!</v>
      </c>
      <c r="J4801" t="str">
        <f>VLOOKUP($G4801,DefinitionArrays!$I$6:$J$12,2,FALSE)</f>
        <v>Workweek</v>
      </c>
    </row>
    <row r="4802" spans="1:10">
      <c r="A4802" s="159" t="str">
        <f t="shared" ref="A4802:A4865" si="378">VLOOKUP($G4802,Fx_Code,2,FALSE)</f>
        <v>$H$1:$H$92</v>
      </c>
      <c r="B4802" s="159" t="str">
        <f t="shared" ref="B4802:B4865" si="379">VLOOKUP($G4802,Fx_Code,3,FALSE)</f>
        <v>$I$1:$I$92</v>
      </c>
      <c r="C4802" s="159" t="str">
        <f t="shared" ref="C4802:C4865" si="380">CONCATENATE($F4802,$K$1,A4802)</f>
        <v>June!$H$1:$H$92</v>
      </c>
      <c r="D4802" s="159" t="str">
        <f t="shared" ref="D4802:D4865" si="381">CONCATENATE($F4802,$K$1,B4802)</f>
        <v>June!$I$1:$I$92</v>
      </c>
      <c r="E4802" t="s">
        <v>9</v>
      </c>
      <c r="F4802" t="s">
        <v>125</v>
      </c>
      <c r="G4802" t="s">
        <v>143</v>
      </c>
      <c r="H4802" t="s">
        <v>153</v>
      </c>
      <c r="I4802" t="e">
        <f t="shared" ca="1" si="377"/>
        <v>#REF!</v>
      </c>
      <c r="J4802" t="str">
        <f>VLOOKUP($G4802,DefinitionArrays!$I$6:$J$12,2,FALSE)</f>
        <v>Workweek</v>
      </c>
    </row>
    <row r="4803" spans="1:10">
      <c r="A4803" s="159" t="str">
        <f t="shared" si="378"/>
        <v>$H$1:$H$92</v>
      </c>
      <c r="B4803" s="159" t="str">
        <f t="shared" si="379"/>
        <v>$I$1:$I$92</v>
      </c>
      <c r="C4803" s="159" t="str">
        <f t="shared" si="380"/>
        <v>June!$H$1:$H$92</v>
      </c>
      <c r="D4803" s="159" t="str">
        <f t="shared" si="381"/>
        <v>June!$I$1:$I$92</v>
      </c>
      <c r="E4803" t="s">
        <v>9</v>
      </c>
      <c r="F4803" t="s">
        <v>125</v>
      </c>
      <c r="G4803" t="s">
        <v>143</v>
      </c>
      <c r="H4803" t="s">
        <v>19</v>
      </c>
      <c r="I4803" t="e">
        <f t="shared" ca="1" si="377"/>
        <v>#REF!</v>
      </c>
      <c r="J4803" t="str">
        <f>VLOOKUP($G4803,DefinitionArrays!$I$6:$J$12,2,FALSE)</f>
        <v>Workweek</v>
      </c>
    </row>
    <row r="4804" spans="1:10">
      <c r="A4804" s="159" t="str">
        <f t="shared" si="378"/>
        <v>$H$1:$H$92</v>
      </c>
      <c r="B4804" s="159" t="str">
        <f t="shared" si="379"/>
        <v>$I$1:$I$92</v>
      </c>
      <c r="C4804" s="159" t="str">
        <f t="shared" si="380"/>
        <v>June!$H$1:$H$92</v>
      </c>
      <c r="D4804" s="159" t="str">
        <f t="shared" si="381"/>
        <v>June!$I$1:$I$92</v>
      </c>
      <c r="E4804" t="s">
        <v>9</v>
      </c>
      <c r="F4804" t="s">
        <v>125</v>
      </c>
      <c r="G4804" t="s">
        <v>143</v>
      </c>
      <c r="H4804" t="s">
        <v>20</v>
      </c>
      <c r="I4804" t="e">
        <f t="shared" ca="1" si="377"/>
        <v>#REF!</v>
      </c>
      <c r="J4804" t="str">
        <f>VLOOKUP($G4804,DefinitionArrays!$I$6:$J$12,2,FALSE)</f>
        <v>Workweek</v>
      </c>
    </row>
    <row r="4805" spans="1:10">
      <c r="A4805" s="159" t="str">
        <f t="shared" si="378"/>
        <v>$H$1:$H$92</v>
      </c>
      <c r="B4805" s="159" t="str">
        <f t="shared" si="379"/>
        <v>$I$1:$I$92</v>
      </c>
      <c r="C4805" s="159" t="str">
        <f t="shared" si="380"/>
        <v>June!$H$1:$H$92</v>
      </c>
      <c r="D4805" s="159" t="str">
        <f t="shared" si="381"/>
        <v>June!$I$1:$I$92</v>
      </c>
      <c r="E4805" t="s">
        <v>9</v>
      </c>
      <c r="F4805" t="s">
        <v>125</v>
      </c>
      <c r="G4805" t="s">
        <v>143</v>
      </c>
      <c r="H4805" t="s">
        <v>21</v>
      </c>
      <c r="I4805" t="e">
        <f t="shared" ca="1" si="377"/>
        <v>#REF!</v>
      </c>
      <c r="J4805" t="str">
        <f>VLOOKUP($G4805,DefinitionArrays!$I$6:$J$12,2,FALSE)</f>
        <v>Workweek</v>
      </c>
    </row>
    <row r="4806" spans="1:10">
      <c r="A4806" s="159" t="str">
        <f t="shared" si="378"/>
        <v>$H$1:$H$92</v>
      </c>
      <c r="B4806" s="159" t="str">
        <f t="shared" si="379"/>
        <v>$I$1:$I$92</v>
      </c>
      <c r="C4806" s="159" t="str">
        <f t="shared" si="380"/>
        <v>June!$H$1:$H$92</v>
      </c>
      <c r="D4806" s="159" t="str">
        <f t="shared" si="381"/>
        <v>June!$I$1:$I$92</v>
      </c>
      <c r="E4806" t="s">
        <v>9</v>
      </c>
      <c r="F4806" t="s">
        <v>125</v>
      </c>
      <c r="G4806" t="s">
        <v>143</v>
      </c>
      <c r="H4806" t="s">
        <v>22</v>
      </c>
      <c r="I4806" t="e">
        <f t="shared" ca="1" si="377"/>
        <v>#REF!</v>
      </c>
      <c r="J4806" t="str">
        <f>VLOOKUP($G4806,DefinitionArrays!$I$6:$J$12,2,FALSE)</f>
        <v>Workweek</v>
      </c>
    </row>
    <row r="4807" spans="1:10">
      <c r="A4807" s="159" t="str">
        <f t="shared" si="378"/>
        <v>$H$1:$H$92</v>
      </c>
      <c r="B4807" s="159" t="str">
        <f t="shared" si="379"/>
        <v>$I$1:$I$92</v>
      </c>
      <c r="C4807" s="159" t="str">
        <f t="shared" si="380"/>
        <v>June!$H$1:$H$92</v>
      </c>
      <c r="D4807" s="159" t="str">
        <f t="shared" si="381"/>
        <v>June!$I$1:$I$92</v>
      </c>
      <c r="E4807" t="s">
        <v>9</v>
      </c>
      <c r="F4807" t="s">
        <v>125</v>
      </c>
      <c r="G4807" t="s">
        <v>143</v>
      </c>
      <c r="H4807" t="s">
        <v>23</v>
      </c>
      <c r="I4807" t="e">
        <f t="shared" ca="1" si="377"/>
        <v>#REF!</v>
      </c>
      <c r="J4807" t="str">
        <f>VLOOKUP($G4807,DefinitionArrays!$I$6:$J$12,2,FALSE)</f>
        <v>Workweek</v>
      </c>
    </row>
    <row r="4808" spans="1:10">
      <c r="A4808" s="159" t="str">
        <f t="shared" si="378"/>
        <v>$H$1:$H$92</v>
      </c>
      <c r="B4808" s="159" t="str">
        <f t="shared" si="379"/>
        <v>$I$1:$I$92</v>
      </c>
      <c r="C4808" s="159" t="str">
        <f t="shared" si="380"/>
        <v>June!$H$1:$H$92</v>
      </c>
      <c r="D4808" s="159" t="str">
        <f t="shared" si="381"/>
        <v>June!$I$1:$I$92</v>
      </c>
      <c r="E4808" t="s">
        <v>9</v>
      </c>
      <c r="F4808" t="s">
        <v>125</v>
      </c>
      <c r="G4808" t="s">
        <v>143</v>
      </c>
      <c r="H4808" t="s">
        <v>24</v>
      </c>
      <c r="I4808" t="e">
        <f t="shared" ca="1" si="377"/>
        <v>#REF!</v>
      </c>
      <c r="J4808" t="str">
        <f>VLOOKUP($G4808,DefinitionArrays!$I$6:$J$12,2,FALSE)</f>
        <v>Workweek</v>
      </c>
    </row>
    <row r="4809" spans="1:10">
      <c r="A4809" s="159" t="str">
        <f t="shared" si="378"/>
        <v>$H$1:$H$92</v>
      </c>
      <c r="B4809" s="159" t="str">
        <f t="shared" si="379"/>
        <v>$I$1:$I$92</v>
      </c>
      <c r="C4809" s="159" t="str">
        <f t="shared" si="380"/>
        <v>June!$H$1:$H$92</v>
      </c>
      <c r="D4809" s="159" t="str">
        <f t="shared" si="381"/>
        <v>June!$I$1:$I$92</v>
      </c>
      <c r="E4809" t="s">
        <v>9</v>
      </c>
      <c r="F4809" t="s">
        <v>125</v>
      </c>
      <c r="G4809" t="s">
        <v>143</v>
      </c>
      <c r="H4809" t="s">
        <v>179</v>
      </c>
      <c r="I4809" t="e">
        <f t="shared" ca="1" si="377"/>
        <v>#REF!</v>
      </c>
      <c r="J4809" t="str">
        <f>VLOOKUP($G4809,DefinitionArrays!$I$6:$J$12,2,FALSE)</f>
        <v>Workweek</v>
      </c>
    </row>
    <row r="4810" spans="1:10">
      <c r="A4810" s="159" t="str">
        <f t="shared" si="378"/>
        <v>$H$1:$H$92</v>
      </c>
      <c r="B4810" s="159" t="str">
        <f t="shared" si="379"/>
        <v>$I$1:$I$92</v>
      </c>
      <c r="C4810" s="159" t="str">
        <f t="shared" si="380"/>
        <v>June!$H$1:$H$92</v>
      </c>
      <c r="D4810" s="159" t="str">
        <f t="shared" si="381"/>
        <v>June!$I$1:$I$92</v>
      </c>
      <c r="E4810" t="s">
        <v>9</v>
      </c>
      <c r="F4810" t="s">
        <v>125</v>
      </c>
      <c r="G4810" t="s">
        <v>143</v>
      </c>
      <c r="H4810" t="s">
        <v>180</v>
      </c>
      <c r="I4810" t="e">
        <f t="shared" ca="1" si="377"/>
        <v>#REF!</v>
      </c>
      <c r="J4810" t="str">
        <f>VLOOKUP($G4810,DefinitionArrays!$I$6:$J$12,2,FALSE)</f>
        <v>Workweek</v>
      </c>
    </row>
    <row r="4811" spans="1:10">
      <c r="A4811" s="159" t="str">
        <f t="shared" si="378"/>
        <v>$H$1:$H$92</v>
      </c>
      <c r="B4811" s="159" t="str">
        <f t="shared" si="379"/>
        <v>$I$1:$I$92</v>
      </c>
      <c r="C4811" s="159" t="str">
        <f t="shared" si="380"/>
        <v>June!$H$1:$H$92</v>
      </c>
      <c r="D4811" s="159" t="str">
        <f t="shared" si="381"/>
        <v>June!$I$1:$I$92</v>
      </c>
      <c r="E4811" t="s">
        <v>9</v>
      </c>
      <c r="F4811" t="s">
        <v>125</v>
      </c>
      <c r="G4811" t="s">
        <v>143</v>
      </c>
      <c r="H4811" t="s">
        <v>44</v>
      </c>
      <c r="I4811" t="e">
        <f t="shared" ca="1" si="377"/>
        <v>#REF!</v>
      </c>
      <c r="J4811" t="str">
        <f>VLOOKUP($G4811,DefinitionArrays!$I$6:$J$12,2,FALSE)</f>
        <v>Workweek</v>
      </c>
    </row>
    <row r="4812" spans="1:10">
      <c r="A4812" s="159" t="str">
        <f t="shared" si="378"/>
        <v>$K$1:$K$92</v>
      </c>
      <c r="B4812" s="159" t="str">
        <f t="shared" si="379"/>
        <v>$L$1:$L$92</v>
      </c>
      <c r="C4812" s="159" t="str">
        <f t="shared" si="380"/>
        <v>June!$K$1:$K$92</v>
      </c>
      <c r="D4812" s="159" t="str">
        <f t="shared" si="381"/>
        <v>June!$L$1:$L$92</v>
      </c>
      <c r="E4812" t="s">
        <v>9</v>
      </c>
      <c r="F4812" t="s">
        <v>125</v>
      </c>
      <c r="G4812" t="s">
        <v>144</v>
      </c>
      <c r="H4812" t="s">
        <v>159</v>
      </c>
      <c r="I4812" t="e">
        <f t="shared" ca="1" si="377"/>
        <v>#REF!</v>
      </c>
      <c r="J4812" t="str">
        <f>VLOOKUP($G4812,DefinitionArrays!$I$6:$J$12,2,FALSE)</f>
        <v>Workweek</v>
      </c>
    </row>
    <row r="4813" spans="1:10">
      <c r="A4813" s="159" t="str">
        <f t="shared" si="378"/>
        <v>$K$1:$K$92</v>
      </c>
      <c r="B4813" s="159" t="str">
        <f t="shared" si="379"/>
        <v>$L$1:$L$92</v>
      </c>
      <c r="C4813" s="159" t="str">
        <f t="shared" si="380"/>
        <v>June!$K$1:$K$92</v>
      </c>
      <c r="D4813" s="159" t="str">
        <f t="shared" si="381"/>
        <v>June!$L$1:$L$92</v>
      </c>
      <c r="E4813" t="s">
        <v>9</v>
      </c>
      <c r="F4813" t="s">
        <v>125</v>
      </c>
      <c r="G4813" t="s">
        <v>144</v>
      </c>
      <c r="H4813" t="s">
        <v>18</v>
      </c>
      <c r="I4813" t="e">
        <f t="shared" ca="1" si="377"/>
        <v>#REF!</v>
      </c>
      <c r="J4813" t="str">
        <f>VLOOKUP($G4813,DefinitionArrays!$I$6:$J$12,2,FALSE)</f>
        <v>Workweek</v>
      </c>
    </row>
    <row r="4814" spans="1:10">
      <c r="A4814" s="159" t="str">
        <f t="shared" si="378"/>
        <v>$K$1:$K$92</v>
      </c>
      <c r="B4814" s="159" t="str">
        <f t="shared" si="379"/>
        <v>$L$1:$L$92</v>
      </c>
      <c r="C4814" s="159" t="str">
        <f t="shared" si="380"/>
        <v>June!$K$1:$K$92</v>
      </c>
      <c r="D4814" s="159" t="str">
        <f t="shared" si="381"/>
        <v>June!$L$1:$L$92</v>
      </c>
      <c r="E4814" t="s">
        <v>9</v>
      </c>
      <c r="F4814" t="s">
        <v>125</v>
      </c>
      <c r="G4814" t="s">
        <v>144</v>
      </c>
      <c r="H4814" t="s">
        <v>153</v>
      </c>
      <c r="I4814" t="e">
        <f t="shared" ca="1" si="377"/>
        <v>#REF!</v>
      </c>
      <c r="J4814" t="str">
        <f>VLOOKUP($G4814,DefinitionArrays!$I$6:$J$12,2,FALSE)</f>
        <v>Workweek</v>
      </c>
    </row>
    <row r="4815" spans="1:10">
      <c r="A4815" s="159" t="str">
        <f t="shared" si="378"/>
        <v>$K$1:$K$92</v>
      </c>
      <c r="B4815" s="159" t="str">
        <f t="shared" si="379"/>
        <v>$L$1:$L$92</v>
      </c>
      <c r="C4815" s="159" t="str">
        <f t="shared" si="380"/>
        <v>June!$K$1:$K$92</v>
      </c>
      <c r="D4815" s="159" t="str">
        <f t="shared" si="381"/>
        <v>June!$L$1:$L$92</v>
      </c>
      <c r="E4815" t="s">
        <v>9</v>
      </c>
      <c r="F4815" t="s">
        <v>125</v>
      </c>
      <c r="G4815" t="s">
        <v>144</v>
      </c>
      <c r="H4815" t="s">
        <v>19</v>
      </c>
      <c r="I4815" t="e">
        <f t="shared" ca="1" si="377"/>
        <v>#REF!</v>
      </c>
      <c r="J4815" t="str">
        <f>VLOOKUP($G4815,DefinitionArrays!$I$6:$J$12,2,FALSE)</f>
        <v>Workweek</v>
      </c>
    </row>
    <row r="4816" spans="1:10">
      <c r="A4816" s="159" t="str">
        <f t="shared" si="378"/>
        <v>$K$1:$K$92</v>
      </c>
      <c r="B4816" s="159" t="str">
        <f t="shared" si="379"/>
        <v>$L$1:$L$92</v>
      </c>
      <c r="C4816" s="159" t="str">
        <f t="shared" si="380"/>
        <v>June!$K$1:$K$92</v>
      </c>
      <c r="D4816" s="159" t="str">
        <f t="shared" si="381"/>
        <v>June!$L$1:$L$92</v>
      </c>
      <c r="E4816" t="s">
        <v>9</v>
      </c>
      <c r="F4816" t="s">
        <v>125</v>
      </c>
      <c r="G4816" t="s">
        <v>144</v>
      </c>
      <c r="H4816" t="s">
        <v>20</v>
      </c>
      <c r="I4816" t="e">
        <f t="shared" ca="1" si="377"/>
        <v>#REF!</v>
      </c>
      <c r="J4816" t="str">
        <f>VLOOKUP($G4816,DefinitionArrays!$I$6:$J$12,2,FALSE)</f>
        <v>Workweek</v>
      </c>
    </row>
    <row r="4817" spans="1:10">
      <c r="A4817" s="159" t="str">
        <f t="shared" si="378"/>
        <v>$K$1:$K$92</v>
      </c>
      <c r="B4817" s="159" t="str">
        <f t="shared" si="379"/>
        <v>$L$1:$L$92</v>
      </c>
      <c r="C4817" s="159" t="str">
        <f t="shared" si="380"/>
        <v>June!$K$1:$K$92</v>
      </c>
      <c r="D4817" s="159" t="str">
        <f t="shared" si="381"/>
        <v>June!$L$1:$L$92</v>
      </c>
      <c r="E4817" t="s">
        <v>9</v>
      </c>
      <c r="F4817" t="s">
        <v>125</v>
      </c>
      <c r="G4817" t="s">
        <v>144</v>
      </c>
      <c r="H4817" t="s">
        <v>21</v>
      </c>
      <c r="I4817" t="e">
        <f t="shared" ca="1" si="377"/>
        <v>#REF!</v>
      </c>
      <c r="J4817" t="str">
        <f>VLOOKUP($G4817,DefinitionArrays!$I$6:$J$12,2,FALSE)</f>
        <v>Workweek</v>
      </c>
    </row>
    <row r="4818" spans="1:10">
      <c r="A4818" s="159" t="str">
        <f t="shared" si="378"/>
        <v>$K$1:$K$92</v>
      </c>
      <c r="B4818" s="159" t="str">
        <f t="shared" si="379"/>
        <v>$L$1:$L$92</v>
      </c>
      <c r="C4818" s="159" t="str">
        <f t="shared" si="380"/>
        <v>June!$K$1:$K$92</v>
      </c>
      <c r="D4818" s="159" t="str">
        <f t="shared" si="381"/>
        <v>June!$L$1:$L$92</v>
      </c>
      <c r="E4818" t="s">
        <v>9</v>
      </c>
      <c r="F4818" t="s">
        <v>125</v>
      </c>
      <c r="G4818" t="s">
        <v>144</v>
      </c>
      <c r="H4818" t="s">
        <v>22</v>
      </c>
      <c r="I4818" t="e">
        <f t="shared" ca="1" si="377"/>
        <v>#REF!</v>
      </c>
      <c r="J4818" t="str">
        <f>VLOOKUP($G4818,DefinitionArrays!$I$6:$J$12,2,FALSE)</f>
        <v>Workweek</v>
      </c>
    </row>
    <row r="4819" spans="1:10">
      <c r="A4819" s="159" t="str">
        <f t="shared" si="378"/>
        <v>$K$1:$K$92</v>
      </c>
      <c r="B4819" s="159" t="str">
        <f t="shared" si="379"/>
        <v>$L$1:$L$92</v>
      </c>
      <c r="C4819" s="159" t="str">
        <f t="shared" si="380"/>
        <v>June!$K$1:$K$92</v>
      </c>
      <c r="D4819" s="159" t="str">
        <f t="shared" si="381"/>
        <v>June!$L$1:$L$92</v>
      </c>
      <c r="E4819" t="s">
        <v>9</v>
      </c>
      <c r="F4819" t="s">
        <v>125</v>
      </c>
      <c r="G4819" t="s">
        <v>144</v>
      </c>
      <c r="H4819" t="s">
        <v>23</v>
      </c>
      <c r="I4819" t="e">
        <f t="shared" ca="1" si="377"/>
        <v>#REF!</v>
      </c>
      <c r="J4819" t="str">
        <f>VLOOKUP($G4819,DefinitionArrays!$I$6:$J$12,2,FALSE)</f>
        <v>Workweek</v>
      </c>
    </row>
    <row r="4820" spans="1:10">
      <c r="A4820" s="159" t="str">
        <f t="shared" si="378"/>
        <v>$K$1:$K$92</v>
      </c>
      <c r="B4820" s="159" t="str">
        <f t="shared" si="379"/>
        <v>$L$1:$L$92</v>
      </c>
      <c r="C4820" s="159" t="str">
        <f t="shared" si="380"/>
        <v>June!$K$1:$K$92</v>
      </c>
      <c r="D4820" s="159" t="str">
        <f t="shared" si="381"/>
        <v>June!$L$1:$L$92</v>
      </c>
      <c r="E4820" t="s">
        <v>9</v>
      </c>
      <c r="F4820" t="s">
        <v>125</v>
      </c>
      <c r="G4820" t="s">
        <v>144</v>
      </c>
      <c r="H4820" t="s">
        <v>24</v>
      </c>
      <c r="I4820" t="e">
        <f t="shared" ca="1" si="377"/>
        <v>#REF!</v>
      </c>
      <c r="J4820" t="str">
        <f>VLOOKUP($G4820,DefinitionArrays!$I$6:$J$12,2,FALSE)</f>
        <v>Workweek</v>
      </c>
    </row>
    <row r="4821" spans="1:10">
      <c r="A4821" s="159" t="str">
        <f t="shared" si="378"/>
        <v>$K$1:$K$92</v>
      </c>
      <c r="B4821" s="159" t="str">
        <f t="shared" si="379"/>
        <v>$L$1:$L$92</v>
      </c>
      <c r="C4821" s="159" t="str">
        <f t="shared" si="380"/>
        <v>June!$K$1:$K$92</v>
      </c>
      <c r="D4821" s="159" t="str">
        <f t="shared" si="381"/>
        <v>June!$L$1:$L$92</v>
      </c>
      <c r="E4821" t="s">
        <v>9</v>
      </c>
      <c r="F4821" t="s">
        <v>125</v>
      </c>
      <c r="G4821" t="s">
        <v>144</v>
      </c>
      <c r="H4821" t="s">
        <v>179</v>
      </c>
      <c r="I4821" t="e">
        <f t="shared" ca="1" si="377"/>
        <v>#REF!</v>
      </c>
      <c r="J4821" t="str">
        <f>VLOOKUP($G4821,DefinitionArrays!$I$6:$J$12,2,FALSE)</f>
        <v>Workweek</v>
      </c>
    </row>
    <row r="4822" spans="1:10">
      <c r="A4822" s="159" t="str">
        <f t="shared" si="378"/>
        <v>$K$1:$K$92</v>
      </c>
      <c r="B4822" s="159" t="str">
        <f t="shared" si="379"/>
        <v>$L$1:$L$92</v>
      </c>
      <c r="C4822" s="159" t="str">
        <f t="shared" si="380"/>
        <v>June!$K$1:$K$92</v>
      </c>
      <c r="D4822" s="159" t="str">
        <f t="shared" si="381"/>
        <v>June!$L$1:$L$92</v>
      </c>
      <c r="E4822" t="s">
        <v>9</v>
      </c>
      <c r="F4822" t="s">
        <v>125</v>
      </c>
      <c r="G4822" t="s">
        <v>144</v>
      </c>
      <c r="H4822" t="s">
        <v>180</v>
      </c>
      <c r="I4822" t="e">
        <f t="shared" ca="1" si="377"/>
        <v>#REF!</v>
      </c>
      <c r="J4822" t="str">
        <f>VLOOKUP($G4822,DefinitionArrays!$I$6:$J$12,2,FALSE)</f>
        <v>Workweek</v>
      </c>
    </row>
    <row r="4823" spans="1:10">
      <c r="A4823" s="159" t="str">
        <f t="shared" si="378"/>
        <v>$K$1:$K$92</v>
      </c>
      <c r="B4823" s="159" t="str">
        <f t="shared" si="379"/>
        <v>$L$1:$L$92</v>
      </c>
      <c r="C4823" s="159" t="str">
        <f t="shared" si="380"/>
        <v>June!$K$1:$K$92</v>
      </c>
      <c r="D4823" s="159" t="str">
        <f t="shared" si="381"/>
        <v>June!$L$1:$L$92</v>
      </c>
      <c r="E4823" t="s">
        <v>9</v>
      </c>
      <c r="F4823" t="s">
        <v>125</v>
      </c>
      <c r="G4823" t="s">
        <v>144</v>
      </c>
      <c r="H4823" t="s">
        <v>44</v>
      </c>
      <c r="I4823" t="e">
        <f t="shared" ca="1" si="377"/>
        <v>#REF!</v>
      </c>
      <c r="J4823" t="str">
        <f>VLOOKUP($G4823,DefinitionArrays!$I$6:$J$12,2,FALSE)</f>
        <v>Workweek</v>
      </c>
    </row>
    <row r="4824" spans="1:10">
      <c r="A4824" s="159" t="str">
        <f t="shared" si="378"/>
        <v>$N$1:$N$92</v>
      </c>
      <c r="B4824" s="159" t="str">
        <f t="shared" si="379"/>
        <v>$O$1:$O$92</v>
      </c>
      <c r="C4824" s="159" t="str">
        <f t="shared" si="380"/>
        <v>June!$N$1:$N$92</v>
      </c>
      <c r="D4824" s="159" t="str">
        <f t="shared" si="381"/>
        <v>June!$O$1:$O$92</v>
      </c>
      <c r="E4824" t="s">
        <v>9</v>
      </c>
      <c r="F4824" t="s">
        <v>125</v>
      </c>
      <c r="G4824" t="s">
        <v>145</v>
      </c>
      <c r="H4824" t="s">
        <v>159</v>
      </c>
      <c r="I4824" t="e">
        <f t="shared" ca="1" si="377"/>
        <v>#REF!</v>
      </c>
      <c r="J4824" t="str">
        <f>VLOOKUP($G4824,DefinitionArrays!$I$6:$J$12,2,FALSE)</f>
        <v>Weekend</v>
      </c>
    </row>
    <row r="4825" spans="1:10">
      <c r="A4825" s="159" t="str">
        <f t="shared" si="378"/>
        <v>$N$1:$N$92</v>
      </c>
      <c r="B4825" s="159" t="str">
        <f t="shared" si="379"/>
        <v>$O$1:$O$92</v>
      </c>
      <c r="C4825" s="159" t="str">
        <f t="shared" si="380"/>
        <v>June!$N$1:$N$92</v>
      </c>
      <c r="D4825" s="159" t="str">
        <f t="shared" si="381"/>
        <v>June!$O$1:$O$92</v>
      </c>
      <c r="E4825" t="s">
        <v>9</v>
      </c>
      <c r="F4825" t="s">
        <v>125</v>
      </c>
      <c r="G4825" t="s">
        <v>145</v>
      </c>
      <c r="H4825" t="s">
        <v>18</v>
      </c>
      <c r="I4825" t="e">
        <f t="shared" ca="1" si="377"/>
        <v>#REF!</v>
      </c>
      <c r="J4825" t="str">
        <f>VLOOKUP($G4825,DefinitionArrays!$I$6:$J$12,2,FALSE)</f>
        <v>Weekend</v>
      </c>
    </row>
    <row r="4826" spans="1:10">
      <c r="A4826" s="159" t="str">
        <f t="shared" si="378"/>
        <v>$N$1:$N$92</v>
      </c>
      <c r="B4826" s="159" t="str">
        <f t="shared" si="379"/>
        <v>$O$1:$O$92</v>
      </c>
      <c r="C4826" s="159" t="str">
        <f t="shared" si="380"/>
        <v>June!$N$1:$N$92</v>
      </c>
      <c r="D4826" s="159" t="str">
        <f t="shared" si="381"/>
        <v>June!$O$1:$O$92</v>
      </c>
      <c r="E4826" t="s">
        <v>9</v>
      </c>
      <c r="F4826" t="s">
        <v>125</v>
      </c>
      <c r="G4826" t="s">
        <v>145</v>
      </c>
      <c r="H4826" t="s">
        <v>153</v>
      </c>
      <c r="I4826" t="e">
        <f t="shared" ca="1" si="377"/>
        <v>#REF!</v>
      </c>
      <c r="J4826" t="str">
        <f>VLOOKUP($G4826,DefinitionArrays!$I$6:$J$12,2,FALSE)</f>
        <v>Weekend</v>
      </c>
    </row>
    <row r="4827" spans="1:10">
      <c r="A4827" s="159" t="str">
        <f t="shared" si="378"/>
        <v>$N$1:$N$92</v>
      </c>
      <c r="B4827" s="159" t="str">
        <f t="shared" si="379"/>
        <v>$O$1:$O$92</v>
      </c>
      <c r="C4827" s="159" t="str">
        <f t="shared" si="380"/>
        <v>June!$N$1:$N$92</v>
      </c>
      <c r="D4827" s="159" t="str">
        <f t="shared" si="381"/>
        <v>June!$O$1:$O$92</v>
      </c>
      <c r="E4827" t="s">
        <v>9</v>
      </c>
      <c r="F4827" t="s">
        <v>125</v>
      </c>
      <c r="G4827" t="s">
        <v>145</v>
      </c>
      <c r="H4827" t="s">
        <v>19</v>
      </c>
      <c r="I4827" t="e">
        <f t="shared" ca="1" si="377"/>
        <v>#REF!</v>
      </c>
      <c r="J4827" t="str">
        <f>VLOOKUP($G4827,DefinitionArrays!$I$6:$J$12,2,FALSE)</f>
        <v>Weekend</v>
      </c>
    </row>
    <row r="4828" spans="1:10">
      <c r="A4828" s="159" t="str">
        <f t="shared" si="378"/>
        <v>$N$1:$N$92</v>
      </c>
      <c r="B4828" s="159" t="str">
        <f t="shared" si="379"/>
        <v>$O$1:$O$92</v>
      </c>
      <c r="C4828" s="159" t="str">
        <f t="shared" si="380"/>
        <v>June!$N$1:$N$92</v>
      </c>
      <c r="D4828" s="159" t="str">
        <f t="shared" si="381"/>
        <v>June!$O$1:$O$92</v>
      </c>
      <c r="E4828" t="s">
        <v>9</v>
      </c>
      <c r="F4828" t="s">
        <v>125</v>
      </c>
      <c r="G4828" t="s">
        <v>145</v>
      </c>
      <c r="H4828" t="s">
        <v>20</v>
      </c>
      <c r="I4828" t="e">
        <f t="shared" ca="1" si="377"/>
        <v>#REF!</v>
      </c>
      <c r="J4828" t="str">
        <f>VLOOKUP($G4828,DefinitionArrays!$I$6:$J$12,2,FALSE)</f>
        <v>Weekend</v>
      </c>
    </row>
    <row r="4829" spans="1:10">
      <c r="A4829" s="159" t="str">
        <f t="shared" si="378"/>
        <v>$N$1:$N$92</v>
      </c>
      <c r="B4829" s="159" t="str">
        <f t="shared" si="379"/>
        <v>$O$1:$O$92</v>
      </c>
      <c r="C4829" s="159" t="str">
        <f t="shared" si="380"/>
        <v>June!$N$1:$N$92</v>
      </c>
      <c r="D4829" s="159" t="str">
        <f t="shared" si="381"/>
        <v>June!$O$1:$O$92</v>
      </c>
      <c r="E4829" t="s">
        <v>9</v>
      </c>
      <c r="F4829" t="s">
        <v>125</v>
      </c>
      <c r="G4829" t="s">
        <v>145</v>
      </c>
      <c r="H4829" t="s">
        <v>21</v>
      </c>
      <c r="I4829" t="e">
        <f t="shared" ca="1" si="377"/>
        <v>#REF!</v>
      </c>
      <c r="J4829" t="str">
        <f>VLOOKUP($G4829,DefinitionArrays!$I$6:$J$12,2,FALSE)</f>
        <v>Weekend</v>
      </c>
    </row>
    <row r="4830" spans="1:10">
      <c r="A4830" s="159" t="str">
        <f t="shared" si="378"/>
        <v>$N$1:$N$92</v>
      </c>
      <c r="B4830" s="159" t="str">
        <f t="shared" si="379"/>
        <v>$O$1:$O$92</v>
      </c>
      <c r="C4830" s="159" t="str">
        <f t="shared" si="380"/>
        <v>June!$N$1:$N$92</v>
      </c>
      <c r="D4830" s="159" t="str">
        <f t="shared" si="381"/>
        <v>June!$O$1:$O$92</v>
      </c>
      <c r="E4830" t="s">
        <v>9</v>
      </c>
      <c r="F4830" t="s">
        <v>125</v>
      </c>
      <c r="G4830" t="s">
        <v>145</v>
      </c>
      <c r="H4830" t="s">
        <v>22</v>
      </c>
      <c r="I4830" t="e">
        <f t="shared" ca="1" si="377"/>
        <v>#REF!</v>
      </c>
      <c r="J4830" t="str">
        <f>VLOOKUP($G4830,DefinitionArrays!$I$6:$J$12,2,FALSE)</f>
        <v>Weekend</v>
      </c>
    </row>
    <row r="4831" spans="1:10">
      <c r="A4831" s="159" t="str">
        <f t="shared" si="378"/>
        <v>$N$1:$N$92</v>
      </c>
      <c r="B4831" s="159" t="str">
        <f t="shared" si="379"/>
        <v>$O$1:$O$92</v>
      </c>
      <c r="C4831" s="159" t="str">
        <f t="shared" si="380"/>
        <v>June!$N$1:$N$92</v>
      </c>
      <c r="D4831" s="159" t="str">
        <f t="shared" si="381"/>
        <v>June!$O$1:$O$92</v>
      </c>
      <c r="E4831" t="s">
        <v>9</v>
      </c>
      <c r="F4831" t="s">
        <v>125</v>
      </c>
      <c r="G4831" t="s">
        <v>145</v>
      </c>
      <c r="H4831" t="s">
        <v>23</v>
      </c>
      <c r="I4831" t="e">
        <f t="shared" ca="1" si="377"/>
        <v>#REF!</v>
      </c>
      <c r="J4831" t="str">
        <f>VLOOKUP($G4831,DefinitionArrays!$I$6:$J$12,2,FALSE)</f>
        <v>Weekend</v>
      </c>
    </row>
    <row r="4832" spans="1:10">
      <c r="A4832" s="159" t="str">
        <f t="shared" si="378"/>
        <v>$N$1:$N$92</v>
      </c>
      <c r="B4832" s="159" t="str">
        <f t="shared" si="379"/>
        <v>$O$1:$O$92</v>
      </c>
      <c r="C4832" s="159" t="str">
        <f t="shared" si="380"/>
        <v>June!$N$1:$N$92</v>
      </c>
      <c r="D4832" s="159" t="str">
        <f t="shared" si="381"/>
        <v>June!$O$1:$O$92</v>
      </c>
      <c r="E4832" t="s">
        <v>9</v>
      </c>
      <c r="F4832" t="s">
        <v>125</v>
      </c>
      <c r="G4832" t="s">
        <v>145</v>
      </c>
      <c r="H4832" t="s">
        <v>24</v>
      </c>
      <c r="I4832" t="e">
        <f t="shared" ca="1" si="377"/>
        <v>#REF!</v>
      </c>
      <c r="J4832" t="str">
        <f>VLOOKUP($G4832,DefinitionArrays!$I$6:$J$12,2,FALSE)</f>
        <v>Weekend</v>
      </c>
    </row>
    <row r="4833" spans="1:10">
      <c r="A4833" s="159" t="str">
        <f t="shared" si="378"/>
        <v>$N$1:$N$92</v>
      </c>
      <c r="B4833" s="159" t="str">
        <f t="shared" si="379"/>
        <v>$O$1:$O$92</v>
      </c>
      <c r="C4833" s="159" t="str">
        <f t="shared" si="380"/>
        <v>June!$N$1:$N$92</v>
      </c>
      <c r="D4833" s="159" t="str">
        <f t="shared" si="381"/>
        <v>June!$O$1:$O$92</v>
      </c>
      <c r="E4833" t="s">
        <v>9</v>
      </c>
      <c r="F4833" t="s">
        <v>125</v>
      </c>
      <c r="G4833" t="s">
        <v>145</v>
      </c>
      <c r="H4833" t="s">
        <v>179</v>
      </c>
      <c r="I4833" t="e">
        <f t="shared" ca="1" si="377"/>
        <v>#REF!</v>
      </c>
      <c r="J4833" t="str">
        <f>VLOOKUP($G4833,DefinitionArrays!$I$6:$J$12,2,FALSE)</f>
        <v>Weekend</v>
      </c>
    </row>
    <row r="4834" spans="1:10">
      <c r="A4834" s="159" t="str">
        <f t="shared" si="378"/>
        <v>$N$1:$N$92</v>
      </c>
      <c r="B4834" s="159" t="str">
        <f t="shared" si="379"/>
        <v>$O$1:$O$92</v>
      </c>
      <c r="C4834" s="159" t="str">
        <f t="shared" si="380"/>
        <v>June!$N$1:$N$92</v>
      </c>
      <c r="D4834" s="159" t="str">
        <f t="shared" si="381"/>
        <v>June!$O$1:$O$92</v>
      </c>
      <c r="E4834" t="s">
        <v>9</v>
      </c>
      <c r="F4834" t="s">
        <v>125</v>
      </c>
      <c r="G4834" t="s">
        <v>145</v>
      </c>
      <c r="H4834" t="s">
        <v>180</v>
      </c>
      <c r="I4834" t="e">
        <f t="shared" ca="1" si="377"/>
        <v>#REF!</v>
      </c>
      <c r="J4834" t="str">
        <f>VLOOKUP($G4834,DefinitionArrays!$I$6:$J$12,2,FALSE)</f>
        <v>Weekend</v>
      </c>
    </row>
    <row r="4835" spans="1:10">
      <c r="A4835" s="159" t="str">
        <f t="shared" si="378"/>
        <v>$N$1:$N$92</v>
      </c>
      <c r="B4835" s="159" t="str">
        <f t="shared" si="379"/>
        <v>$O$1:$O$92</v>
      </c>
      <c r="C4835" s="159" t="str">
        <f t="shared" si="380"/>
        <v>June!$N$1:$N$92</v>
      </c>
      <c r="D4835" s="159" t="str">
        <f t="shared" si="381"/>
        <v>June!$O$1:$O$92</v>
      </c>
      <c r="E4835" t="s">
        <v>9</v>
      </c>
      <c r="F4835" t="s">
        <v>125</v>
      </c>
      <c r="G4835" t="s">
        <v>145</v>
      </c>
      <c r="H4835" t="s">
        <v>44</v>
      </c>
      <c r="I4835" t="e">
        <f t="shared" ca="1" si="377"/>
        <v>#REF!</v>
      </c>
      <c r="J4835" t="str">
        <f>VLOOKUP($G4835,DefinitionArrays!$I$6:$J$12,2,FALSE)</f>
        <v>Weekend</v>
      </c>
    </row>
    <row r="4836" spans="1:10">
      <c r="A4836" s="159" t="str">
        <f t="shared" si="378"/>
        <v>$Q$1:$Q$92</v>
      </c>
      <c r="B4836" s="159" t="str">
        <f t="shared" si="379"/>
        <v>$R$1:$R$92</v>
      </c>
      <c r="C4836" s="159" t="str">
        <f t="shared" si="380"/>
        <v>June!$Q$1:$Q$92</v>
      </c>
      <c r="D4836" s="159" t="str">
        <f t="shared" si="381"/>
        <v>June!$R$1:$R$92</v>
      </c>
      <c r="E4836" t="s">
        <v>9</v>
      </c>
      <c r="F4836" t="s">
        <v>125</v>
      </c>
      <c r="G4836" t="s">
        <v>146</v>
      </c>
      <c r="H4836" t="s">
        <v>159</v>
      </c>
      <c r="I4836" t="e">
        <f t="shared" ca="1" si="377"/>
        <v>#REF!</v>
      </c>
      <c r="J4836" t="str">
        <f>VLOOKUP($G4836,DefinitionArrays!$I$6:$J$12,2,FALSE)</f>
        <v>Weekend</v>
      </c>
    </row>
    <row r="4837" spans="1:10">
      <c r="A4837" s="159" t="str">
        <f t="shared" si="378"/>
        <v>$T$1:$T$92</v>
      </c>
      <c r="B4837" s="159" t="str">
        <f t="shared" si="379"/>
        <v>$U$1:$U$92</v>
      </c>
      <c r="C4837" s="159" t="str">
        <f t="shared" si="380"/>
        <v>June!$T$1:$T$92</v>
      </c>
      <c r="D4837" s="159" t="str">
        <f t="shared" si="381"/>
        <v>June!$U$1:$U$92</v>
      </c>
      <c r="E4837" t="s">
        <v>9</v>
      </c>
      <c r="F4837" t="s">
        <v>125</v>
      </c>
      <c r="G4837" t="s">
        <v>141</v>
      </c>
      <c r="H4837" t="s">
        <v>159</v>
      </c>
      <c r="I4837" t="e">
        <f t="shared" ca="1" si="377"/>
        <v>#REF!</v>
      </c>
      <c r="J4837" t="str">
        <f>VLOOKUP($G4837,DefinitionArrays!$I$6:$J$12,2,FALSE)</f>
        <v>Weekend</v>
      </c>
    </row>
    <row r="4838" spans="1:10">
      <c r="A4838" s="159" t="str">
        <f t="shared" si="378"/>
        <v>$B$1:$B$92</v>
      </c>
      <c r="B4838" s="159" t="str">
        <f t="shared" si="379"/>
        <v>$C$1:$C$92</v>
      </c>
      <c r="C4838" s="159" t="str">
        <f t="shared" si="380"/>
        <v>July!$B$1:$B$92</v>
      </c>
      <c r="D4838" s="159" t="str">
        <f t="shared" si="381"/>
        <v>July!$C$1:$C$92</v>
      </c>
      <c r="E4838" t="s">
        <v>9</v>
      </c>
      <c r="F4838" t="s">
        <v>126</v>
      </c>
      <c r="G4838" t="s">
        <v>13</v>
      </c>
      <c r="H4838" t="s">
        <v>159</v>
      </c>
      <c r="I4838" t="e">
        <f ca="1">COUNTIFS(INDIRECT($C4838),$E4838,INDIRECT($D4838),$H4838)</f>
        <v>#REF!</v>
      </c>
      <c r="J4838" t="str">
        <f>VLOOKUP($G4838,DefinitionArrays!$I$6:$J$12,2,FALSE)</f>
        <v>Workweek</v>
      </c>
    </row>
    <row r="4839" spans="1:10">
      <c r="A4839" s="159" t="str">
        <f t="shared" si="378"/>
        <v>$B$1:$B$92</v>
      </c>
      <c r="B4839" s="159" t="str">
        <f t="shared" si="379"/>
        <v>$C$1:$C$92</v>
      </c>
      <c r="C4839" s="159" t="str">
        <f t="shared" si="380"/>
        <v>July!$B$1:$B$92</v>
      </c>
      <c r="D4839" s="159" t="str">
        <f t="shared" si="381"/>
        <v>July!$C$1:$C$92</v>
      </c>
      <c r="E4839" t="s">
        <v>9</v>
      </c>
      <c r="F4839" t="s">
        <v>126</v>
      </c>
      <c r="G4839" t="s">
        <v>13</v>
      </c>
      <c r="H4839" t="s">
        <v>18</v>
      </c>
      <c r="I4839" t="e">
        <f t="shared" ref="I4839:I4899" ca="1" si="382">COUNTIFS(INDIRECT($C4839),$E4839,INDIRECT($D4839),$H4839)</f>
        <v>#REF!</v>
      </c>
      <c r="J4839" t="str">
        <f>VLOOKUP($G4839,DefinitionArrays!$I$6:$J$12,2,FALSE)</f>
        <v>Workweek</v>
      </c>
    </row>
    <row r="4840" spans="1:10">
      <c r="A4840" s="159" t="str">
        <f t="shared" si="378"/>
        <v>$B$1:$B$92</v>
      </c>
      <c r="B4840" s="159" t="str">
        <f t="shared" si="379"/>
        <v>$C$1:$C$92</v>
      </c>
      <c r="C4840" s="159" t="str">
        <f t="shared" si="380"/>
        <v>July!$B$1:$B$92</v>
      </c>
      <c r="D4840" s="159" t="str">
        <f t="shared" si="381"/>
        <v>July!$C$1:$C$92</v>
      </c>
      <c r="E4840" t="s">
        <v>9</v>
      </c>
      <c r="F4840" t="s">
        <v>126</v>
      </c>
      <c r="G4840" t="s">
        <v>13</v>
      </c>
      <c r="H4840" t="s">
        <v>153</v>
      </c>
      <c r="I4840" t="e">
        <f t="shared" ca="1" si="382"/>
        <v>#REF!</v>
      </c>
      <c r="J4840" t="str">
        <f>VLOOKUP($G4840,DefinitionArrays!$I$6:$J$12,2,FALSE)</f>
        <v>Workweek</v>
      </c>
    </row>
    <row r="4841" spans="1:10">
      <c r="A4841" s="159" t="str">
        <f t="shared" si="378"/>
        <v>$B$1:$B$92</v>
      </c>
      <c r="B4841" s="159" t="str">
        <f t="shared" si="379"/>
        <v>$C$1:$C$92</v>
      </c>
      <c r="C4841" s="159" t="str">
        <f t="shared" si="380"/>
        <v>July!$B$1:$B$92</v>
      </c>
      <c r="D4841" s="159" t="str">
        <f t="shared" si="381"/>
        <v>July!$C$1:$C$92</v>
      </c>
      <c r="E4841" t="s">
        <v>9</v>
      </c>
      <c r="F4841" t="s">
        <v>126</v>
      </c>
      <c r="G4841" t="s">
        <v>13</v>
      </c>
      <c r="H4841" t="s">
        <v>19</v>
      </c>
      <c r="I4841" t="e">
        <f t="shared" ca="1" si="382"/>
        <v>#REF!</v>
      </c>
      <c r="J4841" t="str">
        <f>VLOOKUP($G4841,DefinitionArrays!$I$6:$J$12,2,FALSE)</f>
        <v>Workweek</v>
      </c>
    </row>
    <row r="4842" spans="1:10">
      <c r="A4842" s="159" t="str">
        <f t="shared" si="378"/>
        <v>$B$1:$B$92</v>
      </c>
      <c r="B4842" s="159" t="str">
        <f t="shared" si="379"/>
        <v>$C$1:$C$92</v>
      </c>
      <c r="C4842" s="159" t="str">
        <f t="shared" si="380"/>
        <v>July!$B$1:$B$92</v>
      </c>
      <c r="D4842" s="159" t="str">
        <f t="shared" si="381"/>
        <v>July!$C$1:$C$92</v>
      </c>
      <c r="E4842" t="s">
        <v>9</v>
      </c>
      <c r="F4842" t="s">
        <v>126</v>
      </c>
      <c r="G4842" t="s">
        <v>13</v>
      </c>
      <c r="H4842" t="s">
        <v>20</v>
      </c>
      <c r="I4842" t="e">
        <f t="shared" ca="1" si="382"/>
        <v>#REF!</v>
      </c>
      <c r="J4842" t="str">
        <f>VLOOKUP($G4842,DefinitionArrays!$I$6:$J$12,2,FALSE)</f>
        <v>Workweek</v>
      </c>
    </row>
    <row r="4843" spans="1:10">
      <c r="A4843" s="159" t="str">
        <f t="shared" si="378"/>
        <v>$B$1:$B$92</v>
      </c>
      <c r="B4843" s="159" t="str">
        <f t="shared" si="379"/>
        <v>$C$1:$C$92</v>
      </c>
      <c r="C4843" s="159" t="str">
        <f t="shared" si="380"/>
        <v>July!$B$1:$B$92</v>
      </c>
      <c r="D4843" s="159" t="str">
        <f t="shared" si="381"/>
        <v>July!$C$1:$C$92</v>
      </c>
      <c r="E4843" t="s">
        <v>9</v>
      </c>
      <c r="F4843" t="s">
        <v>126</v>
      </c>
      <c r="G4843" t="s">
        <v>13</v>
      </c>
      <c r="H4843" t="s">
        <v>21</v>
      </c>
      <c r="I4843" t="e">
        <f t="shared" ca="1" si="382"/>
        <v>#REF!</v>
      </c>
      <c r="J4843" t="str">
        <f>VLOOKUP($G4843,DefinitionArrays!$I$6:$J$12,2,FALSE)</f>
        <v>Workweek</v>
      </c>
    </row>
    <row r="4844" spans="1:10">
      <c r="A4844" s="159" t="str">
        <f t="shared" si="378"/>
        <v>$B$1:$B$92</v>
      </c>
      <c r="B4844" s="159" t="str">
        <f t="shared" si="379"/>
        <v>$C$1:$C$92</v>
      </c>
      <c r="C4844" s="159" t="str">
        <f t="shared" si="380"/>
        <v>July!$B$1:$B$92</v>
      </c>
      <c r="D4844" s="159" t="str">
        <f t="shared" si="381"/>
        <v>July!$C$1:$C$92</v>
      </c>
      <c r="E4844" t="s">
        <v>9</v>
      </c>
      <c r="F4844" t="s">
        <v>126</v>
      </c>
      <c r="G4844" t="s">
        <v>13</v>
      </c>
      <c r="H4844" t="s">
        <v>22</v>
      </c>
      <c r="I4844" t="e">
        <f t="shared" ca="1" si="382"/>
        <v>#REF!</v>
      </c>
      <c r="J4844" t="str">
        <f>VLOOKUP($G4844,DefinitionArrays!$I$6:$J$12,2,FALSE)</f>
        <v>Workweek</v>
      </c>
    </row>
    <row r="4845" spans="1:10">
      <c r="A4845" s="159" t="str">
        <f t="shared" si="378"/>
        <v>$B$1:$B$92</v>
      </c>
      <c r="B4845" s="159" t="str">
        <f t="shared" si="379"/>
        <v>$C$1:$C$92</v>
      </c>
      <c r="C4845" s="159" t="str">
        <f t="shared" si="380"/>
        <v>July!$B$1:$B$92</v>
      </c>
      <c r="D4845" s="159" t="str">
        <f t="shared" si="381"/>
        <v>July!$C$1:$C$92</v>
      </c>
      <c r="E4845" t="s">
        <v>9</v>
      </c>
      <c r="F4845" t="s">
        <v>126</v>
      </c>
      <c r="G4845" t="s">
        <v>13</v>
      </c>
      <c r="H4845" t="s">
        <v>23</v>
      </c>
      <c r="I4845" t="e">
        <f t="shared" ca="1" si="382"/>
        <v>#REF!</v>
      </c>
      <c r="J4845" t="str">
        <f>VLOOKUP($G4845,DefinitionArrays!$I$6:$J$12,2,FALSE)</f>
        <v>Workweek</v>
      </c>
    </row>
    <row r="4846" spans="1:10">
      <c r="A4846" s="159" t="str">
        <f t="shared" si="378"/>
        <v>$B$1:$B$92</v>
      </c>
      <c r="B4846" s="159" t="str">
        <f t="shared" si="379"/>
        <v>$C$1:$C$92</v>
      </c>
      <c r="C4846" s="159" t="str">
        <f t="shared" si="380"/>
        <v>July!$B$1:$B$92</v>
      </c>
      <c r="D4846" s="159" t="str">
        <f t="shared" si="381"/>
        <v>July!$C$1:$C$92</v>
      </c>
      <c r="E4846" t="s">
        <v>9</v>
      </c>
      <c r="F4846" t="s">
        <v>126</v>
      </c>
      <c r="G4846" t="s">
        <v>13</v>
      </c>
      <c r="H4846" t="s">
        <v>24</v>
      </c>
      <c r="I4846" t="e">
        <f t="shared" ca="1" si="382"/>
        <v>#REF!</v>
      </c>
      <c r="J4846" t="str">
        <f>VLOOKUP($G4846,DefinitionArrays!$I$6:$J$12,2,FALSE)</f>
        <v>Workweek</v>
      </c>
    </row>
    <row r="4847" spans="1:10">
      <c r="A4847" s="159" t="str">
        <f t="shared" si="378"/>
        <v>$B$1:$B$92</v>
      </c>
      <c r="B4847" s="159" t="str">
        <f t="shared" si="379"/>
        <v>$C$1:$C$92</v>
      </c>
      <c r="C4847" s="159" t="str">
        <f t="shared" si="380"/>
        <v>July!$B$1:$B$92</v>
      </c>
      <c r="D4847" s="159" t="str">
        <f t="shared" si="381"/>
        <v>July!$C$1:$C$92</v>
      </c>
      <c r="E4847" t="s">
        <v>9</v>
      </c>
      <c r="F4847" t="s">
        <v>126</v>
      </c>
      <c r="G4847" t="s">
        <v>13</v>
      </c>
      <c r="H4847" t="s">
        <v>179</v>
      </c>
      <c r="I4847" t="e">
        <f t="shared" ca="1" si="382"/>
        <v>#REF!</v>
      </c>
      <c r="J4847" t="str">
        <f>VLOOKUP($G4847,DefinitionArrays!$I$6:$J$12,2,FALSE)</f>
        <v>Workweek</v>
      </c>
    </row>
    <row r="4848" spans="1:10">
      <c r="A4848" s="159" t="str">
        <f t="shared" si="378"/>
        <v>$B$1:$B$92</v>
      </c>
      <c r="B4848" s="159" t="str">
        <f t="shared" si="379"/>
        <v>$C$1:$C$92</v>
      </c>
      <c r="C4848" s="159" t="str">
        <f t="shared" si="380"/>
        <v>July!$B$1:$B$92</v>
      </c>
      <c r="D4848" s="159" t="str">
        <f t="shared" si="381"/>
        <v>July!$C$1:$C$92</v>
      </c>
      <c r="E4848" t="s">
        <v>9</v>
      </c>
      <c r="F4848" t="s">
        <v>126</v>
      </c>
      <c r="G4848" t="s">
        <v>13</v>
      </c>
      <c r="H4848" t="s">
        <v>180</v>
      </c>
      <c r="I4848" t="e">
        <f t="shared" ca="1" si="382"/>
        <v>#REF!</v>
      </c>
      <c r="J4848" t="str">
        <f>VLOOKUP($G4848,DefinitionArrays!$I$6:$J$12,2,FALSE)</f>
        <v>Workweek</v>
      </c>
    </row>
    <row r="4849" spans="1:10">
      <c r="A4849" s="159" t="str">
        <f t="shared" si="378"/>
        <v>$B$1:$B$92</v>
      </c>
      <c r="B4849" s="159" t="str">
        <f t="shared" si="379"/>
        <v>$C$1:$C$92</v>
      </c>
      <c r="C4849" s="159" t="str">
        <f t="shared" si="380"/>
        <v>July!$B$1:$B$92</v>
      </c>
      <c r="D4849" s="159" t="str">
        <f t="shared" si="381"/>
        <v>July!$C$1:$C$92</v>
      </c>
      <c r="E4849" t="s">
        <v>9</v>
      </c>
      <c r="F4849" t="s">
        <v>126</v>
      </c>
      <c r="G4849" t="s">
        <v>13</v>
      </c>
      <c r="H4849" t="s">
        <v>44</v>
      </c>
      <c r="I4849" t="e">
        <f t="shared" ca="1" si="382"/>
        <v>#REF!</v>
      </c>
      <c r="J4849" t="str">
        <f>VLOOKUP($G4849,DefinitionArrays!$I$6:$J$12,2,FALSE)</f>
        <v>Workweek</v>
      </c>
    </row>
    <row r="4850" spans="1:10">
      <c r="A4850" s="159" t="str">
        <f t="shared" si="378"/>
        <v>$E$1:$E$92</v>
      </c>
      <c r="B4850" s="159" t="str">
        <f t="shared" si="379"/>
        <v>$F$1:$F$92</v>
      </c>
      <c r="C4850" s="159" t="str">
        <f t="shared" si="380"/>
        <v>July!$E$1:$E$92</v>
      </c>
      <c r="D4850" s="159" t="str">
        <f t="shared" si="381"/>
        <v>July!$F$1:$F$92</v>
      </c>
      <c r="E4850" t="s">
        <v>9</v>
      </c>
      <c r="F4850" t="s">
        <v>126</v>
      </c>
      <c r="G4850" t="s">
        <v>142</v>
      </c>
      <c r="H4850" t="s">
        <v>159</v>
      </c>
      <c r="I4850" t="e">
        <f t="shared" ca="1" si="382"/>
        <v>#REF!</v>
      </c>
      <c r="J4850" t="str">
        <f>VLOOKUP($G4850,DefinitionArrays!$I$6:$J$12,2,FALSE)</f>
        <v>Workweek</v>
      </c>
    </row>
    <row r="4851" spans="1:10">
      <c r="A4851" s="159" t="str">
        <f t="shared" si="378"/>
        <v>$E$1:$E$92</v>
      </c>
      <c r="B4851" s="159" t="str">
        <f t="shared" si="379"/>
        <v>$F$1:$F$92</v>
      </c>
      <c r="C4851" s="159" t="str">
        <f t="shared" si="380"/>
        <v>July!$E$1:$E$92</v>
      </c>
      <c r="D4851" s="159" t="str">
        <f t="shared" si="381"/>
        <v>July!$F$1:$F$92</v>
      </c>
      <c r="E4851" t="s">
        <v>9</v>
      </c>
      <c r="F4851" t="s">
        <v>126</v>
      </c>
      <c r="G4851" t="s">
        <v>142</v>
      </c>
      <c r="H4851" t="s">
        <v>18</v>
      </c>
      <c r="I4851" t="e">
        <f t="shared" ca="1" si="382"/>
        <v>#REF!</v>
      </c>
      <c r="J4851" t="str">
        <f>VLOOKUP($G4851,DefinitionArrays!$I$6:$J$12,2,FALSE)</f>
        <v>Workweek</v>
      </c>
    </row>
    <row r="4852" spans="1:10">
      <c r="A4852" s="159" t="str">
        <f t="shared" si="378"/>
        <v>$E$1:$E$92</v>
      </c>
      <c r="B4852" s="159" t="str">
        <f t="shared" si="379"/>
        <v>$F$1:$F$92</v>
      </c>
      <c r="C4852" s="159" t="str">
        <f t="shared" si="380"/>
        <v>July!$E$1:$E$92</v>
      </c>
      <c r="D4852" s="159" t="str">
        <f t="shared" si="381"/>
        <v>July!$F$1:$F$92</v>
      </c>
      <c r="E4852" t="s">
        <v>9</v>
      </c>
      <c r="F4852" t="s">
        <v>126</v>
      </c>
      <c r="G4852" t="s">
        <v>142</v>
      </c>
      <c r="H4852" t="s">
        <v>153</v>
      </c>
      <c r="I4852" t="e">
        <f t="shared" ca="1" si="382"/>
        <v>#REF!</v>
      </c>
      <c r="J4852" t="str">
        <f>VLOOKUP($G4852,DefinitionArrays!$I$6:$J$12,2,FALSE)</f>
        <v>Workweek</v>
      </c>
    </row>
    <row r="4853" spans="1:10">
      <c r="A4853" s="159" t="str">
        <f t="shared" si="378"/>
        <v>$E$1:$E$92</v>
      </c>
      <c r="B4853" s="159" t="str">
        <f t="shared" si="379"/>
        <v>$F$1:$F$92</v>
      </c>
      <c r="C4853" s="159" t="str">
        <f t="shared" si="380"/>
        <v>July!$E$1:$E$92</v>
      </c>
      <c r="D4853" s="159" t="str">
        <f t="shared" si="381"/>
        <v>July!$F$1:$F$92</v>
      </c>
      <c r="E4853" t="s">
        <v>9</v>
      </c>
      <c r="F4853" t="s">
        <v>126</v>
      </c>
      <c r="G4853" t="s">
        <v>142</v>
      </c>
      <c r="H4853" t="s">
        <v>19</v>
      </c>
      <c r="I4853" t="e">
        <f t="shared" ca="1" si="382"/>
        <v>#REF!</v>
      </c>
      <c r="J4853" t="str">
        <f>VLOOKUP($G4853,DefinitionArrays!$I$6:$J$12,2,FALSE)</f>
        <v>Workweek</v>
      </c>
    </row>
    <row r="4854" spans="1:10">
      <c r="A4854" s="159" t="str">
        <f t="shared" si="378"/>
        <v>$E$1:$E$92</v>
      </c>
      <c r="B4854" s="159" t="str">
        <f t="shared" si="379"/>
        <v>$F$1:$F$92</v>
      </c>
      <c r="C4854" s="159" t="str">
        <f t="shared" si="380"/>
        <v>July!$E$1:$E$92</v>
      </c>
      <c r="D4854" s="159" t="str">
        <f t="shared" si="381"/>
        <v>July!$F$1:$F$92</v>
      </c>
      <c r="E4854" t="s">
        <v>9</v>
      </c>
      <c r="F4854" t="s">
        <v>126</v>
      </c>
      <c r="G4854" t="s">
        <v>142</v>
      </c>
      <c r="H4854" t="s">
        <v>20</v>
      </c>
      <c r="I4854" t="e">
        <f t="shared" ca="1" si="382"/>
        <v>#REF!</v>
      </c>
      <c r="J4854" t="str">
        <f>VLOOKUP($G4854,DefinitionArrays!$I$6:$J$12,2,FALSE)</f>
        <v>Workweek</v>
      </c>
    </row>
    <row r="4855" spans="1:10">
      <c r="A4855" s="159" t="str">
        <f t="shared" si="378"/>
        <v>$E$1:$E$92</v>
      </c>
      <c r="B4855" s="159" t="str">
        <f t="shared" si="379"/>
        <v>$F$1:$F$92</v>
      </c>
      <c r="C4855" s="159" t="str">
        <f t="shared" si="380"/>
        <v>July!$E$1:$E$92</v>
      </c>
      <c r="D4855" s="159" t="str">
        <f t="shared" si="381"/>
        <v>July!$F$1:$F$92</v>
      </c>
      <c r="E4855" t="s">
        <v>9</v>
      </c>
      <c r="F4855" t="s">
        <v>126</v>
      </c>
      <c r="G4855" t="s">
        <v>142</v>
      </c>
      <c r="H4855" t="s">
        <v>21</v>
      </c>
      <c r="I4855" t="e">
        <f t="shared" ca="1" si="382"/>
        <v>#REF!</v>
      </c>
      <c r="J4855" t="str">
        <f>VLOOKUP($G4855,DefinitionArrays!$I$6:$J$12,2,FALSE)</f>
        <v>Workweek</v>
      </c>
    </row>
    <row r="4856" spans="1:10">
      <c r="A4856" s="159" t="str">
        <f t="shared" si="378"/>
        <v>$E$1:$E$92</v>
      </c>
      <c r="B4856" s="159" t="str">
        <f t="shared" si="379"/>
        <v>$F$1:$F$92</v>
      </c>
      <c r="C4856" s="159" t="str">
        <f t="shared" si="380"/>
        <v>July!$E$1:$E$92</v>
      </c>
      <c r="D4856" s="159" t="str">
        <f t="shared" si="381"/>
        <v>July!$F$1:$F$92</v>
      </c>
      <c r="E4856" t="s">
        <v>9</v>
      </c>
      <c r="F4856" t="s">
        <v>126</v>
      </c>
      <c r="G4856" t="s">
        <v>142</v>
      </c>
      <c r="H4856" t="s">
        <v>22</v>
      </c>
      <c r="I4856" t="e">
        <f t="shared" ca="1" si="382"/>
        <v>#REF!</v>
      </c>
      <c r="J4856" t="str">
        <f>VLOOKUP($G4856,DefinitionArrays!$I$6:$J$12,2,FALSE)</f>
        <v>Workweek</v>
      </c>
    </row>
    <row r="4857" spans="1:10">
      <c r="A4857" s="159" t="str">
        <f t="shared" si="378"/>
        <v>$E$1:$E$92</v>
      </c>
      <c r="B4857" s="159" t="str">
        <f t="shared" si="379"/>
        <v>$F$1:$F$92</v>
      </c>
      <c r="C4857" s="159" t="str">
        <f t="shared" si="380"/>
        <v>July!$E$1:$E$92</v>
      </c>
      <c r="D4857" s="159" t="str">
        <f t="shared" si="381"/>
        <v>July!$F$1:$F$92</v>
      </c>
      <c r="E4857" t="s">
        <v>9</v>
      </c>
      <c r="F4857" t="s">
        <v>126</v>
      </c>
      <c r="G4857" t="s">
        <v>142</v>
      </c>
      <c r="H4857" t="s">
        <v>23</v>
      </c>
      <c r="I4857" t="e">
        <f t="shared" ca="1" si="382"/>
        <v>#REF!</v>
      </c>
      <c r="J4857" t="str">
        <f>VLOOKUP($G4857,DefinitionArrays!$I$6:$J$12,2,FALSE)</f>
        <v>Workweek</v>
      </c>
    </row>
    <row r="4858" spans="1:10">
      <c r="A4858" s="159" t="str">
        <f t="shared" si="378"/>
        <v>$E$1:$E$92</v>
      </c>
      <c r="B4858" s="159" t="str">
        <f t="shared" si="379"/>
        <v>$F$1:$F$92</v>
      </c>
      <c r="C4858" s="159" t="str">
        <f t="shared" si="380"/>
        <v>July!$E$1:$E$92</v>
      </c>
      <c r="D4858" s="159" t="str">
        <f t="shared" si="381"/>
        <v>July!$F$1:$F$92</v>
      </c>
      <c r="E4858" t="s">
        <v>9</v>
      </c>
      <c r="F4858" t="s">
        <v>126</v>
      </c>
      <c r="G4858" t="s">
        <v>142</v>
      </c>
      <c r="H4858" t="s">
        <v>24</v>
      </c>
      <c r="I4858" t="e">
        <f t="shared" ca="1" si="382"/>
        <v>#REF!</v>
      </c>
      <c r="J4858" t="str">
        <f>VLOOKUP($G4858,DefinitionArrays!$I$6:$J$12,2,FALSE)</f>
        <v>Workweek</v>
      </c>
    </row>
    <row r="4859" spans="1:10">
      <c r="A4859" s="159" t="str">
        <f t="shared" si="378"/>
        <v>$E$1:$E$92</v>
      </c>
      <c r="B4859" s="159" t="str">
        <f t="shared" si="379"/>
        <v>$F$1:$F$92</v>
      </c>
      <c r="C4859" s="159" t="str">
        <f t="shared" si="380"/>
        <v>July!$E$1:$E$92</v>
      </c>
      <c r="D4859" s="159" t="str">
        <f t="shared" si="381"/>
        <v>July!$F$1:$F$92</v>
      </c>
      <c r="E4859" t="s">
        <v>9</v>
      </c>
      <c r="F4859" t="s">
        <v>126</v>
      </c>
      <c r="G4859" t="s">
        <v>142</v>
      </c>
      <c r="H4859" t="s">
        <v>179</v>
      </c>
      <c r="I4859" t="e">
        <f t="shared" ca="1" si="382"/>
        <v>#REF!</v>
      </c>
      <c r="J4859" t="str">
        <f>VLOOKUP($G4859,DefinitionArrays!$I$6:$J$12,2,FALSE)</f>
        <v>Workweek</v>
      </c>
    </row>
    <row r="4860" spans="1:10">
      <c r="A4860" s="159" t="str">
        <f t="shared" si="378"/>
        <v>$E$1:$E$92</v>
      </c>
      <c r="B4860" s="159" t="str">
        <f t="shared" si="379"/>
        <v>$F$1:$F$92</v>
      </c>
      <c r="C4860" s="159" t="str">
        <f t="shared" si="380"/>
        <v>July!$E$1:$E$92</v>
      </c>
      <c r="D4860" s="159" t="str">
        <f t="shared" si="381"/>
        <v>July!$F$1:$F$92</v>
      </c>
      <c r="E4860" t="s">
        <v>9</v>
      </c>
      <c r="F4860" t="s">
        <v>126</v>
      </c>
      <c r="G4860" t="s">
        <v>142</v>
      </c>
      <c r="H4860" t="s">
        <v>180</v>
      </c>
      <c r="I4860" t="e">
        <f t="shared" ca="1" si="382"/>
        <v>#REF!</v>
      </c>
      <c r="J4860" t="str">
        <f>VLOOKUP($G4860,DefinitionArrays!$I$6:$J$12,2,FALSE)</f>
        <v>Workweek</v>
      </c>
    </row>
    <row r="4861" spans="1:10">
      <c r="A4861" s="159" t="str">
        <f t="shared" si="378"/>
        <v>$E$1:$E$92</v>
      </c>
      <c r="B4861" s="159" t="str">
        <f t="shared" si="379"/>
        <v>$F$1:$F$92</v>
      </c>
      <c r="C4861" s="159" t="str">
        <f t="shared" si="380"/>
        <v>July!$E$1:$E$92</v>
      </c>
      <c r="D4861" s="159" t="str">
        <f t="shared" si="381"/>
        <v>July!$F$1:$F$92</v>
      </c>
      <c r="E4861" t="s">
        <v>9</v>
      </c>
      <c r="F4861" t="s">
        <v>126</v>
      </c>
      <c r="G4861" t="s">
        <v>142</v>
      </c>
      <c r="H4861" t="s">
        <v>44</v>
      </c>
      <c r="I4861" t="e">
        <f t="shared" ca="1" si="382"/>
        <v>#REF!</v>
      </c>
      <c r="J4861" t="str">
        <f>VLOOKUP($G4861,DefinitionArrays!$I$6:$J$12,2,FALSE)</f>
        <v>Workweek</v>
      </c>
    </row>
    <row r="4862" spans="1:10">
      <c r="A4862" s="159" t="str">
        <f t="shared" si="378"/>
        <v>$H$1:$H$92</v>
      </c>
      <c r="B4862" s="159" t="str">
        <f t="shared" si="379"/>
        <v>$I$1:$I$92</v>
      </c>
      <c r="C4862" s="159" t="str">
        <f t="shared" si="380"/>
        <v>July!$H$1:$H$92</v>
      </c>
      <c r="D4862" s="159" t="str">
        <f t="shared" si="381"/>
        <v>July!$I$1:$I$92</v>
      </c>
      <c r="E4862" t="s">
        <v>9</v>
      </c>
      <c r="F4862" t="s">
        <v>126</v>
      </c>
      <c r="G4862" t="s">
        <v>143</v>
      </c>
      <c r="H4862" t="s">
        <v>159</v>
      </c>
      <c r="I4862" t="e">
        <f t="shared" ca="1" si="382"/>
        <v>#REF!</v>
      </c>
      <c r="J4862" t="str">
        <f>VLOOKUP($G4862,DefinitionArrays!$I$6:$J$12,2,FALSE)</f>
        <v>Workweek</v>
      </c>
    </row>
    <row r="4863" spans="1:10">
      <c r="A4863" s="159" t="str">
        <f t="shared" si="378"/>
        <v>$H$1:$H$92</v>
      </c>
      <c r="B4863" s="159" t="str">
        <f t="shared" si="379"/>
        <v>$I$1:$I$92</v>
      </c>
      <c r="C4863" s="159" t="str">
        <f t="shared" si="380"/>
        <v>July!$H$1:$H$92</v>
      </c>
      <c r="D4863" s="159" t="str">
        <f t="shared" si="381"/>
        <v>July!$I$1:$I$92</v>
      </c>
      <c r="E4863" t="s">
        <v>9</v>
      </c>
      <c r="F4863" t="s">
        <v>126</v>
      </c>
      <c r="G4863" t="s">
        <v>143</v>
      </c>
      <c r="H4863" t="s">
        <v>18</v>
      </c>
      <c r="I4863" t="e">
        <f t="shared" ca="1" si="382"/>
        <v>#REF!</v>
      </c>
      <c r="J4863" t="str">
        <f>VLOOKUP($G4863,DefinitionArrays!$I$6:$J$12,2,FALSE)</f>
        <v>Workweek</v>
      </c>
    </row>
    <row r="4864" spans="1:10">
      <c r="A4864" s="159" t="str">
        <f t="shared" si="378"/>
        <v>$H$1:$H$92</v>
      </c>
      <c r="B4864" s="159" t="str">
        <f t="shared" si="379"/>
        <v>$I$1:$I$92</v>
      </c>
      <c r="C4864" s="159" t="str">
        <f t="shared" si="380"/>
        <v>July!$H$1:$H$92</v>
      </c>
      <c r="D4864" s="159" t="str">
        <f t="shared" si="381"/>
        <v>July!$I$1:$I$92</v>
      </c>
      <c r="E4864" t="s">
        <v>9</v>
      </c>
      <c r="F4864" t="s">
        <v>126</v>
      </c>
      <c r="G4864" t="s">
        <v>143</v>
      </c>
      <c r="H4864" t="s">
        <v>153</v>
      </c>
      <c r="I4864" t="e">
        <f t="shared" ca="1" si="382"/>
        <v>#REF!</v>
      </c>
      <c r="J4864" t="str">
        <f>VLOOKUP($G4864,DefinitionArrays!$I$6:$J$12,2,FALSE)</f>
        <v>Workweek</v>
      </c>
    </row>
    <row r="4865" spans="1:10">
      <c r="A4865" s="159" t="str">
        <f t="shared" si="378"/>
        <v>$H$1:$H$92</v>
      </c>
      <c r="B4865" s="159" t="str">
        <f t="shared" si="379"/>
        <v>$I$1:$I$92</v>
      </c>
      <c r="C4865" s="159" t="str">
        <f t="shared" si="380"/>
        <v>July!$H$1:$H$92</v>
      </c>
      <c r="D4865" s="159" t="str">
        <f t="shared" si="381"/>
        <v>July!$I$1:$I$92</v>
      </c>
      <c r="E4865" t="s">
        <v>9</v>
      </c>
      <c r="F4865" t="s">
        <v>126</v>
      </c>
      <c r="G4865" t="s">
        <v>143</v>
      </c>
      <c r="H4865" t="s">
        <v>19</v>
      </c>
      <c r="I4865" t="e">
        <f t="shared" ca="1" si="382"/>
        <v>#REF!</v>
      </c>
      <c r="J4865" t="str">
        <f>VLOOKUP($G4865,DefinitionArrays!$I$6:$J$12,2,FALSE)</f>
        <v>Workweek</v>
      </c>
    </row>
    <row r="4866" spans="1:10">
      <c r="A4866" s="159" t="str">
        <f t="shared" ref="A4866:A4929" si="383">VLOOKUP($G4866,Fx_Code,2,FALSE)</f>
        <v>$H$1:$H$92</v>
      </c>
      <c r="B4866" s="159" t="str">
        <f t="shared" ref="B4866:B4929" si="384">VLOOKUP($G4866,Fx_Code,3,FALSE)</f>
        <v>$I$1:$I$92</v>
      </c>
      <c r="C4866" s="159" t="str">
        <f t="shared" ref="C4866:C4929" si="385">CONCATENATE($F4866,$K$1,A4866)</f>
        <v>July!$H$1:$H$92</v>
      </c>
      <c r="D4866" s="159" t="str">
        <f t="shared" ref="D4866:D4929" si="386">CONCATENATE($F4866,$K$1,B4866)</f>
        <v>July!$I$1:$I$92</v>
      </c>
      <c r="E4866" t="s">
        <v>9</v>
      </c>
      <c r="F4866" t="s">
        <v>126</v>
      </c>
      <c r="G4866" t="s">
        <v>143</v>
      </c>
      <c r="H4866" t="s">
        <v>20</v>
      </c>
      <c r="I4866" t="e">
        <f t="shared" ca="1" si="382"/>
        <v>#REF!</v>
      </c>
      <c r="J4866" t="str">
        <f>VLOOKUP($G4866,DefinitionArrays!$I$6:$J$12,2,FALSE)</f>
        <v>Workweek</v>
      </c>
    </row>
    <row r="4867" spans="1:10">
      <c r="A4867" s="159" t="str">
        <f t="shared" si="383"/>
        <v>$H$1:$H$92</v>
      </c>
      <c r="B4867" s="159" t="str">
        <f t="shared" si="384"/>
        <v>$I$1:$I$92</v>
      </c>
      <c r="C4867" s="159" t="str">
        <f t="shared" si="385"/>
        <v>July!$H$1:$H$92</v>
      </c>
      <c r="D4867" s="159" t="str">
        <f t="shared" si="386"/>
        <v>July!$I$1:$I$92</v>
      </c>
      <c r="E4867" t="s">
        <v>9</v>
      </c>
      <c r="F4867" t="s">
        <v>126</v>
      </c>
      <c r="G4867" t="s">
        <v>143</v>
      </c>
      <c r="H4867" t="s">
        <v>21</v>
      </c>
      <c r="I4867" t="e">
        <f t="shared" ca="1" si="382"/>
        <v>#REF!</v>
      </c>
      <c r="J4867" t="str">
        <f>VLOOKUP($G4867,DefinitionArrays!$I$6:$J$12,2,FALSE)</f>
        <v>Workweek</v>
      </c>
    </row>
    <row r="4868" spans="1:10">
      <c r="A4868" s="159" t="str">
        <f t="shared" si="383"/>
        <v>$H$1:$H$92</v>
      </c>
      <c r="B4868" s="159" t="str">
        <f t="shared" si="384"/>
        <v>$I$1:$I$92</v>
      </c>
      <c r="C4868" s="159" t="str">
        <f t="shared" si="385"/>
        <v>July!$H$1:$H$92</v>
      </c>
      <c r="D4868" s="159" t="str">
        <f t="shared" si="386"/>
        <v>July!$I$1:$I$92</v>
      </c>
      <c r="E4868" t="s">
        <v>9</v>
      </c>
      <c r="F4868" t="s">
        <v>126</v>
      </c>
      <c r="G4868" t="s">
        <v>143</v>
      </c>
      <c r="H4868" t="s">
        <v>22</v>
      </c>
      <c r="I4868" t="e">
        <f t="shared" ca="1" si="382"/>
        <v>#REF!</v>
      </c>
      <c r="J4868" t="str">
        <f>VLOOKUP($G4868,DefinitionArrays!$I$6:$J$12,2,FALSE)</f>
        <v>Workweek</v>
      </c>
    </row>
    <row r="4869" spans="1:10">
      <c r="A4869" s="159" t="str">
        <f t="shared" si="383"/>
        <v>$H$1:$H$92</v>
      </c>
      <c r="B4869" s="159" t="str">
        <f t="shared" si="384"/>
        <v>$I$1:$I$92</v>
      </c>
      <c r="C4869" s="159" t="str">
        <f t="shared" si="385"/>
        <v>July!$H$1:$H$92</v>
      </c>
      <c r="D4869" s="159" t="str">
        <f t="shared" si="386"/>
        <v>July!$I$1:$I$92</v>
      </c>
      <c r="E4869" t="s">
        <v>9</v>
      </c>
      <c r="F4869" t="s">
        <v>126</v>
      </c>
      <c r="G4869" t="s">
        <v>143</v>
      </c>
      <c r="H4869" t="s">
        <v>23</v>
      </c>
      <c r="I4869" t="e">
        <f t="shared" ca="1" si="382"/>
        <v>#REF!</v>
      </c>
      <c r="J4869" t="str">
        <f>VLOOKUP($G4869,DefinitionArrays!$I$6:$J$12,2,FALSE)</f>
        <v>Workweek</v>
      </c>
    </row>
    <row r="4870" spans="1:10">
      <c r="A4870" s="159" t="str">
        <f t="shared" si="383"/>
        <v>$H$1:$H$92</v>
      </c>
      <c r="B4870" s="159" t="str">
        <f t="shared" si="384"/>
        <v>$I$1:$I$92</v>
      </c>
      <c r="C4870" s="159" t="str">
        <f t="shared" si="385"/>
        <v>July!$H$1:$H$92</v>
      </c>
      <c r="D4870" s="159" t="str">
        <f t="shared" si="386"/>
        <v>July!$I$1:$I$92</v>
      </c>
      <c r="E4870" t="s">
        <v>9</v>
      </c>
      <c r="F4870" t="s">
        <v>126</v>
      </c>
      <c r="G4870" t="s">
        <v>143</v>
      </c>
      <c r="H4870" t="s">
        <v>24</v>
      </c>
      <c r="I4870" t="e">
        <f t="shared" ca="1" si="382"/>
        <v>#REF!</v>
      </c>
      <c r="J4870" t="str">
        <f>VLOOKUP($G4870,DefinitionArrays!$I$6:$J$12,2,FALSE)</f>
        <v>Workweek</v>
      </c>
    </row>
    <row r="4871" spans="1:10">
      <c r="A4871" s="159" t="str">
        <f t="shared" si="383"/>
        <v>$H$1:$H$92</v>
      </c>
      <c r="B4871" s="159" t="str">
        <f t="shared" si="384"/>
        <v>$I$1:$I$92</v>
      </c>
      <c r="C4871" s="159" t="str">
        <f t="shared" si="385"/>
        <v>July!$H$1:$H$92</v>
      </c>
      <c r="D4871" s="159" t="str">
        <f t="shared" si="386"/>
        <v>July!$I$1:$I$92</v>
      </c>
      <c r="E4871" t="s">
        <v>9</v>
      </c>
      <c r="F4871" t="s">
        <v>126</v>
      </c>
      <c r="G4871" t="s">
        <v>143</v>
      </c>
      <c r="H4871" t="s">
        <v>179</v>
      </c>
      <c r="I4871" t="e">
        <f t="shared" ca="1" si="382"/>
        <v>#REF!</v>
      </c>
      <c r="J4871" t="str">
        <f>VLOOKUP($G4871,DefinitionArrays!$I$6:$J$12,2,FALSE)</f>
        <v>Workweek</v>
      </c>
    </row>
    <row r="4872" spans="1:10">
      <c r="A4872" s="159" t="str">
        <f t="shared" si="383"/>
        <v>$H$1:$H$92</v>
      </c>
      <c r="B4872" s="159" t="str">
        <f t="shared" si="384"/>
        <v>$I$1:$I$92</v>
      </c>
      <c r="C4872" s="159" t="str">
        <f t="shared" si="385"/>
        <v>July!$H$1:$H$92</v>
      </c>
      <c r="D4872" s="159" t="str">
        <f t="shared" si="386"/>
        <v>July!$I$1:$I$92</v>
      </c>
      <c r="E4872" t="s">
        <v>9</v>
      </c>
      <c r="F4872" t="s">
        <v>126</v>
      </c>
      <c r="G4872" t="s">
        <v>143</v>
      </c>
      <c r="H4872" t="s">
        <v>180</v>
      </c>
      <c r="I4872" t="e">
        <f t="shared" ca="1" si="382"/>
        <v>#REF!</v>
      </c>
      <c r="J4872" t="str">
        <f>VLOOKUP($G4872,DefinitionArrays!$I$6:$J$12,2,FALSE)</f>
        <v>Workweek</v>
      </c>
    </row>
    <row r="4873" spans="1:10">
      <c r="A4873" s="159" t="str">
        <f t="shared" si="383"/>
        <v>$H$1:$H$92</v>
      </c>
      <c r="B4873" s="159" t="str">
        <f t="shared" si="384"/>
        <v>$I$1:$I$92</v>
      </c>
      <c r="C4873" s="159" t="str">
        <f t="shared" si="385"/>
        <v>July!$H$1:$H$92</v>
      </c>
      <c r="D4873" s="159" t="str">
        <f t="shared" si="386"/>
        <v>July!$I$1:$I$92</v>
      </c>
      <c r="E4873" t="s">
        <v>9</v>
      </c>
      <c r="F4873" t="s">
        <v>126</v>
      </c>
      <c r="G4873" t="s">
        <v>143</v>
      </c>
      <c r="H4873" t="s">
        <v>44</v>
      </c>
      <c r="I4873" t="e">
        <f t="shared" ca="1" si="382"/>
        <v>#REF!</v>
      </c>
      <c r="J4873" t="str">
        <f>VLOOKUP($G4873,DefinitionArrays!$I$6:$J$12,2,FALSE)</f>
        <v>Workweek</v>
      </c>
    </row>
    <row r="4874" spans="1:10">
      <c r="A4874" s="159" t="str">
        <f t="shared" si="383"/>
        <v>$K$1:$K$92</v>
      </c>
      <c r="B4874" s="159" t="str">
        <f t="shared" si="384"/>
        <v>$L$1:$L$92</v>
      </c>
      <c r="C4874" s="159" t="str">
        <f t="shared" si="385"/>
        <v>July!$K$1:$K$92</v>
      </c>
      <c r="D4874" s="159" t="str">
        <f t="shared" si="386"/>
        <v>July!$L$1:$L$92</v>
      </c>
      <c r="E4874" t="s">
        <v>9</v>
      </c>
      <c r="F4874" t="s">
        <v>126</v>
      </c>
      <c r="G4874" t="s">
        <v>144</v>
      </c>
      <c r="H4874" t="s">
        <v>159</v>
      </c>
      <c r="I4874" t="e">
        <f t="shared" ca="1" si="382"/>
        <v>#REF!</v>
      </c>
      <c r="J4874" t="str">
        <f>VLOOKUP($G4874,DefinitionArrays!$I$6:$J$12,2,FALSE)</f>
        <v>Workweek</v>
      </c>
    </row>
    <row r="4875" spans="1:10">
      <c r="A4875" s="159" t="str">
        <f t="shared" si="383"/>
        <v>$K$1:$K$92</v>
      </c>
      <c r="B4875" s="159" t="str">
        <f t="shared" si="384"/>
        <v>$L$1:$L$92</v>
      </c>
      <c r="C4875" s="159" t="str">
        <f t="shared" si="385"/>
        <v>July!$K$1:$K$92</v>
      </c>
      <c r="D4875" s="159" t="str">
        <f t="shared" si="386"/>
        <v>July!$L$1:$L$92</v>
      </c>
      <c r="E4875" t="s">
        <v>9</v>
      </c>
      <c r="F4875" t="s">
        <v>126</v>
      </c>
      <c r="G4875" t="s">
        <v>144</v>
      </c>
      <c r="H4875" t="s">
        <v>18</v>
      </c>
      <c r="I4875" t="e">
        <f t="shared" ca="1" si="382"/>
        <v>#REF!</v>
      </c>
      <c r="J4875" t="str">
        <f>VLOOKUP($G4875,DefinitionArrays!$I$6:$J$12,2,FALSE)</f>
        <v>Workweek</v>
      </c>
    </row>
    <row r="4876" spans="1:10">
      <c r="A4876" s="159" t="str">
        <f t="shared" si="383"/>
        <v>$K$1:$K$92</v>
      </c>
      <c r="B4876" s="159" t="str">
        <f t="shared" si="384"/>
        <v>$L$1:$L$92</v>
      </c>
      <c r="C4876" s="159" t="str">
        <f t="shared" si="385"/>
        <v>July!$K$1:$K$92</v>
      </c>
      <c r="D4876" s="159" t="str">
        <f t="shared" si="386"/>
        <v>July!$L$1:$L$92</v>
      </c>
      <c r="E4876" t="s">
        <v>9</v>
      </c>
      <c r="F4876" t="s">
        <v>126</v>
      </c>
      <c r="G4876" t="s">
        <v>144</v>
      </c>
      <c r="H4876" t="s">
        <v>153</v>
      </c>
      <c r="I4876" t="e">
        <f t="shared" ca="1" si="382"/>
        <v>#REF!</v>
      </c>
      <c r="J4876" t="str">
        <f>VLOOKUP($G4876,DefinitionArrays!$I$6:$J$12,2,FALSE)</f>
        <v>Workweek</v>
      </c>
    </row>
    <row r="4877" spans="1:10">
      <c r="A4877" s="159" t="str">
        <f t="shared" si="383"/>
        <v>$K$1:$K$92</v>
      </c>
      <c r="B4877" s="159" t="str">
        <f t="shared" si="384"/>
        <v>$L$1:$L$92</v>
      </c>
      <c r="C4877" s="159" t="str">
        <f t="shared" si="385"/>
        <v>July!$K$1:$K$92</v>
      </c>
      <c r="D4877" s="159" t="str">
        <f t="shared" si="386"/>
        <v>July!$L$1:$L$92</v>
      </c>
      <c r="E4877" t="s">
        <v>9</v>
      </c>
      <c r="F4877" t="s">
        <v>126</v>
      </c>
      <c r="G4877" t="s">
        <v>144</v>
      </c>
      <c r="H4877" t="s">
        <v>19</v>
      </c>
      <c r="I4877" t="e">
        <f t="shared" ca="1" si="382"/>
        <v>#REF!</v>
      </c>
      <c r="J4877" t="str">
        <f>VLOOKUP($G4877,DefinitionArrays!$I$6:$J$12,2,FALSE)</f>
        <v>Workweek</v>
      </c>
    </row>
    <row r="4878" spans="1:10">
      <c r="A4878" s="159" t="str">
        <f t="shared" si="383"/>
        <v>$K$1:$K$92</v>
      </c>
      <c r="B4878" s="159" t="str">
        <f t="shared" si="384"/>
        <v>$L$1:$L$92</v>
      </c>
      <c r="C4878" s="159" t="str">
        <f t="shared" si="385"/>
        <v>July!$K$1:$K$92</v>
      </c>
      <c r="D4878" s="159" t="str">
        <f t="shared" si="386"/>
        <v>July!$L$1:$L$92</v>
      </c>
      <c r="E4878" t="s">
        <v>9</v>
      </c>
      <c r="F4878" t="s">
        <v>126</v>
      </c>
      <c r="G4878" t="s">
        <v>144</v>
      </c>
      <c r="H4878" t="s">
        <v>20</v>
      </c>
      <c r="I4878" t="e">
        <f t="shared" ca="1" si="382"/>
        <v>#REF!</v>
      </c>
      <c r="J4878" t="str">
        <f>VLOOKUP($G4878,DefinitionArrays!$I$6:$J$12,2,FALSE)</f>
        <v>Workweek</v>
      </c>
    </row>
    <row r="4879" spans="1:10">
      <c r="A4879" s="159" t="str">
        <f t="shared" si="383"/>
        <v>$K$1:$K$92</v>
      </c>
      <c r="B4879" s="159" t="str">
        <f t="shared" si="384"/>
        <v>$L$1:$L$92</v>
      </c>
      <c r="C4879" s="159" t="str">
        <f t="shared" si="385"/>
        <v>July!$K$1:$K$92</v>
      </c>
      <c r="D4879" s="159" t="str">
        <f t="shared" si="386"/>
        <v>July!$L$1:$L$92</v>
      </c>
      <c r="E4879" t="s">
        <v>9</v>
      </c>
      <c r="F4879" t="s">
        <v>126</v>
      </c>
      <c r="G4879" t="s">
        <v>144</v>
      </c>
      <c r="H4879" t="s">
        <v>21</v>
      </c>
      <c r="I4879" t="e">
        <f t="shared" ca="1" si="382"/>
        <v>#REF!</v>
      </c>
      <c r="J4879" t="str">
        <f>VLOOKUP($G4879,DefinitionArrays!$I$6:$J$12,2,FALSE)</f>
        <v>Workweek</v>
      </c>
    </row>
    <row r="4880" spans="1:10">
      <c r="A4880" s="159" t="str">
        <f t="shared" si="383"/>
        <v>$K$1:$K$92</v>
      </c>
      <c r="B4880" s="159" t="str">
        <f t="shared" si="384"/>
        <v>$L$1:$L$92</v>
      </c>
      <c r="C4880" s="159" t="str">
        <f t="shared" si="385"/>
        <v>July!$K$1:$K$92</v>
      </c>
      <c r="D4880" s="159" t="str">
        <f t="shared" si="386"/>
        <v>July!$L$1:$L$92</v>
      </c>
      <c r="E4880" t="s">
        <v>9</v>
      </c>
      <c r="F4880" t="s">
        <v>126</v>
      </c>
      <c r="G4880" t="s">
        <v>144</v>
      </c>
      <c r="H4880" t="s">
        <v>22</v>
      </c>
      <c r="I4880" t="e">
        <f t="shared" ca="1" si="382"/>
        <v>#REF!</v>
      </c>
      <c r="J4880" t="str">
        <f>VLOOKUP($G4880,DefinitionArrays!$I$6:$J$12,2,FALSE)</f>
        <v>Workweek</v>
      </c>
    </row>
    <row r="4881" spans="1:10">
      <c r="A4881" s="159" t="str">
        <f t="shared" si="383"/>
        <v>$K$1:$K$92</v>
      </c>
      <c r="B4881" s="159" t="str">
        <f t="shared" si="384"/>
        <v>$L$1:$L$92</v>
      </c>
      <c r="C4881" s="159" t="str">
        <f t="shared" si="385"/>
        <v>July!$K$1:$K$92</v>
      </c>
      <c r="D4881" s="159" t="str">
        <f t="shared" si="386"/>
        <v>July!$L$1:$L$92</v>
      </c>
      <c r="E4881" t="s">
        <v>9</v>
      </c>
      <c r="F4881" t="s">
        <v>126</v>
      </c>
      <c r="G4881" t="s">
        <v>144</v>
      </c>
      <c r="H4881" t="s">
        <v>23</v>
      </c>
      <c r="I4881" t="e">
        <f t="shared" ca="1" si="382"/>
        <v>#REF!</v>
      </c>
      <c r="J4881" t="str">
        <f>VLOOKUP($G4881,DefinitionArrays!$I$6:$J$12,2,FALSE)</f>
        <v>Workweek</v>
      </c>
    </row>
    <row r="4882" spans="1:10">
      <c r="A4882" s="159" t="str">
        <f t="shared" si="383"/>
        <v>$K$1:$K$92</v>
      </c>
      <c r="B4882" s="159" t="str">
        <f t="shared" si="384"/>
        <v>$L$1:$L$92</v>
      </c>
      <c r="C4882" s="159" t="str">
        <f t="shared" si="385"/>
        <v>July!$K$1:$K$92</v>
      </c>
      <c r="D4882" s="159" t="str">
        <f t="shared" si="386"/>
        <v>July!$L$1:$L$92</v>
      </c>
      <c r="E4882" t="s">
        <v>9</v>
      </c>
      <c r="F4882" t="s">
        <v>126</v>
      </c>
      <c r="G4882" t="s">
        <v>144</v>
      </c>
      <c r="H4882" t="s">
        <v>24</v>
      </c>
      <c r="I4882" t="e">
        <f t="shared" ca="1" si="382"/>
        <v>#REF!</v>
      </c>
      <c r="J4882" t="str">
        <f>VLOOKUP($G4882,DefinitionArrays!$I$6:$J$12,2,FALSE)</f>
        <v>Workweek</v>
      </c>
    </row>
    <row r="4883" spans="1:10">
      <c r="A4883" s="159" t="str">
        <f t="shared" si="383"/>
        <v>$K$1:$K$92</v>
      </c>
      <c r="B4883" s="159" t="str">
        <f t="shared" si="384"/>
        <v>$L$1:$L$92</v>
      </c>
      <c r="C4883" s="159" t="str">
        <f t="shared" si="385"/>
        <v>July!$K$1:$K$92</v>
      </c>
      <c r="D4883" s="159" t="str">
        <f t="shared" si="386"/>
        <v>July!$L$1:$L$92</v>
      </c>
      <c r="E4883" t="s">
        <v>9</v>
      </c>
      <c r="F4883" t="s">
        <v>126</v>
      </c>
      <c r="G4883" t="s">
        <v>144</v>
      </c>
      <c r="H4883" t="s">
        <v>179</v>
      </c>
      <c r="I4883" t="e">
        <f t="shared" ca="1" si="382"/>
        <v>#REF!</v>
      </c>
      <c r="J4883" t="str">
        <f>VLOOKUP($G4883,DefinitionArrays!$I$6:$J$12,2,FALSE)</f>
        <v>Workweek</v>
      </c>
    </row>
    <row r="4884" spans="1:10">
      <c r="A4884" s="159" t="str">
        <f t="shared" si="383"/>
        <v>$K$1:$K$92</v>
      </c>
      <c r="B4884" s="159" t="str">
        <f t="shared" si="384"/>
        <v>$L$1:$L$92</v>
      </c>
      <c r="C4884" s="159" t="str">
        <f t="shared" si="385"/>
        <v>July!$K$1:$K$92</v>
      </c>
      <c r="D4884" s="159" t="str">
        <f t="shared" si="386"/>
        <v>July!$L$1:$L$92</v>
      </c>
      <c r="E4884" t="s">
        <v>9</v>
      </c>
      <c r="F4884" t="s">
        <v>126</v>
      </c>
      <c r="G4884" t="s">
        <v>144</v>
      </c>
      <c r="H4884" t="s">
        <v>180</v>
      </c>
      <c r="I4884" t="e">
        <f t="shared" ca="1" si="382"/>
        <v>#REF!</v>
      </c>
      <c r="J4884" t="str">
        <f>VLOOKUP($G4884,DefinitionArrays!$I$6:$J$12,2,FALSE)</f>
        <v>Workweek</v>
      </c>
    </row>
    <row r="4885" spans="1:10">
      <c r="A4885" s="159" t="str">
        <f t="shared" si="383"/>
        <v>$K$1:$K$92</v>
      </c>
      <c r="B4885" s="159" t="str">
        <f t="shared" si="384"/>
        <v>$L$1:$L$92</v>
      </c>
      <c r="C4885" s="159" t="str">
        <f t="shared" si="385"/>
        <v>July!$K$1:$K$92</v>
      </c>
      <c r="D4885" s="159" t="str">
        <f t="shared" si="386"/>
        <v>July!$L$1:$L$92</v>
      </c>
      <c r="E4885" t="s">
        <v>9</v>
      </c>
      <c r="F4885" t="s">
        <v>126</v>
      </c>
      <c r="G4885" t="s">
        <v>144</v>
      </c>
      <c r="H4885" t="s">
        <v>44</v>
      </c>
      <c r="I4885" t="e">
        <f t="shared" ca="1" si="382"/>
        <v>#REF!</v>
      </c>
      <c r="J4885" t="str">
        <f>VLOOKUP($G4885,DefinitionArrays!$I$6:$J$12,2,FALSE)</f>
        <v>Workweek</v>
      </c>
    </row>
    <row r="4886" spans="1:10">
      <c r="A4886" s="159" t="str">
        <f t="shared" si="383"/>
        <v>$N$1:$N$92</v>
      </c>
      <c r="B4886" s="159" t="str">
        <f t="shared" si="384"/>
        <v>$O$1:$O$92</v>
      </c>
      <c r="C4886" s="159" t="str">
        <f t="shared" si="385"/>
        <v>July!$N$1:$N$92</v>
      </c>
      <c r="D4886" s="159" t="str">
        <f t="shared" si="386"/>
        <v>July!$O$1:$O$92</v>
      </c>
      <c r="E4886" t="s">
        <v>9</v>
      </c>
      <c r="F4886" t="s">
        <v>126</v>
      </c>
      <c r="G4886" t="s">
        <v>145</v>
      </c>
      <c r="H4886" t="s">
        <v>159</v>
      </c>
      <c r="I4886" t="e">
        <f t="shared" ca="1" si="382"/>
        <v>#REF!</v>
      </c>
      <c r="J4886" t="str">
        <f>VLOOKUP($G4886,DefinitionArrays!$I$6:$J$12,2,FALSE)</f>
        <v>Weekend</v>
      </c>
    </row>
    <row r="4887" spans="1:10">
      <c r="A4887" s="159" t="str">
        <f t="shared" si="383"/>
        <v>$N$1:$N$92</v>
      </c>
      <c r="B4887" s="159" t="str">
        <f t="shared" si="384"/>
        <v>$O$1:$O$92</v>
      </c>
      <c r="C4887" s="159" t="str">
        <f t="shared" si="385"/>
        <v>July!$N$1:$N$92</v>
      </c>
      <c r="D4887" s="159" t="str">
        <f t="shared" si="386"/>
        <v>July!$O$1:$O$92</v>
      </c>
      <c r="E4887" t="s">
        <v>9</v>
      </c>
      <c r="F4887" t="s">
        <v>126</v>
      </c>
      <c r="G4887" t="s">
        <v>145</v>
      </c>
      <c r="H4887" t="s">
        <v>18</v>
      </c>
      <c r="I4887" t="e">
        <f t="shared" ca="1" si="382"/>
        <v>#REF!</v>
      </c>
      <c r="J4887" t="str">
        <f>VLOOKUP($G4887,DefinitionArrays!$I$6:$J$12,2,FALSE)</f>
        <v>Weekend</v>
      </c>
    </row>
    <row r="4888" spans="1:10">
      <c r="A4888" s="159" t="str">
        <f t="shared" si="383"/>
        <v>$N$1:$N$92</v>
      </c>
      <c r="B4888" s="159" t="str">
        <f t="shared" si="384"/>
        <v>$O$1:$O$92</v>
      </c>
      <c r="C4888" s="159" t="str">
        <f t="shared" si="385"/>
        <v>July!$N$1:$N$92</v>
      </c>
      <c r="D4888" s="159" t="str">
        <f t="shared" si="386"/>
        <v>July!$O$1:$O$92</v>
      </c>
      <c r="E4888" t="s">
        <v>9</v>
      </c>
      <c r="F4888" t="s">
        <v>126</v>
      </c>
      <c r="G4888" t="s">
        <v>145</v>
      </c>
      <c r="H4888" t="s">
        <v>153</v>
      </c>
      <c r="I4888" t="e">
        <f t="shared" ca="1" si="382"/>
        <v>#REF!</v>
      </c>
      <c r="J4888" t="str">
        <f>VLOOKUP($G4888,DefinitionArrays!$I$6:$J$12,2,FALSE)</f>
        <v>Weekend</v>
      </c>
    </row>
    <row r="4889" spans="1:10">
      <c r="A4889" s="159" t="str">
        <f t="shared" si="383"/>
        <v>$N$1:$N$92</v>
      </c>
      <c r="B4889" s="159" t="str">
        <f t="shared" si="384"/>
        <v>$O$1:$O$92</v>
      </c>
      <c r="C4889" s="159" t="str">
        <f t="shared" si="385"/>
        <v>July!$N$1:$N$92</v>
      </c>
      <c r="D4889" s="159" t="str">
        <f t="shared" si="386"/>
        <v>July!$O$1:$O$92</v>
      </c>
      <c r="E4889" t="s">
        <v>9</v>
      </c>
      <c r="F4889" t="s">
        <v>126</v>
      </c>
      <c r="G4889" t="s">
        <v>145</v>
      </c>
      <c r="H4889" t="s">
        <v>19</v>
      </c>
      <c r="I4889" t="e">
        <f t="shared" ca="1" si="382"/>
        <v>#REF!</v>
      </c>
      <c r="J4889" t="str">
        <f>VLOOKUP($G4889,DefinitionArrays!$I$6:$J$12,2,FALSE)</f>
        <v>Weekend</v>
      </c>
    </row>
    <row r="4890" spans="1:10">
      <c r="A4890" s="159" t="str">
        <f t="shared" si="383"/>
        <v>$N$1:$N$92</v>
      </c>
      <c r="B4890" s="159" t="str">
        <f t="shared" si="384"/>
        <v>$O$1:$O$92</v>
      </c>
      <c r="C4890" s="159" t="str">
        <f t="shared" si="385"/>
        <v>July!$N$1:$N$92</v>
      </c>
      <c r="D4890" s="159" t="str">
        <f t="shared" si="386"/>
        <v>July!$O$1:$O$92</v>
      </c>
      <c r="E4890" t="s">
        <v>9</v>
      </c>
      <c r="F4890" t="s">
        <v>126</v>
      </c>
      <c r="G4890" t="s">
        <v>145</v>
      </c>
      <c r="H4890" t="s">
        <v>20</v>
      </c>
      <c r="I4890" t="e">
        <f t="shared" ca="1" si="382"/>
        <v>#REF!</v>
      </c>
      <c r="J4890" t="str">
        <f>VLOOKUP($G4890,DefinitionArrays!$I$6:$J$12,2,FALSE)</f>
        <v>Weekend</v>
      </c>
    </row>
    <row r="4891" spans="1:10">
      <c r="A4891" s="159" t="str">
        <f t="shared" si="383"/>
        <v>$N$1:$N$92</v>
      </c>
      <c r="B4891" s="159" t="str">
        <f t="shared" si="384"/>
        <v>$O$1:$O$92</v>
      </c>
      <c r="C4891" s="159" t="str">
        <f t="shared" si="385"/>
        <v>July!$N$1:$N$92</v>
      </c>
      <c r="D4891" s="159" t="str">
        <f t="shared" si="386"/>
        <v>July!$O$1:$O$92</v>
      </c>
      <c r="E4891" t="s">
        <v>9</v>
      </c>
      <c r="F4891" t="s">
        <v>126</v>
      </c>
      <c r="G4891" t="s">
        <v>145</v>
      </c>
      <c r="H4891" t="s">
        <v>21</v>
      </c>
      <c r="I4891" t="e">
        <f t="shared" ca="1" si="382"/>
        <v>#REF!</v>
      </c>
      <c r="J4891" t="str">
        <f>VLOOKUP($G4891,DefinitionArrays!$I$6:$J$12,2,FALSE)</f>
        <v>Weekend</v>
      </c>
    </row>
    <row r="4892" spans="1:10">
      <c r="A4892" s="159" t="str">
        <f t="shared" si="383"/>
        <v>$N$1:$N$92</v>
      </c>
      <c r="B4892" s="159" t="str">
        <f t="shared" si="384"/>
        <v>$O$1:$O$92</v>
      </c>
      <c r="C4892" s="159" t="str">
        <f t="shared" si="385"/>
        <v>July!$N$1:$N$92</v>
      </c>
      <c r="D4892" s="159" t="str">
        <f t="shared" si="386"/>
        <v>July!$O$1:$O$92</v>
      </c>
      <c r="E4892" t="s">
        <v>9</v>
      </c>
      <c r="F4892" t="s">
        <v>126</v>
      </c>
      <c r="G4892" t="s">
        <v>145</v>
      </c>
      <c r="H4892" t="s">
        <v>22</v>
      </c>
      <c r="I4892" t="e">
        <f t="shared" ca="1" si="382"/>
        <v>#REF!</v>
      </c>
      <c r="J4892" t="str">
        <f>VLOOKUP($G4892,DefinitionArrays!$I$6:$J$12,2,FALSE)</f>
        <v>Weekend</v>
      </c>
    </row>
    <row r="4893" spans="1:10">
      <c r="A4893" s="159" t="str">
        <f t="shared" si="383"/>
        <v>$N$1:$N$92</v>
      </c>
      <c r="B4893" s="159" t="str">
        <f t="shared" si="384"/>
        <v>$O$1:$O$92</v>
      </c>
      <c r="C4893" s="159" t="str">
        <f t="shared" si="385"/>
        <v>July!$N$1:$N$92</v>
      </c>
      <c r="D4893" s="159" t="str">
        <f t="shared" si="386"/>
        <v>July!$O$1:$O$92</v>
      </c>
      <c r="E4893" t="s">
        <v>9</v>
      </c>
      <c r="F4893" t="s">
        <v>126</v>
      </c>
      <c r="G4893" t="s">
        <v>145</v>
      </c>
      <c r="H4893" t="s">
        <v>23</v>
      </c>
      <c r="I4893" t="e">
        <f t="shared" ca="1" si="382"/>
        <v>#REF!</v>
      </c>
      <c r="J4893" t="str">
        <f>VLOOKUP($G4893,DefinitionArrays!$I$6:$J$12,2,FALSE)</f>
        <v>Weekend</v>
      </c>
    </row>
    <row r="4894" spans="1:10">
      <c r="A4894" s="159" t="str">
        <f t="shared" si="383"/>
        <v>$N$1:$N$92</v>
      </c>
      <c r="B4894" s="159" t="str">
        <f t="shared" si="384"/>
        <v>$O$1:$O$92</v>
      </c>
      <c r="C4894" s="159" t="str">
        <f t="shared" si="385"/>
        <v>July!$N$1:$N$92</v>
      </c>
      <c r="D4894" s="159" t="str">
        <f t="shared" si="386"/>
        <v>July!$O$1:$O$92</v>
      </c>
      <c r="E4894" t="s">
        <v>9</v>
      </c>
      <c r="F4894" t="s">
        <v>126</v>
      </c>
      <c r="G4894" t="s">
        <v>145</v>
      </c>
      <c r="H4894" t="s">
        <v>24</v>
      </c>
      <c r="I4894" t="e">
        <f t="shared" ca="1" si="382"/>
        <v>#REF!</v>
      </c>
      <c r="J4894" t="str">
        <f>VLOOKUP($G4894,DefinitionArrays!$I$6:$J$12,2,FALSE)</f>
        <v>Weekend</v>
      </c>
    </row>
    <row r="4895" spans="1:10">
      <c r="A4895" s="159" t="str">
        <f t="shared" si="383"/>
        <v>$N$1:$N$92</v>
      </c>
      <c r="B4895" s="159" t="str">
        <f t="shared" si="384"/>
        <v>$O$1:$O$92</v>
      </c>
      <c r="C4895" s="159" t="str">
        <f t="shared" si="385"/>
        <v>July!$N$1:$N$92</v>
      </c>
      <c r="D4895" s="159" t="str">
        <f t="shared" si="386"/>
        <v>July!$O$1:$O$92</v>
      </c>
      <c r="E4895" t="s">
        <v>9</v>
      </c>
      <c r="F4895" t="s">
        <v>126</v>
      </c>
      <c r="G4895" t="s">
        <v>145</v>
      </c>
      <c r="H4895" t="s">
        <v>179</v>
      </c>
      <c r="I4895" t="e">
        <f t="shared" ca="1" si="382"/>
        <v>#REF!</v>
      </c>
      <c r="J4895" t="str">
        <f>VLOOKUP($G4895,DefinitionArrays!$I$6:$J$12,2,FALSE)</f>
        <v>Weekend</v>
      </c>
    </row>
    <row r="4896" spans="1:10">
      <c r="A4896" s="159" t="str">
        <f t="shared" si="383"/>
        <v>$N$1:$N$92</v>
      </c>
      <c r="B4896" s="159" t="str">
        <f t="shared" si="384"/>
        <v>$O$1:$O$92</v>
      </c>
      <c r="C4896" s="159" t="str">
        <f t="shared" si="385"/>
        <v>July!$N$1:$N$92</v>
      </c>
      <c r="D4896" s="159" t="str">
        <f t="shared" si="386"/>
        <v>July!$O$1:$O$92</v>
      </c>
      <c r="E4896" t="s">
        <v>9</v>
      </c>
      <c r="F4896" t="s">
        <v>126</v>
      </c>
      <c r="G4896" t="s">
        <v>145</v>
      </c>
      <c r="H4896" t="s">
        <v>180</v>
      </c>
      <c r="I4896" t="e">
        <f t="shared" ca="1" si="382"/>
        <v>#REF!</v>
      </c>
      <c r="J4896" t="str">
        <f>VLOOKUP($G4896,DefinitionArrays!$I$6:$J$12,2,FALSE)</f>
        <v>Weekend</v>
      </c>
    </row>
    <row r="4897" spans="1:10">
      <c r="A4897" s="159" t="str">
        <f t="shared" si="383"/>
        <v>$N$1:$N$92</v>
      </c>
      <c r="B4897" s="159" t="str">
        <f t="shared" si="384"/>
        <v>$O$1:$O$92</v>
      </c>
      <c r="C4897" s="159" t="str">
        <f t="shared" si="385"/>
        <v>July!$N$1:$N$92</v>
      </c>
      <c r="D4897" s="159" t="str">
        <f t="shared" si="386"/>
        <v>July!$O$1:$O$92</v>
      </c>
      <c r="E4897" t="s">
        <v>9</v>
      </c>
      <c r="F4897" t="s">
        <v>126</v>
      </c>
      <c r="G4897" t="s">
        <v>145</v>
      </c>
      <c r="H4897" t="s">
        <v>44</v>
      </c>
      <c r="I4897" t="e">
        <f t="shared" ca="1" si="382"/>
        <v>#REF!</v>
      </c>
      <c r="J4897" t="str">
        <f>VLOOKUP($G4897,DefinitionArrays!$I$6:$J$12,2,FALSE)</f>
        <v>Weekend</v>
      </c>
    </row>
    <row r="4898" spans="1:10">
      <c r="A4898" s="159" t="str">
        <f t="shared" si="383"/>
        <v>$Q$1:$Q$92</v>
      </c>
      <c r="B4898" s="159" t="str">
        <f t="shared" si="384"/>
        <v>$R$1:$R$92</v>
      </c>
      <c r="C4898" s="159" t="str">
        <f t="shared" si="385"/>
        <v>July!$Q$1:$Q$92</v>
      </c>
      <c r="D4898" s="159" t="str">
        <f t="shared" si="386"/>
        <v>July!$R$1:$R$92</v>
      </c>
      <c r="E4898" t="s">
        <v>9</v>
      </c>
      <c r="F4898" t="s">
        <v>126</v>
      </c>
      <c r="G4898" t="s">
        <v>146</v>
      </c>
      <c r="H4898" t="s">
        <v>159</v>
      </c>
      <c r="I4898" t="e">
        <f t="shared" ca="1" si="382"/>
        <v>#REF!</v>
      </c>
      <c r="J4898" t="str">
        <f>VLOOKUP($G4898,DefinitionArrays!$I$6:$J$12,2,FALSE)</f>
        <v>Weekend</v>
      </c>
    </row>
    <row r="4899" spans="1:10">
      <c r="A4899" s="159" t="str">
        <f t="shared" si="383"/>
        <v>$T$1:$T$92</v>
      </c>
      <c r="B4899" s="159" t="str">
        <f t="shared" si="384"/>
        <v>$U$1:$U$92</v>
      </c>
      <c r="C4899" s="159" t="str">
        <f t="shared" si="385"/>
        <v>July!$T$1:$T$92</v>
      </c>
      <c r="D4899" s="159" t="str">
        <f t="shared" si="386"/>
        <v>July!$U$1:$U$92</v>
      </c>
      <c r="E4899" t="s">
        <v>9</v>
      </c>
      <c r="F4899" t="s">
        <v>126</v>
      </c>
      <c r="G4899" t="s">
        <v>141</v>
      </c>
      <c r="H4899" t="s">
        <v>159</v>
      </c>
      <c r="I4899" t="e">
        <f t="shared" ca="1" si="382"/>
        <v>#REF!</v>
      </c>
      <c r="J4899" t="str">
        <f>VLOOKUP($G4899,DefinitionArrays!$I$6:$J$12,2,FALSE)</f>
        <v>Weekend</v>
      </c>
    </row>
    <row r="4900" spans="1:10">
      <c r="A4900" s="159" t="str">
        <f t="shared" si="383"/>
        <v>$B$1:$B$92</v>
      </c>
      <c r="B4900" s="159" t="str">
        <f t="shared" si="384"/>
        <v>$C$1:$C$92</v>
      </c>
      <c r="C4900" s="159" t="str">
        <f t="shared" si="385"/>
        <v>August!$B$1:$B$92</v>
      </c>
      <c r="D4900" s="159" t="str">
        <f t="shared" si="386"/>
        <v>August!$C$1:$C$92</v>
      </c>
      <c r="E4900" t="s">
        <v>9</v>
      </c>
      <c r="F4900" t="s">
        <v>127</v>
      </c>
      <c r="G4900" t="s">
        <v>13</v>
      </c>
      <c r="H4900" t="s">
        <v>159</v>
      </c>
      <c r="I4900" t="e">
        <f ca="1">COUNTIFS(INDIRECT($C4900),$E4900,INDIRECT($D4900),$H4900)</f>
        <v>#REF!</v>
      </c>
      <c r="J4900" t="str">
        <f>VLOOKUP($G4900,DefinitionArrays!$I$6:$J$12,2,FALSE)</f>
        <v>Workweek</v>
      </c>
    </row>
    <row r="4901" spans="1:10">
      <c r="A4901" s="159" t="str">
        <f t="shared" si="383"/>
        <v>$B$1:$B$92</v>
      </c>
      <c r="B4901" s="159" t="str">
        <f t="shared" si="384"/>
        <v>$C$1:$C$92</v>
      </c>
      <c r="C4901" s="159" t="str">
        <f t="shared" si="385"/>
        <v>August!$B$1:$B$92</v>
      </c>
      <c r="D4901" s="159" t="str">
        <f t="shared" si="386"/>
        <v>August!$C$1:$C$92</v>
      </c>
      <c r="E4901" t="s">
        <v>9</v>
      </c>
      <c r="F4901" t="s">
        <v>127</v>
      </c>
      <c r="G4901" t="s">
        <v>13</v>
      </c>
      <c r="H4901" t="s">
        <v>18</v>
      </c>
      <c r="I4901" t="e">
        <f t="shared" ref="I4901:I4961" ca="1" si="387">COUNTIFS(INDIRECT($C4901),$E4901,INDIRECT($D4901),$H4901)</f>
        <v>#REF!</v>
      </c>
      <c r="J4901" t="str">
        <f>VLOOKUP($G4901,DefinitionArrays!$I$6:$J$12,2,FALSE)</f>
        <v>Workweek</v>
      </c>
    </row>
    <row r="4902" spans="1:10">
      <c r="A4902" s="159" t="str">
        <f t="shared" si="383"/>
        <v>$B$1:$B$92</v>
      </c>
      <c r="B4902" s="159" t="str">
        <f t="shared" si="384"/>
        <v>$C$1:$C$92</v>
      </c>
      <c r="C4902" s="159" t="str">
        <f t="shared" si="385"/>
        <v>August!$B$1:$B$92</v>
      </c>
      <c r="D4902" s="159" t="str">
        <f t="shared" si="386"/>
        <v>August!$C$1:$C$92</v>
      </c>
      <c r="E4902" t="s">
        <v>9</v>
      </c>
      <c r="F4902" t="s">
        <v>127</v>
      </c>
      <c r="G4902" t="s">
        <v>13</v>
      </c>
      <c r="H4902" t="s">
        <v>153</v>
      </c>
      <c r="I4902" t="e">
        <f t="shared" ca="1" si="387"/>
        <v>#REF!</v>
      </c>
      <c r="J4902" t="str">
        <f>VLOOKUP($G4902,DefinitionArrays!$I$6:$J$12,2,FALSE)</f>
        <v>Workweek</v>
      </c>
    </row>
    <row r="4903" spans="1:10">
      <c r="A4903" s="159" t="str">
        <f t="shared" si="383"/>
        <v>$B$1:$B$92</v>
      </c>
      <c r="B4903" s="159" t="str">
        <f t="shared" si="384"/>
        <v>$C$1:$C$92</v>
      </c>
      <c r="C4903" s="159" t="str">
        <f t="shared" si="385"/>
        <v>August!$B$1:$B$92</v>
      </c>
      <c r="D4903" s="159" t="str">
        <f t="shared" si="386"/>
        <v>August!$C$1:$C$92</v>
      </c>
      <c r="E4903" t="s">
        <v>9</v>
      </c>
      <c r="F4903" t="s">
        <v>127</v>
      </c>
      <c r="G4903" t="s">
        <v>13</v>
      </c>
      <c r="H4903" t="s">
        <v>19</v>
      </c>
      <c r="I4903" t="e">
        <f t="shared" ca="1" si="387"/>
        <v>#REF!</v>
      </c>
      <c r="J4903" t="str">
        <f>VLOOKUP($G4903,DefinitionArrays!$I$6:$J$12,2,FALSE)</f>
        <v>Workweek</v>
      </c>
    </row>
    <row r="4904" spans="1:10">
      <c r="A4904" s="159" t="str">
        <f t="shared" si="383"/>
        <v>$B$1:$B$92</v>
      </c>
      <c r="B4904" s="159" t="str">
        <f t="shared" si="384"/>
        <v>$C$1:$C$92</v>
      </c>
      <c r="C4904" s="159" t="str">
        <f t="shared" si="385"/>
        <v>August!$B$1:$B$92</v>
      </c>
      <c r="D4904" s="159" t="str">
        <f t="shared" si="386"/>
        <v>August!$C$1:$C$92</v>
      </c>
      <c r="E4904" t="s">
        <v>9</v>
      </c>
      <c r="F4904" t="s">
        <v>127</v>
      </c>
      <c r="G4904" t="s">
        <v>13</v>
      </c>
      <c r="H4904" t="s">
        <v>20</v>
      </c>
      <c r="I4904" t="e">
        <f t="shared" ca="1" si="387"/>
        <v>#REF!</v>
      </c>
      <c r="J4904" t="str">
        <f>VLOOKUP($G4904,DefinitionArrays!$I$6:$J$12,2,FALSE)</f>
        <v>Workweek</v>
      </c>
    </row>
    <row r="4905" spans="1:10">
      <c r="A4905" s="159" t="str">
        <f t="shared" si="383"/>
        <v>$B$1:$B$92</v>
      </c>
      <c r="B4905" s="159" t="str">
        <f t="shared" si="384"/>
        <v>$C$1:$C$92</v>
      </c>
      <c r="C4905" s="159" t="str">
        <f t="shared" si="385"/>
        <v>August!$B$1:$B$92</v>
      </c>
      <c r="D4905" s="159" t="str">
        <f t="shared" si="386"/>
        <v>August!$C$1:$C$92</v>
      </c>
      <c r="E4905" t="s">
        <v>9</v>
      </c>
      <c r="F4905" t="s">
        <v>127</v>
      </c>
      <c r="G4905" t="s">
        <v>13</v>
      </c>
      <c r="H4905" t="s">
        <v>21</v>
      </c>
      <c r="I4905" t="e">
        <f t="shared" ca="1" si="387"/>
        <v>#REF!</v>
      </c>
      <c r="J4905" t="str">
        <f>VLOOKUP($G4905,DefinitionArrays!$I$6:$J$12,2,FALSE)</f>
        <v>Workweek</v>
      </c>
    </row>
    <row r="4906" spans="1:10">
      <c r="A4906" s="159" t="str">
        <f t="shared" si="383"/>
        <v>$B$1:$B$92</v>
      </c>
      <c r="B4906" s="159" t="str">
        <f t="shared" si="384"/>
        <v>$C$1:$C$92</v>
      </c>
      <c r="C4906" s="159" t="str">
        <f t="shared" si="385"/>
        <v>August!$B$1:$B$92</v>
      </c>
      <c r="D4906" s="159" t="str">
        <f t="shared" si="386"/>
        <v>August!$C$1:$C$92</v>
      </c>
      <c r="E4906" t="s">
        <v>9</v>
      </c>
      <c r="F4906" t="s">
        <v>127</v>
      </c>
      <c r="G4906" t="s">
        <v>13</v>
      </c>
      <c r="H4906" t="s">
        <v>22</v>
      </c>
      <c r="I4906" t="e">
        <f t="shared" ca="1" si="387"/>
        <v>#REF!</v>
      </c>
      <c r="J4906" t="str">
        <f>VLOOKUP($G4906,DefinitionArrays!$I$6:$J$12,2,FALSE)</f>
        <v>Workweek</v>
      </c>
    </row>
    <row r="4907" spans="1:10">
      <c r="A4907" s="159" t="str">
        <f t="shared" si="383"/>
        <v>$B$1:$B$92</v>
      </c>
      <c r="B4907" s="159" t="str">
        <f t="shared" si="384"/>
        <v>$C$1:$C$92</v>
      </c>
      <c r="C4907" s="159" t="str">
        <f t="shared" si="385"/>
        <v>August!$B$1:$B$92</v>
      </c>
      <c r="D4907" s="159" t="str">
        <f t="shared" si="386"/>
        <v>August!$C$1:$C$92</v>
      </c>
      <c r="E4907" t="s">
        <v>9</v>
      </c>
      <c r="F4907" t="s">
        <v>127</v>
      </c>
      <c r="G4907" t="s">
        <v>13</v>
      </c>
      <c r="H4907" t="s">
        <v>23</v>
      </c>
      <c r="I4907" t="e">
        <f t="shared" ca="1" si="387"/>
        <v>#REF!</v>
      </c>
      <c r="J4907" t="str">
        <f>VLOOKUP($G4907,DefinitionArrays!$I$6:$J$12,2,FALSE)</f>
        <v>Workweek</v>
      </c>
    </row>
    <row r="4908" spans="1:10">
      <c r="A4908" s="159" t="str">
        <f t="shared" si="383"/>
        <v>$B$1:$B$92</v>
      </c>
      <c r="B4908" s="159" t="str">
        <f t="shared" si="384"/>
        <v>$C$1:$C$92</v>
      </c>
      <c r="C4908" s="159" t="str">
        <f t="shared" si="385"/>
        <v>August!$B$1:$B$92</v>
      </c>
      <c r="D4908" s="159" t="str">
        <f t="shared" si="386"/>
        <v>August!$C$1:$C$92</v>
      </c>
      <c r="E4908" t="s">
        <v>9</v>
      </c>
      <c r="F4908" t="s">
        <v>127</v>
      </c>
      <c r="G4908" t="s">
        <v>13</v>
      </c>
      <c r="H4908" t="s">
        <v>24</v>
      </c>
      <c r="I4908" t="e">
        <f t="shared" ca="1" si="387"/>
        <v>#REF!</v>
      </c>
      <c r="J4908" t="str">
        <f>VLOOKUP($G4908,DefinitionArrays!$I$6:$J$12,2,FALSE)</f>
        <v>Workweek</v>
      </c>
    </row>
    <row r="4909" spans="1:10">
      <c r="A4909" s="159" t="str">
        <f t="shared" si="383"/>
        <v>$B$1:$B$92</v>
      </c>
      <c r="B4909" s="159" t="str">
        <f t="shared" si="384"/>
        <v>$C$1:$C$92</v>
      </c>
      <c r="C4909" s="159" t="str">
        <f t="shared" si="385"/>
        <v>August!$B$1:$B$92</v>
      </c>
      <c r="D4909" s="159" t="str">
        <f t="shared" si="386"/>
        <v>August!$C$1:$C$92</v>
      </c>
      <c r="E4909" t="s">
        <v>9</v>
      </c>
      <c r="F4909" t="s">
        <v>127</v>
      </c>
      <c r="G4909" t="s">
        <v>13</v>
      </c>
      <c r="H4909" t="s">
        <v>179</v>
      </c>
      <c r="I4909" t="e">
        <f t="shared" ca="1" si="387"/>
        <v>#REF!</v>
      </c>
      <c r="J4909" t="str">
        <f>VLOOKUP($G4909,DefinitionArrays!$I$6:$J$12,2,FALSE)</f>
        <v>Workweek</v>
      </c>
    </row>
    <row r="4910" spans="1:10">
      <c r="A4910" s="159" t="str">
        <f t="shared" si="383"/>
        <v>$B$1:$B$92</v>
      </c>
      <c r="B4910" s="159" t="str">
        <f t="shared" si="384"/>
        <v>$C$1:$C$92</v>
      </c>
      <c r="C4910" s="159" t="str">
        <f t="shared" si="385"/>
        <v>August!$B$1:$B$92</v>
      </c>
      <c r="D4910" s="159" t="str">
        <f t="shared" si="386"/>
        <v>August!$C$1:$C$92</v>
      </c>
      <c r="E4910" t="s">
        <v>9</v>
      </c>
      <c r="F4910" t="s">
        <v>127</v>
      </c>
      <c r="G4910" t="s">
        <v>13</v>
      </c>
      <c r="H4910" t="s">
        <v>180</v>
      </c>
      <c r="I4910" t="e">
        <f t="shared" ca="1" si="387"/>
        <v>#REF!</v>
      </c>
      <c r="J4910" t="str">
        <f>VLOOKUP($G4910,DefinitionArrays!$I$6:$J$12,2,FALSE)</f>
        <v>Workweek</v>
      </c>
    </row>
    <row r="4911" spans="1:10">
      <c r="A4911" s="159" t="str">
        <f t="shared" si="383"/>
        <v>$B$1:$B$92</v>
      </c>
      <c r="B4911" s="159" t="str">
        <f t="shared" si="384"/>
        <v>$C$1:$C$92</v>
      </c>
      <c r="C4911" s="159" t="str">
        <f t="shared" si="385"/>
        <v>August!$B$1:$B$92</v>
      </c>
      <c r="D4911" s="159" t="str">
        <f t="shared" si="386"/>
        <v>August!$C$1:$C$92</v>
      </c>
      <c r="E4911" t="s">
        <v>9</v>
      </c>
      <c r="F4911" t="s">
        <v>127</v>
      </c>
      <c r="G4911" t="s">
        <v>13</v>
      </c>
      <c r="H4911" t="s">
        <v>44</v>
      </c>
      <c r="I4911" t="e">
        <f t="shared" ca="1" si="387"/>
        <v>#REF!</v>
      </c>
      <c r="J4911" t="str">
        <f>VLOOKUP($G4911,DefinitionArrays!$I$6:$J$12,2,FALSE)</f>
        <v>Workweek</v>
      </c>
    </row>
    <row r="4912" spans="1:10">
      <c r="A4912" s="159" t="str">
        <f t="shared" si="383"/>
        <v>$E$1:$E$92</v>
      </c>
      <c r="B4912" s="159" t="str">
        <f t="shared" si="384"/>
        <v>$F$1:$F$92</v>
      </c>
      <c r="C4912" s="159" t="str">
        <f t="shared" si="385"/>
        <v>August!$E$1:$E$92</v>
      </c>
      <c r="D4912" s="159" t="str">
        <f t="shared" si="386"/>
        <v>August!$F$1:$F$92</v>
      </c>
      <c r="E4912" t="s">
        <v>9</v>
      </c>
      <c r="F4912" t="s">
        <v>127</v>
      </c>
      <c r="G4912" t="s">
        <v>142</v>
      </c>
      <c r="H4912" t="s">
        <v>159</v>
      </c>
      <c r="I4912" t="e">
        <f t="shared" ca="1" si="387"/>
        <v>#REF!</v>
      </c>
      <c r="J4912" t="str">
        <f>VLOOKUP($G4912,DefinitionArrays!$I$6:$J$12,2,FALSE)</f>
        <v>Workweek</v>
      </c>
    </row>
    <row r="4913" spans="1:10">
      <c r="A4913" s="159" t="str">
        <f t="shared" si="383"/>
        <v>$E$1:$E$92</v>
      </c>
      <c r="B4913" s="159" t="str">
        <f t="shared" si="384"/>
        <v>$F$1:$F$92</v>
      </c>
      <c r="C4913" s="159" t="str">
        <f t="shared" si="385"/>
        <v>August!$E$1:$E$92</v>
      </c>
      <c r="D4913" s="159" t="str">
        <f t="shared" si="386"/>
        <v>August!$F$1:$F$92</v>
      </c>
      <c r="E4913" t="s">
        <v>9</v>
      </c>
      <c r="F4913" t="s">
        <v>127</v>
      </c>
      <c r="G4913" t="s">
        <v>142</v>
      </c>
      <c r="H4913" t="s">
        <v>18</v>
      </c>
      <c r="I4913" t="e">
        <f t="shared" ca="1" si="387"/>
        <v>#REF!</v>
      </c>
      <c r="J4913" t="str">
        <f>VLOOKUP($G4913,DefinitionArrays!$I$6:$J$12,2,FALSE)</f>
        <v>Workweek</v>
      </c>
    </row>
    <row r="4914" spans="1:10">
      <c r="A4914" s="159" t="str">
        <f t="shared" si="383"/>
        <v>$E$1:$E$92</v>
      </c>
      <c r="B4914" s="159" t="str">
        <f t="shared" si="384"/>
        <v>$F$1:$F$92</v>
      </c>
      <c r="C4914" s="159" t="str">
        <f t="shared" si="385"/>
        <v>August!$E$1:$E$92</v>
      </c>
      <c r="D4914" s="159" t="str">
        <f t="shared" si="386"/>
        <v>August!$F$1:$F$92</v>
      </c>
      <c r="E4914" t="s">
        <v>9</v>
      </c>
      <c r="F4914" t="s">
        <v>127</v>
      </c>
      <c r="G4914" t="s">
        <v>142</v>
      </c>
      <c r="H4914" t="s">
        <v>153</v>
      </c>
      <c r="I4914" t="e">
        <f t="shared" ca="1" si="387"/>
        <v>#REF!</v>
      </c>
      <c r="J4914" t="str">
        <f>VLOOKUP($G4914,DefinitionArrays!$I$6:$J$12,2,FALSE)</f>
        <v>Workweek</v>
      </c>
    </row>
    <row r="4915" spans="1:10">
      <c r="A4915" s="159" t="str">
        <f t="shared" si="383"/>
        <v>$E$1:$E$92</v>
      </c>
      <c r="B4915" s="159" t="str">
        <f t="shared" si="384"/>
        <v>$F$1:$F$92</v>
      </c>
      <c r="C4915" s="159" t="str">
        <f t="shared" si="385"/>
        <v>August!$E$1:$E$92</v>
      </c>
      <c r="D4915" s="159" t="str">
        <f t="shared" si="386"/>
        <v>August!$F$1:$F$92</v>
      </c>
      <c r="E4915" t="s">
        <v>9</v>
      </c>
      <c r="F4915" t="s">
        <v>127</v>
      </c>
      <c r="G4915" t="s">
        <v>142</v>
      </c>
      <c r="H4915" t="s">
        <v>19</v>
      </c>
      <c r="I4915" t="e">
        <f t="shared" ca="1" si="387"/>
        <v>#REF!</v>
      </c>
      <c r="J4915" t="str">
        <f>VLOOKUP($G4915,DefinitionArrays!$I$6:$J$12,2,FALSE)</f>
        <v>Workweek</v>
      </c>
    </row>
    <row r="4916" spans="1:10">
      <c r="A4916" s="159" t="str">
        <f t="shared" si="383"/>
        <v>$E$1:$E$92</v>
      </c>
      <c r="B4916" s="159" t="str">
        <f t="shared" si="384"/>
        <v>$F$1:$F$92</v>
      </c>
      <c r="C4916" s="159" t="str">
        <f t="shared" si="385"/>
        <v>August!$E$1:$E$92</v>
      </c>
      <c r="D4916" s="159" t="str">
        <f t="shared" si="386"/>
        <v>August!$F$1:$F$92</v>
      </c>
      <c r="E4916" t="s">
        <v>9</v>
      </c>
      <c r="F4916" t="s">
        <v>127</v>
      </c>
      <c r="G4916" t="s">
        <v>142</v>
      </c>
      <c r="H4916" t="s">
        <v>20</v>
      </c>
      <c r="I4916" t="e">
        <f t="shared" ca="1" si="387"/>
        <v>#REF!</v>
      </c>
      <c r="J4916" t="str">
        <f>VLOOKUP($G4916,DefinitionArrays!$I$6:$J$12,2,FALSE)</f>
        <v>Workweek</v>
      </c>
    </row>
    <row r="4917" spans="1:10">
      <c r="A4917" s="159" t="str">
        <f t="shared" si="383"/>
        <v>$E$1:$E$92</v>
      </c>
      <c r="B4917" s="159" t="str">
        <f t="shared" si="384"/>
        <v>$F$1:$F$92</v>
      </c>
      <c r="C4917" s="159" t="str">
        <f t="shared" si="385"/>
        <v>August!$E$1:$E$92</v>
      </c>
      <c r="D4917" s="159" t="str">
        <f t="shared" si="386"/>
        <v>August!$F$1:$F$92</v>
      </c>
      <c r="E4917" t="s">
        <v>9</v>
      </c>
      <c r="F4917" t="s">
        <v>127</v>
      </c>
      <c r="G4917" t="s">
        <v>142</v>
      </c>
      <c r="H4917" t="s">
        <v>21</v>
      </c>
      <c r="I4917" t="e">
        <f t="shared" ca="1" si="387"/>
        <v>#REF!</v>
      </c>
      <c r="J4917" t="str">
        <f>VLOOKUP($G4917,DefinitionArrays!$I$6:$J$12,2,FALSE)</f>
        <v>Workweek</v>
      </c>
    </row>
    <row r="4918" spans="1:10">
      <c r="A4918" s="159" t="str">
        <f t="shared" si="383"/>
        <v>$E$1:$E$92</v>
      </c>
      <c r="B4918" s="159" t="str">
        <f t="shared" si="384"/>
        <v>$F$1:$F$92</v>
      </c>
      <c r="C4918" s="159" t="str">
        <f t="shared" si="385"/>
        <v>August!$E$1:$E$92</v>
      </c>
      <c r="D4918" s="159" t="str">
        <f t="shared" si="386"/>
        <v>August!$F$1:$F$92</v>
      </c>
      <c r="E4918" t="s">
        <v>9</v>
      </c>
      <c r="F4918" t="s">
        <v>127</v>
      </c>
      <c r="G4918" t="s">
        <v>142</v>
      </c>
      <c r="H4918" t="s">
        <v>22</v>
      </c>
      <c r="I4918" t="e">
        <f t="shared" ca="1" si="387"/>
        <v>#REF!</v>
      </c>
      <c r="J4918" t="str">
        <f>VLOOKUP($G4918,DefinitionArrays!$I$6:$J$12,2,FALSE)</f>
        <v>Workweek</v>
      </c>
    </row>
    <row r="4919" spans="1:10">
      <c r="A4919" s="159" t="str">
        <f t="shared" si="383"/>
        <v>$E$1:$E$92</v>
      </c>
      <c r="B4919" s="159" t="str">
        <f t="shared" si="384"/>
        <v>$F$1:$F$92</v>
      </c>
      <c r="C4919" s="159" t="str">
        <f t="shared" si="385"/>
        <v>August!$E$1:$E$92</v>
      </c>
      <c r="D4919" s="159" t="str">
        <f t="shared" si="386"/>
        <v>August!$F$1:$F$92</v>
      </c>
      <c r="E4919" t="s">
        <v>9</v>
      </c>
      <c r="F4919" t="s">
        <v>127</v>
      </c>
      <c r="G4919" t="s">
        <v>142</v>
      </c>
      <c r="H4919" t="s">
        <v>23</v>
      </c>
      <c r="I4919" t="e">
        <f t="shared" ca="1" si="387"/>
        <v>#REF!</v>
      </c>
      <c r="J4919" t="str">
        <f>VLOOKUP($G4919,DefinitionArrays!$I$6:$J$12,2,FALSE)</f>
        <v>Workweek</v>
      </c>
    </row>
    <row r="4920" spans="1:10">
      <c r="A4920" s="159" t="str">
        <f t="shared" si="383"/>
        <v>$E$1:$E$92</v>
      </c>
      <c r="B4920" s="159" t="str">
        <f t="shared" si="384"/>
        <v>$F$1:$F$92</v>
      </c>
      <c r="C4920" s="159" t="str">
        <f t="shared" si="385"/>
        <v>August!$E$1:$E$92</v>
      </c>
      <c r="D4920" s="159" t="str">
        <f t="shared" si="386"/>
        <v>August!$F$1:$F$92</v>
      </c>
      <c r="E4920" t="s">
        <v>9</v>
      </c>
      <c r="F4920" t="s">
        <v>127</v>
      </c>
      <c r="G4920" t="s">
        <v>142</v>
      </c>
      <c r="H4920" t="s">
        <v>24</v>
      </c>
      <c r="I4920" t="e">
        <f t="shared" ca="1" si="387"/>
        <v>#REF!</v>
      </c>
      <c r="J4920" t="str">
        <f>VLOOKUP($G4920,DefinitionArrays!$I$6:$J$12,2,FALSE)</f>
        <v>Workweek</v>
      </c>
    </row>
    <row r="4921" spans="1:10">
      <c r="A4921" s="159" t="str">
        <f t="shared" si="383"/>
        <v>$E$1:$E$92</v>
      </c>
      <c r="B4921" s="159" t="str">
        <f t="shared" si="384"/>
        <v>$F$1:$F$92</v>
      </c>
      <c r="C4921" s="159" t="str">
        <f t="shared" si="385"/>
        <v>August!$E$1:$E$92</v>
      </c>
      <c r="D4921" s="159" t="str">
        <f t="shared" si="386"/>
        <v>August!$F$1:$F$92</v>
      </c>
      <c r="E4921" t="s">
        <v>9</v>
      </c>
      <c r="F4921" t="s">
        <v>127</v>
      </c>
      <c r="G4921" t="s">
        <v>142</v>
      </c>
      <c r="H4921" t="s">
        <v>179</v>
      </c>
      <c r="I4921" t="e">
        <f t="shared" ca="1" si="387"/>
        <v>#REF!</v>
      </c>
      <c r="J4921" t="str">
        <f>VLOOKUP($G4921,DefinitionArrays!$I$6:$J$12,2,FALSE)</f>
        <v>Workweek</v>
      </c>
    </row>
    <row r="4922" spans="1:10">
      <c r="A4922" s="159" t="str">
        <f t="shared" si="383"/>
        <v>$E$1:$E$92</v>
      </c>
      <c r="B4922" s="159" t="str">
        <f t="shared" si="384"/>
        <v>$F$1:$F$92</v>
      </c>
      <c r="C4922" s="159" t="str">
        <f t="shared" si="385"/>
        <v>August!$E$1:$E$92</v>
      </c>
      <c r="D4922" s="159" t="str">
        <f t="shared" si="386"/>
        <v>August!$F$1:$F$92</v>
      </c>
      <c r="E4922" t="s">
        <v>9</v>
      </c>
      <c r="F4922" t="s">
        <v>127</v>
      </c>
      <c r="G4922" t="s">
        <v>142</v>
      </c>
      <c r="H4922" t="s">
        <v>180</v>
      </c>
      <c r="I4922" t="e">
        <f t="shared" ca="1" si="387"/>
        <v>#REF!</v>
      </c>
      <c r="J4922" t="str">
        <f>VLOOKUP($G4922,DefinitionArrays!$I$6:$J$12,2,FALSE)</f>
        <v>Workweek</v>
      </c>
    </row>
    <row r="4923" spans="1:10">
      <c r="A4923" s="159" t="str">
        <f t="shared" si="383"/>
        <v>$E$1:$E$92</v>
      </c>
      <c r="B4923" s="159" t="str">
        <f t="shared" si="384"/>
        <v>$F$1:$F$92</v>
      </c>
      <c r="C4923" s="159" t="str">
        <f t="shared" si="385"/>
        <v>August!$E$1:$E$92</v>
      </c>
      <c r="D4923" s="159" t="str">
        <f t="shared" si="386"/>
        <v>August!$F$1:$F$92</v>
      </c>
      <c r="E4923" t="s">
        <v>9</v>
      </c>
      <c r="F4923" t="s">
        <v>127</v>
      </c>
      <c r="G4923" t="s">
        <v>142</v>
      </c>
      <c r="H4923" t="s">
        <v>44</v>
      </c>
      <c r="I4923" t="e">
        <f t="shared" ca="1" si="387"/>
        <v>#REF!</v>
      </c>
      <c r="J4923" t="str">
        <f>VLOOKUP($G4923,DefinitionArrays!$I$6:$J$12,2,FALSE)</f>
        <v>Workweek</v>
      </c>
    </row>
    <row r="4924" spans="1:10">
      <c r="A4924" s="159" t="str">
        <f t="shared" si="383"/>
        <v>$H$1:$H$92</v>
      </c>
      <c r="B4924" s="159" t="str">
        <f t="shared" si="384"/>
        <v>$I$1:$I$92</v>
      </c>
      <c r="C4924" s="159" t="str">
        <f t="shared" si="385"/>
        <v>August!$H$1:$H$92</v>
      </c>
      <c r="D4924" s="159" t="str">
        <f t="shared" si="386"/>
        <v>August!$I$1:$I$92</v>
      </c>
      <c r="E4924" t="s">
        <v>9</v>
      </c>
      <c r="F4924" t="s">
        <v>127</v>
      </c>
      <c r="G4924" t="s">
        <v>143</v>
      </c>
      <c r="H4924" t="s">
        <v>159</v>
      </c>
      <c r="I4924" t="e">
        <f t="shared" ca="1" si="387"/>
        <v>#REF!</v>
      </c>
      <c r="J4924" t="str">
        <f>VLOOKUP($G4924,DefinitionArrays!$I$6:$J$12,2,FALSE)</f>
        <v>Workweek</v>
      </c>
    </row>
    <row r="4925" spans="1:10">
      <c r="A4925" s="159" t="str">
        <f t="shared" si="383"/>
        <v>$H$1:$H$92</v>
      </c>
      <c r="B4925" s="159" t="str">
        <f t="shared" si="384"/>
        <v>$I$1:$I$92</v>
      </c>
      <c r="C4925" s="159" t="str">
        <f t="shared" si="385"/>
        <v>August!$H$1:$H$92</v>
      </c>
      <c r="D4925" s="159" t="str">
        <f t="shared" si="386"/>
        <v>August!$I$1:$I$92</v>
      </c>
      <c r="E4925" t="s">
        <v>9</v>
      </c>
      <c r="F4925" t="s">
        <v>127</v>
      </c>
      <c r="G4925" t="s">
        <v>143</v>
      </c>
      <c r="H4925" t="s">
        <v>18</v>
      </c>
      <c r="I4925" t="e">
        <f t="shared" ca="1" si="387"/>
        <v>#REF!</v>
      </c>
      <c r="J4925" t="str">
        <f>VLOOKUP($G4925,DefinitionArrays!$I$6:$J$12,2,FALSE)</f>
        <v>Workweek</v>
      </c>
    </row>
    <row r="4926" spans="1:10">
      <c r="A4926" s="159" t="str">
        <f t="shared" si="383"/>
        <v>$H$1:$H$92</v>
      </c>
      <c r="B4926" s="159" t="str">
        <f t="shared" si="384"/>
        <v>$I$1:$I$92</v>
      </c>
      <c r="C4926" s="159" t="str">
        <f t="shared" si="385"/>
        <v>August!$H$1:$H$92</v>
      </c>
      <c r="D4926" s="159" t="str">
        <f t="shared" si="386"/>
        <v>August!$I$1:$I$92</v>
      </c>
      <c r="E4926" t="s">
        <v>9</v>
      </c>
      <c r="F4926" t="s">
        <v>127</v>
      </c>
      <c r="G4926" t="s">
        <v>143</v>
      </c>
      <c r="H4926" t="s">
        <v>153</v>
      </c>
      <c r="I4926" t="e">
        <f t="shared" ca="1" si="387"/>
        <v>#REF!</v>
      </c>
      <c r="J4926" t="str">
        <f>VLOOKUP($G4926,DefinitionArrays!$I$6:$J$12,2,FALSE)</f>
        <v>Workweek</v>
      </c>
    </row>
    <row r="4927" spans="1:10">
      <c r="A4927" s="159" t="str">
        <f t="shared" si="383"/>
        <v>$H$1:$H$92</v>
      </c>
      <c r="B4927" s="159" t="str">
        <f t="shared" si="384"/>
        <v>$I$1:$I$92</v>
      </c>
      <c r="C4927" s="159" t="str">
        <f t="shared" si="385"/>
        <v>August!$H$1:$H$92</v>
      </c>
      <c r="D4927" s="159" t="str">
        <f t="shared" si="386"/>
        <v>August!$I$1:$I$92</v>
      </c>
      <c r="E4927" t="s">
        <v>9</v>
      </c>
      <c r="F4927" t="s">
        <v>127</v>
      </c>
      <c r="G4927" t="s">
        <v>143</v>
      </c>
      <c r="H4927" t="s">
        <v>19</v>
      </c>
      <c r="I4927" t="e">
        <f t="shared" ca="1" si="387"/>
        <v>#REF!</v>
      </c>
      <c r="J4927" t="str">
        <f>VLOOKUP($G4927,DefinitionArrays!$I$6:$J$12,2,FALSE)</f>
        <v>Workweek</v>
      </c>
    </row>
    <row r="4928" spans="1:10">
      <c r="A4928" s="159" t="str">
        <f t="shared" si="383"/>
        <v>$H$1:$H$92</v>
      </c>
      <c r="B4928" s="159" t="str">
        <f t="shared" si="384"/>
        <v>$I$1:$I$92</v>
      </c>
      <c r="C4928" s="159" t="str">
        <f t="shared" si="385"/>
        <v>August!$H$1:$H$92</v>
      </c>
      <c r="D4928" s="159" t="str">
        <f t="shared" si="386"/>
        <v>August!$I$1:$I$92</v>
      </c>
      <c r="E4928" t="s">
        <v>9</v>
      </c>
      <c r="F4928" t="s">
        <v>127</v>
      </c>
      <c r="G4928" t="s">
        <v>143</v>
      </c>
      <c r="H4928" t="s">
        <v>20</v>
      </c>
      <c r="I4928" t="e">
        <f t="shared" ca="1" si="387"/>
        <v>#REF!</v>
      </c>
      <c r="J4928" t="str">
        <f>VLOOKUP($G4928,DefinitionArrays!$I$6:$J$12,2,FALSE)</f>
        <v>Workweek</v>
      </c>
    </row>
    <row r="4929" spans="1:10">
      <c r="A4929" s="159" t="str">
        <f t="shared" si="383"/>
        <v>$H$1:$H$92</v>
      </c>
      <c r="B4929" s="159" t="str">
        <f t="shared" si="384"/>
        <v>$I$1:$I$92</v>
      </c>
      <c r="C4929" s="159" t="str">
        <f t="shared" si="385"/>
        <v>August!$H$1:$H$92</v>
      </c>
      <c r="D4929" s="159" t="str">
        <f t="shared" si="386"/>
        <v>August!$I$1:$I$92</v>
      </c>
      <c r="E4929" t="s">
        <v>9</v>
      </c>
      <c r="F4929" t="s">
        <v>127</v>
      </c>
      <c r="G4929" t="s">
        <v>143</v>
      </c>
      <c r="H4929" t="s">
        <v>21</v>
      </c>
      <c r="I4929" t="e">
        <f t="shared" ca="1" si="387"/>
        <v>#REF!</v>
      </c>
      <c r="J4929" t="str">
        <f>VLOOKUP($G4929,DefinitionArrays!$I$6:$J$12,2,FALSE)</f>
        <v>Workweek</v>
      </c>
    </row>
    <row r="4930" spans="1:10">
      <c r="A4930" s="159" t="str">
        <f t="shared" ref="A4930:A4993" si="388">VLOOKUP($G4930,Fx_Code,2,FALSE)</f>
        <v>$H$1:$H$92</v>
      </c>
      <c r="B4930" s="159" t="str">
        <f t="shared" ref="B4930:B4993" si="389">VLOOKUP($G4930,Fx_Code,3,FALSE)</f>
        <v>$I$1:$I$92</v>
      </c>
      <c r="C4930" s="159" t="str">
        <f t="shared" ref="C4930:C4993" si="390">CONCATENATE($F4930,$K$1,A4930)</f>
        <v>August!$H$1:$H$92</v>
      </c>
      <c r="D4930" s="159" t="str">
        <f t="shared" ref="D4930:D4993" si="391">CONCATENATE($F4930,$K$1,B4930)</f>
        <v>August!$I$1:$I$92</v>
      </c>
      <c r="E4930" t="s">
        <v>9</v>
      </c>
      <c r="F4930" t="s">
        <v>127</v>
      </c>
      <c r="G4930" t="s">
        <v>143</v>
      </c>
      <c r="H4930" t="s">
        <v>22</v>
      </c>
      <c r="I4930" t="e">
        <f t="shared" ca="1" si="387"/>
        <v>#REF!</v>
      </c>
      <c r="J4930" t="str">
        <f>VLOOKUP($G4930,DefinitionArrays!$I$6:$J$12,2,FALSE)</f>
        <v>Workweek</v>
      </c>
    </row>
    <row r="4931" spans="1:10">
      <c r="A4931" s="159" t="str">
        <f t="shared" si="388"/>
        <v>$H$1:$H$92</v>
      </c>
      <c r="B4931" s="159" t="str">
        <f t="shared" si="389"/>
        <v>$I$1:$I$92</v>
      </c>
      <c r="C4931" s="159" t="str">
        <f t="shared" si="390"/>
        <v>August!$H$1:$H$92</v>
      </c>
      <c r="D4931" s="159" t="str">
        <f t="shared" si="391"/>
        <v>August!$I$1:$I$92</v>
      </c>
      <c r="E4931" t="s">
        <v>9</v>
      </c>
      <c r="F4931" t="s">
        <v>127</v>
      </c>
      <c r="G4931" t="s">
        <v>143</v>
      </c>
      <c r="H4931" t="s">
        <v>23</v>
      </c>
      <c r="I4931" t="e">
        <f t="shared" ca="1" si="387"/>
        <v>#REF!</v>
      </c>
      <c r="J4931" t="str">
        <f>VLOOKUP($G4931,DefinitionArrays!$I$6:$J$12,2,FALSE)</f>
        <v>Workweek</v>
      </c>
    </row>
    <row r="4932" spans="1:10">
      <c r="A4932" s="159" t="str">
        <f t="shared" si="388"/>
        <v>$H$1:$H$92</v>
      </c>
      <c r="B4932" s="159" t="str">
        <f t="shared" si="389"/>
        <v>$I$1:$I$92</v>
      </c>
      <c r="C4932" s="159" t="str">
        <f t="shared" si="390"/>
        <v>August!$H$1:$H$92</v>
      </c>
      <c r="D4932" s="159" t="str">
        <f t="shared" si="391"/>
        <v>August!$I$1:$I$92</v>
      </c>
      <c r="E4932" t="s">
        <v>9</v>
      </c>
      <c r="F4932" t="s">
        <v>127</v>
      </c>
      <c r="G4932" t="s">
        <v>143</v>
      </c>
      <c r="H4932" t="s">
        <v>24</v>
      </c>
      <c r="I4932" t="e">
        <f t="shared" ca="1" si="387"/>
        <v>#REF!</v>
      </c>
      <c r="J4932" t="str">
        <f>VLOOKUP($G4932,DefinitionArrays!$I$6:$J$12,2,FALSE)</f>
        <v>Workweek</v>
      </c>
    </row>
    <row r="4933" spans="1:10">
      <c r="A4933" s="159" t="str">
        <f t="shared" si="388"/>
        <v>$H$1:$H$92</v>
      </c>
      <c r="B4933" s="159" t="str">
        <f t="shared" si="389"/>
        <v>$I$1:$I$92</v>
      </c>
      <c r="C4933" s="159" t="str">
        <f t="shared" si="390"/>
        <v>August!$H$1:$H$92</v>
      </c>
      <c r="D4933" s="159" t="str">
        <f t="shared" si="391"/>
        <v>August!$I$1:$I$92</v>
      </c>
      <c r="E4933" t="s">
        <v>9</v>
      </c>
      <c r="F4933" t="s">
        <v>127</v>
      </c>
      <c r="G4933" t="s">
        <v>143</v>
      </c>
      <c r="H4933" t="s">
        <v>179</v>
      </c>
      <c r="I4933" t="e">
        <f t="shared" ca="1" si="387"/>
        <v>#REF!</v>
      </c>
      <c r="J4933" t="str">
        <f>VLOOKUP($G4933,DefinitionArrays!$I$6:$J$12,2,FALSE)</f>
        <v>Workweek</v>
      </c>
    </row>
    <row r="4934" spans="1:10">
      <c r="A4934" s="159" t="str">
        <f t="shared" si="388"/>
        <v>$H$1:$H$92</v>
      </c>
      <c r="B4934" s="159" t="str">
        <f t="shared" si="389"/>
        <v>$I$1:$I$92</v>
      </c>
      <c r="C4934" s="159" t="str">
        <f t="shared" si="390"/>
        <v>August!$H$1:$H$92</v>
      </c>
      <c r="D4934" s="159" t="str">
        <f t="shared" si="391"/>
        <v>August!$I$1:$I$92</v>
      </c>
      <c r="E4934" t="s">
        <v>9</v>
      </c>
      <c r="F4934" t="s">
        <v>127</v>
      </c>
      <c r="G4934" t="s">
        <v>143</v>
      </c>
      <c r="H4934" t="s">
        <v>180</v>
      </c>
      <c r="I4934" t="e">
        <f t="shared" ca="1" si="387"/>
        <v>#REF!</v>
      </c>
      <c r="J4934" t="str">
        <f>VLOOKUP($G4934,DefinitionArrays!$I$6:$J$12,2,FALSE)</f>
        <v>Workweek</v>
      </c>
    </row>
    <row r="4935" spans="1:10">
      <c r="A4935" s="159" t="str">
        <f t="shared" si="388"/>
        <v>$H$1:$H$92</v>
      </c>
      <c r="B4935" s="159" t="str">
        <f t="shared" si="389"/>
        <v>$I$1:$I$92</v>
      </c>
      <c r="C4935" s="159" t="str">
        <f t="shared" si="390"/>
        <v>August!$H$1:$H$92</v>
      </c>
      <c r="D4935" s="159" t="str">
        <f t="shared" si="391"/>
        <v>August!$I$1:$I$92</v>
      </c>
      <c r="E4935" t="s">
        <v>9</v>
      </c>
      <c r="F4935" t="s">
        <v>127</v>
      </c>
      <c r="G4935" t="s">
        <v>143</v>
      </c>
      <c r="H4935" t="s">
        <v>44</v>
      </c>
      <c r="I4935" t="e">
        <f t="shared" ca="1" si="387"/>
        <v>#REF!</v>
      </c>
      <c r="J4935" t="str">
        <f>VLOOKUP($G4935,DefinitionArrays!$I$6:$J$12,2,FALSE)</f>
        <v>Workweek</v>
      </c>
    </row>
    <row r="4936" spans="1:10">
      <c r="A4936" s="159" t="str">
        <f t="shared" si="388"/>
        <v>$K$1:$K$92</v>
      </c>
      <c r="B4936" s="159" t="str">
        <f t="shared" si="389"/>
        <v>$L$1:$L$92</v>
      </c>
      <c r="C4936" s="159" t="str">
        <f t="shared" si="390"/>
        <v>August!$K$1:$K$92</v>
      </c>
      <c r="D4936" s="159" t="str">
        <f t="shared" si="391"/>
        <v>August!$L$1:$L$92</v>
      </c>
      <c r="E4936" t="s">
        <v>9</v>
      </c>
      <c r="F4936" t="s">
        <v>127</v>
      </c>
      <c r="G4936" t="s">
        <v>144</v>
      </c>
      <c r="H4936" t="s">
        <v>159</v>
      </c>
      <c r="I4936" t="e">
        <f t="shared" ca="1" si="387"/>
        <v>#REF!</v>
      </c>
      <c r="J4936" t="str">
        <f>VLOOKUP($G4936,DefinitionArrays!$I$6:$J$12,2,FALSE)</f>
        <v>Workweek</v>
      </c>
    </row>
    <row r="4937" spans="1:10">
      <c r="A4937" s="159" t="str">
        <f t="shared" si="388"/>
        <v>$K$1:$K$92</v>
      </c>
      <c r="B4937" s="159" t="str">
        <f t="shared" si="389"/>
        <v>$L$1:$L$92</v>
      </c>
      <c r="C4937" s="159" t="str">
        <f t="shared" si="390"/>
        <v>August!$K$1:$K$92</v>
      </c>
      <c r="D4937" s="159" t="str">
        <f t="shared" si="391"/>
        <v>August!$L$1:$L$92</v>
      </c>
      <c r="E4937" t="s">
        <v>9</v>
      </c>
      <c r="F4937" t="s">
        <v>127</v>
      </c>
      <c r="G4937" t="s">
        <v>144</v>
      </c>
      <c r="H4937" t="s">
        <v>18</v>
      </c>
      <c r="I4937" t="e">
        <f t="shared" ca="1" si="387"/>
        <v>#REF!</v>
      </c>
      <c r="J4937" t="str">
        <f>VLOOKUP($G4937,DefinitionArrays!$I$6:$J$12,2,FALSE)</f>
        <v>Workweek</v>
      </c>
    </row>
    <row r="4938" spans="1:10">
      <c r="A4938" s="159" t="str">
        <f t="shared" si="388"/>
        <v>$K$1:$K$92</v>
      </c>
      <c r="B4938" s="159" t="str">
        <f t="shared" si="389"/>
        <v>$L$1:$L$92</v>
      </c>
      <c r="C4938" s="159" t="str">
        <f t="shared" si="390"/>
        <v>August!$K$1:$K$92</v>
      </c>
      <c r="D4938" s="159" t="str">
        <f t="shared" si="391"/>
        <v>August!$L$1:$L$92</v>
      </c>
      <c r="E4938" t="s">
        <v>9</v>
      </c>
      <c r="F4938" t="s">
        <v>127</v>
      </c>
      <c r="G4938" t="s">
        <v>144</v>
      </c>
      <c r="H4938" t="s">
        <v>153</v>
      </c>
      <c r="I4938" t="e">
        <f t="shared" ca="1" si="387"/>
        <v>#REF!</v>
      </c>
      <c r="J4938" t="str">
        <f>VLOOKUP($G4938,DefinitionArrays!$I$6:$J$12,2,FALSE)</f>
        <v>Workweek</v>
      </c>
    </row>
    <row r="4939" spans="1:10">
      <c r="A4939" s="159" t="str">
        <f t="shared" si="388"/>
        <v>$K$1:$K$92</v>
      </c>
      <c r="B4939" s="159" t="str">
        <f t="shared" si="389"/>
        <v>$L$1:$L$92</v>
      </c>
      <c r="C4939" s="159" t="str">
        <f t="shared" si="390"/>
        <v>August!$K$1:$K$92</v>
      </c>
      <c r="D4939" s="159" t="str">
        <f t="shared" si="391"/>
        <v>August!$L$1:$L$92</v>
      </c>
      <c r="E4939" t="s">
        <v>9</v>
      </c>
      <c r="F4939" t="s">
        <v>127</v>
      </c>
      <c r="G4939" t="s">
        <v>144</v>
      </c>
      <c r="H4939" t="s">
        <v>19</v>
      </c>
      <c r="I4939" t="e">
        <f t="shared" ca="1" si="387"/>
        <v>#REF!</v>
      </c>
      <c r="J4939" t="str">
        <f>VLOOKUP($G4939,DefinitionArrays!$I$6:$J$12,2,FALSE)</f>
        <v>Workweek</v>
      </c>
    </row>
    <row r="4940" spans="1:10">
      <c r="A4940" s="159" t="str">
        <f t="shared" si="388"/>
        <v>$K$1:$K$92</v>
      </c>
      <c r="B4940" s="159" t="str">
        <f t="shared" si="389"/>
        <v>$L$1:$L$92</v>
      </c>
      <c r="C4940" s="159" t="str">
        <f t="shared" si="390"/>
        <v>August!$K$1:$K$92</v>
      </c>
      <c r="D4940" s="159" t="str">
        <f t="shared" si="391"/>
        <v>August!$L$1:$L$92</v>
      </c>
      <c r="E4940" t="s">
        <v>9</v>
      </c>
      <c r="F4940" t="s">
        <v>127</v>
      </c>
      <c r="G4940" t="s">
        <v>144</v>
      </c>
      <c r="H4940" t="s">
        <v>20</v>
      </c>
      <c r="I4940" t="e">
        <f t="shared" ca="1" si="387"/>
        <v>#REF!</v>
      </c>
      <c r="J4940" t="str">
        <f>VLOOKUP($G4940,DefinitionArrays!$I$6:$J$12,2,FALSE)</f>
        <v>Workweek</v>
      </c>
    </row>
    <row r="4941" spans="1:10">
      <c r="A4941" s="159" t="str">
        <f t="shared" si="388"/>
        <v>$K$1:$K$92</v>
      </c>
      <c r="B4941" s="159" t="str">
        <f t="shared" si="389"/>
        <v>$L$1:$L$92</v>
      </c>
      <c r="C4941" s="159" t="str">
        <f t="shared" si="390"/>
        <v>August!$K$1:$K$92</v>
      </c>
      <c r="D4941" s="159" t="str">
        <f t="shared" si="391"/>
        <v>August!$L$1:$L$92</v>
      </c>
      <c r="E4941" t="s">
        <v>9</v>
      </c>
      <c r="F4941" t="s">
        <v>127</v>
      </c>
      <c r="G4941" t="s">
        <v>144</v>
      </c>
      <c r="H4941" t="s">
        <v>21</v>
      </c>
      <c r="I4941" t="e">
        <f t="shared" ca="1" si="387"/>
        <v>#REF!</v>
      </c>
      <c r="J4941" t="str">
        <f>VLOOKUP($G4941,DefinitionArrays!$I$6:$J$12,2,FALSE)</f>
        <v>Workweek</v>
      </c>
    </row>
    <row r="4942" spans="1:10">
      <c r="A4942" s="159" t="str">
        <f t="shared" si="388"/>
        <v>$K$1:$K$92</v>
      </c>
      <c r="B4942" s="159" t="str">
        <f t="shared" si="389"/>
        <v>$L$1:$L$92</v>
      </c>
      <c r="C4942" s="159" t="str">
        <f t="shared" si="390"/>
        <v>August!$K$1:$K$92</v>
      </c>
      <c r="D4942" s="159" t="str">
        <f t="shared" si="391"/>
        <v>August!$L$1:$L$92</v>
      </c>
      <c r="E4942" t="s">
        <v>9</v>
      </c>
      <c r="F4942" t="s">
        <v>127</v>
      </c>
      <c r="G4942" t="s">
        <v>144</v>
      </c>
      <c r="H4942" t="s">
        <v>22</v>
      </c>
      <c r="I4942" t="e">
        <f t="shared" ca="1" si="387"/>
        <v>#REF!</v>
      </c>
      <c r="J4942" t="str">
        <f>VLOOKUP($G4942,DefinitionArrays!$I$6:$J$12,2,FALSE)</f>
        <v>Workweek</v>
      </c>
    </row>
    <row r="4943" spans="1:10">
      <c r="A4943" s="159" t="str">
        <f t="shared" si="388"/>
        <v>$K$1:$K$92</v>
      </c>
      <c r="B4943" s="159" t="str">
        <f t="shared" si="389"/>
        <v>$L$1:$L$92</v>
      </c>
      <c r="C4943" s="159" t="str">
        <f t="shared" si="390"/>
        <v>August!$K$1:$K$92</v>
      </c>
      <c r="D4943" s="159" t="str">
        <f t="shared" si="391"/>
        <v>August!$L$1:$L$92</v>
      </c>
      <c r="E4943" t="s">
        <v>9</v>
      </c>
      <c r="F4943" t="s">
        <v>127</v>
      </c>
      <c r="G4943" t="s">
        <v>144</v>
      </c>
      <c r="H4943" t="s">
        <v>23</v>
      </c>
      <c r="I4943" t="e">
        <f t="shared" ca="1" si="387"/>
        <v>#REF!</v>
      </c>
      <c r="J4943" t="str">
        <f>VLOOKUP($G4943,DefinitionArrays!$I$6:$J$12,2,FALSE)</f>
        <v>Workweek</v>
      </c>
    </row>
    <row r="4944" spans="1:10">
      <c r="A4944" s="159" t="str">
        <f t="shared" si="388"/>
        <v>$K$1:$K$92</v>
      </c>
      <c r="B4944" s="159" t="str">
        <f t="shared" si="389"/>
        <v>$L$1:$L$92</v>
      </c>
      <c r="C4944" s="159" t="str">
        <f t="shared" si="390"/>
        <v>August!$K$1:$K$92</v>
      </c>
      <c r="D4944" s="159" t="str">
        <f t="shared" si="391"/>
        <v>August!$L$1:$L$92</v>
      </c>
      <c r="E4944" t="s">
        <v>9</v>
      </c>
      <c r="F4944" t="s">
        <v>127</v>
      </c>
      <c r="G4944" t="s">
        <v>144</v>
      </c>
      <c r="H4944" t="s">
        <v>24</v>
      </c>
      <c r="I4944" t="e">
        <f t="shared" ca="1" si="387"/>
        <v>#REF!</v>
      </c>
      <c r="J4944" t="str">
        <f>VLOOKUP($G4944,DefinitionArrays!$I$6:$J$12,2,FALSE)</f>
        <v>Workweek</v>
      </c>
    </row>
    <row r="4945" spans="1:10">
      <c r="A4945" s="159" t="str">
        <f t="shared" si="388"/>
        <v>$K$1:$K$92</v>
      </c>
      <c r="B4945" s="159" t="str">
        <f t="shared" si="389"/>
        <v>$L$1:$L$92</v>
      </c>
      <c r="C4945" s="159" t="str">
        <f t="shared" si="390"/>
        <v>August!$K$1:$K$92</v>
      </c>
      <c r="D4945" s="159" t="str">
        <f t="shared" si="391"/>
        <v>August!$L$1:$L$92</v>
      </c>
      <c r="E4945" t="s">
        <v>9</v>
      </c>
      <c r="F4945" t="s">
        <v>127</v>
      </c>
      <c r="G4945" t="s">
        <v>144</v>
      </c>
      <c r="H4945" t="s">
        <v>179</v>
      </c>
      <c r="I4945" t="e">
        <f t="shared" ca="1" si="387"/>
        <v>#REF!</v>
      </c>
      <c r="J4945" t="str">
        <f>VLOOKUP($G4945,DefinitionArrays!$I$6:$J$12,2,FALSE)</f>
        <v>Workweek</v>
      </c>
    </row>
    <row r="4946" spans="1:10">
      <c r="A4946" s="159" t="str">
        <f t="shared" si="388"/>
        <v>$K$1:$K$92</v>
      </c>
      <c r="B4946" s="159" t="str">
        <f t="shared" si="389"/>
        <v>$L$1:$L$92</v>
      </c>
      <c r="C4946" s="159" t="str">
        <f t="shared" si="390"/>
        <v>August!$K$1:$K$92</v>
      </c>
      <c r="D4946" s="159" t="str">
        <f t="shared" si="391"/>
        <v>August!$L$1:$L$92</v>
      </c>
      <c r="E4946" t="s">
        <v>9</v>
      </c>
      <c r="F4946" t="s">
        <v>127</v>
      </c>
      <c r="G4946" t="s">
        <v>144</v>
      </c>
      <c r="H4946" t="s">
        <v>180</v>
      </c>
      <c r="I4946" t="e">
        <f t="shared" ca="1" si="387"/>
        <v>#REF!</v>
      </c>
      <c r="J4946" t="str">
        <f>VLOOKUP($G4946,DefinitionArrays!$I$6:$J$12,2,FALSE)</f>
        <v>Workweek</v>
      </c>
    </row>
    <row r="4947" spans="1:10">
      <c r="A4947" s="159" t="str">
        <f t="shared" si="388"/>
        <v>$K$1:$K$92</v>
      </c>
      <c r="B4947" s="159" t="str">
        <f t="shared" si="389"/>
        <v>$L$1:$L$92</v>
      </c>
      <c r="C4947" s="159" t="str">
        <f t="shared" si="390"/>
        <v>August!$K$1:$K$92</v>
      </c>
      <c r="D4947" s="159" t="str">
        <f t="shared" si="391"/>
        <v>August!$L$1:$L$92</v>
      </c>
      <c r="E4947" t="s">
        <v>9</v>
      </c>
      <c r="F4947" t="s">
        <v>127</v>
      </c>
      <c r="G4947" t="s">
        <v>144</v>
      </c>
      <c r="H4947" t="s">
        <v>44</v>
      </c>
      <c r="I4947" t="e">
        <f t="shared" ca="1" si="387"/>
        <v>#REF!</v>
      </c>
      <c r="J4947" t="str">
        <f>VLOOKUP($G4947,DefinitionArrays!$I$6:$J$12,2,FALSE)</f>
        <v>Workweek</v>
      </c>
    </row>
    <row r="4948" spans="1:10">
      <c r="A4948" s="159" t="str">
        <f t="shared" si="388"/>
        <v>$N$1:$N$92</v>
      </c>
      <c r="B4948" s="159" t="str">
        <f t="shared" si="389"/>
        <v>$O$1:$O$92</v>
      </c>
      <c r="C4948" s="159" t="str">
        <f t="shared" si="390"/>
        <v>August!$N$1:$N$92</v>
      </c>
      <c r="D4948" s="159" t="str">
        <f t="shared" si="391"/>
        <v>August!$O$1:$O$92</v>
      </c>
      <c r="E4948" t="s">
        <v>9</v>
      </c>
      <c r="F4948" t="s">
        <v>127</v>
      </c>
      <c r="G4948" t="s">
        <v>145</v>
      </c>
      <c r="H4948" t="s">
        <v>159</v>
      </c>
      <c r="I4948" t="e">
        <f t="shared" ca="1" si="387"/>
        <v>#REF!</v>
      </c>
      <c r="J4948" t="str">
        <f>VLOOKUP($G4948,DefinitionArrays!$I$6:$J$12,2,FALSE)</f>
        <v>Weekend</v>
      </c>
    </row>
    <row r="4949" spans="1:10">
      <c r="A4949" s="159" t="str">
        <f t="shared" si="388"/>
        <v>$N$1:$N$92</v>
      </c>
      <c r="B4949" s="159" t="str">
        <f t="shared" si="389"/>
        <v>$O$1:$O$92</v>
      </c>
      <c r="C4949" s="159" t="str">
        <f t="shared" si="390"/>
        <v>August!$N$1:$N$92</v>
      </c>
      <c r="D4949" s="159" t="str">
        <f t="shared" si="391"/>
        <v>August!$O$1:$O$92</v>
      </c>
      <c r="E4949" t="s">
        <v>9</v>
      </c>
      <c r="F4949" t="s">
        <v>127</v>
      </c>
      <c r="G4949" t="s">
        <v>145</v>
      </c>
      <c r="H4949" t="s">
        <v>18</v>
      </c>
      <c r="I4949" t="e">
        <f t="shared" ca="1" si="387"/>
        <v>#REF!</v>
      </c>
      <c r="J4949" t="str">
        <f>VLOOKUP($G4949,DefinitionArrays!$I$6:$J$12,2,FALSE)</f>
        <v>Weekend</v>
      </c>
    </row>
    <row r="4950" spans="1:10">
      <c r="A4950" s="159" t="str">
        <f t="shared" si="388"/>
        <v>$N$1:$N$92</v>
      </c>
      <c r="B4950" s="159" t="str">
        <f t="shared" si="389"/>
        <v>$O$1:$O$92</v>
      </c>
      <c r="C4950" s="159" t="str">
        <f t="shared" si="390"/>
        <v>August!$N$1:$N$92</v>
      </c>
      <c r="D4950" s="159" t="str">
        <f t="shared" si="391"/>
        <v>August!$O$1:$O$92</v>
      </c>
      <c r="E4950" t="s">
        <v>9</v>
      </c>
      <c r="F4950" t="s">
        <v>127</v>
      </c>
      <c r="G4950" t="s">
        <v>145</v>
      </c>
      <c r="H4950" t="s">
        <v>153</v>
      </c>
      <c r="I4950" t="e">
        <f t="shared" ca="1" si="387"/>
        <v>#REF!</v>
      </c>
      <c r="J4950" t="str">
        <f>VLOOKUP($G4950,DefinitionArrays!$I$6:$J$12,2,FALSE)</f>
        <v>Weekend</v>
      </c>
    </row>
    <row r="4951" spans="1:10">
      <c r="A4951" s="159" t="str">
        <f t="shared" si="388"/>
        <v>$N$1:$N$92</v>
      </c>
      <c r="B4951" s="159" t="str">
        <f t="shared" si="389"/>
        <v>$O$1:$O$92</v>
      </c>
      <c r="C4951" s="159" t="str">
        <f t="shared" si="390"/>
        <v>August!$N$1:$N$92</v>
      </c>
      <c r="D4951" s="159" t="str">
        <f t="shared" si="391"/>
        <v>August!$O$1:$O$92</v>
      </c>
      <c r="E4951" t="s">
        <v>9</v>
      </c>
      <c r="F4951" t="s">
        <v>127</v>
      </c>
      <c r="G4951" t="s">
        <v>145</v>
      </c>
      <c r="H4951" t="s">
        <v>19</v>
      </c>
      <c r="I4951" t="e">
        <f t="shared" ca="1" si="387"/>
        <v>#REF!</v>
      </c>
      <c r="J4951" t="str">
        <f>VLOOKUP($G4951,DefinitionArrays!$I$6:$J$12,2,FALSE)</f>
        <v>Weekend</v>
      </c>
    </row>
    <row r="4952" spans="1:10">
      <c r="A4952" s="159" t="str">
        <f t="shared" si="388"/>
        <v>$N$1:$N$92</v>
      </c>
      <c r="B4952" s="159" t="str">
        <f t="shared" si="389"/>
        <v>$O$1:$O$92</v>
      </c>
      <c r="C4952" s="159" t="str">
        <f t="shared" si="390"/>
        <v>August!$N$1:$N$92</v>
      </c>
      <c r="D4952" s="159" t="str">
        <f t="shared" si="391"/>
        <v>August!$O$1:$O$92</v>
      </c>
      <c r="E4952" t="s">
        <v>9</v>
      </c>
      <c r="F4952" t="s">
        <v>127</v>
      </c>
      <c r="G4952" t="s">
        <v>145</v>
      </c>
      <c r="H4952" t="s">
        <v>20</v>
      </c>
      <c r="I4952" t="e">
        <f t="shared" ca="1" si="387"/>
        <v>#REF!</v>
      </c>
      <c r="J4952" t="str">
        <f>VLOOKUP($G4952,DefinitionArrays!$I$6:$J$12,2,FALSE)</f>
        <v>Weekend</v>
      </c>
    </row>
    <row r="4953" spans="1:10">
      <c r="A4953" s="159" t="str">
        <f t="shared" si="388"/>
        <v>$N$1:$N$92</v>
      </c>
      <c r="B4953" s="159" t="str">
        <f t="shared" si="389"/>
        <v>$O$1:$O$92</v>
      </c>
      <c r="C4953" s="159" t="str">
        <f t="shared" si="390"/>
        <v>August!$N$1:$N$92</v>
      </c>
      <c r="D4953" s="159" t="str">
        <f t="shared" si="391"/>
        <v>August!$O$1:$O$92</v>
      </c>
      <c r="E4953" t="s">
        <v>9</v>
      </c>
      <c r="F4953" t="s">
        <v>127</v>
      </c>
      <c r="G4953" t="s">
        <v>145</v>
      </c>
      <c r="H4953" t="s">
        <v>21</v>
      </c>
      <c r="I4953" t="e">
        <f t="shared" ca="1" si="387"/>
        <v>#REF!</v>
      </c>
      <c r="J4953" t="str">
        <f>VLOOKUP($G4953,DefinitionArrays!$I$6:$J$12,2,FALSE)</f>
        <v>Weekend</v>
      </c>
    </row>
    <row r="4954" spans="1:10">
      <c r="A4954" s="159" t="str">
        <f t="shared" si="388"/>
        <v>$N$1:$N$92</v>
      </c>
      <c r="B4954" s="159" t="str">
        <f t="shared" si="389"/>
        <v>$O$1:$O$92</v>
      </c>
      <c r="C4954" s="159" t="str">
        <f t="shared" si="390"/>
        <v>August!$N$1:$N$92</v>
      </c>
      <c r="D4954" s="159" t="str">
        <f t="shared" si="391"/>
        <v>August!$O$1:$O$92</v>
      </c>
      <c r="E4954" t="s">
        <v>9</v>
      </c>
      <c r="F4954" t="s">
        <v>127</v>
      </c>
      <c r="G4954" t="s">
        <v>145</v>
      </c>
      <c r="H4954" t="s">
        <v>22</v>
      </c>
      <c r="I4954" t="e">
        <f t="shared" ca="1" si="387"/>
        <v>#REF!</v>
      </c>
      <c r="J4954" t="str">
        <f>VLOOKUP($G4954,DefinitionArrays!$I$6:$J$12,2,FALSE)</f>
        <v>Weekend</v>
      </c>
    </row>
    <row r="4955" spans="1:10">
      <c r="A4955" s="159" t="str">
        <f t="shared" si="388"/>
        <v>$N$1:$N$92</v>
      </c>
      <c r="B4955" s="159" t="str">
        <f t="shared" si="389"/>
        <v>$O$1:$O$92</v>
      </c>
      <c r="C4955" s="159" t="str">
        <f t="shared" si="390"/>
        <v>August!$N$1:$N$92</v>
      </c>
      <c r="D4955" s="159" t="str">
        <f t="shared" si="391"/>
        <v>August!$O$1:$O$92</v>
      </c>
      <c r="E4955" t="s">
        <v>9</v>
      </c>
      <c r="F4955" t="s">
        <v>127</v>
      </c>
      <c r="G4955" t="s">
        <v>145</v>
      </c>
      <c r="H4955" t="s">
        <v>23</v>
      </c>
      <c r="I4955" t="e">
        <f t="shared" ca="1" si="387"/>
        <v>#REF!</v>
      </c>
      <c r="J4955" t="str">
        <f>VLOOKUP($G4955,DefinitionArrays!$I$6:$J$12,2,FALSE)</f>
        <v>Weekend</v>
      </c>
    </row>
    <row r="4956" spans="1:10">
      <c r="A4956" s="159" t="str">
        <f t="shared" si="388"/>
        <v>$N$1:$N$92</v>
      </c>
      <c r="B4956" s="159" t="str">
        <f t="shared" si="389"/>
        <v>$O$1:$O$92</v>
      </c>
      <c r="C4956" s="159" t="str">
        <f t="shared" si="390"/>
        <v>August!$N$1:$N$92</v>
      </c>
      <c r="D4956" s="159" t="str">
        <f t="shared" si="391"/>
        <v>August!$O$1:$O$92</v>
      </c>
      <c r="E4956" t="s">
        <v>9</v>
      </c>
      <c r="F4956" t="s">
        <v>127</v>
      </c>
      <c r="G4956" t="s">
        <v>145</v>
      </c>
      <c r="H4956" t="s">
        <v>24</v>
      </c>
      <c r="I4956" t="e">
        <f t="shared" ca="1" si="387"/>
        <v>#REF!</v>
      </c>
      <c r="J4956" t="str">
        <f>VLOOKUP($G4956,DefinitionArrays!$I$6:$J$12,2,FALSE)</f>
        <v>Weekend</v>
      </c>
    </row>
    <row r="4957" spans="1:10">
      <c r="A4957" s="159" t="str">
        <f t="shared" si="388"/>
        <v>$N$1:$N$92</v>
      </c>
      <c r="B4957" s="159" t="str">
        <f t="shared" si="389"/>
        <v>$O$1:$O$92</v>
      </c>
      <c r="C4957" s="159" t="str">
        <f t="shared" si="390"/>
        <v>August!$N$1:$N$92</v>
      </c>
      <c r="D4957" s="159" t="str">
        <f t="shared" si="391"/>
        <v>August!$O$1:$O$92</v>
      </c>
      <c r="E4957" t="s">
        <v>9</v>
      </c>
      <c r="F4957" t="s">
        <v>127</v>
      </c>
      <c r="G4957" t="s">
        <v>145</v>
      </c>
      <c r="H4957" t="s">
        <v>179</v>
      </c>
      <c r="I4957" t="e">
        <f t="shared" ca="1" si="387"/>
        <v>#REF!</v>
      </c>
      <c r="J4957" t="str">
        <f>VLOOKUP($G4957,DefinitionArrays!$I$6:$J$12,2,FALSE)</f>
        <v>Weekend</v>
      </c>
    </row>
    <row r="4958" spans="1:10">
      <c r="A4958" s="159" t="str">
        <f t="shared" si="388"/>
        <v>$N$1:$N$92</v>
      </c>
      <c r="B4958" s="159" t="str">
        <f t="shared" si="389"/>
        <v>$O$1:$O$92</v>
      </c>
      <c r="C4958" s="159" t="str">
        <f t="shared" si="390"/>
        <v>August!$N$1:$N$92</v>
      </c>
      <c r="D4958" s="159" t="str">
        <f t="shared" si="391"/>
        <v>August!$O$1:$O$92</v>
      </c>
      <c r="E4958" t="s">
        <v>9</v>
      </c>
      <c r="F4958" t="s">
        <v>127</v>
      </c>
      <c r="G4958" t="s">
        <v>145</v>
      </c>
      <c r="H4958" t="s">
        <v>180</v>
      </c>
      <c r="I4958" t="e">
        <f t="shared" ca="1" si="387"/>
        <v>#REF!</v>
      </c>
      <c r="J4958" t="str">
        <f>VLOOKUP($G4958,DefinitionArrays!$I$6:$J$12,2,FALSE)</f>
        <v>Weekend</v>
      </c>
    </row>
    <row r="4959" spans="1:10">
      <c r="A4959" s="159" t="str">
        <f t="shared" si="388"/>
        <v>$N$1:$N$92</v>
      </c>
      <c r="B4959" s="159" t="str">
        <f t="shared" si="389"/>
        <v>$O$1:$O$92</v>
      </c>
      <c r="C4959" s="159" t="str">
        <f t="shared" si="390"/>
        <v>August!$N$1:$N$92</v>
      </c>
      <c r="D4959" s="159" t="str">
        <f t="shared" si="391"/>
        <v>August!$O$1:$O$92</v>
      </c>
      <c r="E4959" t="s">
        <v>9</v>
      </c>
      <c r="F4959" t="s">
        <v>127</v>
      </c>
      <c r="G4959" t="s">
        <v>145</v>
      </c>
      <c r="H4959" t="s">
        <v>44</v>
      </c>
      <c r="I4959" t="e">
        <f t="shared" ca="1" si="387"/>
        <v>#REF!</v>
      </c>
      <c r="J4959" t="str">
        <f>VLOOKUP($G4959,DefinitionArrays!$I$6:$J$12,2,FALSE)</f>
        <v>Weekend</v>
      </c>
    </row>
    <row r="4960" spans="1:10">
      <c r="A4960" s="159" t="str">
        <f t="shared" si="388"/>
        <v>$Q$1:$Q$92</v>
      </c>
      <c r="B4960" s="159" t="str">
        <f t="shared" si="389"/>
        <v>$R$1:$R$92</v>
      </c>
      <c r="C4960" s="159" t="str">
        <f t="shared" si="390"/>
        <v>August!$Q$1:$Q$92</v>
      </c>
      <c r="D4960" s="159" t="str">
        <f t="shared" si="391"/>
        <v>August!$R$1:$R$92</v>
      </c>
      <c r="E4960" t="s">
        <v>9</v>
      </c>
      <c r="F4960" t="s">
        <v>127</v>
      </c>
      <c r="G4960" t="s">
        <v>146</v>
      </c>
      <c r="H4960" t="s">
        <v>159</v>
      </c>
      <c r="I4960" t="e">
        <f t="shared" ca="1" si="387"/>
        <v>#REF!</v>
      </c>
      <c r="J4960" t="str">
        <f>VLOOKUP($G4960,DefinitionArrays!$I$6:$J$12,2,FALSE)</f>
        <v>Weekend</v>
      </c>
    </row>
    <row r="4961" spans="1:10">
      <c r="A4961" s="159" t="str">
        <f t="shared" si="388"/>
        <v>$T$1:$T$92</v>
      </c>
      <c r="B4961" s="159" t="str">
        <f t="shared" si="389"/>
        <v>$U$1:$U$92</v>
      </c>
      <c r="C4961" s="159" t="str">
        <f t="shared" si="390"/>
        <v>August!$T$1:$T$92</v>
      </c>
      <c r="D4961" s="159" t="str">
        <f t="shared" si="391"/>
        <v>August!$U$1:$U$92</v>
      </c>
      <c r="E4961" t="s">
        <v>9</v>
      </c>
      <c r="F4961" t="s">
        <v>127</v>
      </c>
      <c r="G4961" t="s">
        <v>141</v>
      </c>
      <c r="H4961" t="s">
        <v>159</v>
      </c>
      <c r="I4961" t="e">
        <f t="shared" ca="1" si="387"/>
        <v>#REF!</v>
      </c>
      <c r="J4961" t="str">
        <f>VLOOKUP($G4961,DefinitionArrays!$I$6:$J$12,2,FALSE)</f>
        <v>Weekend</v>
      </c>
    </row>
    <row r="4962" spans="1:10">
      <c r="A4962" s="159" t="str">
        <f t="shared" si="388"/>
        <v>$B$1:$B$92</v>
      </c>
      <c r="B4962" s="159" t="str">
        <f t="shared" si="389"/>
        <v>$C$1:$C$92</v>
      </c>
      <c r="C4962" s="159" t="str">
        <f t="shared" si="390"/>
        <v>September!$B$1:$B$92</v>
      </c>
      <c r="D4962" s="159" t="str">
        <f t="shared" si="391"/>
        <v>September!$C$1:$C$92</v>
      </c>
      <c r="E4962" t="s">
        <v>9</v>
      </c>
      <c r="F4962" t="s">
        <v>128</v>
      </c>
      <c r="G4962" t="s">
        <v>13</v>
      </c>
      <c r="H4962" t="s">
        <v>159</v>
      </c>
      <c r="I4962" t="e">
        <f ca="1">COUNTIFS(INDIRECT($C4962),$E4962,INDIRECT($D4962),$H4962)</f>
        <v>#REF!</v>
      </c>
      <c r="J4962" t="str">
        <f>VLOOKUP($G4962,DefinitionArrays!$I$6:$J$12,2,FALSE)</f>
        <v>Workweek</v>
      </c>
    </row>
    <row r="4963" spans="1:10">
      <c r="A4963" s="159" t="str">
        <f t="shared" si="388"/>
        <v>$B$1:$B$92</v>
      </c>
      <c r="B4963" s="159" t="str">
        <f t="shared" si="389"/>
        <v>$C$1:$C$92</v>
      </c>
      <c r="C4963" s="159" t="str">
        <f t="shared" si="390"/>
        <v>September!$B$1:$B$92</v>
      </c>
      <c r="D4963" s="159" t="str">
        <f t="shared" si="391"/>
        <v>September!$C$1:$C$92</v>
      </c>
      <c r="E4963" t="s">
        <v>9</v>
      </c>
      <c r="F4963" t="s">
        <v>128</v>
      </c>
      <c r="G4963" t="s">
        <v>13</v>
      </c>
      <c r="H4963" t="s">
        <v>18</v>
      </c>
      <c r="I4963" t="e">
        <f t="shared" ref="I4963:I5023" ca="1" si="392">COUNTIFS(INDIRECT($C4963),$E4963,INDIRECT($D4963),$H4963)</f>
        <v>#REF!</v>
      </c>
      <c r="J4963" t="str">
        <f>VLOOKUP($G4963,DefinitionArrays!$I$6:$J$12,2,FALSE)</f>
        <v>Workweek</v>
      </c>
    </row>
    <row r="4964" spans="1:10">
      <c r="A4964" s="159" t="str">
        <f t="shared" si="388"/>
        <v>$B$1:$B$92</v>
      </c>
      <c r="B4964" s="159" t="str">
        <f t="shared" si="389"/>
        <v>$C$1:$C$92</v>
      </c>
      <c r="C4964" s="159" t="str">
        <f t="shared" si="390"/>
        <v>September!$B$1:$B$92</v>
      </c>
      <c r="D4964" s="159" t="str">
        <f t="shared" si="391"/>
        <v>September!$C$1:$C$92</v>
      </c>
      <c r="E4964" t="s">
        <v>9</v>
      </c>
      <c r="F4964" t="s">
        <v>128</v>
      </c>
      <c r="G4964" t="s">
        <v>13</v>
      </c>
      <c r="H4964" t="s">
        <v>153</v>
      </c>
      <c r="I4964" t="e">
        <f t="shared" ca="1" si="392"/>
        <v>#REF!</v>
      </c>
      <c r="J4964" t="str">
        <f>VLOOKUP($G4964,DefinitionArrays!$I$6:$J$12,2,FALSE)</f>
        <v>Workweek</v>
      </c>
    </row>
    <row r="4965" spans="1:10">
      <c r="A4965" s="159" t="str">
        <f t="shared" si="388"/>
        <v>$B$1:$B$92</v>
      </c>
      <c r="B4965" s="159" t="str">
        <f t="shared" si="389"/>
        <v>$C$1:$C$92</v>
      </c>
      <c r="C4965" s="159" t="str">
        <f t="shared" si="390"/>
        <v>September!$B$1:$B$92</v>
      </c>
      <c r="D4965" s="159" t="str">
        <f t="shared" si="391"/>
        <v>September!$C$1:$C$92</v>
      </c>
      <c r="E4965" t="s">
        <v>9</v>
      </c>
      <c r="F4965" t="s">
        <v>128</v>
      </c>
      <c r="G4965" t="s">
        <v>13</v>
      </c>
      <c r="H4965" t="s">
        <v>19</v>
      </c>
      <c r="I4965" t="e">
        <f t="shared" ca="1" si="392"/>
        <v>#REF!</v>
      </c>
      <c r="J4965" t="str">
        <f>VLOOKUP($G4965,DefinitionArrays!$I$6:$J$12,2,FALSE)</f>
        <v>Workweek</v>
      </c>
    </row>
    <row r="4966" spans="1:10">
      <c r="A4966" s="159" t="str">
        <f t="shared" si="388"/>
        <v>$B$1:$B$92</v>
      </c>
      <c r="B4966" s="159" t="str">
        <f t="shared" si="389"/>
        <v>$C$1:$C$92</v>
      </c>
      <c r="C4966" s="159" t="str">
        <f t="shared" si="390"/>
        <v>September!$B$1:$B$92</v>
      </c>
      <c r="D4966" s="159" t="str">
        <f t="shared" si="391"/>
        <v>September!$C$1:$C$92</v>
      </c>
      <c r="E4966" t="s">
        <v>9</v>
      </c>
      <c r="F4966" t="s">
        <v>128</v>
      </c>
      <c r="G4966" t="s">
        <v>13</v>
      </c>
      <c r="H4966" t="s">
        <v>20</v>
      </c>
      <c r="I4966" t="e">
        <f t="shared" ca="1" si="392"/>
        <v>#REF!</v>
      </c>
      <c r="J4966" t="str">
        <f>VLOOKUP($G4966,DefinitionArrays!$I$6:$J$12,2,FALSE)</f>
        <v>Workweek</v>
      </c>
    </row>
    <row r="4967" spans="1:10">
      <c r="A4967" s="159" t="str">
        <f t="shared" si="388"/>
        <v>$B$1:$B$92</v>
      </c>
      <c r="B4967" s="159" t="str">
        <f t="shared" si="389"/>
        <v>$C$1:$C$92</v>
      </c>
      <c r="C4967" s="159" t="str">
        <f t="shared" si="390"/>
        <v>September!$B$1:$B$92</v>
      </c>
      <c r="D4967" s="159" t="str">
        <f t="shared" si="391"/>
        <v>September!$C$1:$C$92</v>
      </c>
      <c r="E4967" t="s">
        <v>9</v>
      </c>
      <c r="F4967" t="s">
        <v>128</v>
      </c>
      <c r="G4967" t="s">
        <v>13</v>
      </c>
      <c r="H4967" t="s">
        <v>21</v>
      </c>
      <c r="I4967" t="e">
        <f t="shared" ca="1" si="392"/>
        <v>#REF!</v>
      </c>
      <c r="J4967" t="str">
        <f>VLOOKUP($G4967,DefinitionArrays!$I$6:$J$12,2,FALSE)</f>
        <v>Workweek</v>
      </c>
    </row>
    <row r="4968" spans="1:10">
      <c r="A4968" s="159" t="str">
        <f t="shared" si="388"/>
        <v>$B$1:$B$92</v>
      </c>
      <c r="B4968" s="159" t="str">
        <f t="shared" si="389"/>
        <v>$C$1:$C$92</v>
      </c>
      <c r="C4968" s="159" t="str">
        <f t="shared" si="390"/>
        <v>September!$B$1:$B$92</v>
      </c>
      <c r="D4968" s="159" t="str">
        <f t="shared" si="391"/>
        <v>September!$C$1:$C$92</v>
      </c>
      <c r="E4968" t="s">
        <v>9</v>
      </c>
      <c r="F4968" t="s">
        <v>128</v>
      </c>
      <c r="G4968" t="s">
        <v>13</v>
      </c>
      <c r="H4968" t="s">
        <v>22</v>
      </c>
      <c r="I4968" t="e">
        <f t="shared" ca="1" si="392"/>
        <v>#REF!</v>
      </c>
      <c r="J4968" t="str">
        <f>VLOOKUP($G4968,DefinitionArrays!$I$6:$J$12,2,FALSE)</f>
        <v>Workweek</v>
      </c>
    </row>
    <row r="4969" spans="1:10">
      <c r="A4969" s="159" t="str">
        <f t="shared" si="388"/>
        <v>$B$1:$B$92</v>
      </c>
      <c r="B4969" s="159" t="str">
        <f t="shared" si="389"/>
        <v>$C$1:$C$92</v>
      </c>
      <c r="C4969" s="159" t="str">
        <f t="shared" si="390"/>
        <v>September!$B$1:$B$92</v>
      </c>
      <c r="D4969" s="159" t="str">
        <f t="shared" si="391"/>
        <v>September!$C$1:$C$92</v>
      </c>
      <c r="E4969" t="s">
        <v>9</v>
      </c>
      <c r="F4969" t="s">
        <v>128</v>
      </c>
      <c r="G4969" t="s">
        <v>13</v>
      </c>
      <c r="H4969" t="s">
        <v>23</v>
      </c>
      <c r="I4969" t="e">
        <f t="shared" ca="1" si="392"/>
        <v>#REF!</v>
      </c>
      <c r="J4969" t="str">
        <f>VLOOKUP($G4969,DefinitionArrays!$I$6:$J$12,2,FALSE)</f>
        <v>Workweek</v>
      </c>
    </row>
    <row r="4970" spans="1:10">
      <c r="A4970" s="159" t="str">
        <f t="shared" si="388"/>
        <v>$B$1:$B$92</v>
      </c>
      <c r="B4970" s="159" t="str">
        <f t="shared" si="389"/>
        <v>$C$1:$C$92</v>
      </c>
      <c r="C4970" s="159" t="str">
        <f t="shared" si="390"/>
        <v>September!$B$1:$B$92</v>
      </c>
      <c r="D4970" s="159" t="str">
        <f t="shared" si="391"/>
        <v>September!$C$1:$C$92</v>
      </c>
      <c r="E4970" t="s">
        <v>9</v>
      </c>
      <c r="F4970" t="s">
        <v>128</v>
      </c>
      <c r="G4970" t="s">
        <v>13</v>
      </c>
      <c r="H4970" t="s">
        <v>24</v>
      </c>
      <c r="I4970" t="e">
        <f t="shared" ca="1" si="392"/>
        <v>#REF!</v>
      </c>
      <c r="J4970" t="str">
        <f>VLOOKUP($G4970,DefinitionArrays!$I$6:$J$12,2,FALSE)</f>
        <v>Workweek</v>
      </c>
    </row>
    <row r="4971" spans="1:10">
      <c r="A4971" s="159" t="str">
        <f t="shared" si="388"/>
        <v>$B$1:$B$92</v>
      </c>
      <c r="B4971" s="159" t="str">
        <f t="shared" si="389"/>
        <v>$C$1:$C$92</v>
      </c>
      <c r="C4971" s="159" t="str">
        <f t="shared" si="390"/>
        <v>September!$B$1:$B$92</v>
      </c>
      <c r="D4971" s="159" t="str">
        <f t="shared" si="391"/>
        <v>September!$C$1:$C$92</v>
      </c>
      <c r="E4971" t="s">
        <v>9</v>
      </c>
      <c r="F4971" t="s">
        <v>128</v>
      </c>
      <c r="G4971" t="s">
        <v>13</v>
      </c>
      <c r="H4971" t="s">
        <v>179</v>
      </c>
      <c r="I4971" t="e">
        <f t="shared" ca="1" si="392"/>
        <v>#REF!</v>
      </c>
      <c r="J4971" t="str">
        <f>VLOOKUP($G4971,DefinitionArrays!$I$6:$J$12,2,FALSE)</f>
        <v>Workweek</v>
      </c>
    </row>
    <row r="4972" spans="1:10">
      <c r="A4972" s="159" t="str">
        <f t="shared" si="388"/>
        <v>$B$1:$B$92</v>
      </c>
      <c r="B4972" s="159" t="str">
        <f t="shared" si="389"/>
        <v>$C$1:$C$92</v>
      </c>
      <c r="C4972" s="159" t="str">
        <f t="shared" si="390"/>
        <v>September!$B$1:$B$92</v>
      </c>
      <c r="D4972" s="159" t="str">
        <f t="shared" si="391"/>
        <v>September!$C$1:$C$92</v>
      </c>
      <c r="E4972" t="s">
        <v>9</v>
      </c>
      <c r="F4972" t="s">
        <v>128</v>
      </c>
      <c r="G4972" t="s">
        <v>13</v>
      </c>
      <c r="H4972" t="s">
        <v>180</v>
      </c>
      <c r="I4972" t="e">
        <f t="shared" ca="1" si="392"/>
        <v>#REF!</v>
      </c>
      <c r="J4972" t="str">
        <f>VLOOKUP($G4972,DefinitionArrays!$I$6:$J$12,2,FALSE)</f>
        <v>Workweek</v>
      </c>
    </row>
    <row r="4973" spans="1:10">
      <c r="A4973" s="159" t="str">
        <f t="shared" si="388"/>
        <v>$B$1:$B$92</v>
      </c>
      <c r="B4973" s="159" t="str">
        <f t="shared" si="389"/>
        <v>$C$1:$C$92</v>
      </c>
      <c r="C4973" s="159" t="str">
        <f t="shared" si="390"/>
        <v>September!$B$1:$B$92</v>
      </c>
      <c r="D4973" s="159" t="str">
        <f t="shared" si="391"/>
        <v>September!$C$1:$C$92</v>
      </c>
      <c r="E4973" t="s">
        <v>9</v>
      </c>
      <c r="F4973" t="s">
        <v>128</v>
      </c>
      <c r="G4973" t="s">
        <v>13</v>
      </c>
      <c r="H4973" t="s">
        <v>44</v>
      </c>
      <c r="I4973" t="e">
        <f t="shared" ca="1" si="392"/>
        <v>#REF!</v>
      </c>
      <c r="J4973" t="str">
        <f>VLOOKUP($G4973,DefinitionArrays!$I$6:$J$12,2,FALSE)</f>
        <v>Workweek</v>
      </c>
    </row>
    <row r="4974" spans="1:10">
      <c r="A4974" s="159" t="str">
        <f t="shared" si="388"/>
        <v>$E$1:$E$92</v>
      </c>
      <c r="B4974" s="159" t="str">
        <f t="shared" si="389"/>
        <v>$F$1:$F$92</v>
      </c>
      <c r="C4974" s="159" t="str">
        <f t="shared" si="390"/>
        <v>September!$E$1:$E$92</v>
      </c>
      <c r="D4974" s="159" t="str">
        <f t="shared" si="391"/>
        <v>September!$F$1:$F$92</v>
      </c>
      <c r="E4974" t="s">
        <v>9</v>
      </c>
      <c r="F4974" t="s">
        <v>128</v>
      </c>
      <c r="G4974" t="s">
        <v>142</v>
      </c>
      <c r="H4974" t="s">
        <v>159</v>
      </c>
      <c r="I4974" t="e">
        <f t="shared" ca="1" si="392"/>
        <v>#REF!</v>
      </c>
      <c r="J4974" t="str">
        <f>VLOOKUP($G4974,DefinitionArrays!$I$6:$J$12,2,FALSE)</f>
        <v>Workweek</v>
      </c>
    </row>
    <row r="4975" spans="1:10">
      <c r="A4975" s="159" t="str">
        <f t="shared" si="388"/>
        <v>$E$1:$E$92</v>
      </c>
      <c r="B4975" s="159" t="str">
        <f t="shared" si="389"/>
        <v>$F$1:$F$92</v>
      </c>
      <c r="C4975" s="159" t="str">
        <f t="shared" si="390"/>
        <v>September!$E$1:$E$92</v>
      </c>
      <c r="D4975" s="159" t="str">
        <f t="shared" si="391"/>
        <v>September!$F$1:$F$92</v>
      </c>
      <c r="E4975" t="s">
        <v>9</v>
      </c>
      <c r="F4975" t="s">
        <v>128</v>
      </c>
      <c r="G4975" t="s">
        <v>142</v>
      </c>
      <c r="H4975" t="s">
        <v>18</v>
      </c>
      <c r="I4975" t="e">
        <f t="shared" ca="1" si="392"/>
        <v>#REF!</v>
      </c>
      <c r="J4975" t="str">
        <f>VLOOKUP($G4975,DefinitionArrays!$I$6:$J$12,2,FALSE)</f>
        <v>Workweek</v>
      </c>
    </row>
    <row r="4976" spans="1:10">
      <c r="A4976" s="159" t="str">
        <f t="shared" si="388"/>
        <v>$E$1:$E$92</v>
      </c>
      <c r="B4976" s="159" t="str">
        <f t="shared" si="389"/>
        <v>$F$1:$F$92</v>
      </c>
      <c r="C4976" s="159" t="str">
        <f t="shared" si="390"/>
        <v>September!$E$1:$E$92</v>
      </c>
      <c r="D4976" s="159" t="str">
        <f t="shared" si="391"/>
        <v>September!$F$1:$F$92</v>
      </c>
      <c r="E4976" t="s">
        <v>9</v>
      </c>
      <c r="F4976" t="s">
        <v>128</v>
      </c>
      <c r="G4976" t="s">
        <v>142</v>
      </c>
      <c r="H4976" t="s">
        <v>153</v>
      </c>
      <c r="I4976" t="e">
        <f t="shared" ca="1" si="392"/>
        <v>#REF!</v>
      </c>
      <c r="J4976" t="str">
        <f>VLOOKUP($G4976,DefinitionArrays!$I$6:$J$12,2,FALSE)</f>
        <v>Workweek</v>
      </c>
    </row>
    <row r="4977" spans="1:10">
      <c r="A4977" s="159" t="str">
        <f t="shared" si="388"/>
        <v>$E$1:$E$92</v>
      </c>
      <c r="B4977" s="159" t="str">
        <f t="shared" si="389"/>
        <v>$F$1:$F$92</v>
      </c>
      <c r="C4977" s="159" t="str">
        <f t="shared" si="390"/>
        <v>September!$E$1:$E$92</v>
      </c>
      <c r="D4977" s="159" t="str">
        <f t="shared" si="391"/>
        <v>September!$F$1:$F$92</v>
      </c>
      <c r="E4977" t="s">
        <v>9</v>
      </c>
      <c r="F4977" t="s">
        <v>128</v>
      </c>
      <c r="G4977" t="s">
        <v>142</v>
      </c>
      <c r="H4977" t="s">
        <v>19</v>
      </c>
      <c r="I4977" t="e">
        <f t="shared" ca="1" si="392"/>
        <v>#REF!</v>
      </c>
      <c r="J4977" t="str">
        <f>VLOOKUP($G4977,DefinitionArrays!$I$6:$J$12,2,FALSE)</f>
        <v>Workweek</v>
      </c>
    </row>
    <row r="4978" spans="1:10">
      <c r="A4978" s="159" t="str">
        <f t="shared" si="388"/>
        <v>$E$1:$E$92</v>
      </c>
      <c r="B4978" s="159" t="str">
        <f t="shared" si="389"/>
        <v>$F$1:$F$92</v>
      </c>
      <c r="C4978" s="159" t="str">
        <f t="shared" si="390"/>
        <v>September!$E$1:$E$92</v>
      </c>
      <c r="D4978" s="159" t="str">
        <f t="shared" si="391"/>
        <v>September!$F$1:$F$92</v>
      </c>
      <c r="E4978" t="s">
        <v>9</v>
      </c>
      <c r="F4978" t="s">
        <v>128</v>
      </c>
      <c r="G4978" t="s">
        <v>142</v>
      </c>
      <c r="H4978" t="s">
        <v>20</v>
      </c>
      <c r="I4978" t="e">
        <f t="shared" ca="1" si="392"/>
        <v>#REF!</v>
      </c>
      <c r="J4978" t="str">
        <f>VLOOKUP($G4978,DefinitionArrays!$I$6:$J$12,2,FALSE)</f>
        <v>Workweek</v>
      </c>
    </row>
    <row r="4979" spans="1:10">
      <c r="A4979" s="159" t="str">
        <f t="shared" si="388"/>
        <v>$E$1:$E$92</v>
      </c>
      <c r="B4979" s="159" t="str">
        <f t="shared" si="389"/>
        <v>$F$1:$F$92</v>
      </c>
      <c r="C4979" s="159" t="str">
        <f t="shared" si="390"/>
        <v>September!$E$1:$E$92</v>
      </c>
      <c r="D4979" s="159" t="str">
        <f t="shared" si="391"/>
        <v>September!$F$1:$F$92</v>
      </c>
      <c r="E4979" t="s">
        <v>9</v>
      </c>
      <c r="F4979" t="s">
        <v>128</v>
      </c>
      <c r="G4979" t="s">
        <v>142</v>
      </c>
      <c r="H4979" t="s">
        <v>21</v>
      </c>
      <c r="I4979" t="e">
        <f t="shared" ca="1" si="392"/>
        <v>#REF!</v>
      </c>
      <c r="J4979" t="str">
        <f>VLOOKUP($G4979,DefinitionArrays!$I$6:$J$12,2,FALSE)</f>
        <v>Workweek</v>
      </c>
    </row>
    <row r="4980" spans="1:10">
      <c r="A4980" s="159" t="str">
        <f t="shared" si="388"/>
        <v>$E$1:$E$92</v>
      </c>
      <c r="B4980" s="159" t="str">
        <f t="shared" si="389"/>
        <v>$F$1:$F$92</v>
      </c>
      <c r="C4980" s="159" t="str">
        <f t="shared" si="390"/>
        <v>September!$E$1:$E$92</v>
      </c>
      <c r="D4980" s="159" t="str">
        <f t="shared" si="391"/>
        <v>September!$F$1:$F$92</v>
      </c>
      <c r="E4980" t="s">
        <v>9</v>
      </c>
      <c r="F4980" t="s">
        <v>128</v>
      </c>
      <c r="G4980" t="s">
        <v>142</v>
      </c>
      <c r="H4980" t="s">
        <v>22</v>
      </c>
      <c r="I4980" t="e">
        <f t="shared" ca="1" si="392"/>
        <v>#REF!</v>
      </c>
      <c r="J4980" t="str">
        <f>VLOOKUP($G4980,DefinitionArrays!$I$6:$J$12,2,FALSE)</f>
        <v>Workweek</v>
      </c>
    </row>
    <row r="4981" spans="1:10">
      <c r="A4981" s="159" t="str">
        <f t="shared" si="388"/>
        <v>$E$1:$E$92</v>
      </c>
      <c r="B4981" s="159" t="str">
        <f t="shared" si="389"/>
        <v>$F$1:$F$92</v>
      </c>
      <c r="C4981" s="159" t="str">
        <f t="shared" si="390"/>
        <v>September!$E$1:$E$92</v>
      </c>
      <c r="D4981" s="159" t="str">
        <f t="shared" si="391"/>
        <v>September!$F$1:$F$92</v>
      </c>
      <c r="E4981" t="s">
        <v>9</v>
      </c>
      <c r="F4981" t="s">
        <v>128</v>
      </c>
      <c r="G4981" t="s">
        <v>142</v>
      </c>
      <c r="H4981" t="s">
        <v>23</v>
      </c>
      <c r="I4981" t="e">
        <f t="shared" ca="1" si="392"/>
        <v>#REF!</v>
      </c>
      <c r="J4981" t="str">
        <f>VLOOKUP($G4981,DefinitionArrays!$I$6:$J$12,2,FALSE)</f>
        <v>Workweek</v>
      </c>
    </row>
    <row r="4982" spans="1:10">
      <c r="A4982" s="159" t="str">
        <f t="shared" si="388"/>
        <v>$E$1:$E$92</v>
      </c>
      <c r="B4982" s="159" t="str">
        <f t="shared" si="389"/>
        <v>$F$1:$F$92</v>
      </c>
      <c r="C4982" s="159" t="str">
        <f t="shared" si="390"/>
        <v>September!$E$1:$E$92</v>
      </c>
      <c r="D4982" s="159" t="str">
        <f t="shared" si="391"/>
        <v>September!$F$1:$F$92</v>
      </c>
      <c r="E4982" t="s">
        <v>9</v>
      </c>
      <c r="F4982" t="s">
        <v>128</v>
      </c>
      <c r="G4982" t="s">
        <v>142</v>
      </c>
      <c r="H4982" t="s">
        <v>24</v>
      </c>
      <c r="I4982" t="e">
        <f t="shared" ca="1" si="392"/>
        <v>#REF!</v>
      </c>
      <c r="J4982" t="str">
        <f>VLOOKUP($G4982,DefinitionArrays!$I$6:$J$12,2,FALSE)</f>
        <v>Workweek</v>
      </c>
    </row>
    <row r="4983" spans="1:10">
      <c r="A4983" s="159" t="str">
        <f t="shared" si="388"/>
        <v>$E$1:$E$92</v>
      </c>
      <c r="B4983" s="159" t="str">
        <f t="shared" si="389"/>
        <v>$F$1:$F$92</v>
      </c>
      <c r="C4983" s="159" t="str">
        <f t="shared" si="390"/>
        <v>September!$E$1:$E$92</v>
      </c>
      <c r="D4983" s="159" t="str">
        <f t="shared" si="391"/>
        <v>September!$F$1:$F$92</v>
      </c>
      <c r="E4983" t="s">
        <v>9</v>
      </c>
      <c r="F4983" t="s">
        <v>128</v>
      </c>
      <c r="G4983" t="s">
        <v>142</v>
      </c>
      <c r="H4983" t="s">
        <v>179</v>
      </c>
      <c r="I4983" t="e">
        <f t="shared" ca="1" si="392"/>
        <v>#REF!</v>
      </c>
      <c r="J4983" t="str">
        <f>VLOOKUP($G4983,DefinitionArrays!$I$6:$J$12,2,FALSE)</f>
        <v>Workweek</v>
      </c>
    </row>
    <row r="4984" spans="1:10">
      <c r="A4984" s="159" t="str">
        <f t="shared" si="388"/>
        <v>$E$1:$E$92</v>
      </c>
      <c r="B4984" s="159" t="str">
        <f t="shared" si="389"/>
        <v>$F$1:$F$92</v>
      </c>
      <c r="C4984" s="159" t="str">
        <f t="shared" si="390"/>
        <v>September!$E$1:$E$92</v>
      </c>
      <c r="D4984" s="159" t="str">
        <f t="shared" si="391"/>
        <v>September!$F$1:$F$92</v>
      </c>
      <c r="E4984" t="s">
        <v>9</v>
      </c>
      <c r="F4984" t="s">
        <v>128</v>
      </c>
      <c r="G4984" t="s">
        <v>142</v>
      </c>
      <c r="H4984" t="s">
        <v>180</v>
      </c>
      <c r="I4984" t="e">
        <f t="shared" ca="1" si="392"/>
        <v>#REF!</v>
      </c>
      <c r="J4984" t="str">
        <f>VLOOKUP($G4984,DefinitionArrays!$I$6:$J$12,2,FALSE)</f>
        <v>Workweek</v>
      </c>
    </row>
    <row r="4985" spans="1:10">
      <c r="A4985" s="159" t="str">
        <f t="shared" si="388"/>
        <v>$E$1:$E$92</v>
      </c>
      <c r="B4985" s="159" t="str">
        <f t="shared" si="389"/>
        <v>$F$1:$F$92</v>
      </c>
      <c r="C4985" s="159" t="str">
        <f t="shared" si="390"/>
        <v>September!$E$1:$E$92</v>
      </c>
      <c r="D4985" s="159" t="str">
        <f t="shared" si="391"/>
        <v>September!$F$1:$F$92</v>
      </c>
      <c r="E4985" t="s">
        <v>9</v>
      </c>
      <c r="F4985" t="s">
        <v>128</v>
      </c>
      <c r="G4985" t="s">
        <v>142</v>
      </c>
      <c r="H4985" t="s">
        <v>44</v>
      </c>
      <c r="I4985" t="e">
        <f t="shared" ca="1" si="392"/>
        <v>#REF!</v>
      </c>
      <c r="J4985" t="str">
        <f>VLOOKUP($G4985,DefinitionArrays!$I$6:$J$12,2,FALSE)</f>
        <v>Workweek</v>
      </c>
    </row>
    <row r="4986" spans="1:10">
      <c r="A4986" s="159" t="str">
        <f t="shared" si="388"/>
        <v>$H$1:$H$92</v>
      </c>
      <c r="B4986" s="159" t="str">
        <f t="shared" si="389"/>
        <v>$I$1:$I$92</v>
      </c>
      <c r="C4986" s="159" t="str">
        <f t="shared" si="390"/>
        <v>September!$H$1:$H$92</v>
      </c>
      <c r="D4986" s="159" t="str">
        <f t="shared" si="391"/>
        <v>September!$I$1:$I$92</v>
      </c>
      <c r="E4986" t="s">
        <v>9</v>
      </c>
      <c r="F4986" t="s">
        <v>128</v>
      </c>
      <c r="G4986" t="s">
        <v>143</v>
      </c>
      <c r="H4986" t="s">
        <v>159</v>
      </c>
      <c r="I4986" t="e">
        <f t="shared" ca="1" si="392"/>
        <v>#REF!</v>
      </c>
      <c r="J4986" t="str">
        <f>VLOOKUP($G4986,DefinitionArrays!$I$6:$J$12,2,FALSE)</f>
        <v>Workweek</v>
      </c>
    </row>
    <row r="4987" spans="1:10">
      <c r="A4987" s="159" t="str">
        <f t="shared" si="388"/>
        <v>$H$1:$H$92</v>
      </c>
      <c r="B4987" s="159" t="str">
        <f t="shared" si="389"/>
        <v>$I$1:$I$92</v>
      </c>
      <c r="C4987" s="159" t="str">
        <f t="shared" si="390"/>
        <v>September!$H$1:$H$92</v>
      </c>
      <c r="D4987" s="159" t="str">
        <f t="shared" si="391"/>
        <v>September!$I$1:$I$92</v>
      </c>
      <c r="E4987" t="s">
        <v>9</v>
      </c>
      <c r="F4987" t="s">
        <v>128</v>
      </c>
      <c r="G4987" t="s">
        <v>143</v>
      </c>
      <c r="H4987" t="s">
        <v>18</v>
      </c>
      <c r="I4987" t="e">
        <f t="shared" ca="1" si="392"/>
        <v>#REF!</v>
      </c>
      <c r="J4987" t="str">
        <f>VLOOKUP($G4987,DefinitionArrays!$I$6:$J$12,2,FALSE)</f>
        <v>Workweek</v>
      </c>
    </row>
    <row r="4988" spans="1:10">
      <c r="A4988" s="159" t="str">
        <f t="shared" si="388"/>
        <v>$H$1:$H$92</v>
      </c>
      <c r="B4988" s="159" t="str">
        <f t="shared" si="389"/>
        <v>$I$1:$I$92</v>
      </c>
      <c r="C4988" s="159" t="str">
        <f t="shared" si="390"/>
        <v>September!$H$1:$H$92</v>
      </c>
      <c r="D4988" s="159" t="str">
        <f t="shared" si="391"/>
        <v>September!$I$1:$I$92</v>
      </c>
      <c r="E4988" t="s">
        <v>9</v>
      </c>
      <c r="F4988" t="s">
        <v>128</v>
      </c>
      <c r="G4988" t="s">
        <v>143</v>
      </c>
      <c r="H4988" t="s">
        <v>153</v>
      </c>
      <c r="I4988" t="e">
        <f t="shared" ca="1" si="392"/>
        <v>#REF!</v>
      </c>
      <c r="J4988" t="str">
        <f>VLOOKUP($G4988,DefinitionArrays!$I$6:$J$12,2,FALSE)</f>
        <v>Workweek</v>
      </c>
    </row>
    <row r="4989" spans="1:10">
      <c r="A4989" s="159" t="str">
        <f t="shared" si="388"/>
        <v>$H$1:$H$92</v>
      </c>
      <c r="B4989" s="159" t="str">
        <f t="shared" si="389"/>
        <v>$I$1:$I$92</v>
      </c>
      <c r="C4989" s="159" t="str">
        <f t="shared" si="390"/>
        <v>September!$H$1:$H$92</v>
      </c>
      <c r="D4989" s="159" t="str">
        <f t="shared" si="391"/>
        <v>September!$I$1:$I$92</v>
      </c>
      <c r="E4989" t="s">
        <v>9</v>
      </c>
      <c r="F4989" t="s">
        <v>128</v>
      </c>
      <c r="G4989" t="s">
        <v>143</v>
      </c>
      <c r="H4989" t="s">
        <v>19</v>
      </c>
      <c r="I4989" t="e">
        <f t="shared" ca="1" si="392"/>
        <v>#REF!</v>
      </c>
      <c r="J4989" t="str">
        <f>VLOOKUP($G4989,DefinitionArrays!$I$6:$J$12,2,FALSE)</f>
        <v>Workweek</v>
      </c>
    </row>
    <row r="4990" spans="1:10">
      <c r="A4990" s="159" t="str">
        <f t="shared" si="388"/>
        <v>$H$1:$H$92</v>
      </c>
      <c r="B4990" s="159" t="str">
        <f t="shared" si="389"/>
        <v>$I$1:$I$92</v>
      </c>
      <c r="C4990" s="159" t="str">
        <f t="shared" si="390"/>
        <v>September!$H$1:$H$92</v>
      </c>
      <c r="D4990" s="159" t="str">
        <f t="shared" si="391"/>
        <v>September!$I$1:$I$92</v>
      </c>
      <c r="E4990" t="s">
        <v>9</v>
      </c>
      <c r="F4990" t="s">
        <v>128</v>
      </c>
      <c r="G4990" t="s">
        <v>143</v>
      </c>
      <c r="H4990" t="s">
        <v>20</v>
      </c>
      <c r="I4990" t="e">
        <f t="shared" ca="1" si="392"/>
        <v>#REF!</v>
      </c>
      <c r="J4990" t="str">
        <f>VLOOKUP($G4990,DefinitionArrays!$I$6:$J$12,2,FALSE)</f>
        <v>Workweek</v>
      </c>
    </row>
    <row r="4991" spans="1:10">
      <c r="A4991" s="159" t="str">
        <f t="shared" si="388"/>
        <v>$H$1:$H$92</v>
      </c>
      <c r="B4991" s="159" t="str">
        <f t="shared" si="389"/>
        <v>$I$1:$I$92</v>
      </c>
      <c r="C4991" s="159" t="str">
        <f t="shared" si="390"/>
        <v>September!$H$1:$H$92</v>
      </c>
      <c r="D4991" s="159" t="str">
        <f t="shared" si="391"/>
        <v>September!$I$1:$I$92</v>
      </c>
      <c r="E4991" t="s">
        <v>9</v>
      </c>
      <c r="F4991" t="s">
        <v>128</v>
      </c>
      <c r="G4991" t="s">
        <v>143</v>
      </c>
      <c r="H4991" t="s">
        <v>21</v>
      </c>
      <c r="I4991" t="e">
        <f t="shared" ca="1" si="392"/>
        <v>#REF!</v>
      </c>
      <c r="J4991" t="str">
        <f>VLOOKUP($G4991,DefinitionArrays!$I$6:$J$12,2,FALSE)</f>
        <v>Workweek</v>
      </c>
    </row>
    <row r="4992" spans="1:10">
      <c r="A4992" s="159" t="str">
        <f t="shared" si="388"/>
        <v>$H$1:$H$92</v>
      </c>
      <c r="B4992" s="159" t="str">
        <f t="shared" si="389"/>
        <v>$I$1:$I$92</v>
      </c>
      <c r="C4992" s="159" t="str">
        <f t="shared" si="390"/>
        <v>September!$H$1:$H$92</v>
      </c>
      <c r="D4992" s="159" t="str">
        <f t="shared" si="391"/>
        <v>September!$I$1:$I$92</v>
      </c>
      <c r="E4992" t="s">
        <v>9</v>
      </c>
      <c r="F4992" t="s">
        <v>128</v>
      </c>
      <c r="G4992" t="s">
        <v>143</v>
      </c>
      <c r="H4992" t="s">
        <v>22</v>
      </c>
      <c r="I4992" t="e">
        <f t="shared" ca="1" si="392"/>
        <v>#REF!</v>
      </c>
      <c r="J4992" t="str">
        <f>VLOOKUP($G4992,DefinitionArrays!$I$6:$J$12,2,FALSE)</f>
        <v>Workweek</v>
      </c>
    </row>
    <row r="4993" spans="1:10">
      <c r="A4993" s="159" t="str">
        <f t="shared" si="388"/>
        <v>$H$1:$H$92</v>
      </c>
      <c r="B4993" s="159" t="str">
        <f t="shared" si="389"/>
        <v>$I$1:$I$92</v>
      </c>
      <c r="C4993" s="159" t="str">
        <f t="shared" si="390"/>
        <v>September!$H$1:$H$92</v>
      </c>
      <c r="D4993" s="159" t="str">
        <f t="shared" si="391"/>
        <v>September!$I$1:$I$92</v>
      </c>
      <c r="E4993" t="s">
        <v>9</v>
      </c>
      <c r="F4993" t="s">
        <v>128</v>
      </c>
      <c r="G4993" t="s">
        <v>143</v>
      </c>
      <c r="H4993" t="s">
        <v>23</v>
      </c>
      <c r="I4993" t="e">
        <f t="shared" ca="1" si="392"/>
        <v>#REF!</v>
      </c>
      <c r="J4993" t="str">
        <f>VLOOKUP($G4993,DefinitionArrays!$I$6:$J$12,2,FALSE)</f>
        <v>Workweek</v>
      </c>
    </row>
    <row r="4994" spans="1:10">
      <c r="A4994" s="159" t="str">
        <f t="shared" ref="A4994:A5057" si="393">VLOOKUP($G4994,Fx_Code,2,FALSE)</f>
        <v>$H$1:$H$92</v>
      </c>
      <c r="B4994" s="159" t="str">
        <f t="shared" ref="B4994:B5057" si="394">VLOOKUP($G4994,Fx_Code,3,FALSE)</f>
        <v>$I$1:$I$92</v>
      </c>
      <c r="C4994" s="159" t="str">
        <f t="shared" ref="C4994:C5057" si="395">CONCATENATE($F4994,$K$1,A4994)</f>
        <v>September!$H$1:$H$92</v>
      </c>
      <c r="D4994" s="159" t="str">
        <f t="shared" ref="D4994:D5057" si="396">CONCATENATE($F4994,$K$1,B4994)</f>
        <v>September!$I$1:$I$92</v>
      </c>
      <c r="E4994" t="s">
        <v>9</v>
      </c>
      <c r="F4994" t="s">
        <v>128</v>
      </c>
      <c r="G4994" t="s">
        <v>143</v>
      </c>
      <c r="H4994" t="s">
        <v>24</v>
      </c>
      <c r="I4994" t="e">
        <f t="shared" ca="1" si="392"/>
        <v>#REF!</v>
      </c>
      <c r="J4994" t="str">
        <f>VLOOKUP($G4994,DefinitionArrays!$I$6:$J$12,2,FALSE)</f>
        <v>Workweek</v>
      </c>
    </row>
    <row r="4995" spans="1:10">
      <c r="A4995" s="159" t="str">
        <f t="shared" si="393"/>
        <v>$H$1:$H$92</v>
      </c>
      <c r="B4995" s="159" t="str">
        <f t="shared" si="394"/>
        <v>$I$1:$I$92</v>
      </c>
      <c r="C4995" s="159" t="str">
        <f t="shared" si="395"/>
        <v>September!$H$1:$H$92</v>
      </c>
      <c r="D4995" s="159" t="str">
        <f t="shared" si="396"/>
        <v>September!$I$1:$I$92</v>
      </c>
      <c r="E4995" t="s">
        <v>9</v>
      </c>
      <c r="F4995" t="s">
        <v>128</v>
      </c>
      <c r="G4995" t="s">
        <v>143</v>
      </c>
      <c r="H4995" t="s">
        <v>179</v>
      </c>
      <c r="I4995" t="e">
        <f t="shared" ca="1" si="392"/>
        <v>#REF!</v>
      </c>
      <c r="J4995" t="str">
        <f>VLOOKUP($G4995,DefinitionArrays!$I$6:$J$12,2,FALSE)</f>
        <v>Workweek</v>
      </c>
    </row>
    <row r="4996" spans="1:10">
      <c r="A4996" s="159" t="str">
        <f t="shared" si="393"/>
        <v>$H$1:$H$92</v>
      </c>
      <c r="B4996" s="159" t="str">
        <f t="shared" si="394"/>
        <v>$I$1:$I$92</v>
      </c>
      <c r="C4996" s="159" t="str">
        <f t="shared" si="395"/>
        <v>September!$H$1:$H$92</v>
      </c>
      <c r="D4996" s="159" t="str">
        <f t="shared" si="396"/>
        <v>September!$I$1:$I$92</v>
      </c>
      <c r="E4996" t="s">
        <v>9</v>
      </c>
      <c r="F4996" t="s">
        <v>128</v>
      </c>
      <c r="G4996" t="s">
        <v>143</v>
      </c>
      <c r="H4996" t="s">
        <v>180</v>
      </c>
      <c r="I4996" t="e">
        <f t="shared" ca="1" si="392"/>
        <v>#REF!</v>
      </c>
      <c r="J4996" t="str">
        <f>VLOOKUP($G4996,DefinitionArrays!$I$6:$J$12,2,FALSE)</f>
        <v>Workweek</v>
      </c>
    </row>
    <row r="4997" spans="1:10">
      <c r="A4997" s="159" t="str">
        <f t="shared" si="393"/>
        <v>$H$1:$H$92</v>
      </c>
      <c r="B4997" s="159" t="str">
        <f t="shared" si="394"/>
        <v>$I$1:$I$92</v>
      </c>
      <c r="C4997" s="159" t="str">
        <f t="shared" si="395"/>
        <v>September!$H$1:$H$92</v>
      </c>
      <c r="D4997" s="159" t="str">
        <f t="shared" si="396"/>
        <v>September!$I$1:$I$92</v>
      </c>
      <c r="E4997" t="s">
        <v>9</v>
      </c>
      <c r="F4997" t="s">
        <v>128</v>
      </c>
      <c r="G4997" t="s">
        <v>143</v>
      </c>
      <c r="H4997" t="s">
        <v>44</v>
      </c>
      <c r="I4997" t="e">
        <f t="shared" ca="1" si="392"/>
        <v>#REF!</v>
      </c>
      <c r="J4997" t="str">
        <f>VLOOKUP($G4997,DefinitionArrays!$I$6:$J$12,2,FALSE)</f>
        <v>Workweek</v>
      </c>
    </row>
    <row r="4998" spans="1:10">
      <c r="A4998" s="159" t="str">
        <f t="shared" si="393"/>
        <v>$K$1:$K$92</v>
      </c>
      <c r="B4998" s="159" t="str">
        <f t="shared" si="394"/>
        <v>$L$1:$L$92</v>
      </c>
      <c r="C4998" s="159" t="str">
        <f t="shared" si="395"/>
        <v>September!$K$1:$K$92</v>
      </c>
      <c r="D4998" s="159" t="str">
        <f t="shared" si="396"/>
        <v>September!$L$1:$L$92</v>
      </c>
      <c r="E4998" t="s">
        <v>9</v>
      </c>
      <c r="F4998" t="s">
        <v>128</v>
      </c>
      <c r="G4998" t="s">
        <v>144</v>
      </c>
      <c r="H4998" t="s">
        <v>159</v>
      </c>
      <c r="I4998" t="e">
        <f t="shared" ca="1" si="392"/>
        <v>#REF!</v>
      </c>
      <c r="J4998" t="str">
        <f>VLOOKUP($G4998,DefinitionArrays!$I$6:$J$12,2,FALSE)</f>
        <v>Workweek</v>
      </c>
    </row>
    <row r="4999" spans="1:10">
      <c r="A4999" s="159" t="str">
        <f t="shared" si="393"/>
        <v>$K$1:$K$92</v>
      </c>
      <c r="B4999" s="159" t="str">
        <f t="shared" si="394"/>
        <v>$L$1:$L$92</v>
      </c>
      <c r="C4999" s="159" t="str">
        <f t="shared" si="395"/>
        <v>September!$K$1:$K$92</v>
      </c>
      <c r="D4999" s="159" t="str">
        <f t="shared" si="396"/>
        <v>September!$L$1:$L$92</v>
      </c>
      <c r="E4999" t="s">
        <v>9</v>
      </c>
      <c r="F4999" t="s">
        <v>128</v>
      </c>
      <c r="G4999" t="s">
        <v>144</v>
      </c>
      <c r="H4999" t="s">
        <v>18</v>
      </c>
      <c r="I4999" t="e">
        <f t="shared" ca="1" si="392"/>
        <v>#REF!</v>
      </c>
      <c r="J4999" t="str">
        <f>VLOOKUP($G4999,DefinitionArrays!$I$6:$J$12,2,FALSE)</f>
        <v>Workweek</v>
      </c>
    </row>
    <row r="5000" spans="1:10">
      <c r="A5000" s="159" t="str">
        <f t="shared" si="393"/>
        <v>$K$1:$K$92</v>
      </c>
      <c r="B5000" s="159" t="str">
        <f t="shared" si="394"/>
        <v>$L$1:$L$92</v>
      </c>
      <c r="C5000" s="159" t="str">
        <f t="shared" si="395"/>
        <v>September!$K$1:$K$92</v>
      </c>
      <c r="D5000" s="159" t="str">
        <f t="shared" si="396"/>
        <v>September!$L$1:$L$92</v>
      </c>
      <c r="E5000" t="s">
        <v>9</v>
      </c>
      <c r="F5000" t="s">
        <v>128</v>
      </c>
      <c r="G5000" t="s">
        <v>144</v>
      </c>
      <c r="H5000" t="s">
        <v>153</v>
      </c>
      <c r="I5000" t="e">
        <f t="shared" ca="1" si="392"/>
        <v>#REF!</v>
      </c>
      <c r="J5000" t="str">
        <f>VLOOKUP($G5000,DefinitionArrays!$I$6:$J$12,2,FALSE)</f>
        <v>Workweek</v>
      </c>
    </row>
    <row r="5001" spans="1:10">
      <c r="A5001" s="159" t="str">
        <f t="shared" si="393"/>
        <v>$K$1:$K$92</v>
      </c>
      <c r="B5001" s="159" t="str">
        <f t="shared" si="394"/>
        <v>$L$1:$L$92</v>
      </c>
      <c r="C5001" s="159" t="str">
        <f t="shared" si="395"/>
        <v>September!$K$1:$K$92</v>
      </c>
      <c r="D5001" s="159" t="str">
        <f t="shared" si="396"/>
        <v>September!$L$1:$L$92</v>
      </c>
      <c r="E5001" t="s">
        <v>9</v>
      </c>
      <c r="F5001" t="s">
        <v>128</v>
      </c>
      <c r="G5001" t="s">
        <v>144</v>
      </c>
      <c r="H5001" t="s">
        <v>19</v>
      </c>
      <c r="I5001" t="e">
        <f t="shared" ca="1" si="392"/>
        <v>#REF!</v>
      </c>
      <c r="J5001" t="str">
        <f>VLOOKUP($G5001,DefinitionArrays!$I$6:$J$12,2,FALSE)</f>
        <v>Workweek</v>
      </c>
    </row>
    <row r="5002" spans="1:10">
      <c r="A5002" s="159" t="str">
        <f t="shared" si="393"/>
        <v>$K$1:$K$92</v>
      </c>
      <c r="B5002" s="159" t="str">
        <f t="shared" si="394"/>
        <v>$L$1:$L$92</v>
      </c>
      <c r="C5002" s="159" t="str">
        <f t="shared" si="395"/>
        <v>September!$K$1:$K$92</v>
      </c>
      <c r="D5002" s="159" t="str">
        <f t="shared" si="396"/>
        <v>September!$L$1:$L$92</v>
      </c>
      <c r="E5002" t="s">
        <v>9</v>
      </c>
      <c r="F5002" t="s">
        <v>128</v>
      </c>
      <c r="G5002" t="s">
        <v>144</v>
      </c>
      <c r="H5002" t="s">
        <v>20</v>
      </c>
      <c r="I5002" t="e">
        <f t="shared" ca="1" si="392"/>
        <v>#REF!</v>
      </c>
      <c r="J5002" t="str">
        <f>VLOOKUP($G5002,DefinitionArrays!$I$6:$J$12,2,FALSE)</f>
        <v>Workweek</v>
      </c>
    </row>
    <row r="5003" spans="1:10">
      <c r="A5003" s="159" t="str">
        <f t="shared" si="393"/>
        <v>$K$1:$K$92</v>
      </c>
      <c r="B5003" s="159" t="str">
        <f t="shared" si="394"/>
        <v>$L$1:$L$92</v>
      </c>
      <c r="C5003" s="159" t="str">
        <f t="shared" si="395"/>
        <v>September!$K$1:$K$92</v>
      </c>
      <c r="D5003" s="159" t="str">
        <f t="shared" si="396"/>
        <v>September!$L$1:$L$92</v>
      </c>
      <c r="E5003" t="s">
        <v>9</v>
      </c>
      <c r="F5003" t="s">
        <v>128</v>
      </c>
      <c r="G5003" t="s">
        <v>144</v>
      </c>
      <c r="H5003" t="s">
        <v>21</v>
      </c>
      <c r="I5003" t="e">
        <f t="shared" ca="1" si="392"/>
        <v>#REF!</v>
      </c>
      <c r="J5003" t="str">
        <f>VLOOKUP($G5003,DefinitionArrays!$I$6:$J$12,2,FALSE)</f>
        <v>Workweek</v>
      </c>
    </row>
    <row r="5004" spans="1:10">
      <c r="A5004" s="159" t="str">
        <f t="shared" si="393"/>
        <v>$K$1:$K$92</v>
      </c>
      <c r="B5004" s="159" t="str">
        <f t="shared" si="394"/>
        <v>$L$1:$L$92</v>
      </c>
      <c r="C5004" s="159" t="str">
        <f t="shared" si="395"/>
        <v>September!$K$1:$K$92</v>
      </c>
      <c r="D5004" s="159" t="str">
        <f t="shared" si="396"/>
        <v>September!$L$1:$L$92</v>
      </c>
      <c r="E5004" t="s">
        <v>9</v>
      </c>
      <c r="F5004" t="s">
        <v>128</v>
      </c>
      <c r="G5004" t="s">
        <v>144</v>
      </c>
      <c r="H5004" t="s">
        <v>22</v>
      </c>
      <c r="I5004" t="e">
        <f t="shared" ca="1" si="392"/>
        <v>#REF!</v>
      </c>
      <c r="J5004" t="str">
        <f>VLOOKUP($G5004,DefinitionArrays!$I$6:$J$12,2,FALSE)</f>
        <v>Workweek</v>
      </c>
    </row>
    <row r="5005" spans="1:10">
      <c r="A5005" s="159" t="str">
        <f t="shared" si="393"/>
        <v>$K$1:$K$92</v>
      </c>
      <c r="B5005" s="159" t="str">
        <f t="shared" si="394"/>
        <v>$L$1:$L$92</v>
      </c>
      <c r="C5005" s="159" t="str">
        <f t="shared" si="395"/>
        <v>September!$K$1:$K$92</v>
      </c>
      <c r="D5005" s="159" t="str">
        <f t="shared" si="396"/>
        <v>September!$L$1:$L$92</v>
      </c>
      <c r="E5005" t="s">
        <v>9</v>
      </c>
      <c r="F5005" t="s">
        <v>128</v>
      </c>
      <c r="G5005" t="s">
        <v>144</v>
      </c>
      <c r="H5005" t="s">
        <v>23</v>
      </c>
      <c r="I5005" t="e">
        <f t="shared" ca="1" si="392"/>
        <v>#REF!</v>
      </c>
      <c r="J5005" t="str">
        <f>VLOOKUP($G5005,DefinitionArrays!$I$6:$J$12,2,FALSE)</f>
        <v>Workweek</v>
      </c>
    </row>
    <row r="5006" spans="1:10">
      <c r="A5006" s="159" t="str">
        <f t="shared" si="393"/>
        <v>$K$1:$K$92</v>
      </c>
      <c r="B5006" s="159" t="str">
        <f t="shared" si="394"/>
        <v>$L$1:$L$92</v>
      </c>
      <c r="C5006" s="159" t="str">
        <f t="shared" si="395"/>
        <v>September!$K$1:$K$92</v>
      </c>
      <c r="D5006" s="159" t="str">
        <f t="shared" si="396"/>
        <v>September!$L$1:$L$92</v>
      </c>
      <c r="E5006" t="s">
        <v>9</v>
      </c>
      <c r="F5006" t="s">
        <v>128</v>
      </c>
      <c r="G5006" t="s">
        <v>144</v>
      </c>
      <c r="H5006" t="s">
        <v>24</v>
      </c>
      <c r="I5006" t="e">
        <f t="shared" ca="1" si="392"/>
        <v>#REF!</v>
      </c>
      <c r="J5006" t="str">
        <f>VLOOKUP($G5006,DefinitionArrays!$I$6:$J$12,2,FALSE)</f>
        <v>Workweek</v>
      </c>
    </row>
    <row r="5007" spans="1:10">
      <c r="A5007" s="159" t="str">
        <f t="shared" si="393"/>
        <v>$K$1:$K$92</v>
      </c>
      <c r="B5007" s="159" t="str">
        <f t="shared" si="394"/>
        <v>$L$1:$L$92</v>
      </c>
      <c r="C5007" s="159" t="str">
        <f t="shared" si="395"/>
        <v>September!$K$1:$K$92</v>
      </c>
      <c r="D5007" s="159" t="str">
        <f t="shared" si="396"/>
        <v>September!$L$1:$L$92</v>
      </c>
      <c r="E5007" t="s">
        <v>9</v>
      </c>
      <c r="F5007" t="s">
        <v>128</v>
      </c>
      <c r="G5007" t="s">
        <v>144</v>
      </c>
      <c r="H5007" t="s">
        <v>179</v>
      </c>
      <c r="I5007" t="e">
        <f t="shared" ca="1" si="392"/>
        <v>#REF!</v>
      </c>
      <c r="J5007" t="str">
        <f>VLOOKUP($G5007,DefinitionArrays!$I$6:$J$12,2,FALSE)</f>
        <v>Workweek</v>
      </c>
    </row>
    <row r="5008" spans="1:10">
      <c r="A5008" s="159" t="str">
        <f t="shared" si="393"/>
        <v>$K$1:$K$92</v>
      </c>
      <c r="B5008" s="159" t="str">
        <f t="shared" si="394"/>
        <v>$L$1:$L$92</v>
      </c>
      <c r="C5008" s="159" t="str">
        <f t="shared" si="395"/>
        <v>September!$K$1:$K$92</v>
      </c>
      <c r="D5008" s="159" t="str">
        <f t="shared" si="396"/>
        <v>September!$L$1:$L$92</v>
      </c>
      <c r="E5008" t="s">
        <v>9</v>
      </c>
      <c r="F5008" t="s">
        <v>128</v>
      </c>
      <c r="G5008" t="s">
        <v>144</v>
      </c>
      <c r="H5008" t="s">
        <v>180</v>
      </c>
      <c r="I5008" t="e">
        <f t="shared" ca="1" si="392"/>
        <v>#REF!</v>
      </c>
      <c r="J5008" t="str">
        <f>VLOOKUP($G5008,DefinitionArrays!$I$6:$J$12,2,FALSE)</f>
        <v>Workweek</v>
      </c>
    </row>
    <row r="5009" spans="1:10">
      <c r="A5009" s="159" t="str">
        <f t="shared" si="393"/>
        <v>$K$1:$K$92</v>
      </c>
      <c r="B5009" s="159" t="str">
        <f t="shared" si="394"/>
        <v>$L$1:$L$92</v>
      </c>
      <c r="C5009" s="159" t="str">
        <f t="shared" si="395"/>
        <v>September!$K$1:$K$92</v>
      </c>
      <c r="D5009" s="159" t="str">
        <f t="shared" si="396"/>
        <v>September!$L$1:$L$92</v>
      </c>
      <c r="E5009" t="s">
        <v>9</v>
      </c>
      <c r="F5009" t="s">
        <v>128</v>
      </c>
      <c r="G5009" t="s">
        <v>144</v>
      </c>
      <c r="H5009" t="s">
        <v>44</v>
      </c>
      <c r="I5009" t="e">
        <f t="shared" ca="1" si="392"/>
        <v>#REF!</v>
      </c>
      <c r="J5009" t="str">
        <f>VLOOKUP($G5009,DefinitionArrays!$I$6:$J$12,2,FALSE)</f>
        <v>Workweek</v>
      </c>
    </row>
    <row r="5010" spans="1:10">
      <c r="A5010" s="159" t="str">
        <f t="shared" si="393"/>
        <v>$N$1:$N$92</v>
      </c>
      <c r="B5010" s="159" t="str">
        <f t="shared" si="394"/>
        <v>$O$1:$O$92</v>
      </c>
      <c r="C5010" s="159" t="str">
        <f t="shared" si="395"/>
        <v>September!$N$1:$N$92</v>
      </c>
      <c r="D5010" s="159" t="str">
        <f t="shared" si="396"/>
        <v>September!$O$1:$O$92</v>
      </c>
      <c r="E5010" t="s">
        <v>9</v>
      </c>
      <c r="F5010" t="s">
        <v>128</v>
      </c>
      <c r="G5010" t="s">
        <v>145</v>
      </c>
      <c r="H5010" t="s">
        <v>159</v>
      </c>
      <c r="I5010" t="e">
        <f t="shared" ca="1" si="392"/>
        <v>#REF!</v>
      </c>
      <c r="J5010" t="str">
        <f>VLOOKUP($G5010,DefinitionArrays!$I$6:$J$12,2,FALSE)</f>
        <v>Weekend</v>
      </c>
    </row>
    <row r="5011" spans="1:10">
      <c r="A5011" s="159" t="str">
        <f t="shared" si="393"/>
        <v>$N$1:$N$92</v>
      </c>
      <c r="B5011" s="159" t="str">
        <f t="shared" si="394"/>
        <v>$O$1:$O$92</v>
      </c>
      <c r="C5011" s="159" t="str">
        <f t="shared" si="395"/>
        <v>September!$N$1:$N$92</v>
      </c>
      <c r="D5011" s="159" t="str">
        <f t="shared" si="396"/>
        <v>September!$O$1:$O$92</v>
      </c>
      <c r="E5011" t="s">
        <v>9</v>
      </c>
      <c r="F5011" t="s">
        <v>128</v>
      </c>
      <c r="G5011" t="s">
        <v>145</v>
      </c>
      <c r="H5011" t="s">
        <v>18</v>
      </c>
      <c r="I5011" t="e">
        <f t="shared" ca="1" si="392"/>
        <v>#REF!</v>
      </c>
      <c r="J5011" t="str">
        <f>VLOOKUP($G5011,DefinitionArrays!$I$6:$J$12,2,FALSE)</f>
        <v>Weekend</v>
      </c>
    </row>
    <row r="5012" spans="1:10">
      <c r="A5012" s="159" t="str">
        <f t="shared" si="393"/>
        <v>$N$1:$N$92</v>
      </c>
      <c r="B5012" s="159" t="str">
        <f t="shared" si="394"/>
        <v>$O$1:$O$92</v>
      </c>
      <c r="C5012" s="159" t="str">
        <f t="shared" si="395"/>
        <v>September!$N$1:$N$92</v>
      </c>
      <c r="D5012" s="159" t="str">
        <f t="shared" si="396"/>
        <v>September!$O$1:$O$92</v>
      </c>
      <c r="E5012" t="s">
        <v>9</v>
      </c>
      <c r="F5012" t="s">
        <v>128</v>
      </c>
      <c r="G5012" t="s">
        <v>145</v>
      </c>
      <c r="H5012" t="s">
        <v>153</v>
      </c>
      <c r="I5012" t="e">
        <f t="shared" ca="1" si="392"/>
        <v>#REF!</v>
      </c>
      <c r="J5012" t="str">
        <f>VLOOKUP($G5012,DefinitionArrays!$I$6:$J$12,2,FALSE)</f>
        <v>Weekend</v>
      </c>
    </row>
    <row r="5013" spans="1:10">
      <c r="A5013" s="159" t="str">
        <f t="shared" si="393"/>
        <v>$N$1:$N$92</v>
      </c>
      <c r="B5013" s="159" t="str">
        <f t="shared" si="394"/>
        <v>$O$1:$O$92</v>
      </c>
      <c r="C5013" s="159" t="str">
        <f t="shared" si="395"/>
        <v>September!$N$1:$N$92</v>
      </c>
      <c r="D5013" s="159" t="str">
        <f t="shared" si="396"/>
        <v>September!$O$1:$O$92</v>
      </c>
      <c r="E5013" t="s">
        <v>9</v>
      </c>
      <c r="F5013" t="s">
        <v>128</v>
      </c>
      <c r="G5013" t="s">
        <v>145</v>
      </c>
      <c r="H5013" t="s">
        <v>19</v>
      </c>
      <c r="I5013" t="e">
        <f t="shared" ca="1" si="392"/>
        <v>#REF!</v>
      </c>
      <c r="J5013" t="str">
        <f>VLOOKUP($G5013,DefinitionArrays!$I$6:$J$12,2,FALSE)</f>
        <v>Weekend</v>
      </c>
    </row>
    <row r="5014" spans="1:10">
      <c r="A5014" s="159" t="str">
        <f t="shared" si="393"/>
        <v>$N$1:$N$92</v>
      </c>
      <c r="B5014" s="159" t="str">
        <f t="shared" si="394"/>
        <v>$O$1:$O$92</v>
      </c>
      <c r="C5014" s="159" t="str">
        <f t="shared" si="395"/>
        <v>September!$N$1:$N$92</v>
      </c>
      <c r="D5014" s="159" t="str">
        <f t="shared" si="396"/>
        <v>September!$O$1:$O$92</v>
      </c>
      <c r="E5014" t="s">
        <v>9</v>
      </c>
      <c r="F5014" t="s">
        <v>128</v>
      </c>
      <c r="G5014" t="s">
        <v>145</v>
      </c>
      <c r="H5014" t="s">
        <v>20</v>
      </c>
      <c r="I5014" t="e">
        <f t="shared" ca="1" si="392"/>
        <v>#REF!</v>
      </c>
      <c r="J5014" t="str">
        <f>VLOOKUP($G5014,DefinitionArrays!$I$6:$J$12,2,FALSE)</f>
        <v>Weekend</v>
      </c>
    </row>
    <row r="5015" spans="1:10">
      <c r="A5015" s="159" t="str">
        <f t="shared" si="393"/>
        <v>$N$1:$N$92</v>
      </c>
      <c r="B5015" s="159" t="str">
        <f t="shared" si="394"/>
        <v>$O$1:$O$92</v>
      </c>
      <c r="C5015" s="159" t="str">
        <f t="shared" si="395"/>
        <v>September!$N$1:$N$92</v>
      </c>
      <c r="D5015" s="159" t="str">
        <f t="shared" si="396"/>
        <v>September!$O$1:$O$92</v>
      </c>
      <c r="E5015" t="s">
        <v>9</v>
      </c>
      <c r="F5015" t="s">
        <v>128</v>
      </c>
      <c r="G5015" t="s">
        <v>145</v>
      </c>
      <c r="H5015" t="s">
        <v>21</v>
      </c>
      <c r="I5015" t="e">
        <f t="shared" ca="1" si="392"/>
        <v>#REF!</v>
      </c>
      <c r="J5015" t="str">
        <f>VLOOKUP($G5015,DefinitionArrays!$I$6:$J$12,2,FALSE)</f>
        <v>Weekend</v>
      </c>
    </row>
    <row r="5016" spans="1:10">
      <c r="A5016" s="159" t="str">
        <f t="shared" si="393"/>
        <v>$N$1:$N$92</v>
      </c>
      <c r="B5016" s="159" t="str">
        <f t="shared" si="394"/>
        <v>$O$1:$O$92</v>
      </c>
      <c r="C5016" s="159" t="str">
        <f t="shared" si="395"/>
        <v>September!$N$1:$N$92</v>
      </c>
      <c r="D5016" s="159" t="str">
        <f t="shared" si="396"/>
        <v>September!$O$1:$O$92</v>
      </c>
      <c r="E5016" t="s">
        <v>9</v>
      </c>
      <c r="F5016" t="s">
        <v>128</v>
      </c>
      <c r="G5016" t="s">
        <v>145</v>
      </c>
      <c r="H5016" t="s">
        <v>22</v>
      </c>
      <c r="I5016" t="e">
        <f t="shared" ca="1" si="392"/>
        <v>#REF!</v>
      </c>
      <c r="J5016" t="str">
        <f>VLOOKUP($G5016,DefinitionArrays!$I$6:$J$12,2,FALSE)</f>
        <v>Weekend</v>
      </c>
    </row>
    <row r="5017" spans="1:10">
      <c r="A5017" s="159" t="str">
        <f t="shared" si="393"/>
        <v>$N$1:$N$92</v>
      </c>
      <c r="B5017" s="159" t="str">
        <f t="shared" si="394"/>
        <v>$O$1:$O$92</v>
      </c>
      <c r="C5017" s="159" t="str">
        <f t="shared" si="395"/>
        <v>September!$N$1:$N$92</v>
      </c>
      <c r="D5017" s="159" t="str">
        <f t="shared" si="396"/>
        <v>September!$O$1:$O$92</v>
      </c>
      <c r="E5017" t="s">
        <v>9</v>
      </c>
      <c r="F5017" t="s">
        <v>128</v>
      </c>
      <c r="G5017" t="s">
        <v>145</v>
      </c>
      <c r="H5017" t="s">
        <v>23</v>
      </c>
      <c r="I5017" t="e">
        <f t="shared" ca="1" si="392"/>
        <v>#REF!</v>
      </c>
      <c r="J5017" t="str">
        <f>VLOOKUP($G5017,DefinitionArrays!$I$6:$J$12,2,FALSE)</f>
        <v>Weekend</v>
      </c>
    </row>
    <row r="5018" spans="1:10">
      <c r="A5018" s="159" t="str">
        <f t="shared" si="393"/>
        <v>$N$1:$N$92</v>
      </c>
      <c r="B5018" s="159" t="str">
        <f t="shared" si="394"/>
        <v>$O$1:$O$92</v>
      </c>
      <c r="C5018" s="159" t="str">
        <f t="shared" si="395"/>
        <v>September!$N$1:$N$92</v>
      </c>
      <c r="D5018" s="159" t="str">
        <f t="shared" si="396"/>
        <v>September!$O$1:$O$92</v>
      </c>
      <c r="E5018" t="s">
        <v>9</v>
      </c>
      <c r="F5018" t="s">
        <v>128</v>
      </c>
      <c r="G5018" t="s">
        <v>145</v>
      </c>
      <c r="H5018" t="s">
        <v>24</v>
      </c>
      <c r="I5018" t="e">
        <f t="shared" ca="1" si="392"/>
        <v>#REF!</v>
      </c>
      <c r="J5018" t="str">
        <f>VLOOKUP($G5018,DefinitionArrays!$I$6:$J$12,2,FALSE)</f>
        <v>Weekend</v>
      </c>
    </row>
    <row r="5019" spans="1:10">
      <c r="A5019" s="159" t="str">
        <f t="shared" si="393"/>
        <v>$N$1:$N$92</v>
      </c>
      <c r="B5019" s="159" t="str">
        <f t="shared" si="394"/>
        <v>$O$1:$O$92</v>
      </c>
      <c r="C5019" s="159" t="str">
        <f t="shared" si="395"/>
        <v>September!$N$1:$N$92</v>
      </c>
      <c r="D5019" s="159" t="str">
        <f t="shared" si="396"/>
        <v>September!$O$1:$O$92</v>
      </c>
      <c r="E5019" t="s">
        <v>9</v>
      </c>
      <c r="F5019" t="s">
        <v>128</v>
      </c>
      <c r="G5019" t="s">
        <v>145</v>
      </c>
      <c r="H5019" t="s">
        <v>179</v>
      </c>
      <c r="I5019" t="e">
        <f t="shared" ca="1" si="392"/>
        <v>#REF!</v>
      </c>
      <c r="J5019" t="str">
        <f>VLOOKUP($G5019,DefinitionArrays!$I$6:$J$12,2,FALSE)</f>
        <v>Weekend</v>
      </c>
    </row>
    <row r="5020" spans="1:10">
      <c r="A5020" s="159" t="str">
        <f t="shared" si="393"/>
        <v>$N$1:$N$92</v>
      </c>
      <c r="B5020" s="159" t="str">
        <f t="shared" si="394"/>
        <v>$O$1:$O$92</v>
      </c>
      <c r="C5020" s="159" t="str">
        <f t="shared" si="395"/>
        <v>September!$N$1:$N$92</v>
      </c>
      <c r="D5020" s="159" t="str">
        <f t="shared" si="396"/>
        <v>September!$O$1:$O$92</v>
      </c>
      <c r="E5020" t="s">
        <v>9</v>
      </c>
      <c r="F5020" t="s">
        <v>128</v>
      </c>
      <c r="G5020" t="s">
        <v>145</v>
      </c>
      <c r="H5020" t="s">
        <v>180</v>
      </c>
      <c r="I5020" t="e">
        <f t="shared" ca="1" si="392"/>
        <v>#REF!</v>
      </c>
      <c r="J5020" t="str">
        <f>VLOOKUP($G5020,DefinitionArrays!$I$6:$J$12,2,FALSE)</f>
        <v>Weekend</v>
      </c>
    </row>
    <row r="5021" spans="1:10">
      <c r="A5021" s="159" t="str">
        <f t="shared" si="393"/>
        <v>$N$1:$N$92</v>
      </c>
      <c r="B5021" s="159" t="str">
        <f t="shared" si="394"/>
        <v>$O$1:$O$92</v>
      </c>
      <c r="C5021" s="159" t="str">
        <f t="shared" si="395"/>
        <v>September!$N$1:$N$92</v>
      </c>
      <c r="D5021" s="159" t="str">
        <f t="shared" si="396"/>
        <v>September!$O$1:$O$92</v>
      </c>
      <c r="E5021" t="s">
        <v>9</v>
      </c>
      <c r="F5021" t="s">
        <v>128</v>
      </c>
      <c r="G5021" t="s">
        <v>145</v>
      </c>
      <c r="H5021" t="s">
        <v>44</v>
      </c>
      <c r="I5021" t="e">
        <f t="shared" ca="1" si="392"/>
        <v>#REF!</v>
      </c>
      <c r="J5021" t="str">
        <f>VLOOKUP($G5021,DefinitionArrays!$I$6:$J$12,2,FALSE)</f>
        <v>Weekend</v>
      </c>
    </row>
    <row r="5022" spans="1:10">
      <c r="A5022" s="159" t="str">
        <f t="shared" si="393"/>
        <v>$Q$1:$Q$92</v>
      </c>
      <c r="B5022" s="159" t="str">
        <f t="shared" si="394"/>
        <v>$R$1:$R$92</v>
      </c>
      <c r="C5022" s="159" t="str">
        <f t="shared" si="395"/>
        <v>September!$Q$1:$Q$92</v>
      </c>
      <c r="D5022" s="159" t="str">
        <f t="shared" si="396"/>
        <v>September!$R$1:$R$92</v>
      </c>
      <c r="E5022" t="s">
        <v>9</v>
      </c>
      <c r="F5022" t="s">
        <v>128</v>
      </c>
      <c r="G5022" t="s">
        <v>146</v>
      </c>
      <c r="H5022" t="s">
        <v>159</v>
      </c>
      <c r="I5022" t="e">
        <f t="shared" ca="1" si="392"/>
        <v>#REF!</v>
      </c>
      <c r="J5022" t="str">
        <f>VLOOKUP($G5022,DefinitionArrays!$I$6:$J$12,2,FALSE)</f>
        <v>Weekend</v>
      </c>
    </row>
    <row r="5023" spans="1:10">
      <c r="A5023" s="159" t="str">
        <f t="shared" si="393"/>
        <v>$T$1:$T$92</v>
      </c>
      <c r="B5023" s="159" t="str">
        <f t="shared" si="394"/>
        <v>$U$1:$U$92</v>
      </c>
      <c r="C5023" s="159" t="str">
        <f t="shared" si="395"/>
        <v>September!$T$1:$T$92</v>
      </c>
      <c r="D5023" s="159" t="str">
        <f t="shared" si="396"/>
        <v>September!$U$1:$U$92</v>
      </c>
      <c r="E5023" t="s">
        <v>9</v>
      </c>
      <c r="F5023" t="s">
        <v>128</v>
      </c>
      <c r="G5023" t="s">
        <v>141</v>
      </c>
      <c r="H5023" t="s">
        <v>159</v>
      </c>
      <c r="I5023" t="e">
        <f t="shared" ca="1" si="392"/>
        <v>#REF!</v>
      </c>
      <c r="J5023" t="str">
        <f>VLOOKUP($G5023,DefinitionArrays!$I$6:$J$12,2,FALSE)</f>
        <v>Weekend</v>
      </c>
    </row>
    <row r="5024" spans="1:10">
      <c r="A5024" s="159" t="str">
        <f t="shared" si="393"/>
        <v>$B$1:$B$92</v>
      </c>
      <c r="B5024" s="159" t="str">
        <f t="shared" si="394"/>
        <v>$C$1:$C$92</v>
      </c>
      <c r="C5024" s="159" t="str">
        <f t="shared" si="395"/>
        <v>October!$B$1:$B$92</v>
      </c>
      <c r="D5024" s="159" t="str">
        <f t="shared" si="396"/>
        <v>October!$C$1:$C$92</v>
      </c>
      <c r="E5024" t="s">
        <v>9</v>
      </c>
      <c r="F5024" t="s">
        <v>129</v>
      </c>
      <c r="G5024" t="s">
        <v>13</v>
      </c>
      <c r="H5024" t="s">
        <v>159</v>
      </c>
      <c r="I5024" t="e">
        <f ca="1">COUNTIFS(INDIRECT($C5024),$E5024,INDIRECT($D5024),$H5024)</f>
        <v>#REF!</v>
      </c>
      <c r="J5024" t="str">
        <f>VLOOKUP($G5024,DefinitionArrays!$I$6:$J$12,2,FALSE)</f>
        <v>Workweek</v>
      </c>
    </row>
    <row r="5025" spans="1:10">
      <c r="A5025" s="159" t="str">
        <f t="shared" si="393"/>
        <v>$B$1:$B$92</v>
      </c>
      <c r="B5025" s="159" t="str">
        <f t="shared" si="394"/>
        <v>$C$1:$C$92</v>
      </c>
      <c r="C5025" s="159" t="str">
        <f t="shared" si="395"/>
        <v>October!$B$1:$B$92</v>
      </c>
      <c r="D5025" s="159" t="str">
        <f t="shared" si="396"/>
        <v>October!$C$1:$C$92</v>
      </c>
      <c r="E5025" t="s">
        <v>9</v>
      </c>
      <c r="F5025" t="s">
        <v>129</v>
      </c>
      <c r="G5025" t="s">
        <v>13</v>
      </c>
      <c r="H5025" t="s">
        <v>18</v>
      </c>
      <c r="I5025" t="e">
        <f t="shared" ref="I5025:I5085" ca="1" si="397">COUNTIFS(INDIRECT($C5025),$E5025,INDIRECT($D5025),$H5025)</f>
        <v>#REF!</v>
      </c>
      <c r="J5025" t="str">
        <f>VLOOKUP($G5025,DefinitionArrays!$I$6:$J$12,2,FALSE)</f>
        <v>Workweek</v>
      </c>
    </row>
    <row r="5026" spans="1:10">
      <c r="A5026" s="159" t="str">
        <f t="shared" si="393"/>
        <v>$B$1:$B$92</v>
      </c>
      <c r="B5026" s="159" t="str">
        <f t="shared" si="394"/>
        <v>$C$1:$C$92</v>
      </c>
      <c r="C5026" s="159" t="str">
        <f t="shared" si="395"/>
        <v>October!$B$1:$B$92</v>
      </c>
      <c r="D5026" s="159" t="str">
        <f t="shared" si="396"/>
        <v>October!$C$1:$C$92</v>
      </c>
      <c r="E5026" t="s">
        <v>9</v>
      </c>
      <c r="F5026" t="s">
        <v>129</v>
      </c>
      <c r="G5026" t="s">
        <v>13</v>
      </c>
      <c r="H5026" t="s">
        <v>153</v>
      </c>
      <c r="I5026" t="e">
        <f t="shared" ca="1" si="397"/>
        <v>#REF!</v>
      </c>
      <c r="J5026" t="str">
        <f>VLOOKUP($G5026,DefinitionArrays!$I$6:$J$12,2,FALSE)</f>
        <v>Workweek</v>
      </c>
    </row>
    <row r="5027" spans="1:10">
      <c r="A5027" s="159" t="str">
        <f t="shared" si="393"/>
        <v>$B$1:$B$92</v>
      </c>
      <c r="B5027" s="159" t="str">
        <f t="shared" si="394"/>
        <v>$C$1:$C$92</v>
      </c>
      <c r="C5027" s="159" t="str">
        <f t="shared" si="395"/>
        <v>October!$B$1:$B$92</v>
      </c>
      <c r="D5027" s="159" t="str">
        <f t="shared" si="396"/>
        <v>October!$C$1:$C$92</v>
      </c>
      <c r="E5027" t="s">
        <v>9</v>
      </c>
      <c r="F5027" t="s">
        <v>129</v>
      </c>
      <c r="G5027" t="s">
        <v>13</v>
      </c>
      <c r="H5027" t="s">
        <v>19</v>
      </c>
      <c r="I5027" t="e">
        <f t="shared" ca="1" si="397"/>
        <v>#REF!</v>
      </c>
      <c r="J5027" t="str">
        <f>VLOOKUP($G5027,DefinitionArrays!$I$6:$J$12,2,FALSE)</f>
        <v>Workweek</v>
      </c>
    </row>
    <row r="5028" spans="1:10">
      <c r="A5028" s="159" t="str">
        <f t="shared" si="393"/>
        <v>$B$1:$B$92</v>
      </c>
      <c r="B5028" s="159" t="str">
        <f t="shared" si="394"/>
        <v>$C$1:$C$92</v>
      </c>
      <c r="C5028" s="159" t="str">
        <f t="shared" si="395"/>
        <v>October!$B$1:$B$92</v>
      </c>
      <c r="D5028" s="159" t="str">
        <f t="shared" si="396"/>
        <v>October!$C$1:$C$92</v>
      </c>
      <c r="E5028" t="s">
        <v>9</v>
      </c>
      <c r="F5028" t="s">
        <v>129</v>
      </c>
      <c r="G5028" t="s">
        <v>13</v>
      </c>
      <c r="H5028" t="s">
        <v>20</v>
      </c>
      <c r="I5028" t="e">
        <f t="shared" ca="1" si="397"/>
        <v>#REF!</v>
      </c>
      <c r="J5028" t="str">
        <f>VLOOKUP($G5028,DefinitionArrays!$I$6:$J$12,2,FALSE)</f>
        <v>Workweek</v>
      </c>
    </row>
    <row r="5029" spans="1:10">
      <c r="A5029" s="159" t="str">
        <f t="shared" si="393"/>
        <v>$B$1:$B$92</v>
      </c>
      <c r="B5029" s="159" t="str">
        <f t="shared" si="394"/>
        <v>$C$1:$C$92</v>
      </c>
      <c r="C5029" s="159" t="str">
        <f t="shared" si="395"/>
        <v>October!$B$1:$B$92</v>
      </c>
      <c r="D5029" s="159" t="str">
        <f t="shared" si="396"/>
        <v>October!$C$1:$C$92</v>
      </c>
      <c r="E5029" t="s">
        <v>9</v>
      </c>
      <c r="F5029" t="s">
        <v>129</v>
      </c>
      <c r="G5029" t="s">
        <v>13</v>
      </c>
      <c r="H5029" t="s">
        <v>21</v>
      </c>
      <c r="I5029" t="e">
        <f t="shared" ca="1" si="397"/>
        <v>#REF!</v>
      </c>
      <c r="J5029" t="str">
        <f>VLOOKUP($G5029,DefinitionArrays!$I$6:$J$12,2,FALSE)</f>
        <v>Workweek</v>
      </c>
    </row>
    <row r="5030" spans="1:10">
      <c r="A5030" s="159" t="str">
        <f t="shared" si="393"/>
        <v>$B$1:$B$92</v>
      </c>
      <c r="B5030" s="159" t="str">
        <f t="shared" si="394"/>
        <v>$C$1:$C$92</v>
      </c>
      <c r="C5030" s="159" t="str">
        <f t="shared" si="395"/>
        <v>October!$B$1:$B$92</v>
      </c>
      <c r="D5030" s="159" t="str">
        <f t="shared" si="396"/>
        <v>October!$C$1:$C$92</v>
      </c>
      <c r="E5030" t="s">
        <v>9</v>
      </c>
      <c r="F5030" t="s">
        <v>129</v>
      </c>
      <c r="G5030" t="s">
        <v>13</v>
      </c>
      <c r="H5030" t="s">
        <v>22</v>
      </c>
      <c r="I5030" t="e">
        <f t="shared" ca="1" si="397"/>
        <v>#REF!</v>
      </c>
      <c r="J5030" t="str">
        <f>VLOOKUP($G5030,DefinitionArrays!$I$6:$J$12,2,FALSE)</f>
        <v>Workweek</v>
      </c>
    </row>
    <row r="5031" spans="1:10">
      <c r="A5031" s="159" t="str">
        <f t="shared" si="393"/>
        <v>$B$1:$B$92</v>
      </c>
      <c r="B5031" s="159" t="str">
        <f t="shared" si="394"/>
        <v>$C$1:$C$92</v>
      </c>
      <c r="C5031" s="159" t="str">
        <f t="shared" si="395"/>
        <v>October!$B$1:$B$92</v>
      </c>
      <c r="D5031" s="159" t="str">
        <f t="shared" si="396"/>
        <v>October!$C$1:$C$92</v>
      </c>
      <c r="E5031" t="s">
        <v>9</v>
      </c>
      <c r="F5031" t="s">
        <v>129</v>
      </c>
      <c r="G5031" t="s">
        <v>13</v>
      </c>
      <c r="H5031" t="s">
        <v>23</v>
      </c>
      <c r="I5031" t="e">
        <f t="shared" ca="1" si="397"/>
        <v>#REF!</v>
      </c>
      <c r="J5031" t="str">
        <f>VLOOKUP($G5031,DefinitionArrays!$I$6:$J$12,2,FALSE)</f>
        <v>Workweek</v>
      </c>
    </row>
    <row r="5032" spans="1:10">
      <c r="A5032" s="159" t="str">
        <f t="shared" si="393"/>
        <v>$B$1:$B$92</v>
      </c>
      <c r="B5032" s="159" t="str">
        <f t="shared" si="394"/>
        <v>$C$1:$C$92</v>
      </c>
      <c r="C5032" s="159" t="str">
        <f t="shared" si="395"/>
        <v>October!$B$1:$B$92</v>
      </c>
      <c r="D5032" s="159" t="str">
        <f t="shared" si="396"/>
        <v>October!$C$1:$C$92</v>
      </c>
      <c r="E5032" t="s">
        <v>9</v>
      </c>
      <c r="F5032" t="s">
        <v>129</v>
      </c>
      <c r="G5032" t="s">
        <v>13</v>
      </c>
      <c r="H5032" t="s">
        <v>24</v>
      </c>
      <c r="I5032" t="e">
        <f t="shared" ca="1" si="397"/>
        <v>#REF!</v>
      </c>
      <c r="J5032" t="str">
        <f>VLOOKUP($G5032,DefinitionArrays!$I$6:$J$12,2,FALSE)</f>
        <v>Workweek</v>
      </c>
    </row>
    <row r="5033" spans="1:10">
      <c r="A5033" s="159" t="str">
        <f t="shared" si="393"/>
        <v>$B$1:$B$92</v>
      </c>
      <c r="B5033" s="159" t="str">
        <f t="shared" si="394"/>
        <v>$C$1:$C$92</v>
      </c>
      <c r="C5033" s="159" t="str">
        <f t="shared" si="395"/>
        <v>October!$B$1:$B$92</v>
      </c>
      <c r="D5033" s="159" t="str">
        <f t="shared" si="396"/>
        <v>October!$C$1:$C$92</v>
      </c>
      <c r="E5033" t="s">
        <v>9</v>
      </c>
      <c r="F5033" t="s">
        <v>129</v>
      </c>
      <c r="G5033" t="s">
        <v>13</v>
      </c>
      <c r="H5033" t="s">
        <v>179</v>
      </c>
      <c r="I5033" t="e">
        <f t="shared" ca="1" si="397"/>
        <v>#REF!</v>
      </c>
      <c r="J5033" t="str">
        <f>VLOOKUP($G5033,DefinitionArrays!$I$6:$J$12,2,FALSE)</f>
        <v>Workweek</v>
      </c>
    </row>
    <row r="5034" spans="1:10">
      <c r="A5034" s="159" t="str">
        <f t="shared" si="393"/>
        <v>$B$1:$B$92</v>
      </c>
      <c r="B5034" s="159" t="str">
        <f t="shared" si="394"/>
        <v>$C$1:$C$92</v>
      </c>
      <c r="C5034" s="159" t="str">
        <f t="shared" si="395"/>
        <v>October!$B$1:$B$92</v>
      </c>
      <c r="D5034" s="159" t="str">
        <f t="shared" si="396"/>
        <v>October!$C$1:$C$92</v>
      </c>
      <c r="E5034" t="s">
        <v>9</v>
      </c>
      <c r="F5034" t="s">
        <v>129</v>
      </c>
      <c r="G5034" t="s">
        <v>13</v>
      </c>
      <c r="H5034" t="s">
        <v>180</v>
      </c>
      <c r="I5034" t="e">
        <f t="shared" ca="1" si="397"/>
        <v>#REF!</v>
      </c>
      <c r="J5034" t="str">
        <f>VLOOKUP($G5034,DefinitionArrays!$I$6:$J$12,2,FALSE)</f>
        <v>Workweek</v>
      </c>
    </row>
    <row r="5035" spans="1:10">
      <c r="A5035" s="159" t="str">
        <f t="shared" si="393"/>
        <v>$B$1:$B$92</v>
      </c>
      <c r="B5035" s="159" t="str">
        <f t="shared" si="394"/>
        <v>$C$1:$C$92</v>
      </c>
      <c r="C5035" s="159" t="str">
        <f t="shared" si="395"/>
        <v>October!$B$1:$B$92</v>
      </c>
      <c r="D5035" s="159" t="str">
        <f t="shared" si="396"/>
        <v>October!$C$1:$C$92</v>
      </c>
      <c r="E5035" t="s">
        <v>9</v>
      </c>
      <c r="F5035" t="s">
        <v>129</v>
      </c>
      <c r="G5035" t="s">
        <v>13</v>
      </c>
      <c r="H5035" t="s">
        <v>44</v>
      </c>
      <c r="I5035" t="e">
        <f t="shared" ca="1" si="397"/>
        <v>#REF!</v>
      </c>
      <c r="J5035" t="str">
        <f>VLOOKUP($G5035,DefinitionArrays!$I$6:$J$12,2,FALSE)</f>
        <v>Workweek</v>
      </c>
    </row>
    <row r="5036" spans="1:10">
      <c r="A5036" s="159" t="str">
        <f t="shared" si="393"/>
        <v>$E$1:$E$92</v>
      </c>
      <c r="B5036" s="159" t="str">
        <f t="shared" si="394"/>
        <v>$F$1:$F$92</v>
      </c>
      <c r="C5036" s="159" t="str">
        <f t="shared" si="395"/>
        <v>October!$E$1:$E$92</v>
      </c>
      <c r="D5036" s="159" t="str">
        <f t="shared" si="396"/>
        <v>October!$F$1:$F$92</v>
      </c>
      <c r="E5036" t="s">
        <v>9</v>
      </c>
      <c r="F5036" t="s">
        <v>129</v>
      </c>
      <c r="G5036" t="s">
        <v>142</v>
      </c>
      <c r="H5036" t="s">
        <v>159</v>
      </c>
      <c r="I5036" t="e">
        <f t="shared" ca="1" si="397"/>
        <v>#REF!</v>
      </c>
      <c r="J5036" t="str">
        <f>VLOOKUP($G5036,DefinitionArrays!$I$6:$J$12,2,FALSE)</f>
        <v>Workweek</v>
      </c>
    </row>
    <row r="5037" spans="1:10">
      <c r="A5037" s="159" t="str">
        <f t="shared" si="393"/>
        <v>$E$1:$E$92</v>
      </c>
      <c r="B5037" s="159" t="str">
        <f t="shared" si="394"/>
        <v>$F$1:$F$92</v>
      </c>
      <c r="C5037" s="159" t="str">
        <f t="shared" si="395"/>
        <v>October!$E$1:$E$92</v>
      </c>
      <c r="D5037" s="159" t="str">
        <f t="shared" si="396"/>
        <v>October!$F$1:$F$92</v>
      </c>
      <c r="E5037" t="s">
        <v>9</v>
      </c>
      <c r="F5037" t="s">
        <v>129</v>
      </c>
      <c r="G5037" t="s">
        <v>142</v>
      </c>
      <c r="H5037" t="s">
        <v>18</v>
      </c>
      <c r="I5037" t="e">
        <f t="shared" ca="1" si="397"/>
        <v>#REF!</v>
      </c>
      <c r="J5037" t="str">
        <f>VLOOKUP($G5037,DefinitionArrays!$I$6:$J$12,2,FALSE)</f>
        <v>Workweek</v>
      </c>
    </row>
    <row r="5038" spans="1:10">
      <c r="A5038" s="159" t="str">
        <f t="shared" si="393"/>
        <v>$E$1:$E$92</v>
      </c>
      <c r="B5038" s="159" t="str">
        <f t="shared" si="394"/>
        <v>$F$1:$F$92</v>
      </c>
      <c r="C5038" s="159" t="str">
        <f t="shared" si="395"/>
        <v>October!$E$1:$E$92</v>
      </c>
      <c r="D5038" s="159" t="str">
        <f t="shared" si="396"/>
        <v>October!$F$1:$F$92</v>
      </c>
      <c r="E5038" t="s">
        <v>9</v>
      </c>
      <c r="F5038" t="s">
        <v>129</v>
      </c>
      <c r="G5038" t="s">
        <v>142</v>
      </c>
      <c r="H5038" t="s">
        <v>153</v>
      </c>
      <c r="I5038" t="e">
        <f t="shared" ca="1" si="397"/>
        <v>#REF!</v>
      </c>
      <c r="J5038" t="str">
        <f>VLOOKUP($G5038,DefinitionArrays!$I$6:$J$12,2,FALSE)</f>
        <v>Workweek</v>
      </c>
    </row>
    <row r="5039" spans="1:10">
      <c r="A5039" s="159" t="str">
        <f t="shared" si="393"/>
        <v>$E$1:$E$92</v>
      </c>
      <c r="B5039" s="159" t="str">
        <f t="shared" si="394"/>
        <v>$F$1:$F$92</v>
      </c>
      <c r="C5039" s="159" t="str">
        <f t="shared" si="395"/>
        <v>October!$E$1:$E$92</v>
      </c>
      <c r="D5039" s="159" t="str">
        <f t="shared" si="396"/>
        <v>October!$F$1:$F$92</v>
      </c>
      <c r="E5039" t="s">
        <v>9</v>
      </c>
      <c r="F5039" t="s">
        <v>129</v>
      </c>
      <c r="G5039" t="s">
        <v>142</v>
      </c>
      <c r="H5039" t="s">
        <v>19</v>
      </c>
      <c r="I5039" t="e">
        <f t="shared" ca="1" si="397"/>
        <v>#REF!</v>
      </c>
      <c r="J5039" t="str">
        <f>VLOOKUP($G5039,DefinitionArrays!$I$6:$J$12,2,FALSE)</f>
        <v>Workweek</v>
      </c>
    </row>
    <row r="5040" spans="1:10">
      <c r="A5040" s="159" t="str">
        <f t="shared" si="393"/>
        <v>$E$1:$E$92</v>
      </c>
      <c r="B5040" s="159" t="str">
        <f t="shared" si="394"/>
        <v>$F$1:$F$92</v>
      </c>
      <c r="C5040" s="159" t="str">
        <f t="shared" si="395"/>
        <v>October!$E$1:$E$92</v>
      </c>
      <c r="D5040" s="159" t="str">
        <f t="shared" si="396"/>
        <v>October!$F$1:$F$92</v>
      </c>
      <c r="E5040" t="s">
        <v>9</v>
      </c>
      <c r="F5040" t="s">
        <v>129</v>
      </c>
      <c r="G5040" t="s">
        <v>142</v>
      </c>
      <c r="H5040" t="s">
        <v>20</v>
      </c>
      <c r="I5040" t="e">
        <f t="shared" ca="1" si="397"/>
        <v>#REF!</v>
      </c>
      <c r="J5040" t="str">
        <f>VLOOKUP($G5040,DefinitionArrays!$I$6:$J$12,2,FALSE)</f>
        <v>Workweek</v>
      </c>
    </row>
    <row r="5041" spans="1:10">
      <c r="A5041" s="159" t="str">
        <f t="shared" si="393"/>
        <v>$E$1:$E$92</v>
      </c>
      <c r="B5041" s="159" t="str">
        <f t="shared" si="394"/>
        <v>$F$1:$F$92</v>
      </c>
      <c r="C5041" s="159" t="str">
        <f t="shared" si="395"/>
        <v>October!$E$1:$E$92</v>
      </c>
      <c r="D5041" s="159" t="str">
        <f t="shared" si="396"/>
        <v>October!$F$1:$F$92</v>
      </c>
      <c r="E5041" t="s">
        <v>9</v>
      </c>
      <c r="F5041" t="s">
        <v>129</v>
      </c>
      <c r="G5041" t="s">
        <v>142</v>
      </c>
      <c r="H5041" t="s">
        <v>21</v>
      </c>
      <c r="I5041" t="e">
        <f t="shared" ca="1" si="397"/>
        <v>#REF!</v>
      </c>
      <c r="J5041" t="str">
        <f>VLOOKUP($G5041,DefinitionArrays!$I$6:$J$12,2,FALSE)</f>
        <v>Workweek</v>
      </c>
    </row>
    <row r="5042" spans="1:10">
      <c r="A5042" s="159" t="str">
        <f t="shared" si="393"/>
        <v>$E$1:$E$92</v>
      </c>
      <c r="B5042" s="159" t="str">
        <f t="shared" si="394"/>
        <v>$F$1:$F$92</v>
      </c>
      <c r="C5042" s="159" t="str">
        <f t="shared" si="395"/>
        <v>October!$E$1:$E$92</v>
      </c>
      <c r="D5042" s="159" t="str">
        <f t="shared" si="396"/>
        <v>October!$F$1:$F$92</v>
      </c>
      <c r="E5042" t="s">
        <v>9</v>
      </c>
      <c r="F5042" t="s">
        <v>129</v>
      </c>
      <c r="G5042" t="s">
        <v>142</v>
      </c>
      <c r="H5042" t="s">
        <v>22</v>
      </c>
      <c r="I5042" t="e">
        <f t="shared" ca="1" si="397"/>
        <v>#REF!</v>
      </c>
      <c r="J5042" t="str">
        <f>VLOOKUP($G5042,DefinitionArrays!$I$6:$J$12,2,FALSE)</f>
        <v>Workweek</v>
      </c>
    </row>
    <row r="5043" spans="1:10">
      <c r="A5043" s="159" t="str">
        <f t="shared" si="393"/>
        <v>$E$1:$E$92</v>
      </c>
      <c r="B5043" s="159" t="str">
        <f t="shared" si="394"/>
        <v>$F$1:$F$92</v>
      </c>
      <c r="C5043" s="159" t="str">
        <f t="shared" si="395"/>
        <v>October!$E$1:$E$92</v>
      </c>
      <c r="D5043" s="159" t="str">
        <f t="shared" si="396"/>
        <v>October!$F$1:$F$92</v>
      </c>
      <c r="E5043" t="s">
        <v>9</v>
      </c>
      <c r="F5043" t="s">
        <v>129</v>
      </c>
      <c r="G5043" t="s">
        <v>142</v>
      </c>
      <c r="H5043" t="s">
        <v>23</v>
      </c>
      <c r="I5043" t="e">
        <f t="shared" ca="1" si="397"/>
        <v>#REF!</v>
      </c>
      <c r="J5043" t="str">
        <f>VLOOKUP($G5043,DefinitionArrays!$I$6:$J$12,2,FALSE)</f>
        <v>Workweek</v>
      </c>
    </row>
    <row r="5044" spans="1:10">
      <c r="A5044" s="159" t="str">
        <f t="shared" si="393"/>
        <v>$E$1:$E$92</v>
      </c>
      <c r="B5044" s="159" t="str">
        <f t="shared" si="394"/>
        <v>$F$1:$F$92</v>
      </c>
      <c r="C5044" s="159" t="str">
        <f t="shared" si="395"/>
        <v>October!$E$1:$E$92</v>
      </c>
      <c r="D5044" s="159" t="str">
        <f t="shared" si="396"/>
        <v>October!$F$1:$F$92</v>
      </c>
      <c r="E5044" t="s">
        <v>9</v>
      </c>
      <c r="F5044" t="s">
        <v>129</v>
      </c>
      <c r="G5044" t="s">
        <v>142</v>
      </c>
      <c r="H5044" t="s">
        <v>24</v>
      </c>
      <c r="I5044" t="e">
        <f t="shared" ca="1" si="397"/>
        <v>#REF!</v>
      </c>
      <c r="J5044" t="str">
        <f>VLOOKUP($G5044,DefinitionArrays!$I$6:$J$12,2,FALSE)</f>
        <v>Workweek</v>
      </c>
    </row>
    <row r="5045" spans="1:10">
      <c r="A5045" s="159" t="str">
        <f t="shared" si="393"/>
        <v>$E$1:$E$92</v>
      </c>
      <c r="B5045" s="159" t="str">
        <f t="shared" si="394"/>
        <v>$F$1:$F$92</v>
      </c>
      <c r="C5045" s="159" t="str">
        <f t="shared" si="395"/>
        <v>October!$E$1:$E$92</v>
      </c>
      <c r="D5045" s="159" t="str">
        <f t="shared" si="396"/>
        <v>October!$F$1:$F$92</v>
      </c>
      <c r="E5045" t="s">
        <v>9</v>
      </c>
      <c r="F5045" t="s">
        <v>129</v>
      </c>
      <c r="G5045" t="s">
        <v>142</v>
      </c>
      <c r="H5045" t="s">
        <v>179</v>
      </c>
      <c r="I5045" t="e">
        <f t="shared" ca="1" si="397"/>
        <v>#REF!</v>
      </c>
      <c r="J5045" t="str">
        <f>VLOOKUP($G5045,DefinitionArrays!$I$6:$J$12,2,FALSE)</f>
        <v>Workweek</v>
      </c>
    </row>
    <row r="5046" spans="1:10">
      <c r="A5046" s="159" t="str">
        <f t="shared" si="393"/>
        <v>$E$1:$E$92</v>
      </c>
      <c r="B5046" s="159" t="str">
        <f t="shared" si="394"/>
        <v>$F$1:$F$92</v>
      </c>
      <c r="C5046" s="159" t="str">
        <f t="shared" si="395"/>
        <v>October!$E$1:$E$92</v>
      </c>
      <c r="D5046" s="159" t="str">
        <f t="shared" si="396"/>
        <v>October!$F$1:$F$92</v>
      </c>
      <c r="E5046" t="s">
        <v>9</v>
      </c>
      <c r="F5046" t="s">
        <v>129</v>
      </c>
      <c r="G5046" t="s">
        <v>142</v>
      </c>
      <c r="H5046" t="s">
        <v>180</v>
      </c>
      <c r="I5046" t="e">
        <f t="shared" ca="1" si="397"/>
        <v>#REF!</v>
      </c>
      <c r="J5046" t="str">
        <f>VLOOKUP($G5046,DefinitionArrays!$I$6:$J$12,2,FALSE)</f>
        <v>Workweek</v>
      </c>
    </row>
    <row r="5047" spans="1:10">
      <c r="A5047" s="159" t="str">
        <f t="shared" si="393"/>
        <v>$E$1:$E$92</v>
      </c>
      <c r="B5047" s="159" t="str">
        <f t="shared" si="394"/>
        <v>$F$1:$F$92</v>
      </c>
      <c r="C5047" s="159" t="str">
        <f t="shared" si="395"/>
        <v>October!$E$1:$E$92</v>
      </c>
      <c r="D5047" s="159" t="str">
        <f t="shared" si="396"/>
        <v>October!$F$1:$F$92</v>
      </c>
      <c r="E5047" t="s">
        <v>9</v>
      </c>
      <c r="F5047" t="s">
        <v>129</v>
      </c>
      <c r="G5047" t="s">
        <v>142</v>
      </c>
      <c r="H5047" t="s">
        <v>44</v>
      </c>
      <c r="I5047" t="e">
        <f t="shared" ca="1" si="397"/>
        <v>#REF!</v>
      </c>
      <c r="J5047" t="str">
        <f>VLOOKUP($G5047,DefinitionArrays!$I$6:$J$12,2,FALSE)</f>
        <v>Workweek</v>
      </c>
    </row>
    <row r="5048" spans="1:10">
      <c r="A5048" s="159" t="str">
        <f t="shared" si="393"/>
        <v>$H$1:$H$92</v>
      </c>
      <c r="B5048" s="159" t="str">
        <f t="shared" si="394"/>
        <v>$I$1:$I$92</v>
      </c>
      <c r="C5048" s="159" t="str">
        <f t="shared" si="395"/>
        <v>October!$H$1:$H$92</v>
      </c>
      <c r="D5048" s="159" t="str">
        <f t="shared" si="396"/>
        <v>October!$I$1:$I$92</v>
      </c>
      <c r="E5048" t="s">
        <v>9</v>
      </c>
      <c r="F5048" t="s">
        <v>129</v>
      </c>
      <c r="G5048" t="s">
        <v>143</v>
      </c>
      <c r="H5048" t="s">
        <v>159</v>
      </c>
      <c r="I5048" t="e">
        <f t="shared" ca="1" si="397"/>
        <v>#REF!</v>
      </c>
      <c r="J5048" t="str">
        <f>VLOOKUP($G5048,DefinitionArrays!$I$6:$J$12,2,FALSE)</f>
        <v>Workweek</v>
      </c>
    </row>
    <row r="5049" spans="1:10">
      <c r="A5049" s="159" t="str">
        <f t="shared" si="393"/>
        <v>$H$1:$H$92</v>
      </c>
      <c r="B5049" s="159" t="str">
        <f t="shared" si="394"/>
        <v>$I$1:$I$92</v>
      </c>
      <c r="C5049" s="159" t="str">
        <f t="shared" si="395"/>
        <v>October!$H$1:$H$92</v>
      </c>
      <c r="D5049" s="159" t="str">
        <f t="shared" si="396"/>
        <v>October!$I$1:$I$92</v>
      </c>
      <c r="E5049" t="s">
        <v>9</v>
      </c>
      <c r="F5049" t="s">
        <v>129</v>
      </c>
      <c r="G5049" t="s">
        <v>143</v>
      </c>
      <c r="H5049" t="s">
        <v>18</v>
      </c>
      <c r="I5049" t="e">
        <f t="shared" ca="1" si="397"/>
        <v>#REF!</v>
      </c>
      <c r="J5049" t="str">
        <f>VLOOKUP($G5049,DefinitionArrays!$I$6:$J$12,2,FALSE)</f>
        <v>Workweek</v>
      </c>
    </row>
    <row r="5050" spans="1:10">
      <c r="A5050" s="159" t="str">
        <f t="shared" si="393"/>
        <v>$H$1:$H$92</v>
      </c>
      <c r="B5050" s="159" t="str">
        <f t="shared" si="394"/>
        <v>$I$1:$I$92</v>
      </c>
      <c r="C5050" s="159" t="str">
        <f t="shared" si="395"/>
        <v>October!$H$1:$H$92</v>
      </c>
      <c r="D5050" s="159" t="str">
        <f t="shared" si="396"/>
        <v>October!$I$1:$I$92</v>
      </c>
      <c r="E5050" t="s">
        <v>9</v>
      </c>
      <c r="F5050" t="s">
        <v>129</v>
      </c>
      <c r="G5050" t="s">
        <v>143</v>
      </c>
      <c r="H5050" t="s">
        <v>153</v>
      </c>
      <c r="I5050" t="e">
        <f t="shared" ca="1" si="397"/>
        <v>#REF!</v>
      </c>
      <c r="J5050" t="str">
        <f>VLOOKUP($G5050,DefinitionArrays!$I$6:$J$12,2,FALSE)</f>
        <v>Workweek</v>
      </c>
    </row>
    <row r="5051" spans="1:10">
      <c r="A5051" s="159" t="str">
        <f t="shared" si="393"/>
        <v>$H$1:$H$92</v>
      </c>
      <c r="B5051" s="159" t="str">
        <f t="shared" si="394"/>
        <v>$I$1:$I$92</v>
      </c>
      <c r="C5051" s="159" t="str">
        <f t="shared" si="395"/>
        <v>October!$H$1:$H$92</v>
      </c>
      <c r="D5051" s="159" t="str">
        <f t="shared" si="396"/>
        <v>October!$I$1:$I$92</v>
      </c>
      <c r="E5051" t="s">
        <v>9</v>
      </c>
      <c r="F5051" t="s">
        <v>129</v>
      </c>
      <c r="G5051" t="s">
        <v>143</v>
      </c>
      <c r="H5051" t="s">
        <v>19</v>
      </c>
      <c r="I5051" t="e">
        <f t="shared" ca="1" si="397"/>
        <v>#REF!</v>
      </c>
      <c r="J5051" t="str">
        <f>VLOOKUP($G5051,DefinitionArrays!$I$6:$J$12,2,FALSE)</f>
        <v>Workweek</v>
      </c>
    </row>
    <row r="5052" spans="1:10">
      <c r="A5052" s="159" t="str">
        <f t="shared" si="393"/>
        <v>$H$1:$H$92</v>
      </c>
      <c r="B5052" s="159" t="str">
        <f t="shared" si="394"/>
        <v>$I$1:$I$92</v>
      </c>
      <c r="C5052" s="159" t="str">
        <f t="shared" si="395"/>
        <v>October!$H$1:$H$92</v>
      </c>
      <c r="D5052" s="159" t="str">
        <f t="shared" si="396"/>
        <v>October!$I$1:$I$92</v>
      </c>
      <c r="E5052" t="s">
        <v>9</v>
      </c>
      <c r="F5052" t="s">
        <v>129</v>
      </c>
      <c r="G5052" t="s">
        <v>143</v>
      </c>
      <c r="H5052" t="s">
        <v>20</v>
      </c>
      <c r="I5052" t="e">
        <f t="shared" ca="1" si="397"/>
        <v>#REF!</v>
      </c>
      <c r="J5052" t="str">
        <f>VLOOKUP($G5052,DefinitionArrays!$I$6:$J$12,2,FALSE)</f>
        <v>Workweek</v>
      </c>
    </row>
    <row r="5053" spans="1:10">
      <c r="A5053" s="159" t="str">
        <f t="shared" si="393"/>
        <v>$H$1:$H$92</v>
      </c>
      <c r="B5053" s="159" t="str">
        <f t="shared" si="394"/>
        <v>$I$1:$I$92</v>
      </c>
      <c r="C5053" s="159" t="str">
        <f t="shared" si="395"/>
        <v>October!$H$1:$H$92</v>
      </c>
      <c r="D5053" s="159" t="str">
        <f t="shared" si="396"/>
        <v>October!$I$1:$I$92</v>
      </c>
      <c r="E5053" t="s">
        <v>9</v>
      </c>
      <c r="F5053" t="s">
        <v>129</v>
      </c>
      <c r="G5053" t="s">
        <v>143</v>
      </c>
      <c r="H5053" t="s">
        <v>21</v>
      </c>
      <c r="I5053" t="e">
        <f t="shared" ca="1" si="397"/>
        <v>#REF!</v>
      </c>
      <c r="J5053" t="str">
        <f>VLOOKUP($G5053,DefinitionArrays!$I$6:$J$12,2,FALSE)</f>
        <v>Workweek</v>
      </c>
    </row>
    <row r="5054" spans="1:10">
      <c r="A5054" s="159" t="str">
        <f t="shared" si="393"/>
        <v>$H$1:$H$92</v>
      </c>
      <c r="B5054" s="159" t="str">
        <f t="shared" si="394"/>
        <v>$I$1:$I$92</v>
      </c>
      <c r="C5054" s="159" t="str">
        <f t="shared" si="395"/>
        <v>October!$H$1:$H$92</v>
      </c>
      <c r="D5054" s="159" t="str">
        <f t="shared" si="396"/>
        <v>October!$I$1:$I$92</v>
      </c>
      <c r="E5054" t="s">
        <v>9</v>
      </c>
      <c r="F5054" t="s">
        <v>129</v>
      </c>
      <c r="G5054" t="s">
        <v>143</v>
      </c>
      <c r="H5054" t="s">
        <v>22</v>
      </c>
      <c r="I5054" t="e">
        <f t="shared" ca="1" si="397"/>
        <v>#REF!</v>
      </c>
      <c r="J5054" t="str">
        <f>VLOOKUP($G5054,DefinitionArrays!$I$6:$J$12,2,FALSE)</f>
        <v>Workweek</v>
      </c>
    </row>
    <row r="5055" spans="1:10">
      <c r="A5055" s="159" t="str">
        <f t="shared" si="393"/>
        <v>$H$1:$H$92</v>
      </c>
      <c r="B5055" s="159" t="str">
        <f t="shared" si="394"/>
        <v>$I$1:$I$92</v>
      </c>
      <c r="C5055" s="159" t="str">
        <f t="shared" si="395"/>
        <v>October!$H$1:$H$92</v>
      </c>
      <c r="D5055" s="159" t="str">
        <f t="shared" si="396"/>
        <v>October!$I$1:$I$92</v>
      </c>
      <c r="E5055" t="s">
        <v>9</v>
      </c>
      <c r="F5055" t="s">
        <v>129</v>
      </c>
      <c r="G5055" t="s">
        <v>143</v>
      </c>
      <c r="H5055" t="s">
        <v>23</v>
      </c>
      <c r="I5055" t="e">
        <f t="shared" ca="1" si="397"/>
        <v>#REF!</v>
      </c>
      <c r="J5055" t="str">
        <f>VLOOKUP($G5055,DefinitionArrays!$I$6:$J$12,2,FALSE)</f>
        <v>Workweek</v>
      </c>
    </row>
    <row r="5056" spans="1:10">
      <c r="A5056" s="159" t="str">
        <f t="shared" si="393"/>
        <v>$H$1:$H$92</v>
      </c>
      <c r="B5056" s="159" t="str">
        <f t="shared" si="394"/>
        <v>$I$1:$I$92</v>
      </c>
      <c r="C5056" s="159" t="str">
        <f t="shared" si="395"/>
        <v>October!$H$1:$H$92</v>
      </c>
      <c r="D5056" s="159" t="str">
        <f t="shared" si="396"/>
        <v>October!$I$1:$I$92</v>
      </c>
      <c r="E5056" t="s">
        <v>9</v>
      </c>
      <c r="F5056" t="s">
        <v>129</v>
      </c>
      <c r="G5056" t="s">
        <v>143</v>
      </c>
      <c r="H5056" t="s">
        <v>24</v>
      </c>
      <c r="I5056" t="e">
        <f t="shared" ca="1" si="397"/>
        <v>#REF!</v>
      </c>
      <c r="J5056" t="str">
        <f>VLOOKUP($G5056,DefinitionArrays!$I$6:$J$12,2,FALSE)</f>
        <v>Workweek</v>
      </c>
    </row>
    <row r="5057" spans="1:10">
      <c r="A5057" s="159" t="str">
        <f t="shared" si="393"/>
        <v>$H$1:$H$92</v>
      </c>
      <c r="B5057" s="159" t="str">
        <f t="shared" si="394"/>
        <v>$I$1:$I$92</v>
      </c>
      <c r="C5057" s="159" t="str">
        <f t="shared" si="395"/>
        <v>October!$H$1:$H$92</v>
      </c>
      <c r="D5057" s="159" t="str">
        <f t="shared" si="396"/>
        <v>October!$I$1:$I$92</v>
      </c>
      <c r="E5057" t="s">
        <v>9</v>
      </c>
      <c r="F5057" t="s">
        <v>129</v>
      </c>
      <c r="G5057" t="s">
        <v>143</v>
      </c>
      <c r="H5057" t="s">
        <v>179</v>
      </c>
      <c r="I5057" t="e">
        <f t="shared" ca="1" si="397"/>
        <v>#REF!</v>
      </c>
      <c r="J5057" t="str">
        <f>VLOOKUP($G5057,DefinitionArrays!$I$6:$J$12,2,FALSE)</f>
        <v>Workweek</v>
      </c>
    </row>
    <row r="5058" spans="1:10">
      <c r="A5058" s="159" t="str">
        <f t="shared" ref="A5058:A5121" si="398">VLOOKUP($G5058,Fx_Code,2,FALSE)</f>
        <v>$H$1:$H$92</v>
      </c>
      <c r="B5058" s="159" t="str">
        <f t="shared" ref="B5058:B5121" si="399">VLOOKUP($G5058,Fx_Code,3,FALSE)</f>
        <v>$I$1:$I$92</v>
      </c>
      <c r="C5058" s="159" t="str">
        <f t="shared" ref="C5058:C5121" si="400">CONCATENATE($F5058,$K$1,A5058)</f>
        <v>October!$H$1:$H$92</v>
      </c>
      <c r="D5058" s="159" t="str">
        <f t="shared" ref="D5058:D5121" si="401">CONCATENATE($F5058,$K$1,B5058)</f>
        <v>October!$I$1:$I$92</v>
      </c>
      <c r="E5058" t="s">
        <v>9</v>
      </c>
      <c r="F5058" t="s">
        <v>129</v>
      </c>
      <c r="G5058" t="s">
        <v>143</v>
      </c>
      <c r="H5058" t="s">
        <v>180</v>
      </c>
      <c r="I5058" t="e">
        <f t="shared" ca="1" si="397"/>
        <v>#REF!</v>
      </c>
      <c r="J5058" t="str">
        <f>VLOOKUP($G5058,DefinitionArrays!$I$6:$J$12,2,FALSE)</f>
        <v>Workweek</v>
      </c>
    </row>
    <row r="5059" spans="1:10">
      <c r="A5059" s="159" t="str">
        <f t="shared" si="398"/>
        <v>$H$1:$H$92</v>
      </c>
      <c r="B5059" s="159" t="str">
        <f t="shared" si="399"/>
        <v>$I$1:$I$92</v>
      </c>
      <c r="C5059" s="159" t="str">
        <f t="shared" si="400"/>
        <v>October!$H$1:$H$92</v>
      </c>
      <c r="D5059" s="159" t="str">
        <f t="shared" si="401"/>
        <v>October!$I$1:$I$92</v>
      </c>
      <c r="E5059" t="s">
        <v>9</v>
      </c>
      <c r="F5059" t="s">
        <v>129</v>
      </c>
      <c r="G5059" t="s">
        <v>143</v>
      </c>
      <c r="H5059" t="s">
        <v>44</v>
      </c>
      <c r="I5059" t="e">
        <f t="shared" ca="1" si="397"/>
        <v>#REF!</v>
      </c>
      <c r="J5059" t="str">
        <f>VLOOKUP($G5059,DefinitionArrays!$I$6:$J$12,2,FALSE)</f>
        <v>Workweek</v>
      </c>
    </row>
    <row r="5060" spans="1:10">
      <c r="A5060" s="159" t="str">
        <f t="shared" si="398"/>
        <v>$K$1:$K$92</v>
      </c>
      <c r="B5060" s="159" t="str">
        <f t="shared" si="399"/>
        <v>$L$1:$L$92</v>
      </c>
      <c r="C5060" s="159" t="str">
        <f t="shared" si="400"/>
        <v>October!$K$1:$K$92</v>
      </c>
      <c r="D5060" s="159" t="str">
        <f t="shared" si="401"/>
        <v>October!$L$1:$L$92</v>
      </c>
      <c r="E5060" t="s">
        <v>9</v>
      </c>
      <c r="F5060" t="s">
        <v>129</v>
      </c>
      <c r="G5060" t="s">
        <v>144</v>
      </c>
      <c r="H5060" t="s">
        <v>159</v>
      </c>
      <c r="I5060" t="e">
        <f t="shared" ca="1" si="397"/>
        <v>#REF!</v>
      </c>
      <c r="J5060" t="str">
        <f>VLOOKUP($G5060,DefinitionArrays!$I$6:$J$12,2,FALSE)</f>
        <v>Workweek</v>
      </c>
    </row>
    <row r="5061" spans="1:10">
      <c r="A5061" s="159" t="str">
        <f t="shared" si="398"/>
        <v>$K$1:$K$92</v>
      </c>
      <c r="B5061" s="159" t="str">
        <f t="shared" si="399"/>
        <v>$L$1:$L$92</v>
      </c>
      <c r="C5061" s="159" t="str">
        <f t="shared" si="400"/>
        <v>October!$K$1:$K$92</v>
      </c>
      <c r="D5061" s="159" t="str">
        <f t="shared" si="401"/>
        <v>October!$L$1:$L$92</v>
      </c>
      <c r="E5061" t="s">
        <v>9</v>
      </c>
      <c r="F5061" t="s">
        <v>129</v>
      </c>
      <c r="G5061" t="s">
        <v>144</v>
      </c>
      <c r="H5061" t="s">
        <v>18</v>
      </c>
      <c r="I5061" t="e">
        <f t="shared" ca="1" si="397"/>
        <v>#REF!</v>
      </c>
      <c r="J5061" t="str">
        <f>VLOOKUP($G5061,DefinitionArrays!$I$6:$J$12,2,FALSE)</f>
        <v>Workweek</v>
      </c>
    </row>
    <row r="5062" spans="1:10">
      <c r="A5062" s="159" t="str">
        <f t="shared" si="398"/>
        <v>$K$1:$K$92</v>
      </c>
      <c r="B5062" s="159" t="str">
        <f t="shared" si="399"/>
        <v>$L$1:$L$92</v>
      </c>
      <c r="C5062" s="159" t="str">
        <f t="shared" si="400"/>
        <v>October!$K$1:$K$92</v>
      </c>
      <c r="D5062" s="159" t="str">
        <f t="shared" si="401"/>
        <v>October!$L$1:$L$92</v>
      </c>
      <c r="E5062" t="s">
        <v>9</v>
      </c>
      <c r="F5062" t="s">
        <v>129</v>
      </c>
      <c r="G5062" t="s">
        <v>144</v>
      </c>
      <c r="H5062" t="s">
        <v>153</v>
      </c>
      <c r="I5062" t="e">
        <f t="shared" ca="1" si="397"/>
        <v>#REF!</v>
      </c>
      <c r="J5062" t="str">
        <f>VLOOKUP($G5062,DefinitionArrays!$I$6:$J$12,2,FALSE)</f>
        <v>Workweek</v>
      </c>
    </row>
    <row r="5063" spans="1:10">
      <c r="A5063" s="159" t="str">
        <f t="shared" si="398"/>
        <v>$K$1:$K$92</v>
      </c>
      <c r="B5063" s="159" t="str">
        <f t="shared" si="399"/>
        <v>$L$1:$L$92</v>
      </c>
      <c r="C5063" s="159" t="str">
        <f t="shared" si="400"/>
        <v>October!$K$1:$K$92</v>
      </c>
      <c r="D5063" s="159" t="str">
        <f t="shared" si="401"/>
        <v>October!$L$1:$L$92</v>
      </c>
      <c r="E5063" t="s">
        <v>9</v>
      </c>
      <c r="F5063" t="s">
        <v>129</v>
      </c>
      <c r="G5063" t="s">
        <v>144</v>
      </c>
      <c r="H5063" t="s">
        <v>19</v>
      </c>
      <c r="I5063" t="e">
        <f t="shared" ca="1" si="397"/>
        <v>#REF!</v>
      </c>
      <c r="J5063" t="str">
        <f>VLOOKUP($G5063,DefinitionArrays!$I$6:$J$12,2,FALSE)</f>
        <v>Workweek</v>
      </c>
    </row>
    <row r="5064" spans="1:10">
      <c r="A5064" s="159" t="str">
        <f t="shared" si="398"/>
        <v>$K$1:$K$92</v>
      </c>
      <c r="B5064" s="159" t="str">
        <f t="shared" si="399"/>
        <v>$L$1:$L$92</v>
      </c>
      <c r="C5064" s="159" t="str">
        <f t="shared" si="400"/>
        <v>October!$K$1:$K$92</v>
      </c>
      <c r="D5064" s="159" t="str">
        <f t="shared" si="401"/>
        <v>October!$L$1:$L$92</v>
      </c>
      <c r="E5064" t="s">
        <v>9</v>
      </c>
      <c r="F5064" t="s">
        <v>129</v>
      </c>
      <c r="G5064" t="s">
        <v>144</v>
      </c>
      <c r="H5064" t="s">
        <v>20</v>
      </c>
      <c r="I5064" t="e">
        <f t="shared" ca="1" si="397"/>
        <v>#REF!</v>
      </c>
      <c r="J5064" t="str">
        <f>VLOOKUP($G5064,DefinitionArrays!$I$6:$J$12,2,FALSE)</f>
        <v>Workweek</v>
      </c>
    </row>
    <row r="5065" spans="1:10">
      <c r="A5065" s="159" t="str">
        <f t="shared" si="398"/>
        <v>$K$1:$K$92</v>
      </c>
      <c r="B5065" s="159" t="str">
        <f t="shared" si="399"/>
        <v>$L$1:$L$92</v>
      </c>
      <c r="C5065" s="159" t="str">
        <f t="shared" si="400"/>
        <v>October!$K$1:$K$92</v>
      </c>
      <c r="D5065" s="159" t="str">
        <f t="shared" si="401"/>
        <v>October!$L$1:$L$92</v>
      </c>
      <c r="E5065" t="s">
        <v>9</v>
      </c>
      <c r="F5065" t="s">
        <v>129</v>
      </c>
      <c r="G5065" t="s">
        <v>144</v>
      </c>
      <c r="H5065" t="s">
        <v>21</v>
      </c>
      <c r="I5065" t="e">
        <f t="shared" ca="1" si="397"/>
        <v>#REF!</v>
      </c>
      <c r="J5065" t="str">
        <f>VLOOKUP($G5065,DefinitionArrays!$I$6:$J$12,2,FALSE)</f>
        <v>Workweek</v>
      </c>
    </row>
    <row r="5066" spans="1:10">
      <c r="A5066" s="159" t="str">
        <f t="shared" si="398"/>
        <v>$K$1:$K$92</v>
      </c>
      <c r="B5066" s="159" t="str">
        <f t="shared" si="399"/>
        <v>$L$1:$L$92</v>
      </c>
      <c r="C5066" s="159" t="str">
        <f t="shared" si="400"/>
        <v>October!$K$1:$K$92</v>
      </c>
      <c r="D5066" s="159" t="str">
        <f t="shared" si="401"/>
        <v>October!$L$1:$L$92</v>
      </c>
      <c r="E5066" t="s">
        <v>9</v>
      </c>
      <c r="F5066" t="s">
        <v>129</v>
      </c>
      <c r="G5066" t="s">
        <v>144</v>
      </c>
      <c r="H5066" t="s">
        <v>22</v>
      </c>
      <c r="I5066" t="e">
        <f t="shared" ca="1" si="397"/>
        <v>#REF!</v>
      </c>
      <c r="J5066" t="str">
        <f>VLOOKUP($G5066,DefinitionArrays!$I$6:$J$12,2,FALSE)</f>
        <v>Workweek</v>
      </c>
    </row>
    <row r="5067" spans="1:10">
      <c r="A5067" s="159" t="str">
        <f t="shared" si="398"/>
        <v>$K$1:$K$92</v>
      </c>
      <c r="B5067" s="159" t="str">
        <f t="shared" si="399"/>
        <v>$L$1:$L$92</v>
      </c>
      <c r="C5067" s="159" t="str">
        <f t="shared" si="400"/>
        <v>October!$K$1:$K$92</v>
      </c>
      <c r="D5067" s="159" t="str">
        <f t="shared" si="401"/>
        <v>October!$L$1:$L$92</v>
      </c>
      <c r="E5067" t="s">
        <v>9</v>
      </c>
      <c r="F5067" t="s">
        <v>129</v>
      </c>
      <c r="G5067" t="s">
        <v>144</v>
      </c>
      <c r="H5067" t="s">
        <v>23</v>
      </c>
      <c r="I5067" t="e">
        <f t="shared" ca="1" si="397"/>
        <v>#REF!</v>
      </c>
      <c r="J5067" t="str">
        <f>VLOOKUP($G5067,DefinitionArrays!$I$6:$J$12,2,FALSE)</f>
        <v>Workweek</v>
      </c>
    </row>
    <row r="5068" spans="1:10">
      <c r="A5068" s="159" t="str">
        <f t="shared" si="398"/>
        <v>$K$1:$K$92</v>
      </c>
      <c r="B5068" s="159" t="str">
        <f t="shared" si="399"/>
        <v>$L$1:$L$92</v>
      </c>
      <c r="C5068" s="159" t="str">
        <f t="shared" si="400"/>
        <v>October!$K$1:$K$92</v>
      </c>
      <c r="D5068" s="159" t="str">
        <f t="shared" si="401"/>
        <v>October!$L$1:$L$92</v>
      </c>
      <c r="E5068" t="s">
        <v>9</v>
      </c>
      <c r="F5068" t="s">
        <v>129</v>
      </c>
      <c r="G5068" t="s">
        <v>144</v>
      </c>
      <c r="H5068" t="s">
        <v>24</v>
      </c>
      <c r="I5068" t="e">
        <f t="shared" ca="1" si="397"/>
        <v>#REF!</v>
      </c>
      <c r="J5068" t="str">
        <f>VLOOKUP($G5068,DefinitionArrays!$I$6:$J$12,2,FALSE)</f>
        <v>Workweek</v>
      </c>
    </row>
    <row r="5069" spans="1:10">
      <c r="A5069" s="159" t="str">
        <f t="shared" si="398"/>
        <v>$K$1:$K$92</v>
      </c>
      <c r="B5069" s="159" t="str">
        <f t="shared" si="399"/>
        <v>$L$1:$L$92</v>
      </c>
      <c r="C5069" s="159" t="str">
        <f t="shared" si="400"/>
        <v>October!$K$1:$K$92</v>
      </c>
      <c r="D5069" s="159" t="str">
        <f t="shared" si="401"/>
        <v>October!$L$1:$L$92</v>
      </c>
      <c r="E5069" t="s">
        <v>9</v>
      </c>
      <c r="F5069" t="s">
        <v>129</v>
      </c>
      <c r="G5069" t="s">
        <v>144</v>
      </c>
      <c r="H5069" t="s">
        <v>179</v>
      </c>
      <c r="I5069" t="e">
        <f t="shared" ca="1" si="397"/>
        <v>#REF!</v>
      </c>
      <c r="J5069" t="str">
        <f>VLOOKUP($G5069,DefinitionArrays!$I$6:$J$12,2,FALSE)</f>
        <v>Workweek</v>
      </c>
    </row>
    <row r="5070" spans="1:10">
      <c r="A5070" s="159" t="str">
        <f t="shared" si="398"/>
        <v>$K$1:$K$92</v>
      </c>
      <c r="B5070" s="159" t="str">
        <f t="shared" si="399"/>
        <v>$L$1:$L$92</v>
      </c>
      <c r="C5070" s="159" t="str">
        <f t="shared" si="400"/>
        <v>October!$K$1:$K$92</v>
      </c>
      <c r="D5070" s="159" t="str">
        <f t="shared" si="401"/>
        <v>October!$L$1:$L$92</v>
      </c>
      <c r="E5070" t="s">
        <v>9</v>
      </c>
      <c r="F5070" t="s">
        <v>129</v>
      </c>
      <c r="G5070" t="s">
        <v>144</v>
      </c>
      <c r="H5070" t="s">
        <v>180</v>
      </c>
      <c r="I5070" t="e">
        <f t="shared" ca="1" si="397"/>
        <v>#REF!</v>
      </c>
      <c r="J5070" t="str">
        <f>VLOOKUP($G5070,DefinitionArrays!$I$6:$J$12,2,FALSE)</f>
        <v>Workweek</v>
      </c>
    </row>
    <row r="5071" spans="1:10">
      <c r="A5071" s="159" t="str">
        <f t="shared" si="398"/>
        <v>$K$1:$K$92</v>
      </c>
      <c r="B5071" s="159" t="str">
        <f t="shared" si="399"/>
        <v>$L$1:$L$92</v>
      </c>
      <c r="C5071" s="159" t="str">
        <f t="shared" si="400"/>
        <v>October!$K$1:$K$92</v>
      </c>
      <c r="D5071" s="159" t="str">
        <f t="shared" si="401"/>
        <v>October!$L$1:$L$92</v>
      </c>
      <c r="E5071" t="s">
        <v>9</v>
      </c>
      <c r="F5071" t="s">
        <v>129</v>
      </c>
      <c r="G5071" t="s">
        <v>144</v>
      </c>
      <c r="H5071" t="s">
        <v>44</v>
      </c>
      <c r="I5071" t="e">
        <f t="shared" ca="1" si="397"/>
        <v>#REF!</v>
      </c>
      <c r="J5071" t="str">
        <f>VLOOKUP($G5071,DefinitionArrays!$I$6:$J$12,2,FALSE)</f>
        <v>Workweek</v>
      </c>
    </row>
    <row r="5072" spans="1:10">
      <c r="A5072" s="159" t="str">
        <f t="shared" si="398"/>
        <v>$N$1:$N$92</v>
      </c>
      <c r="B5072" s="159" t="str">
        <f t="shared" si="399"/>
        <v>$O$1:$O$92</v>
      </c>
      <c r="C5072" s="159" t="str">
        <f t="shared" si="400"/>
        <v>October!$N$1:$N$92</v>
      </c>
      <c r="D5072" s="159" t="str">
        <f t="shared" si="401"/>
        <v>October!$O$1:$O$92</v>
      </c>
      <c r="E5072" t="s">
        <v>9</v>
      </c>
      <c r="F5072" t="s">
        <v>129</v>
      </c>
      <c r="G5072" t="s">
        <v>145</v>
      </c>
      <c r="H5072" t="s">
        <v>159</v>
      </c>
      <c r="I5072" t="e">
        <f t="shared" ca="1" si="397"/>
        <v>#REF!</v>
      </c>
      <c r="J5072" t="str">
        <f>VLOOKUP($G5072,DefinitionArrays!$I$6:$J$12,2,FALSE)</f>
        <v>Weekend</v>
      </c>
    </row>
    <row r="5073" spans="1:10">
      <c r="A5073" s="159" t="str">
        <f t="shared" si="398"/>
        <v>$N$1:$N$92</v>
      </c>
      <c r="B5073" s="159" t="str">
        <f t="shared" si="399"/>
        <v>$O$1:$O$92</v>
      </c>
      <c r="C5073" s="159" t="str">
        <f t="shared" si="400"/>
        <v>October!$N$1:$N$92</v>
      </c>
      <c r="D5073" s="159" t="str">
        <f t="shared" si="401"/>
        <v>October!$O$1:$O$92</v>
      </c>
      <c r="E5073" t="s">
        <v>9</v>
      </c>
      <c r="F5073" t="s">
        <v>129</v>
      </c>
      <c r="G5073" t="s">
        <v>145</v>
      </c>
      <c r="H5073" t="s">
        <v>18</v>
      </c>
      <c r="I5073" t="e">
        <f t="shared" ca="1" si="397"/>
        <v>#REF!</v>
      </c>
      <c r="J5073" t="str">
        <f>VLOOKUP($G5073,DefinitionArrays!$I$6:$J$12,2,FALSE)</f>
        <v>Weekend</v>
      </c>
    </row>
    <row r="5074" spans="1:10">
      <c r="A5074" s="159" t="str">
        <f t="shared" si="398"/>
        <v>$N$1:$N$92</v>
      </c>
      <c r="B5074" s="159" t="str">
        <f t="shared" si="399"/>
        <v>$O$1:$O$92</v>
      </c>
      <c r="C5074" s="159" t="str">
        <f t="shared" si="400"/>
        <v>October!$N$1:$N$92</v>
      </c>
      <c r="D5074" s="159" t="str">
        <f t="shared" si="401"/>
        <v>October!$O$1:$O$92</v>
      </c>
      <c r="E5074" t="s">
        <v>9</v>
      </c>
      <c r="F5074" t="s">
        <v>129</v>
      </c>
      <c r="G5074" t="s">
        <v>145</v>
      </c>
      <c r="H5074" t="s">
        <v>153</v>
      </c>
      <c r="I5074" t="e">
        <f t="shared" ca="1" si="397"/>
        <v>#REF!</v>
      </c>
      <c r="J5074" t="str">
        <f>VLOOKUP($G5074,DefinitionArrays!$I$6:$J$12,2,FALSE)</f>
        <v>Weekend</v>
      </c>
    </row>
    <row r="5075" spans="1:10">
      <c r="A5075" s="159" t="str">
        <f t="shared" si="398"/>
        <v>$N$1:$N$92</v>
      </c>
      <c r="B5075" s="159" t="str">
        <f t="shared" si="399"/>
        <v>$O$1:$O$92</v>
      </c>
      <c r="C5075" s="159" t="str">
        <f t="shared" si="400"/>
        <v>October!$N$1:$N$92</v>
      </c>
      <c r="D5075" s="159" t="str">
        <f t="shared" si="401"/>
        <v>October!$O$1:$O$92</v>
      </c>
      <c r="E5075" t="s">
        <v>9</v>
      </c>
      <c r="F5075" t="s">
        <v>129</v>
      </c>
      <c r="G5075" t="s">
        <v>145</v>
      </c>
      <c r="H5075" t="s">
        <v>19</v>
      </c>
      <c r="I5075" t="e">
        <f t="shared" ca="1" si="397"/>
        <v>#REF!</v>
      </c>
      <c r="J5075" t="str">
        <f>VLOOKUP($G5075,DefinitionArrays!$I$6:$J$12,2,FALSE)</f>
        <v>Weekend</v>
      </c>
    </row>
    <row r="5076" spans="1:10">
      <c r="A5076" s="159" t="str">
        <f t="shared" si="398"/>
        <v>$N$1:$N$92</v>
      </c>
      <c r="B5076" s="159" t="str">
        <f t="shared" si="399"/>
        <v>$O$1:$O$92</v>
      </c>
      <c r="C5076" s="159" t="str">
        <f t="shared" si="400"/>
        <v>October!$N$1:$N$92</v>
      </c>
      <c r="D5076" s="159" t="str">
        <f t="shared" si="401"/>
        <v>October!$O$1:$O$92</v>
      </c>
      <c r="E5076" t="s">
        <v>9</v>
      </c>
      <c r="F5076" t="s">
        <v>129</v>
      </c>
      <c r="G5076" t="s">
        <v>145</v>
      </c>
      <c r="H5076" t="s">
        <v>20</v>
      </c>
      <c r="I5076" t="e">
        <f t="shared" ca="1" si="397"/>
        <v>#REF!</v>
      </c>
      <c r="J5076" t="str">
        <f>VLOOKUP($G5076,DefinitionArrays!$I$6:$J$12,2,FALSE)</f>
        <v>Weekend</v>
      </c>
    </row>
    <row r="5077" spans="1:10">
      <c r="A5077" s="159" t="str">
        <f t="shared" si="398"/>
        <v>$N$1:$N$92</v>
      </c>
      <c r="B5077" s="159" t="str">
        <f t="shared" si="399"/>
        <v>$O$1:$O$92</v>
      </c>
      <c r="C5077" s="159" t="str">
        <f t="shared" si="400"/>
        <v>October!$N$1:$N$92</v>
      </c>
      <c r="D5077" s="159" t="str">
        <f t="shared" si="401"/>
        <v>October!$O$1:$O$92</v>
      </c>
      <c r="E5077" t="s">
        <v>9</v>
      </c>
      <c r="F5077" t="s">
        <v>129</v>
      </c>
      <c r="G5077" t="s">
        <v>145</v>
      </c>
      <c r="H5077" t="s">
        <v>21</v>
      </c>
      <c r="I5077" t="e">
        <f t="shared" ca="1" si="397"/>
        <v>#REF!</v>
      </c>
      <c r="J5077" t="str">
        <f>VLOOKUP($G5077,DefinitionArrays!$I$6:$J$12,2,FALSE)</f>
        <v>Weekend</v>
      </c>
    </row>
    <row r="5078" spans="1:10">
      <c r="A5078" s="159" t="str">
        <f t="shared" si="398"/>
        <v>$N$1:$N$92</v>
      </c>
      <c r="B5078" s="159" t="str">
        <f t="shared" si="399"/>
        <v>$O$1:$O$92</v>
      </c>
      <c r="C5078" s="159" t="str">
        <f t="shared" si="400"/>
        <v>October!$N$1:$N$92</v>
      </c>
      <c r="D5078" s="159" t="str">
        <f t="shared" si="401"/>
        <v>October!$O$1:$O$92</v>
      </c>
      <c r="E5078" t="s">
        <v>9</v>
      </c>
      <c r="F5078" t="s">
        <v>129</v>
      </c>
      <c r="G5078" t="s">
        <v>145</v>
      </c>
      <c r="H5078" t="s">
        <v>22</v>
      </c>
      <c r="I5078" t="e">
        <f t="shared" ca="1" si="397"/>
        <v>#REF!</v>
      </c>
      <c r="J5078" t="str">
        <f>VLOOKUP($G5078,DefinitionArrays!$I$6:$J$12,2,FALSE)</f>
        <v>Weekend</v>
      </c>
    </row>
    <row r="5079" spans="1:10">
      <c r="A5079" s="159" t="str">
        <f t="shared" si="398"/>
        <v>$N$1:$N$92</v>
      </c>
      <c r="B5079" s="159" t="str">
        <f t="shared" si="399"/>
        <v>$O$1:$O$92</v>
      </c>
      <c r="C5079" s="159" t="str">
        <f t="shared" si="400"/>
        <v>October!$N$1:$N$92</v>
      </c>
      <c r="D5079" s="159" t="str">
        <f t="shared" si="401"/>
        <v>October!$O$1:$O$92</v>
      </c>
      <c r="E5079" t="s">
        <v>9</v>
      </c>
      <c r="F5079" t="s">
        <v>129</v>
      </c>
      <c r="G5079" t="s">
        <v>145</v>
      </c>
      <c r="H5079" t="s">
        <v>23</v>
      </c>
      <c r="I5079" t="e">
        <f t="shared" ca="1" si="397"/>
        <v>#REF!</v>
      </c>
      <c r="J5079" t="str">
        <f>VLOOKUP($G5079,DefinitionArrays!$I$6:$J$12,2,FALSE)</f>
        <v>Weekend</v>
      </c>
    </row>
    <row r="5080" spans="1:10">
      <c r="A5080" s="159" t="str">
        <f t="shared" si="398"/>
        <v>$N$1:$N$92</v>
      </c>
      <c r="B5080" s="159" t="str">
        <f t="shared" si="399"/>
        <v>$O$1:$O$92</v>
      </c>
      <c r="C5080" s="159" t="str">
        <f t="shared" si="400"/>
        <v>October!$N$1:$N$92</v>
      </c>
      <c r="D5080" s="159" t="str">
        <f t="shared" si="401"/>
        <v>October!$O$1:$O$92</v>
      </c>
      <c r="E5080" t="s">
        <v>9</v>
      </c>
      <c r="F5080" t="s">
        <v>129</v>
      </c>
      <c r="G5080" t="s">
        <v>145</v>
      </c>
      <c r="H5080" t="s">
        <v>24</v>
      </c>
      <c r="I5080" t="e">
        <f t="shared" ca="1" si="397"/>
        <v>#REF!</v>
      </c>
      <c r="J5080" t="str">
        <f>VLOOKUP($G5080,DefinitionArrays!$I$6:$J$12,2,FALSE)</f>
        <v>Weekend</v>
      </c>
    </row>
    <row r="5081" spans="1:10">
      <c r="A5081" s="159" t="str">
        <f t="shared" si="398"/>
        <v>$N$1:$N$92</v>
      </c>
      <c r="B5081" s="159" t="str">
        <f t="shared" si="399"/>
        <v>$O$1:$O$92</v>
      </c>
      <c r="C5081" s="159" t="str">
        <f t="shared" si="400"/>
        <v>October!$N$1:$N$92</v>
      </c>
      <c r="D5081" s="159" t="str">
        <f t="shared" si="401"/>
        <v>October!$O$1:$O$92</v>
      </c>
      <c r="E5081" t="s">
        <v>9</v>
      </c>
      <c r="F5081" t="s">
        <v>129</v>
      </c>
      <c r="G5081" t="s">
        <v>145</v>
      </c>
      <c r="H5081" t="s">
        <v>179</v>
      </c>
      <c r="I5081" t="e">
        <f t="shared" ca="1" si="397"/>
        <v>#REF!</v>
      </c>
      <c r="J5081" t="str">
        <f>VLOOKUP($G5081,DefinitionArrays!$I$6:$J$12,2,FALSE)</f>
        <v>Weekend</v>
      </c>
    </row>
    <row r="5082" spans="1:10">
      <c r="A5082" s="159" t="str">
        <f t="shared" si="398"/>
        <v>$N$1:$N$92</v>
      </c>
      <c r="B5082" s="159" t="str">
        <f t="shared" si="399"/>
        <v>$O$1:$O$92</v>
      </c>
      <c r="C5082" s="159" t="str">
        <f t="shared" si="400"/>
        <v>October!$N$1:$N$92</v>
      </c>
      <c r="D5082" s="159" t="str">
        <f t="shared" si="401"/>
        <v>October!$O$1:$O$92</v>
      </c>
      <c r="E5082" t="s">
        <v>9</v>
      </c>
      <c r="F5082" t="s">
        <v>129</v>
      </c>
      <c r="G5082" t="s">
        <v>145</v>
      </c>
      <c r="H5082" t="s">
        <v>180</v>
      </c>
      <c r="I5082" t="e">
        <f t="shared" ca="1" si="397"/>
        <v>#REF!</v>
      </c>
      <c r="J5082" t="str">
        <f>VLOOKUP($G5082,DefinitionArrays!$I$6:$J$12,2,FALSE)</f>
        <v>Weekend</v>
      </c>
    </row>
    <row r="5083" spans="1:10">
      <c r="A5083" s="159" t="str">
        <f t="shared" si="398"/>
        <v>$N$1:$N$92</v>
      </c>
      <c r="B5083" s="159" t="str">
        <f t="shared" si="399"/>
        <v>$O$1:$O$92</v>
      </c>
      <c r="C5083" s="159" t="str">
        <f t="shared" si="400"/>
        <v>October!$N$1:$N$92</v>
      </c>
      <c r="D5083" s="159" t="str">
        <f t="shared" si="401"/>
        <v>October!$O$1:$O$92</v>
      </c>
      <c r="E5083" t="s">
        <v>9</v>
      </c>
      <c r="F5083" t="s">
        <v>129</v>
      </c>
      <c r="G5083" t="s">
        <v>145</v>
      </c>
      <c r="H5083" t="s">
        <v>44</v>
      </c>
      <c r="I5083" t="e">
        <f t="shared" ca="1" si="397"/>
        <v>#REF!</v>
      </c>
      <c r="J5083" t="str">
        <f>VLOOKUP($G5083,DefinitionArrays!$I$6:$J$12,2,FALSE)</f>
        <v>Weekend</v>
      </c>
    </row>
    <row r="5084" spans="1:10">
      <c r="A5084" s="159" t="str">
        <f t="shared" si="398"/>
        <v>$Q$1:$Q$92</v>
      </c>
      <c r="B5084" s="159" t="str">
        <f t="shared" si="399"/>
        <v>$R$1:$R$92</v>
      </c>
      <c r="C5084" s="159" t="str">
        <f t="shared" si="400"/>
        <v>October!$Q$1:$Q$92</v>
      </c>
      <c r="D5084" s="159" t="str">
        <f t="shared" si="401"/>
        <v>October!$R$1:$R$92</v>
      </c>
      <c r="E5084" t="s">
        <v>9</v>
      </c>
      <c r="F5084" t="s">
        <v>129</v>
      </c>
      <c r="G5084" t="s">
        <v>146</v>
      </c>
      <c r="H5084" t="s">
        <v>159</v>
      </c>
      <c r="I5084" t="e">
        <f t="shared" ca="1" si="397"/>
        <v>#REF!</v>
      </c>
      <c r="J5084" t="str">
        <f>VLOOKUP($G5084,DefinitionArrays!$I$6:$J$12,2,FALSE)</f>
        <v>Weekend</v>
      </c>
    </row>
    <row r="5085" spans="1:10">
      <c r="A5085" s="159" t="str">
        <f t="shared" si="398"/>
        <v>$T$1:$T$92</v>
      </c>
      <c r="B5085" s="159" t="str">
        <f t="shared" si="399"/>
        <v>$U$1:$U$92</v>
      </c>
      <c r="C5085" s="159" t="str">
        <f t="shared" si="400"/>
        <v>October!$T$1:$T$92</v>
      </c>
      <c r="D5085" s="159" t="str">
        <f t="shared" si="401"/>
        <v>October!$U$1:$U$92</v>
      </c>
      <c r="E5085" t="s">
        <v>9</v>
      </c>
      <c r="F5085" t="s">
        <v>129</v>
      </c>
      <c r="G5085" t="s">
        <v>141</v>
      </c>
      <c r="H5085" t="s">
        <v>159</v>
      </c>
      <c r="I5085" t="e">
        <f t="shared" ca="1" si="397"/>
        <v>#REF!</v>
      </c>
      <c r="J5085" t="str">
        <f>VLOOKUP($G5085,DefinitionArrays!$I$6:$J$12,2,FALSE)</f>
        <v>Weekend</v>
      </c>
    </row>
    <row r="5086" spans="1:10">
      <c r="A5086" s="159" t="str">
        <f t="shared" si="398"/>
        <v>$B$1:$B$92</v>
      </c>
      <c r="B5086" s="159" t="str">
        <f t="shared" si="399"/>
        <v>$C$1:$C$92</v>
      </c>
      <c r="C5086" s="159" t="str">
        <f t="shared" si="400"/>
        <v>November!$B$1:$B$92</v>
      </c>
      <c r="D5086" s="159" t="str">
        <f t="shared" si="401"/>
        <v>November!$C$1:$C$92</v>
      </c>
      <c r="E5086" t="s">
        <v>9</v>
      </c>
      <c r="F5086" t="s">
        <v>130</v>
      </c>
      <c r="G5086" t="s">
        <v>13</v>
      </c>
      <c r="H5086" t="s">
        <v>159</v>
      </c>
      <c r="I5086" t="e">
        <f ca="1">COUNTIFS(INDIRECT($C5086),$E5086,INDIRECT($D5086),$H5086)</f>
        <v>#REF!</v>
      </c>
      <c r="J5086" t="str">
        <f>VLOOKUP($G5086,DefinitionArrays!$I$6:$J$12,2,FALSE)</f>
        <v>Workweek</v>
      </c>
    </row>
    <row r="5087" spans="1:10">
      <c r="A5087" s="159" t="str">
        <f t="shared" si="398"/>
        <v>$B$1:$B$92</v>
      </c>
      <c r="B5087" s="159" t="str">
        <f t="shared" si="399"/>
        <v>$C$1:$C$92</v>
      </c>
      <c r="C5087" s="159" t="str">
        <f t="shared" si="400"/>
        <v>November!$B$1:$B$92</v>
      </c>
      <c r="D5087" s="159" t="str">
        <f t="shared" si="401"/>
        <v>November!$C$1:$C$92</v>
      </c>
      <c r="E5087" t="s">
        <v>9</v>
      </c>
      <c r="F5087" t="s">
        <v>130</v>
      </c>
      <c r="G5087" t="s">
        <v>13</v>
      </c>
      <c r="H5087" t="s">
        <v>18</v>
      </c>
      <c r="I5087" t="e">
        <f t="shared" ref="I5087:I5147" ca="1" si="402">COUNTIFS(INDIRECT($C5087),$E5087,INDIRECT($D5087),$H5087)</f>
        <v>#REF!</v>
      </c>
      <c r="J5087" t="str">
        <f>VLOOKUP($G5087,DefinitionArrays!$I$6:$J$12,2,FALSE)</f>
        <v>Workweek</v>
      </c>
    </row>
    <row r="5088" spans="1:10">
      <c r="A5088" s="159" t="str">
        <f t="shared" si="398"/>
        <v>$B$1:$B$92</v>
      </c>
      <c r="B5088" s="159" t="str">
        <f t="shared" si="399"/>
        <v>$C$1:$C$92</v>
      </c>
      <c r="C5088" s="159" t="str">
        <f t="shared" si="400"/>
        <v>November!$B$1:$B$92</v>
      </c>
      <c r="D5088" s="159" t="str">
        <f t="shared" si="401"/>
        <v>November!$C$1:$C$92</v>
      </c>
      <c r="E5088" t="s">
        <v>9</v>
      </c>
      <c r="F5088" t="s">
        <v>130</v>
      </c>
      <c r="G5088" t="s">
        <v>13</v>
      </c>
      <c r="H5088" t="s">
        <v>153</v>
      </c>
      <c r="I5088" t="e">
        <f t="shared" ca="1" si="402"/>
        <v>#REF!</v>
      </c>
      <c r="J5088" t="str">
        <f>VLOOKUP($G5088,DefinitionArrays!$I$6:$J$12,2,FALSE)</f>
        <v>Workweek</v>
      </c>
    </row>
    <row r="5089" spans="1:10">
      <c r="A5089" s="159" t="str">
        <f t="shared" si="398"/>
        <v>$B$1:$B$92</v>
      </c>
      <c r="B5089" s="159" t="str">
        <f t="shared" si="399"/>
        <v>$C$1:$C$92</v>
      </c>
      <c r="C5089" s="159" t="str">
        <f t="shared" si="400"/>
        <v>November!$B$1:$B$92</v>
      </c>
      <c r="D5089" s="159" t="str">
        <f t="shared" si="401"/>
        <v>November!$C$1:$C$92</v>
      </c>
      <c r="E5089" t="s">
        <v>9</v>
      </c>
      <c r="F5089" t="s">
        <v>130</v>
      </c>
      <c r="G5089" t="s">
        <v>13</v>
      </c>
      <c r="H5089" t="s">
        <v>19</v>
      </c>
      <c r="I5089" t="e">
        <f t="shared" ca="1" si="402"/>
        <v>#REF!</v>
      </c>
      <c r="J5089" t="str">
        <f>VLOOKUP($G5089,DefinitionArrays!$I$6:$J$12,2,FALSE)</f>
        <v>Workweek</v>
      </c>
    </row>
    <row r="5090" spans="1:10">
      <c r="A5090" s="159" t="str">
        <f t="shared" si="398"/>
        <v>$B$1:$B$92</v>
      </c>
      <c r="B5090" s="159" t="str">
        <f t="shared" si="399"/>
        <v>$C$1:$C$92</v>
      </c>
      <c r="C5090" s="159" t="str">
        <f t="shared" si="400"/>
        <v>November!$B$1:$B$92</v>
      </c>
      <c r="D5090" s="159" t="str">
        <f t="shared" si="401"/>
        <v>November!$C$1:$C$92</v>
      </c>
      <c r="E5090" t="s">
        <v>9</v>
      </c>
      <c r="F5090" t="s">
        <v>130</v>
      </c>
      <c r="G5090" t="s">
        <v>13</v>
      </c>
      <c r="H5090" t="s">
        <v>20</v>
      </c>
      <c r="I5090" t="e">
        <f t="shared" ca="1" si="402"/>
        <v>#REF!</v>
      </c>
      <c r="J5090" t="str">
        <f>VLOOKUP($G5090,DefinitionArrays!$I$6:$J$12,2,FALSE)</f>
        <v>Workweek</v>
      </c>
    </row>
    <row r="5091" spans="1:10">
      <c r="A5091" s="159" t="str">
        <f t="shared" si="398"/>
        <v>$B$1:$B$92</v>
      </c>
      <c r="B5091" s="159" t="str">
        <f t="shared" si="399"/>
        <v>$C$1:$C$92</v>
      </c>
      <c r="C5091" s="159" t="str">
        <f t="shared" si="400"/>
        <v>November!$B$1:$B$92</v>
      </c>
      <c r="D5091" s="159" t="str">
        <f t="shared" si="401"/>
        <v>November!$C$1:$C$92</v>
      </c>
      <c r="E5091" t="s">
        <v>9</v>
      </c>
      <c r="F5091" t="s">
        <v>130</v>
      </c>
      <c r="G5091" t="s">
        <v>13</v>
      </c>
      <c r="H5091" t="s">
        <v>21</v>
      </c>
      <c r="I5091" t="e">
        <f t="shared" ca="1" si="402"/>
        <v>#REF!</v>
      </c>
      <c r="J5091" t="str">
        <f>VLOOKUP($G5091,DefinitionArrays!$I$6:$J$12,2,FALSE)</f>
        <v>Workweek</v>
      </c>
    </row>
    <row r="5092" spans="1:10">
      <c r="A5092" s="159" t="str">
        <f t="shared" si="398"/>
        <v>$B$1:$B$92</v>
      </c>
      <c r="B5092" s="159" t="str">
        <f t="shared" si="399"/>
        <v>$C$1:$C$92</v>
      </c>
      <c r="C5092" s="159" t="str">
        <f t="shared" si="400"/>
        <v>November!$B$1:$B$92</v>
      </c>
      <c r="D5092" s="159" t="str">
        <f t="shared" si="401"/>
        <v>November!$C$1:$C$92</v>
      </c>
      <c r="E5092" t="s">
        <v>9</v>
      </c>
      <c r="F5092" t="s">
        <v>130</v>
      </c>
      <c r="G5092" t="s">
        <v>13</v>
      </c>
      <c r="H5092" t="s">
        <v>22</v>
      </c>
      <c r="I5092" t="e">
        <f t="shared" ca="1" si="402"/>
        <v>#REF!</v>
      </c>
      <c r="J5092" t="str">
        <f>VLOOKUP($G5092,DefinitionArrays!$I$6:$J$12,2,FALSE)</f>
        <v>Workweek</v>
      </c>
    </row>
    <row r="5093" spans="1:10">
      <c r="A5093" s="159" t="str">
        <f t="shared" si="398"/>
        <v>$B$1:$B$92</v>
      </c>
      <c r="B5093" s="159" t="str">
        <f t="shared" si="399"/>
        <v>$C$1:$C$92</v>
      </c>
      <c r="C5093" s="159" t="str">
        <f t="shared" si="400"/>
        <v>November!$B$1:$B$92</v>
      </c>
      <c r="D5093" s="159" t="str">
        <f t="shared" si="401"/>
        <v>November!$C$1:$C$92</v>
      </c>
      <c r="E5093" t="s">
        <v>9</v>
      </c>
      <c r="F5093" t="s">
        <v>130</v>
      </c>
      <c r="G5093" t="s">
        <v>13</v>
      </c>
      <c r="H5093" t="s">
        <v>23</v>
      </c>
      <c r="I5093" t="e">
        <f t="shared" ca="1" si="402"/>
        <v>#REF!</v>
      </c>
      <c r="J5093" t="str">
        <f>VLOOKUP($G5093,DefinitionArrays!$I$6:$J$12,2,FALSE)</f>
        <v>Workweek</v>
      </c>
    </row>
    <row r="5094" spans="1:10">
      <c r="A5094" s="159" t="str">
        <f t="shared" si="398"/>
        <v>$B$1:$B$92</v>
      </c>
      <c r="B5094" s="159" t="str">
        <f t="shared" si="399"/>
        <v>$C$1:$C$92</v>
      </c>
      <c r="C5094" s="159" t="str">
        <f t="shared" si="400"/>
        <v>November!$B$1:$B$92</v>
      </c>
      <c r="D5094" s="159" t="str">
        <f t="shared" si="401"/>
        <v>November!$C$1:$C$92</v>
      </c>
      <c r="E5094" t="s">
        <v>9</v>
      </c>
      <c r="F5094" t="s">
        <v>130</v>
      </c>
      <c r="G5094" t="s">
        <v>13</v>
      </c>
      <c r="H5094" t="s">
        <v>24</v>
      </c>
      <c r="I5094" t="e">
        <f t="shared" ca="1" si="402"/>
        <v>#REF!</v>
      </c>
      <c r="J5094" t="str">
        <f>VLOOKUP($G5094,DefinitionArrays!$I$6:$J$12,2,FALSE)</f>
        <v>Workweek</v>
      </c>
    </row>
    <row r="5095" spans="1:10">
      <c r="A5095" s="159" t="str">
        <f t="shared" si="398"/>
        <v>$B$1:$B$92</v>
      </c>
      <c r="B5095" s="159" t="str">
        <f t="shared" si="399"/>
        <v>$C$1:$C$92</v>
      </c>
      <c r="C5095" s="159" t="str">
        <f t="shared" si="400"/>
        <v>November!$B$1:$B$92</v>
      </c>
      <c r="D5095" s="159" t="str">
        <f t="shared" si="401"/>
        <v>November!$C$1:$C$92</v>
      </c>
      <c r="E5095" t="s">
        <v>9</v>
      </c>
      <c r="F5095" t="s">
        <v>130</v>
      </c>
      <c r="G5095" t="s">
        <v>13</v>
      </c>
      <c r="H5095" t="s">
        <v>179</v>
      </c>
      <c r="I5095" t="e">
        <f t="shared" ca="1" si="402"/>
        <v>#REF!</v>
      </c>
      <c r="J5095" t="str">
        <f>VLOOKUP($G5095,DefinitionArrays!$I$6:$J$12,2,FALSE)</f>
        <v>Workweek</v>
      </c>
    </row>
    <row r="5096" spans="1:10">
      <c r="A5096" s="159" t="str">
        <f t="shared" si="398"/>
        <v>$B$1:$B$92</v>
      </c>
      <c r="B5096" s="159" t="str">
        <f t="shared" si="399"/>
        <v>$C$1:$C$92</v>
      </c>
      <c r="C5096" s="159" t="str">
        <f t="shared" si="400"/>
        <v>November!$B$1:$B$92</v>
      </c>
      <c r="D5096" s="159" t="str">
        <f t="shared" si="401"/>
        <v>November!$C$1:$C$92</v>
      </c>
      <c r="E5096" t="s">
        <v>9</v>
      </c>
      <c r="F5096" t="s">
        <v>130</v>
      </c>
      <c r="G5096" t="s">
        <v>13</v>
      </c>
      <c r="H5096" t="s">
        <v>180</v>
      </c>
      <c r="I5096" t="e">
        <f t="shared" ca="1" si="402"/>
        <v>#REF!</v>
      </c>
      <c r="J5096" t="str">
        <f>VLOOKUP($G5096,DefinitionArrays!$I$6:$J$12,2,FALSE)</f>
        <v>Workweek</v>
      </c>
    </row>
    <row r="5097" spans="1:10">
      <c r="A5097" s="159" t="str">
        <f t="shared" si="398"/>
        <v>$B$1:$B$92</v>
      </c>
      <c r="B5097" s="159" t="str">
        <f t="shared" si="399"/>
        <v>$C$1:$C$92</v>
      </c>
      <c r="C5097" s="159" t="str">
        <f t="shared" si="400"/>
        <v>November!$B$1:$B$92</v>
      </c>
      <c r="D5097" s="159" t="str">
        <f t="shared" si="401"/>
        <v>November!$C$1:$C$92</v>
      </c>
      <c r="E5097" t="s">
        <v>9</v>
      </c>
      <c r="F5097" t="s">
        <v>130</v>
      </c>
      <c r="G5097" t="s">
        <v>13</v>
      </c>
      <c r="H5097" t="s">
        <v>44</v>
      </c>
      <c r="I5097" t="e">
        <f t="shared" ca="1" si="402"/>
        <v>#REF!</v>
      </c>
      <c r="J5097" t="str">
        <f>VLOOKUP($G5097,DefinitionArrays!$I$6:$J$12,2,FALSE)</f>
        <v>Workweek</v>
      </c>
    </row>
    <row r="5098" spans="1:10">
      <c r="A5098" s="159" t="str">
        <f t="shared" si="398"/>
        <v>$E$1:$E$92</v>
      </c>
      <c r="B5098" s="159" t="str">
        <f t="shared" si="399"/>
        <v>$F$1:$F$92</v>
      </c>
      <c r="C5098" s="159" t="str">
        <f t="shared" si="400"/>
        <v>November!$E$1:$E$92</v>
      </c>
      <c r="D5098" s="159" t="str">
        <f t="shared" si="401"/>
        <v>November!$F$1:$F$92</v>
      </c>
      <c r="E5098" t="s">
        <v>9</v>
      </c>
      <c r="F5098" t="s">
        <v>130</v>
      </c>
      <c r="G5098" t="s">
        <v>142</v>
      </c>
      <c r="H5098" t="s">
        <v>159</v>
      </c>
      <c r="I5098" t="e">
        <f t="shared" ca="1" si="402"/>
        <v>#REF!</v>
      </c>
      <c r="J5098" t="str">
        <f>VLOOKUP($G5098,DefinitionArrays!$I$6:$J$12,2,FALSE)</f>
        <v>Workweek</v>
      </c>
    </row>
    <row r="5099" spans="1:10">
      <c r="A5099" s="159" t="str">
        <f t="shared" si="398"/>
        <v>$E$1:$E$92</v>
      </c>
      <c r="B5099" s="159" t="str">
        <f t="shared" si="399"/>
        <v>$F$1:$F$92</v>
      </c>
      <c r="C5099" s="159" t="str">
        <f t="shared" si="400"/>
        <v>November!$E$1:$E$92</v>
      </c>
      <c r="D5099" s="159" t="str">
        <f t="shared" si="401"/>
        <v>November!$F$1:$F$92</v>
      </c>
      <c r="E5099" t="s">
        <v>9</v>
      </c>
      <c r="F5099" t="s">
        <v>130</v>
      </c>
      <c r="G5099" t="s">
        <v>142</v>
      </c>
      <c r="H5099" t="s">
        <v>18</v>
      </c>
      <c r="I5099" t="e">
        <f t="shared" ca="1" si="402"/>
        <v>#REF!</v>
      </c>
      <c r="J5099" t="str">
        <f>VLOOKUP($G5099,DefinitionArrays!$I$6:$J$12,2,FALSE)</f>
        <v>Workweek</v>
      </c>
    </row>
    <row r="5100" spans="1:10">
      <c r="A5100" s="159" t="str">
        <f t="shared" si="398"/>
        <v>$E$1:$E$92</v>
      </c>
      <c r="B5100" s="159" t="str">
        <f t="shared" si="399"/>
        <v>$F$1:$F$92</v>
      </c>
      <c r="C5100" s="159" t="str">
        <f t="shared" si="400"/>
        <v>November!$E$1:$E$92</v>
      </c>
      <c r="D5100" s="159" t="str">
        <f t="shared" si="401"/>
        <v>November!$F$1:$F$92</v>
      </c>
      <c r="E5100" t="s">
        <v>9</v>
      </c>
      <c r="F5100" t="s">
        <v>130</v>
      </c>
      <c r="G5100" t="s">
        <v>142</v>
      </c>
      <c r="H5100" t="s">
        <v>153</v>
      </c>
      <c r="I5100" t="e">
        <f t="shared" ca="1" si="402"/>
        <v>#REF!</v>
      </c>
      <c r="J5100" t="str">
        <f>VLOOKUP($G5100,DefinitionArrays!$I$6:$J$12,2,FALSE)</f>
        <v>Workweek</v>
      </c>
    </row>
    <row r="5101" spans="1:10">
      <c r="A5101" s="159" t="str">
        <f t="shared" si="398"/>
        <v>$E$1:$E$92</v>
      </c>
      <c r="B5101" s="159" t="str">
        <f t="shared" si="399"/>
        <v>$F$1:$F$92</v>
      </c>
      <c r="C5101" s="159" t="str">
        <f t="shared" si="400"/>
        <v>November!$E$1:$E$92</v>
      </c>
      <c r="D5101" s="159" t="str">
        <f t="shared" si="401"/>
        <v>November!$F$1:$F$92</v>
      </c>
      <c r="E5101" t="s">
        <v>9</v>
      </c>
      <c r="F5101" t="s">
        <v>130</v>
      </c>
      <c r="G5101" t="s">
        <v>142</v>
      </c>
      <c r="H5101" t="s">
        <v>19</v>
      </c>
      <c r="I5101" t="e">
        <f t="shared" ca="1" si="402"/>
        <v>#REF!</v>
      </c>
      <c r="J5101" t="str">
        <f>VLOOKUP($G5101,DefinitionArrays!$I$6:$J$12,2,FALSE)</f>
        <v>Workweek</v>
      </c>
    </row>
    <row r="5102" spans="1:10">
      <c r="A5102" s="159" t="str">
        <f t="shared" si="398"/>
        <v>$E$1:$E$92</v>
      </c>
      <c r="B5102" s="159" t="str">
        <f t="shared" si="399"/>
        <v>$F$1:$F$92</v>
      </c>
      <c r="C5102" s="159" t="str">
        <f t="shared" si="400"/>
        <v>November!$E$1:$E$92</v>
      </c>
      <c r="D5102" s="159" t="str">
        <f t="shared" si="401"/>
        <v>November!$F$1:$F$92</v>
      </c>
      <c r="E5102" t="s">
        <v>9</v>
      </c>
      <c r="F5102" t="s">
        <v>130</v>
      </c>
      <c r="G5102" t="s">
        <v>142</v>
      </c>
      <c r="H5102" t="s">
        <v>20</v>
      </c>
      <c r="I5102" t="e">
        <f t="shared" ca="1" si="402"/>
        <v>#REF!</v>
      </c>
      <c r="J5102" t="str">
        <f>VLOOKUP($G5102,DefinitionArrays!$I$6:$J$12,2,FALSE)</f>
        <v>Workweek</v>
      </c>
    </row>
    <row r="5103" spans="1:10">
      <c r="A5103" s="159" t="str">
        <f t="shared" si="398"/>
        <v>$E$1:$E$92</v>
      </c>
      <c r="B5103" s="159" t="str">
        <f t="shared" si="399"/>
        <v>$F$1:$F$92</v>
      </c>
      <c r="C5103" s="159" t="str">
        <f t="shared" si="400"/>
        <v>November!$E$1:$E$92</v>
      </c>
      <c r="D5103" s="159" t="str">
        <f t="shared" si="401"/>
        <v>November!$F$1:$F$92</v>
      </c>
      <c r="E5103" t="s">
        <v>9</v>
      </c>
      <c r="F5103" t="s">
        <v>130</v>
      </c>
      <c r="G5103" t="s">
        <v>142</v>
      </c>
      <c r="H5103" t="s">
        <v>21</v>
      </c>
      <c r="I5103" t="e">
        <f t="shared" ca="1" si="402"/>
        <v>#REF!</v>
      </c>
      <c r="J5103" t="str">
        <f>VLOOKUP($G5103,DefinitionArrays!$I$6:$J$12,2,FALSE)</f>
        <v>Workweek</v>
      </c>
    </row>
    <row r="5104" spans="1:10">
      <c r="A5104" s="159" t="str">
        <f t="shared" si="398"/>
        <v>$E$1:$E$92</v>
      </c>
      <c r="B5104" s="159" t="str">
        <f t="shared" si="399"/>
        <v>$F$1:$F$92</v>
      </c>
      <c r="C5104" s="159" t="str">
        <f t="shared" si="400"/>
        <v>November!$E$1:$E$92</v>
      </c>
      <c r="D5104" s="159" t="str">
        <f t="shared" si="401"/>
        <v>November!$F$1:$F$92</v>
      </c>
      <c r="E5104" t="s">
        <v>9</v>
      </c>
      <c r="F5104" t="s">
        <v>130</v>
      </c>
      <c r="G5104" t="s">
        <v>142</v>
      </c>
      <c r="H5104" t="s">
        <v>22</v>
      </c>
      <c r="I5104" t="e">
        <f t="shared" ca="1" si="402"/>
        <v>#REF!</v>
      </c>
      <c r="J5104" t="str">
        <f>VLOOKUP($G5104,DefinitionArrays!$I$6:$J$12,2,FALSE)</f>
        <v>Workweek</v>
      </c>
    </row>
    <row r="5105" spans="1:10">
      <c r="A5105" s="159" t="str">
        <f t="shared" si="398"/>
        <v>$E$1:$E$92</v>
      </c>
      <c r="B5105" s="159" t="str">
        <f t="shared" si="399"/>
        <v>$F$1:$F$92</v>
      </c>
      <c r="C5105" s="159" t="str">
        <f t="shared" si="400"/>
        <v>November!$E$1:$E$92</v>
      </c>
      <c r="D5105" s="159" t="str">
        <f t="shared" si="401"/>
        <v>November!$F$1:$F$92</v>
      </c>
      <c r="E5105" t="s">
        <v>9</v>
      </c>
      <c r="F5105" t="s">
        <v>130</v>
      </c>
      <c r="G5105" t="s">
        <v>142</v>
      </c>
      <c r="H5105" t="s">
        <v>23</v>
      </c>
      <c r="I5105" t="e">
        <f t="shared" ca="1" si="402"/>
        <v>#REF!</v>
      </c>
      <c r="J5105" t="str">
        <f>VLOOKUP($G5105,DefinitionArrays!$I$6:$J$12,2,FALSE)</f>
        <v>Workweek</v>
      </c>
    </row>
    <row r="5106" spans="1:10">
      <c r="A5106" s="159" t="str">
        <f t="shared" si="398"/>
        <v>$E$1:$E$92</v>
      </c>
      <c r="B5106" s="159" t="str">
        <f t="shared" si="399"/>
        <v>$F$1:$F$92</v>
      </c>
      <c r="C5106" s="159" t="str">
        <f t="shared" si="400"/>
        <v>November!$E$1:$E$92</v>
      </c>
      <c r="D5106" s="159" t="str">
        <f t="shared" si="401"/>
        <v>November!$F$1:$F$92</v>
      </c>
      <c r="E5106" t="s">
        <v>9</v>
      </c>
      <c r="F5106" t="s">
        <v>130</v>
      </c>
      <c r="G5106" t="s">
        <v>142</v>
      </c>
      <c r="H5106" t="s">
        <v>24</v>
      </c>
      <c r="I5106" t="e">
        <f t="shared" ca="1" si="402"/>
        <v>#REF!</v>
      </c>
      <c r="J5106" t="str">
        <f>VLOOKUP($G5106,DefinitionArrays!$I$6:$J$12,2,FALSE)</f>
        <v>Workweek</v>
      </c>
    </row>
    <row r="5107" spans="1:10">
      <c r="A5107" s="159" t="str">
        <f t="shared" si="398"/>
        <v>$E$1:$E$92</v>
      </c>
      <c r="B5107" s="159" t="str">
        <f t="shared" si="399"/>
        <v>$F$1:$F$92</v>
      </c>
      <c r="C5107" s="159" t="str">
        <f t="shared" si="400"/>
        <v>November!$E$1:$E$92</v>
      </c>
      <c r="D5107" s="159" t="str">
        <f t="shared" si="401"/>
        <v>November!$F$1:$F$92</v>
      </c>
      <c r="E5107" t="s">
        <v>9</v>
      </c>
      <c r="F5107" t="s">
        <v>130</v>
      </c>
      <c r="G5107" t="s">
        <v>142</v>
      </c>
      <c r="H5107" t="s">
        <v>179</v>
      </c>
      <c r="I5107" t="e">
        <f t="shared" ca="1" si="402"/>
        <v>#REF!</v>
      </c>
      <c r="J5107" t="str">
        <f>VLOOKUP($G5107,DefinitionArrays!$I$6:$J$12,2,FALSE)</f>
        <v>Workweek</v>
      </c>
    </row>
    <row r="5108" spans="1:10">
      <c r="A5108" s="159" t="str">
        <f t="shared" si="398"/>
        <v>$E$1:$E$92</v>
      </c>
      <c r="B5108" s="159" t="str">
        <f t="shared" si="399"/>
        <v>$F$1:$F$92</v>
      </c>
      <c r="C5108" s="159" t="str">
        <f t="shared" si="400"/>
        <v>November!$E$1:$E$92</v>
      </c>
      <c r="D5108" s="159" t="str">
        <f t="shared" si="401"/>
        <v>November!$F$1:$F$92</v>
      </c>
      <c r="E5108" t="s">
        <v>9</v>
      </c>
      <c r="F5108" t="s">
        <v>130</v>
      </c>
      <c r="G5108" t="s">
        <v>142</v>
      </c>
      <c r="H5108" t="s">
        <v>180</v>
      </c>
      <c r="I5108" t="e">
        <f t="shared" ca="1" si="402"/>
        <v>#REF!</v>
      </c>
      <c r="J5108" t="str">
        <f>VLOOKUP($G5108,DefinitionArrays!$I$6:$J$12,2,FALSE)</f>
        <v>Workweek</v>
      </c>
    </row>
    <row r="5109" spans="1:10">
      <c r="A5109" s="159" t="str">
        <f t="shared" si="398"/>
        <v>$E$1:$E$92</v>
      </c>
      <c r="B5109" s="159" t="str">
        <f t="shared" si="399"/>
        <v>$F$1:$F$92</v>
      </c>
      <c r="C5109" s="159" t="str">
        <f t="shared" si="400"/>
        <v>November!$E$1:$E$92</v>
      </c>
      <c r="D5109" s="159" t="str">
        <f t="shared" si="401"/>
        <v>November!$F$1:$F$92</v>
      </c>
      <c r="E5109" t="s">
        <v>9</v>
      </c>
      <c r="F5109" t="s">
        <v>130</v>
      </c>
      <c r="G5109" t="s">
        <v>142</v>
      </c>
      <c r="H5109" t="s">
        <v>44</v>
      </c>
      <c r="I5109" t="e">
        <f t="shared" ca="1" si="402"/>
        <v>#REF!</v>
      </c>
      <c r="J5109" t="str">
        <f>VLOOKUP($G5109,DefinitionArrays!$I$6:$J$12,2,FALSE)</f>
        <v>Workweek</v>
      </c>
    </row>
    <row r="5110" spans="1:10">
      <c r="A5110" s="159" t="str">
        <f t="shared" si="398"/>
        <v>$H$1:$H$92</v>
      </c>
      <c r="B5110" s="159" t="str">
        <f t="shared" si="399"/>
        <v>$I$1:$I$92</v>
      </c>
      <c r="C5110" s="159" t="str">
        <f t="shared" si="400"/>
        <v>November!$H$1:$H$92</v>
      </c>
      <c r="D5110" s="159" t="str">
        <f t="shared" si="401"/>
        <v>November!$I$1:$I$92</v>
      </c>
      <c r="E5110" t="s">
        <v>9</v>
      </c>
      <c r="F5110" t="s">
        <v>130</v>
      </c>
      <c r="G5110" t="s">
        <v>143</v>
      </c>
      <c r="H5110" t="s">
        <v>159</v>
      </c>
      <c r="I5110" t="e">
        <f t="shared" ca="1" si="402"/>
        <v>#REF!</v>
      </c>
      <c r="J5110" t="str">
        <f>VLOOKUP($G5110,DefinitionArrays!$I$6:$J$12,2,FALSE)</f>
        <v>Workweek</v>
      </c>
    </row>
    <row r="5111" spans="1:10">
      <c r="A5111" s="159" t="str">
        <f t="shared" si="398"/>
        <v>$H$1:$H$92</v>
      </c>
      <c r="B5111" s="159" t="str">
        <f t="shared" si="399"/>
        <v>$I$1:$I$92</v>
      </c>
      <c r="C5111" s="159" t="str">
        <f t="shared" si="400"/>
        <v>November!$H$1:$H$92</v>
      </c>
      <c r="D5111" s="159" t="str">
        <f t="shared" si="401"/>
        <v>November!$I$1:$I$92</v>
      </c>
      <c r="E5111" t="s">
        <v>9</v>
      </c>
      <c r="F5111" t="s">
        <v>130</v>
      </c>
      <c r="G5111" t="s">
        <v>143</v>
      </c>
      <c r="H5111" t="s">
        <v>18</v>
      </c>
      <c r="I5111" t="e">
        <f t="shared" ca="1" si="402"/>
        <v>#REF!</v>
      </c>
      <c r="J5111" t="str">
        <f>VLOOKUP($G5111,DefinitionArrays!$I$6:$J$12,2,FALSE)</f>
        <v>Workweek</v>
      </c>
    </row>
    <row r="5112" spans="1:10">
      <c r="A5112" s="159" t="str">
        <f t="shared" si="398"/>
        <v>$H$1:$H$92</v>
      </c>
      <c r="B5112" s="159" t="str">
        <f t="shared" si="399"/>
        <v>$I$1:$I$92</v>
      </c>
      <c r="C5112" s="159" t="str">
        <f t="shared" si="400"/>
        <v>November!$H$1:$H$92</v>
      </c>
      <c r="D5112" s="159" t="str">
        <f t="shared" si="401"/>
        <v>November!$I$1:$I$92</v>
      </c>
      <c r="E5112" t="s">
        <v>9</v>
      </c>
      <c r="F5112" t="s">
        <v>130</v>
      </c>
      <c r="G5112" t="s">
        <v>143</v>
      </c>
      <c r="H5112" t="s">
        <v>153</v>
      </c>
      <c r="I5112" t="e">
        <f t="shared" ca="1" si="402"/>
        <v>#REF!</v>
      </c>
      <c r="J5112" t="str">
        <f>VLOOKUP($G5112,DefinitionArrays!$I$6:$J$12,2,FALSE)</f>
        <v>Workweek</v>
      </c>
    </row>
    <row r="5113" spans="1:10">
      <c r="A5113" s="159" t="str">
        <f t="shared" si="398"/>
        <v>$H$1:$H$92</v>
      </c>
      <c r="B5113" s="159" t="str">
        <f t="shared" si="399"/>
        <v>$I$1:$I$92</v>
      </c>
      <c r="C5113" s="159" t="str">
        <f t="shared" si="400"/>
        <v>November!$H$1:$H$92</v>
      </c>
      <c r="D5113" s="159" t="str">
        <f t="shared" si="401"/>
        <v>November!$I$1:$I$92</v>
      </c>
      <c r="E5113" t="s">
        <v>9</v>
      </c>
      <c r="F5113" t="s">
        <v>130</v>
      </c>
      <c r="G5113" t="s">
        <v>143</v>
      </c>
      <c r="H5113" t="s">
        <v>19</v>
      </c>
      <c r="I5113" t="e">
        <f t="shared" ca="1" si="402"/>
        <v>#REF!</v>
      </c>
      <c r="J5113" t="str">
        <f>VLOOKUP($G5113,DefinitionArrays!$I$6:$J$12,2,FALSE)</f>
        <v>Workweek</v>
      </c>
    </row>
    <row r="5114" spans="1:10">
      <c r="A5114" s="159" t="str">
        <f t="shared" si="398"/>
        <v>$H$1:$H$92</v>
      </c>
      <c r="B5114" s="159" t="str">
        <f t="shared" si="399"/>
        <v>$I$1:$I$92</v>
      </c>
      <c r="C5114" s="159" t="str">
        <f t="shared" si="400"/>
        <v>November!$H$1:$H$92</v>
      </c>
      <c r="D5114" s="159" t="str">
        <f t="shared" si="401"/>
        <v>November!$I$1:$I$92</v>
      </c>
      <c r="E5114" t="s">
        <v>9</v>
      </c>
      <c r="F5114" t="s">
        <v>130</v>
      </c>
      <c r="G5114" t="s">
        <v>143</v>
      </c>
      <c r="H5114" t="s">
        <v>20</v>
      </c>
      <c r="I5114" t="e">
        <f t="shared" ca="1" si="402"/>
        <v>#REF!</v>
      </c>
      <c r="J5114" t="str">
        <f>VLOOKUP($G5114,DefinitionArrays!$I$6:$J$12,2,FALSE)</f>
        <v>Workweek</v>
      </c>
    </row>
    <row r="5115" spans="1:10">
      <c r="A5115" s="159" t="str">
        <f t="shared" si="398"/>
        <v>$H$1:$H$92</v>
      </c>
      <c r="B5115" s="159" t="str">
        <f t="shared" si="399"/>
        <v>$I$1:$I$92</v>
      </c>
      <c r="C5115" s="159" t="str">
        <f t="shared" si="400"/>
        <v>November!$H$1:$H$92</v>
      </c>
      <c r="D5115" s="159" t="str">
        <f t="shared" si="401"/>
        <v>November!$I$1:$I$92</v>
      </c>
      <c r="E5115" t="s">
        <v>9</v>
      </c>
      <c r="F5115" t="s">
        <v>130</v>
      </c>
      <c r="G5115" t="s">
        <v>143</v>
      </c>
      <c r="H5115" t="s">
        <v>21</v>
      </c>
      <c r="I5115" t="e">
        <f t="shared" ca="1" si="402"/>
        <v>#REF!</v>
      </c>
      <c r="J5115" t="str">
        <f>VLOOKUP($G5115,DefinitionArrays!$I$6:$J$12,2,FALSE)</f>
        <v>Workweek</v>
      </c>
    </row>
    <row r="5116" spans="1:10">
      <c r="A5116" s="159" t="str">
        <f t="shared" si="398"/>
        <v>$H$1:$H$92</v>
      </c>
      <c r="B5116" s="159" t="str">
        <f t="shared" si="399"/>
        <v>$I$1:$I$92</v>
      </c>
      <c r="C5116" s="159" t="str">
        <f t="shared" si="400"/>
        <v>November!$H$1:$H$92</v>
      </c>
      <c r="D5116" s="159" t="str">
        <f t="shared" si="401"/>
        <v>November!$I$1:$I$92</v>
      </c>
      <c r="E5116" t="s">
        <v>9</v>
      </c>
      <c r="F5116" t="s">
        <v>130</v>
      </c>
      <c r="G5116" t="s">
        <v>143</v>
      </c>
      <c r="H5116" t="s">
        <v>22</v>
      </c>
      <c r="I5116" t="e">
        <f t="shared" ca="1" si="402"/>
        <v>#REF!</v>
      </c>
      <c r="J5116" t="str">
        <f>VLOOKUP($G5116,DefinitionArrays!$I$6:$J$12,2,FALSE)</f>
        <v>Workweek</v>
      </c>
    </row>
    <row r="5117" spans="1:10">
      <c r="A5117" s="159" t="str">
        <f t="shared" si="398"/>
        <v>$H$1:$H$92</v>
      </c>
      <c r="B5117" s="159" t="str">
        <f t="shared" si="399"/>
        <v>$I$1:$I$92</v>
      </c>
      <c r="C5117" s="159" t="str">
        <f t="shared" si="400"/>
        <v>November!$H$1:$H$92</v>
      </c>
      <c r="D5117" s="159" t="str">
        <f t="shared" si="401"/>
        <v>November!$I$1:$I$92</v>
      </c>
      <c r="E5117" t="s">
        <v>9</v>
      </c>
      <c r="F5117" t="s">
        <v>130</v>
      </c>
      <c r="G5117" t="s">
        <v>143</v>
      </c>
      <c r="H5117" t="s">
        <v>23</v>
      </c>
      <c r="I5117" t="e">
        <f t="shared" ca="1" si="402"/>
        <v>#REF!</v>
      </c>
      <c r="J5117" t="str">
        <f>VLOOKUP($G5117,DefinitionArrays!$I$6:$J$12,2,FALSE)</f>
        <v>Workweek</v>
      </c>
    </row>
    <row r="5118" spans="1:10">
      <c r="A5118" s="159" t="str">
        <f t="shared" si="398"/>
        <v>$H$1:$H$92</v>
      </c>
      <c r="B5118" s="159" t="str">
        <f t="shared" si="399"/>
        <v>$I$1:$I$92</v>
      </c>
      <c r="C5118" s="159" t="str">
        <f t="shared" si="400"/>
        <v>November!$H$1:$H$92</v>
      </c>
      <c r="D5118" s="159" t="str">
        <f t="shared" si="401"/>
        <v>November!$I$1:$I$92</v>
      </c>
      <c r="E5118" t="s">
        <v>9</v>
      </c>
      <c r="F5118" t="s">
        <v>130</v>
      </c>
      <c r="G5118" t="s">
        <v>143</v>
      </c>
      <c r="H5118" t="s">
        <v>24</v>
      </c>
      <c r="I5118" t="e">
        <f t="shared" ca="1" si="402"/>
        <v>#REF!</v>
      </c>
      <c r="J5118" t="str">
        <f>VLOOKUP($G5118,DefinitionArrays!$I$6:$J$12,2,FALSE)</f>
        <v>Workweek</v>
      </c>
    </row>
    <row r="5119" spans="1:10">
      <c r="A5119" s="159" t="str">
        <f t="shared" si="398"/>
        <v>$H$1:$H$92</v>
      </c>
      <c r="B5119" s="159" t="str">
        <f t="shared" si="399"/>
        <v>$I$1:$I$92</v>
      </c>
      <c r="C5119" s="159" t="str">
        <f t="shared" si="400"/>
        <v>November!$H$1:$H$92</v>
      </c>
      <c r="D5119" s="159" t="str">
        <f t="shared" si="401"/>
        <v>November!$I$1:$I$92</v>
      </c>
      <c r="E5119" t="s">
        <v>9</v>
      </c>
      <c r="F5119" t="s">
        <v>130</v>
      </c>
      <c r="G5119" t="s">
        <v>143</v>
      </c>
      <c r="H5119" t="s">
        <v>179</v>
      </c>
      <c r="I5119" t="e">
        <f t="shared" ca="1" si="402"/>
        <v>#REF!</v>
      </c>
      <c r="J5119" t="str">
        <f>VLOOKUP($G5119,DefinitionArrays!$I$6:$J$12,2,FALSE)</f>
        <v>Workweek</v>
      </c>
    </row>
    <row r="5120" spans="1:10">
      <c r="A5120" s="159" t="str">
        <f t="shared" si="398"/>
        <v>$H$1:$H$92</v>
      </c>
      <c r="B5120" s="159" t="str">
        <f t="shared" si="399"/>
        <v>$I$1:$I$92</v>
      </c>
      <c r="C5120" s="159" t="str">
        <f t="shared" si="400"/>
        <v>November!$H$1:$H$92</v>
      </c>
      <c r="D5120" s="159" t="str">
        <f t="shared" si="401"/>
        <v>November!$I$1:$I$92</v>
      </c>
      <c r="E5120" t="s">
        <v>9</v>
      </c>
      <c r="F5120" t="s">
        <v>130</v>
      </c>
      <c r="G5120" t="s">
        <v>143</v>
      </c>
      <c r="H5120" t="s">
        <v>180</v>
      </c>
      <c r="I5120" t="e">
        <f t="shared" ca="1" si="402"/>
        <v>#REF!</v>
      </c>
      <c r="J5120" t="str">
        <f>VLOOKUP($G5120,DefinitionArrays!$I$6:$J$12,2,FALSE)</f>
        <v>Workweek</v>
      </c>
    </row>
    <row r="5121" spans="1:10">
      <c r="A5121" s="159" t="str">
        <f t="shared" si="398"/>
        <v>$H$1:$H$92</v>
      </c>
      <c r="B5121" s="159" t="str">
        <f t="shared" si="399"/>
        <v>$I$1:$I$92</v>
      </c>
      <c r="C5121" s="159" t="str">
        <f t="shared" si="400"/>
        <v>November!$H$1:$H$92</v>
      </c>
      <c r="D5121" s="159" t="str">
        <f t="shared" si="401"/>
        <v>November!$I$1:$I$92</v>
      </c>
      <c r="E5121" t="s">
        <v>9</v>
      </c>
      <c r="F5121" t="s">
        <v>130</v>
      </c>
      <c r="G5121" t="s">
        <v>143</v>
      </c>
      <c r="H5121" t="s">
        <v>44</v>
      </c>
      <c r="I5121" t="e">
        <f t="shared" ca="1" si="402"/>
        <v>#REF!</v>
      </c>
      <c r="J5121" t="str">
        <f>VLOOKUP($G5121,DefinitionArrays!$I$6:$J$12,2,FALSE)</f>
        <v>Workweek</v>
      </c>
    </row>
    <row r="5122" spans="1:10">
      <c r="A5122" s="159" t="str">
        <f t="shared" ref="A5122:A5185" si="403">VLOOKUP($G5122,Fx_Code,2,FALSE)</f>
        <v>$K$1:$K$92</v>
      </c>
      <c r="B5122" s="159" t="str">
        <f t="shared" ref="B5122:B5185" si="404">VLOOKUP($G5122,Fx_Code,3,FALSE)</f>
        <v>$L$1:$L$92</v>
      </c>
      <c r="C5122" s="159" t="str">
        <f t="shared" ref="C5122:C5185" si="405">CONCATENATE($F5122,$K$1,A5122)</f>
        <v>November!$K$1:$K$92</v>
      </c>
      <c r="D5122" s="159" t="str">
        <f t="shared" ref="D5122:D5185" si="406">CONCATENATE($F5122,$K$1,B5122)</f>
        <v>November!$L$1:$L$92</v>
      </c>
      <c r="E5122" t="s">
        <v>9</v>
      </c>
      <c r="F5122" t="s">
        <v>130</v>
      </c>
      <c r="G5122" t="s">
        <v>144</v>
      </c>
      <c r="H5122" t="s">
        <v>159</v>
      </c>
      <c r="I5122" t="e">
        <f t="shared" ca="1" si="402"/>
        <v>#REF!</v>
      </c>
      <c r="J5122" t="str">
        <f>VLOOKUP($G5122,DefinitionArrays!$I$6:$J$12,2,FALSE)</f>
        <v>Workweek</v>
      </c>
    </row>
    <row r="5123" spans="1:10">
      <c r="A5123" s="159" t="str">
        <f t="shared" si="403"/>
        <v>$K$1:$K$92</v>
      </c>
      <c r="B5123" s="159" t="str">
        <f t="shared" si="404"/>
        <v>$L$1:$L$92</v>
      </c>
      <c r="C5123" s="159" t="str">
        <f t="shared" si="405"/>
        <v>November!$K$1:$K$92</v>
      </c>
      <c r="D5123" s="159" t="str">
        <f t="shared" si="406"/>
        <v>November!$L$1:$L$92</v>
      </c>
      <c r="E5123" t="s">
        <v>9</v>
      </c>
      <c r="F5123" t="s">
        <v>130</v>
      </c>
      <c r="G5123" t="s">
        <v>144</v>
      </c>
      <c r="H5123" t="s">
        <v>18</v>
      </c>
      <c r="I5123" t="e">
        <f t="shared" ca="1" si="402"/>
        <v>#REF!</v>
      </c>
      <c r="J5123" t="str">
        <f>VLOOKUP($G5123,DefinitionArrays!$I$6:$J$12,2,FALSE)</f>
        <v>Workweek</v>
      </c>
    </row>
    <row r="5124" spans="1:10">
      <c r="A5124" s="159" t="str">
        <f t="shared" si="403"/>
        <v>$K$1:$K$92</v>
      </c>
      <c r="B5124" s="159" t="str">
        <f t="shared" si="404"/>
        <v>$L$1:$L$92</v>
      </c>
      <c r="C5124" s="159" t="str">
        <f t="shared" si="405"/>
        <v>November!$K$1:$K$92</v>
      </c>
      <c r="D5124" s="159" t="str">
        <f t="shared" si="406"/>
        <v>November!$L$1:$L$92</v>
      </c>
      <c r="E5124" t="s">
        <v>9</v>
      </c>
      <c r="F5124" t="s">
        <v>130</v>
      </c>
      <c r="G5124" t="s">
        <v>144</v>
      </c>
      <c r="H5124" t="s">
        <v>153</v>
      </c>
      <c r="I5124" t="e">
        <f t="shared" ca="1" si="402"/>
        <v>#REF!</v>
      </c>
      <c r="J5124" t="str">
        <f>VLOOKUP($G5124,DefinitionArrays!$I$6:$J$12,2,FALSE)</f>
        <v>Workweek</v>
      </c>
    </row>
    <row r="5125" spans="1:10">
      <c r="A5125" s="159" t="str">
        <f t="shared" si="403"/>
        <v>$K$1:$K$92</v>
      </c>
      <c r="B5125" s="159" t="str">
        <f t="shared" si="404"/>
        <v>$L$1:$L$92</v>
      </c>
      <c r="C5125" s="159" t="str">
        <f t="shared" si="405"/>
        <v>November!$K$1:$K$92</v>
      </c>
      <c r="D5125" s="159" t="str">
        <f t="shared" si="406"/>
        <v>November!$L$1:$L$92</v>
      </c>
      <c r="E5125" t="s">
        <v>9</v>
      </c>
      <c r="F5125" t="s">
        <v>130</v>
      </c>
      <c r="G5125" t="s">
        <v>144</v>
      </c>
      <c r="H5125" t="s">
        <v>19</v>
      </c>
      <c r="I5125" t="e">
        <f t="shared" ca="1" si="402"/>
        <v>#REF!</v>
      </c>
      <c r="J5125" t="str">
        <f>VLOOKUP($G5125,DefinitionArrays!$I$6:$J$12,2,FALSE)</f>
        <v>Workweek</v>
      </c>
    </row>
    <row r="5126" spans="1:10">
      <c r="A5126" s="159" t="str">
        <f t="shared" si="403"/>
        <v>$K$1:$K$92</v>
      </c>
      <c r="B5126" s="159" t="str">
        <f t="shared" si="404"/>
        <v>$L$1:$L$92</v>
      </c>
      <c r="C5126" s="159" t="str">
        <f t="shared" si="405"/>
        <v>November!$K$1:$K$92</v>
      </c>
      <c r="D5126" s="159" t="str">
        <f t="shared" si="406"/>
        <v>November!$L$1:$L$92</v>
      </c>
      <c r="E5126" t="s">
        <v>9</v>
      </c>
      <c r="F5126" t="s">
        <v>130</v>
      </c>
      <c r="G5126" t="s">
        <v>144</v>
      </c>
      <c r="H5126" t="s">
        <v>20</v>
      </c>
      <c r="I5126" t="e">
        <f t="shared" ca="1" si="402"/>
        <v>#REF!</v>
      </c>
      <c r="J5126" t="str">
        <f>VLOOKUP($G5126,DefinitionArrays!$I$6:$J$12,2,FALSE)</f>
        <v>Workweek</v>
      </c>
    </row>
    <row r="5127" spans="1:10">
      <c r="A5127" s="159" t="str">
        <f t="shared" si="403"/>
        <v>$K$1:$K$92</v>
      </c>
      <c r="B5127" s="159" t="str">
        <f t="shared" si="404"/>
        <v>$L$1:$L$92</v>
      </c>
      <c r="C5127" s="159" t="str">
        <f t="shared" si="405"/>
        <v>November!$K$1:$K$92</v>
      </c>
      <c r="D5127" s="159" t="str">
        <f t="shared" si="406"/>
        <v>November!$L$1:$L$92</v>
      </c>
      <c r="E5127" t="s">
        <v>9</v>
      </c>
      <c r="F5127" t="s">
        <v>130</v>
      </c>
      <c r="G5127" t="s">
        <v>144</v>
      </c>
      <c r="H5127" t="s">
        <v>21</v>
      </c>
      <c r="I5127" t="e">
        <f t="shared" ca="1" si="402"/>
        <v>#REF!</v>
      </c>
      <c r="J5127" t="str">
        <f>VLOOKUP($G5127,DefinitionArrays!$I$6:$J$12,2,FALSE)</f>
        <v>Workweek</v>
      </c>
    </row>
    <row r="5128" spans="1:10">
      <c r="A5128" s="159" t="str">
        <f t="shared" si="403"/>
        <v>$K$1:$K$92</v>
      </c>
      <c r="B5128" s="159" t="str">
        <f t="shared" si="404"/>
        <v>$L$1:$L$92</v>
      </c>
      <c r="C5128" s="159" t="str">
        <f t="shared" si="405"/>
        <v>November!$K$1:$K$92</v>
      </c>
      <c r="D5128" s="159" t="str">
        <f t="shared" si="406"/>
        <v>November!$L$1:$L$92</v>
      </c>
      <c r="E5128" t="s">
        <v>9</v>
      </c>
      <c r="F5128" t="s">
        <v>130</v>
      </c>
      <c r="G5128" t="s">
        <v>144</v>
      </c>
      <c r="H5128" t="s">
        <v>22</v>
      </c>
      <c r="I5128" t="e">
        <f t="shared" ca="1" si="402"/>
        <v>#REF!</v>
      </c>
      <c r="J5128" t="str">
        <f>VLOOKUP($G5128,DefinitionArrays!$I$6:$J$12,2,FALSE)</f>
        <v>Workweek</v>
      </c>
    </row>
    <row r="5129" spans="1:10">
      <c r="A5129" s="159" t="str">
        <f t="shared" si="403"/>
        <v>$K$1:$K$92</v>
      </c>
      <c r="B5129" s="159" t="str">
        <f t="shared" si="404"/>
        <v>$L$1:$L$92</v>
      </c>
      <c r="C5129" s="159" t="str">
        <f t="shared" si="405"/>
        <v>November!$K$1:$K$92</v>
      </c>
      <c r="D5129" s="159" t="str">
        <f t="shared" si="406"/>
        <v>November!$L$1:$L$92</v>
      </c>
      <c r="E5129" t="s">
        <v>9</v>
      </c>
      <c r="F5129" t="s">
        <v>130</v>
      </c>
      <c r="G5129" t="s">
        <v>144</v>
      </c>
      <c r="H5129" t="s">
        <v>23</v>
      </c>
      <c r="I5129" t="e">
        <f t="shared" ca="1" si="402"/>
        <v>#REF!</v>
      </c>
      <c r="J5129" t="str">
        <f>VLOOKUP($G5129,DefinitionArrays!$I$6:$J$12,2,FALSE)</f>
        <v>Workweek</v>
      </c>
    </row>
    <row r="5130" spans="1:10">
      <c r="A5130" s="159" t="str">
        <f t="shared" si="403"/>
        <v>$K$1:$K$92</v>
      </c>
      <c r="B5130" s="159" t="str">
        <f t="shared" si="404"/>
        <v>$L$1:$L$92</v>
      </c>
      <c r="C5130" s="159" t="str">
        <f t="shared" si="405"/>
        <v>November!$K$1:$K$92</v>
      </c>
      <c r="D5130" s="159" t="str">
        <f t="shared" si="406"/>
        <v>November!$L$1:$L$92</v>
      </c>
      <c r="E5130" t="s">
        <v>9</v>
      </c>
      <c r="F5130" t="s">
        <v>130</v>
      </c>
      <c r="G5130" t="s">
        <v>144</v>
      </c>
      <c r="H5130" t="s">
        <v>24</v>
      </c>
      <c r="I5130" t="e">
        <f t="shared" ca="1" si="402"/>
        <v>#REF!</v>
      </c>
      <c r="J5130" t="str">
        <f>VLOOKUP($G5130,DefinitionArrays!$I$6:$J$12,2,FALSE)</f>
        <v>Workweek</v>
      </c>
    </row>
    <row r="5131" spans="1:10">
      <c r="A5131" s="159" t="str">
        <f t="shared" si="403"/>
        <v>$K$1:$K$92</v>
      </c>
      <c r="B5131" s="159" t="str">
        <f t="shared" si="404"/>
        <v>$L$1:$L$92</v>
      </c>
      <c r="C5131" s="159" t="str">
        <f t="shared" si="405"/>
        <v>November!$K$1:$K$92</v>
      </c>
      <c r="D5131" s="159" t="str">
        <f t="shared" si="406"/>
        <v>November!$L$1:$L$92</v>
      </c>
      <c r="E5131" t="s">
        <v>9</v>
      </c>
      <c r="F5131" t="s">
        <v>130</v>
      </c>
      <c r="G5131" t="s">
        <v>144</v>
      </c>
      <c r="H5131" t="s">
        <v>179</v>
      </c>
      <c r="I5131" t="e">
        <f t="shared" ca="1" si="402"/>
        <v>#REF!</v>
      </c>
      <c r="J5131" t="str">
        <f>VLOOKUP($G5131,DefinitionArrays!$I$6:$J$12,2,FALSE)</f>
        <v>Workweek</v>
      </c>
    </row>
    <row r="5132" spans="1:10">
      <c r="A5132" s="159" t="str">
        <f t="shared" si="403"/>
        <v>$K$1:$K$92</v>
      </c>
      <c r="B5132" s="159" t="str">
        <f t="shared" si="404"/>
        <v>$L$1:$L$92</v>
      </c>
      <c r="C5132" s="159" t="str">
        <f t="shared" si="405"/>
        <v>November!$K$1:$K$92</v>
      </c>
      <c r="D5132" s="159" t="str">
        <f t="shared" si="406"/>
        <v>November!$L$1:$L$92</v>
      </c>
      <c r="E5132" t="s">
        <v>9</v>
      </c>
      <c r="F5132" t="s">
        <v>130</v>
      </c>
      <c r="G5132" t="s">
        <v>144</v>
      </c>
      <c r="H5132" t="s">
        <v>180</v>
      </c>
      <c r="I5132" t="e">
        <f t="shared" ca="1" si="402"/>
        <v>#REF!</v>
      </c>
      <c r="J5132" t="str">
        <f>VLOOKUP($G5132,DefinitionArrays!$I$6:$J$12,2,FALSE)</f>
        <v>Workweek</v>
      </c>
    </row>
    <row r="5133" spans="1:10">
      <c r="A5133" s="159" t="str">
        <f t="shared" si="403"/>
        <v>$K$1:$K$92</v>
      </c>
      <c r="B5133" s="159" t="str">
        <f t="shared" si="404"/>
        <v>$L$1:$L$92</v>
      </c>
      <c r="C5133" s="159" t="str">
        <f t="shared" si="405"/>
        <v>November!$K$1:$K$92</v>
      </c>
      <c r="D5133" s="159" t="str">
        <f t="shared" si="406"/>
        <v>November!$L$1:$L$92</v>
      </c>
      <c r="E5133" t="s">
        <v>9</v>
      </c>
      <c r="F5133" t="s">
        <v>130</v>
      </c>
      <c r="G5133" t="s">
        <v>144</v>
      </c>
      <c r="H5133" t="s">
        <v>44</v>
      </c>
      <c r="I5133" t="e">
        <f t="shared" ca="1" si="402"/>
        <v>#REF!</v>
      </c>
      <c r="J5133" t="str">
        <f>VLOOKUP($G5133,DefinitionArrays!$I$6:$J$12,2,FALSE)</f>
        <v>Workweek</v>
      </c>
    </row>
    <row r="5134" spans="1:10">
      <c r="A5134" s="159" t="str">
        <f t="shared" si="403"/>
        <v>$N$1:$N$92</v>
      </c>
      <c r="B5134" s="159" t="str">
        <f t="shared" si="404"/>
        <v>$O$1:$O$92</v>
      </c>
      <c r="C5134" s="159" t="str">
        <f t="shared" si="405"/>
        <v>November!$N$1:$N$92</v>
      </c>
      <c r="D5134" s="159" t="str">
        <f t="shared" si="406"/>
        <v>November!$O$1:$O$92</v>
      </c>
      <c r="E5134" t="s">
        <v>9</v>
      </c>
      <c r="F5134" t="s">
        <v>130</v>
      </c>
      <c r="G5134" t="s">
        <v>145</v>
      </c>
      <c r="H5134" t="s">
        <v>159</v>
      </c>
      <c r="I5134" t="e">
        <f t="shared" ca="1" si="402"/>
        <v>#REF!</v>
      </c>
      <c r="J5134" t="str">
        <f>VLOOKUP($G5134,DefinitionArrays!$I$6:$J$12,2,FALSE)</f>
        <v>Weekend</v>
      </c>
    </row>
    <row r="5135" spans="1:10">
      <c r="A5135" s="159" t="str">
        <f t="shared" si="403"/>
        <v>$N$1:$N$92</v>
      </c>
      <c r="B5135" s="159" t="str">
        <f t="shared" si="404"/>
        <v>$O$1:$O$92</v>
      </c>
      <c r="C5135" s="159" t="str">
        <f t="shared" si="405"/>
        <v>November!$N$1:$N$92</v>
      </c>
      <c r="D5135" s="159" t="str">
        <f t="shared" si="406"/>
        <v>November!$O$1:$O$92</v>
      </c>
      <c r="E5135" t="s">
        <v>9</v>
      </c>
      <c r="F5135" t="s">
        <v>130</v>
      </c>
      <c r="G5135" t="s">
        <v>145</v>
      </c>
      <c r="H5135" t="s">
        <v>18</v>
      </c>
      <c r="I5135" t="e">
        <f t="shared" ca="1" si="402"/>
        <v>#REF!</v>
      </c>
      <c r="J5135" t="str">
        <f>VLOOKUP($G5135,DefinitionArrays!$I$6:$J$12,2,FALSE)</f>
        <v>Weekend</v>
      </c>
    </row>
    <row r="5136" spans="1:10">
      <c r="A5136" s="159" t="str">
        <f t="shared" si="403"/>
        <v>$N$1:$N$92</v>
      </c>
      <c r="B5136" s="159" t="str">
        <f t="shared" si="404"/>
        <v>$O$1:$O$92</v>
      </c>
      <c r="C5136" s="159" t="str">
        <f t="shared" si="405"/>
        <v>November!$N$1:$N$92</v>
      </c>
      <c r="D5136" s="159" t="str">
        <f t="shared" si="406"/>
        <v>November!$O$1:$O$92</v>
      </c>
      <c r="E5136" t="s">
        <v>9</v>
      </c>
      <c r="F5136" t="s">
        <v>130</v>
      </c>
      <c r="G5136" t="s">
        <v>145</v>
      </c>
      <c r="H5136" t="s">
        <v>153</v>
      </c>
      <c r="I5136" t="e">
        <f t="shared" ca="1" si="402"/>
        <v>#REF!</v>
      </c>
      <c r="J5136" t="str">
        <f>VLOOKUP($G5136,DefinitionArrays!$I$6:$J$12,2,FALSE)</f>
        <v>Weekend</v>
      </c>
    </row>
    <row r="5137" spans="1:10">
      <c r="A5137" s="159" t="str">
        <f t="shared" si="403"/>
        <v>$N$1:$N$92</v>
      </c>
      <c r="B5137" s="159" t="str">
        <f t="shared" si="404"/>
        <v>$O$1:$O$92</v>
      </c>
      <c r="C5137" s="159" t="str">
        <f t="shared" si="405"/>
        <v>November!$N$1:$N$92</v>
      </c>
      <c r="D5137" s="159" t="str">
        <f t="shared" si="406"/>
        <v>November!$O$1:$O$92</v>
      </c>
      <c r="E5137" t="s">
        <v>9</v>
      </c>
      <c r="F5137" t="s">
        <v>130</v>
      </c>
      <c r="G5137" t="s">
        <v>145</v>
      </c>
      <c r="H5137" t="s">
        <v>19</v>
      </c>
      <c r="I5137" t="e">
        <f t="shared" ca="1" si="402"/>
        <v>#REF!</v>
      </c>
      <c r="J5137" t="str">
        <f>VLOOKUP($G5137,DefinitionArrays!$I$6:$J$12,2,FALSE)</f>
        <v>Weekend</v>
      </c>
    </row>
    <row r="5138" spans="1:10">
      <c r="A5138" s="159" t="str">
        <f t="shared" si="403"/>
        <v>$N$1:$N$92</v>
      </c>
      <c r="B5138" s="159" t="str">
        <f t="shared" si="404"/>
        <v>$O$1:$O$92</v>
      </c>
      <c r="C5138" s="159" t="str">
        <f t="shared" si="405"/>
        <v>November!$N$1:$N$92</v>
      </c>
      <c r="D5138" s="159" t="str">
        <f t="shared" si="406"/>
        <v>November!$O$1:$O$92</v>
      </c>
      <c r="E5138" t="s">
        <v>9</v>
      </c>
      <c r="F5138" t="s">
        <v>130</v>
      </c>
      <c r="G5138" t="s">
        <v>145</v>
      </c>
      <c r="H5138" t="s">
        <v>20</v>
      </c>
      <c r="I5138" t="e">
        <f t="shared" ca="1" si="402"/>
        <v>#REF!</v>
      </c>
      <c r="J5138" t="str">
        <f>VLOOKUP($G5138,DefinitionArrays!$I$6:$J$12,2,FALSE)</f>
        <v>Weekend</v>
      </c>
    </row>
    <row r="5139" spans="1:10">
      <c r="A5139" s="159" t="str">
        <f t="shared" si="403"/>
        <v>$N$1:$N$92</v>
      </c>
      <c r="B5139" s="159" t="str">
        <f t="shared" si="404"/>
        <v>$O$1:$O$92</v>
      </c>
      <c r="C5139" s="159" t="str">
        <f t="shared" si="405"/>
        <v>November!$N$1:$N$92</v>
      </c>
      <c r="D5139" s="159" t="str">
        <f t="shared" si="406"/>
        <v>November!$O$1:$O$92</v>
      </c>
      <c r="E5139" t="s">
        <v>9</v>
      </c>
      <c r="F5139" t="s">
        <v>130</v>
      </c>
      <c r="G5139" t="s">
        <v>145</v>
      </c>
      <c r="H5139" t="s">
        <v>21</v>
      </c>
      <c r="I5139" t="e">
        <f t="shared" ca="1" si="402"/>
        <v>#REF!</v>
      </c>
      <c r="J5139" t="str">
        <f>VLOOKUP($G5139,DefinitionArrays!$I$6:$J$12,2,FALSE)</f>
        <v>Weekend</v>
      </c>
    </row>
    <row r="5140" spans="1:10">
      <c r="A5140" s="159" t="str">
        <f t="shared" si="403"/>
        <v>$N$1:$N$92</v>
      </c>
      <c r="B5140" s="159" t="str">
        <f t="shared" si="404"/>
        <v>$O$1:$O$92</v>
      </c>
      <c r="C5140" s="159" t="str">
        <f t="shared" si="405"/>
        <v>November!$N$1:$N$92</v>
      </c>
      <c r="D5140" s="159" t="str">
        <f t="shared" si="406"/>
        <v>November!$O$1:$O$92</v>
      </c>
      <c r="E5140" t="s">
        <v>9</v>
      </c>
      <c r="F5140" t="s">
        <v>130</v>
      </c>
      <c r="G5140" t="s">
        <v>145</v>
      </c>
      <c r="H5140" t="s">
        <v>22</v>
      </c>
      <c r="I5140" t="e">
        <f t="shared" ca="1" si="402"/>
        <v>#REF!</v>
      </c>
      <c r="J5140" t="str">
        <f>VLOOKUP($G5140,DefinitionArrays!$I$6:$J$12,2,FALSE)</f>
        <v>Weekend</v>
      </c>
    </row>
    <row r="5141" spans="1:10">
      <c r="A5141" s="159" t="str">
        <f t="shared" si="403"/>
        <v>$N$1:$N$92</v>
      </c>
      <c r="B5141" s="159" t="str">
        <f t="shared" si="404"/>
        <v>$O$1:$O$92</v>
      </c>
      <c r="C5141" s="159" t="str">
        <f t="shared" si="405"/>
        <v>November!$N$1:$N$92</v>
      </c>
      <c r="D5141" s="159" t="str">
        <f t="shared" si="406"/>
        <v>November!$O$1:$O$92</v>
      </c>
      <c r="E5141" t="s">
        <v>9</v>
      </c>
      <c r="F5141" t="s">
        <v>130</v>
      </c>
      <c r="G5141" t="s">
        <v>145</v>
      </c>
      <c r="H5141" t="s">
        <v>23</v>
      </c>
      <c r="I5141" t="e">
        <f t="shared" ca="1" si="402"/>
        <v>#REF!</v>
      </c>
      <c r="J5141" t="str">
        <f>VLOOKUP($G5141,DefinitionArrays!$I$6:$J$12,2,FALSE)</f>
        <v>Weekend</v>
      </c>
    </row>
    <row r="5142" spans="1:10">
      <c r="A5142" s="159" t="str">
        <f t="shared" si="403"/>
        <v>$N$1:$N$92</v>
      </c>
      <c r="B5142" s="159" t="str">
        <f t="shared" si="404"/>
        <v>$O$1:$O$92</v>
      </c>
      <c r="C5142" s="159" t="str">
        <f t="shared" si="405"/>
        <v>November!$N$1:$N$92</v>
      </c>
      <c r="D5142" s="159" t="str">
        <f t="shared" si="406"/>
        <v>November!$O$1:$O$92</v>
      </c>
      <c r="E5142" t="s">
        <v>9</v>
      </c>
      <c r="F5142" t="s">
        <v>130</v>
      </c>
      <c r="G5142" t="s">
        <v>145</v>
      </c>
      <c r="H5142" t="s">
        <v>24</v>
      </c>
      <c r="I5142" t="e">
        <f t="shared" ca="1" si="402"/>
        <v>#REF!</v>
      </c>
      <c r="J5142" t="str">
        <f>VLOOKUP($G5142,DefinitionArrays!$I$6:$J$12,2,FALSE)</f>
        <v>Weekend</v>
      </c>
    </row>
    <row r="5143" spans="1:10">
      <c r="A5143" s="159" t="str">
        <f t="shared" si="403"/>
        <v>$N$1:$N$92</v>
      </c>
      <c r="B5143" s="159" t="str">
        <f t="shared" si="404"/>
        <v>$O$1:$O$92</v>
      </c>
      <c r="C5143" s="159" t="str">
        <f t="shared" si="405"/>
        <v>November!$N$1:$N$92</v>
      </c>
      <c r="D5143" s="159" t="str">
        <f t="shared" si="406"/>
        <v>November!$O$1:$O$92</v>
      </c>
      <c r="E5143" t="s">
        <v>9</v>
      </c>
      <c r="F5143" t="s">
        <v>130</v>
      </c>
      <c r="G5143" t="s">
        <v>145</v>
      </c>
      <c r="H5143" t="s">
        <v>179</v>
      </c>
      <c r="I5143" t="e">
        <f t="shared" ca="1" si="402"/>
        <v>#REF!</v>
      </c>
      <c r="J5143" t="str">
        <f>VLOOKUP($G5143,DefinitionArrays!$I$6:$J$12,2,FALSE)</f>
        <v>Weekend</v>
      </c>
    </row>
    <row r="5144" spans="1:10">
      <c r="A5144" s="159" t="str">
        <f t="shared" si="403"/>
        <v>$N$1:$N$92</v>
      </c>
      <c r="B5144" s="159" t="str">
        <f t="shared" si="404"/>
        <v>$O$1:$O$92</v>
      </c>
      <c r="C5144" s="159" t="str">
        <f t="shared" si="405"/>
        <v>November!$N$1:$N$92</v>
      </c>
      <c r="D5144" s="159" t="str">
        <f t="shared" si="406"/>
        <v>November!$O$1:$O$92</v>
      </c>
      <c r="E5144" t="s">
        <v>9</v>
      </c>
      <c r="F5144" t="s">
        <v>130</v>
      </c>
      <c r="G5144" t="s">
        <v>145</v>
      </c>
      <c r="H5144" t="s">
        <v>180</v>
      </c>
      <c r="I5144" t="e">
        <f t="shared" ca="1" si="402"/>
        <v>#REF!</v>
      </c>
      <c r="J5144" t="str">
        <f>VLOOKUP($G5144,DefinitionArrays!$I$6:$J$12,2,FALSE)</f>
        <v>Weekend</v>
      </c>
    </row>
    <row r="5145" spans="1:10">
      <c r="A5145" s="159" t="str">
        <f t="shared" si="403"/>
        <v>$N$1:$N$92</v>
      </c>
      <c r="B5145" s="159" t="str">
        <f t="shared" si="404"/>
        <v>$O$1:$O$92</v>
      </c>
      <c r="C5145" s="159" t="str">
        <f t="shared" si="405"/>
        <v>November!$N$1:$N$92</v>
      </c>
      <c r="D5145" s="159" t="str">
        <f t="shared" si="406"/>
        <v>November!$O$1:$O$92</v>
      </c>
      <c r="E5145" t="s">
        <v>9</v>
      </c>
      <c r="F5145" t="s">
        <v>130</v>
      </c>
      <c r="G5145" t="s">
        <v>145</v>
      </c>
      <c r="H5145" t="s">
        <v>44</v>
      </c>
      <c r="I5145" t="e">
        <f t="shared" ca="1" si="402"/>
        <v>#REF!</v>
      </c>
      <c r="J5145" t="str">
        <f>VLOOKUP($G5145,DefinitionArrays!$I$6:$J$12,2,FALSE)</f>
        <v>Weekend</v>
      </c>
    </row>
    <row r="5146" spans="1:10">
      <c r="A5146" s="159" t="str">
        <f t="shared" si="403"/>
        <v>$Q$1:$Q$92</v>
      </c>
      <c r="B5146" s="159" t="str">
        <f t="shared" si="404"/>
        <v>$R$1:$R$92</v>
      </c>
      <c r="C5146" s="159" t="str">
        <f t="shared" si="405"/>
        <v>November!$Q$1:$Q$92</v>
      </c>
      <c r="D5146" s="159" t="str">
        <f t="shared" si="406"/>
        <v>November!$R$1:$R$92</v>
      </c>
      <c r="E5146" t="s">
        <v>9</v>
      </c>
      <c r="F5146" t="s">
        <v>130</v>
      </c>
      <c r="G5146" t="s">
        <v>146</v>
      </c>
      <c r="H5146" t="s">
        <v>159</v>
      </c>
      <c r="I5146" t="e">
        <f t="shared" ca="1" si="402"/>
        <v>#REF!</v>
      </c>
      <c r="J5146" t="str">
        <f>VLOOKUP($G5146,DefinitionArrays!$I$6:$J$12,2,FALSE)</f>
        <v>Weekend</v>
      </c>
    </row>
    <row r="5147" spans="1:10">
      <c r="A5147" s="159" t="str">
        <f t="shared" si="403"/>
        <v>$T$1:$T$92</v>
      </c>
      <c r="B5147" s="159" t="str">
        <f t="shared" si="404"/>
        <v>$U$1:$U$92</v>
      </c>
      <c r="C5147" s="159" t="str">
        <f t="shared" si="405"/>
        <v>November!$T$1:$T$92</v>
      </c>
      <c r="D5147" s="159" t="str">
        <f t="shared" si="406"/>
        <v>November!$U$1:$U$92</v>
      </c>
      <c r="E5147" t="s">
        <v>9</v>
      </c>
      <c r="F5147" t="s">
        <v>130</v>
      </c>
      <c r="G5147" t="s">
        <v>141</v>
      </c>
      <c r="H5147" t="s">
        <v>159</v>
      </c>
      <c r="I5147" t="e">
        <f t="shared" ca="1" si="402"/>
        <v>#REF!</v>
      </c>
      <c r="J5147" t="str">
        <f>VLOOKUP($G5147,DefinitionArrays!$I$6:$J$12,2,FALSE)</f>
        <v>Weekend</v>
      </c>
    </row>
    <row r="5148" spans="1:10">
      <c r="A5148" s="159" t="str">
        <f t="shared" si="403"/>
        <v>$B$1:$B$92</v>
      </c>
      <c r="B5148" s="159" t="str">
        <f t="shared" si="404"/>
        <v>$C$1:$C$92</v>
      </c>
      <c r="C5148" s="159" t="str">
        <f t="shared" si="405"/>
        <v>December!$B$1:$B$92</v>
      </c>
      <c r="D5148" s="159" t="str">
        <f t="shared" si="406"/>
        <v>December!$C$1:$C$92</v>
      </c>
      <c r="E5148" t="s">
        <v>9</v>
      </c>
      <c r="F5148" t="s">
        <v>131</v>
      </c>
      <c r="G5148" t="s">
        <v>13</v>
      </c>
      <c r="H5148" t="s">
        <v>159</v>
      </c>
      <c r="I5148" t="e">
        <f ca="1">COUNTIFS(INDIRECT($C5148),$E5148,INDIRECT($D5148),$H5148)</f>
        <v>#REF!</v>
      </c>
      <c r="J5148" t="str">
        <f>VLOOKUP($G5148,DefinitionArrays!$I$6:$J$12,2,FALSE)</f>
        <v>Workweek</v>
      </c>
    </row>
    <row r="5149" spans="1:10">
      <c r="A5149" s="159" t="str">
        <f t="shared" si="403"/>
        <v>$B$1:$B$92</v>
      </c>
      <c r="B5149" s="159" t="str">
        <f t="shared" si="404"/>
        <v>$C$1:$C$92</v>
      </c>
      <c r="C5149" s="159" t="str">
        <f t="shared" si="405"/>
        <v>December!$B$1:$B$92</v>
      </c>
      <c r="D5149" s="159" t="str">
        <f t="shared" si="406"/>
        <v>December!$C$1:$C$92</v>
      </c>
      <c r="E5149" t="s">
        <v>9</v>
      </c>
      <c r="F5149" t="s">
        <v>131</v>
      </c>
      <c r="G5149" t="s">
        <v>13</v>
      </c>
      <c r="H5149" t="s">
        <v>18</v>
      </c>
      <c r="I5149" t="e">
        <f t="shared" ref="I5149:I5209" ca="1" si="407">COUNTIFS(INDIRECT($C5149),$E5149,INDIRECT($D5149),$H5149)</f>
        <v>#REF!</v>
      </c>
      <c r="J5149" t="str">
        <f>VLOOKUP($G5149,DefinitionArrays!$I$6:$J$12,2,FALSE)</f>
        <v>Workweek</v>
      </c>
    </row>
    <row r="5150" spans="1:10">
      <c r="A5150" s="159" t="str">
        <f t="shared" si="403"/>
        <v>$B$1:$B$92</v>
      </c>
      <c r="B5150" s="159" t="str">
        <f t="shared" si="404"/>
        <v>$C$1:$C$92</v>
      </c>
      <c r="C5150" s="159" t="str">
        <f t="shared" si="405"/>
        <v>December!$B$1:$B$92</v>
      </c>
      <c r="D5150" s="159" t="str">
        <f t="shared" si="406"/>
        <v>December!$C$1:$C$92</v>
      </c>
      <c r="E5150" t="s">
        <v>9</v>
      </c>
      <c r="F5150" t="s">
        <v>131</v>
      </c>
      <c r="G5150" t="s">
        <v>13</v>
      </c>
      <c r="H5150" t="s">
        <v>153</v>
      </c>
      <c r="I5150" t="e">
        <f t="shared" ca="1" si="407"/>
        <v>#REF!</v>
      </c>
      <c r="J5150" t="str">
        <f>VLOOKUP($G5150,DefinitionArrays!$I$6:$J$12,2,FALSE)</f>
        <v>Workweek</v>
      </c>
    </row>
    <row r="5151" spans="1:10">
      <c r="A5151" s="159" t="str">
        <f t="shared" si="403"/>
        <v>$B$1:$B$92</v>
      </c>
      <c r="B5151" s="159" t="str">
        <f t="shared" si="404"/>
        <v>$C$1:$C$92</v>
      </c>
      <c r="C5151" s="159" t="str">
        <f t="shared" si="405"/>
        <v>December!$B$1:$B$92</v>
      </c>
      <c r="D5151" s="159" t="str">
        <f t="shared" si="406"/>
        <v>December!$C$1:$C$92</v>
      </c>
      <c r="E5151" t="s">
        <v>9</v>
      </c>
      <c r="F5151" t="s">
        <v>131</v>
      </c>
      <c r="G5151" t="s">
        <v>13</v>
      </c>
      <c r="H5151" t="s">
        <v>19</v>
      </c>
      <c r="I5151" t="e">
        <f t="shared" ca="1" si="407"/>
        <v>#REF!</v>
      </c>
      <c r="J5151" t="str">
        <f>VLOOKUP($G5151,DefinitionArrays!$I$6:$J$12,2,FALSE)</f>
        <v>Workweek</v>
      </c>
    </row>
    <row r="5152" spans="1:10">
      <c r="A5152" s="159" t="str">
        <f t="shared" si="403"/>
        <v>$B$1:$B$92</v>
      </c>
      <c r="B5152" s="159" t="str">
        <f t="shared" si="404"/>
        <v>$C$1:$C$92</v>
      </c>
      <c r="C5152" s="159" t="str">
        <f t="shared" si="405"/>
        <v>December!$B$1:$B$92</v>
      </c>
      <c r="D5152" s="159" t="str">
        <f t="shared" si="406"/>
        <v>December!$C$1:$C$92</v>
      </c>
      <c r="E5152" t="s">
        <v>9</v>
      </c>
      <c r="F5152" t="s">
        <v>131</v>
      </c>
      <c r="G5152" t="s">
        <v>13</v>
      </c>
      <c r="H5152" t="s">
        <v>20</v>
      </c>
      <c r="I5152" t="e">
        <f t="shared" ca="1" si="407"/>
        <v>#REF!</v>
      </c>
      <c r="J5152" t="str">
        <f>VLOOKUP($G5152,DefinitionArrays!$I$6:$J$12,2,FALSE)</f>
        <v>Workweek</v>
      </c>
    </row>
    <row r="5153" spans="1:10">
      <c r="A5153" s="159" t="str">
        <f t="shared" si="403"/>
        <v>$B$1:$B$92</v>
      </c>
      <c r="B5153" s="159" t="str">
        <f t="shared" si="404"/>
        <v>$C$1:$C$92</v>
      </c>
      <c r="C5153" s="159" t="str">
        <f t="shared" si="405"/>
        <v>December!$B$1:$B$92</v>
      </c>
      <c r="D5153" s="159" t="str">
        <f t="shared" si="406"/>
        <v>December!$C$1:$C$92</v>
      </c>
      <c r="E5153" t="s">
        <v>9</v>
      </c>
      <c r="F5153" t="s">
        <v>131</v>
      </c>
      <c r="G5153" t="s">
        <v>13</v>
      </c>
      <c r="H5153" t="s">
        <v>21</v>
      </c>
      <c r="I5153" t="e">
        <f t="shared" ca="1" si="407"/>
        <v>#REF!</v>
      </c>
      <c r="J5153" t="str">
        <f>VLOOKUP($G5153,DefinitionArrays!$I$6:$J$12,2,FALSE)</f>
        <v>Workweek</v>
      </c>
    </row>
    <row r="5154" spans="1:10">
      <c r="A5154" s="159" t="str">
        <f t="shared" si="403"/>
        <v>$B$1:$B$92</v>
      </c>
      <c r="B5154" s="159" t="str">
        <f t="shared" si="404"/>
        <v>$C$1:$C$92</v>
      </c>
      <c r="C5154" s="159" t="str">
        <f t="shared" si="405"/>
        <v>December!$B$1:$B$92</v>
      </c>
      <c r="D5154" s="159" t="str">
        <f t="shared" si="406"/>
        <v>December!$C$1:$C$92</v>
      </c>
      <c r="E5154" t="s">
        <v>9</v>
      </c>
      <c r="F5154" t="s">
        <v>131</v>
      </c>
      <c r="G5154" t="s">
        <v>13</v>
      </c>
      <c r="H5154" t="s">
        <v>22</v>
      </c>
      <c r="I5154" t="e">
        <f t="shared" ca="1" si="407"/>
        <v>#REF!</v>
      </c>
      <c r="J5154" t="str">
        <f>VLOOKUP($G5154,DefinitionArrays!$I$6:$J$12,2,FALSE)</f>
        <v>Workweek</v>
      </c>
    </row>
    <row r="5155" spans="1:10">
      <c r="A5155" s="159" t="str">
        <f t="shared" si="403"/>
        <v>$B$1:$B$92</v>
      </c>
      <c r="B5155" s="159" t="str">
        <f t="shared" si="404"/>
        <v>$C$1:$C$92</v>
      </c>
      <c r="C5155" s="159" t="str">
        <f t="shared" si="405"/>
        <v>December!$B$1:$B$92</v>
      </c>
      <c r="D5155" s="159" t="str">
        <f t="shared" si="406"/>
        <v>December!$C$1:$C$92</v>
      </c>
      <c r="E5155" t="s">
        <v>9</v>
      </c>
      <c r="F5155" t="s">
        <v>131</v>
      </c>
      <c r="G5155" t="s">
        <v>13</v>
      </c>
      <c r="H5155" t="s">
        <v>23</v>
      </c>
      <c r="I5155" t="e">
        <f t="shared" ca="1" si="407"/>
        <v>#REF!</v>
      </c>
      <c r="J5155" t="str">
        <f>VLOOKUP($G5155,DefinitionArrays!$I$6:$J$12,2,FALSE)</f>
        <v>Workweek</v>
      </c>
    </row>
    <row r="5156" spans="1:10">
      <c r="A5156" s="159" t="str">
        <f t="shared" si="403"/>
        <v>$B$1:$B$92</v>
      </c>
      <c r="B5156" s="159" t="str">
        <f t="shared" si="404"/>
        <v>$C$1:$C$92</v>
      </c>
      <c r="C5156" s="159" t="str">
        <f t="shared" si="405"/>
        <v>December!$B$1:$B$92</v>
      </c>
      <c r="D5156" s="159" t="str">
        <f t="shared" si="406"/>
        <v>December!$C$1:$C$92</v>
      </c>
      <c r="E5156" t="s">
        <v>9</v>
      </c>
      <c r="F5156" t="s">
        <v>131</v>
      </c>
      <c r="G5156" t="s">
        <v>13</v>
      </c>
      <c r="H5156" t="s">
        <v>24</v>
      </c>
      <c r="I5156" t="e">
        <f t="shared" ca="1" si="407"/>
        <v>#REF!</v>
      </c>
      <c r="J5156" t="str">
        <f>VLOOKUP($G5156,DefinitionArrays!$I$6:$J$12,2,FALSE)</f>
        <v>Workweek</v>
      </c>
    </row>
    <row r="5157" spans="1:10">
      <c r="A5157" s="159" t="str">
        <f t="shared" si="403"/>
        <v>$B$1:$B$92</v>
      </c>
      <c r="B5157" s="159" t="str">
        <f t="shared" si="404"/>
        <v>$C$1:$C$92</v>
      </c>
      <c r="C5157" s="159" t="str">
        <f t="shared" si="405"/>
        <v>December!$B$1:$B$92</v>
      </c>
      <c r="D5157" s="159" t="str">
        <f t="shared" si="406"/>
        <v>December!$C$1:$C$92</v>
      </c>
      <c r="E5157" t="s">
        <v>9</v>
      </c>
      <c r="F5157" t="s">
        <v>131</v>
      </c>
      <c r="G5157" t="s">
        <v>13</v>
      </c>
      <c r="H5157" t="s">
        <v>179</v>
      </c>
      <c r="I5157" t="e">
        <f t="shared" ca="1" si="407"/>
        <v>#REF!</v>
      </c>
      <c r="J5157" t="str">
        <f>VLOOKUP($G5157,DefinitionArrays!$I$6:$J$12,2,FALSE)</f>
        <v>Workweek</v>
      </c>
    </row>
    <row r="5158" spans="1:10">
      <c r="A5158" s="159" t="str">
        <f t="shared" si="403"/>
        <v>$B$1:$B$92</v>
      </c>
      <c r="B5158" s="159" t="str">
        <f t="shared" si="404"/>
        <v>$C$1:$C$92</v>
      </c>
      <c r="C5158" s="159" t="str">
        <f t="shared" si="405"/>
        <v>December!$B$1:$B$92</v>
      </c>
      <c r="D5158" s="159" t="str">
        <f t="shared" si="406"/>
        <v>December!$C$1:$C$92</v>
      </c>
      <c r="E5158" t="s">
        <v>9</v>
      </c>
      <c r="F5158" t="s">
        <v>131</v>
      </c>
      <c r="G5158" t="s">
        <v>13</v>
      </c>
      <c r="H5158" t="s">
        <v>180</v>
      </c>
      <c r="I5158" t="e">
        <f t="shared" ca="1" si="407"/>
        <v>#REF!</v>
      </c>
      <c r="J5158" t="str">
        <f>VLOOKUP($G5158,DefinitionArrays!$I$6:$J$12,2,FALSE)</f>
        <v>Workweek</v>
      </c>
    </row>
    <row r="5159" spans="1:10">
      <c r="A5159" s="159" t="str">
        <f t="shared" si="403"/>
        <v>$B$1:$B$92</v>
      </c>
      <c r="B5159" s="159" t="str">
        <f t="shared" si="404"/>
        <v>$C$1:$C$92</v>
      </c>
      <c r="C5159" s="159" t="str">
        <f t="shared" si="405"/>
        <v>December!$B$1:$B$92</v>
      </c>
      <c r="D5159" s="159" t="str">
        <f t="shared" si="406"/>
        <v>December!$C$1:$C$92</v>
      </c>
      <c r="E5159" t="s">
        <v>9</v>
      </c>
      <c r="F5159" t="s">
        <v>131</v>
      </c>
      <c r="G5159" t="s">
        <v>13</v>
      </c>
      <c r="H5159" t="s">
        <v>44</v>
      </c>
      <c r="I5159" t="e">
        <f t="shared" ca="1" si="407"/>
        <v>#REF!</v>
      </c>
      <c r="J5159" t="str">
        <f>VLOOKUP($G5159,DefinitionArrays!$I$6:$J$12,2,FALSE)</f>
        <v>Workweek</v>
      </c>
    </row>
    <row r="5160" spans="1:10">
      <c r="A5160" s="159" t="str">
        <f t="shared" si="403"/>
        <v>$E$1:$E$92</v>
      </c>
      <c r="B5160" s="159" t="str">
        <f t="shared" si="404"/>
        <v>$F$1:$F$92</v>
      </c>
      <c r="C5160" s="159" t="str">
        <f t="shared" si="405"/>
        <v>December!$E$1:$E$92</v>
      </c>
      <c r="D5160" s="159" t="str">
        <f t="shared" si="406"/>
        <v>December!$F$1:$F$92</v>
      </c>
      <c r="E5160" t="s">
        <v>9</v>
      </c>
      <c r="F5160" t="s">
        <v>131</v>
      </c>
      <c r="G5160" t="s">
        <v>142</v>
      </c>
      <c r="H5160" t="s">
        <v>159</v>
      </c>
      <c r="I5160" t="e">
        <f t="shared" ca="1" si="407"/>
        <v>#REF!</v>
      </c>
      <c r="J5160" t="str">
        <f>VLOOKUP($G5160,DefinitionArrays!$I$6:$J$12,2,FALSE)</f>
        <v>Workweek</v>
      </c>
    </row>
    <row r="5161" spans="1:10">
      <c r="A5161" s="159" t="str">
        <f t="shared" si="403"/>
        <v>$E$1:$E$92</v>
      </c>
      <c r="B5161" s="159" t="str">
        <f t="shared" si="404"/>
        <v>$F$1:$F$92</v>
      </c>
      <c r="C5161" s="159" t="str">
        <f t="shared" si="405"/>
        <v>December!$E$1:$E$92</v>
      </c>
      <c r="D5161" s="159" t="str">
        <f t="shared" si="406"/>
        <v>December!$F$1:$F$92</v>
      </c>
      <c r="E5161" t="s">
        <v>9</v>
      </c>
      <c r="F5161" t="s">
        <v>131</v>
      </c>
      <c r="G5161" t="s">
        <v>142</v>
      </c>
      <c r="H5161" t="s">
        <v>18</v>
      </c>
      <c r="I5161" t="e">
        <f t="shared" ca="1" si="407"/>
        <v>#REF!</v>
      </c>
      <c r="J5161" t="str">
        <f>VLOOKUP($G5161,DefinitionArrays!$I$6:$J$12,2,FALSE)</f>
        <v>Workweek</v>
      </c>
    </row>
    <row r="5162" spans="1:10">
      <c r="A5162" s="159" t="str">
        <f t="shared" si="403"/>
        <v>$E$1:$E$92</v>
      </c>
      <c r="B5162" s="159" t="str">
        <f t="shared" si="404"/>
        <v>$F$1:$F$92</v>
      </c>
      <c r="C5162" s="159" t="str">
        <f t="shared" si="405"/>
        <v>December!$E$1:$E$92</v>
      </c>
      <c r="D5162" s="159" t="str">
        <f t="shared" si="406"/>
        <v>December!$F$1:$F$92</v>
      </c>
      <c r="E5162" t="s">
        <v>9</v>
      </c>
      <c r="F5162" t="s">
        <v>131</v>
      </c>
      <c r="G5162" t="s">
        <v>142</v>
      </c>
      <c r="H5162" t="s">
        <v>153</v>
      </c>
      <c r="I5162" t="e">
        <f t="shared" ca="1" si="407"/>
        <v>#REF!</v>
      </c>
      <c r="J5162" t="str">
        <f>VLOOKUP($G5162,DefinitionArrays!$I$6:$J$12,2,FALSE)</f>
        <v>Workweek</v>
      </c>
    </row>
    <row r="5163" spans="1:10">
      <c r="A5163" s="159" t="str">
        <f t="shared" si="403"/>
        <v>$E$1:$E$92</v>
      </c>
      <c r="B5163" s="159" t="str">
        <f t="shared" si="404"/>
        <v>$F$1:$F$92</v>
      </c>
      <c r="C5163" s="159" t="str">
        <f t="shared" si="405"/>
        <v>December!$E$1:$E$92</v>
      </c>
      <c r="D5163" s="159" t="str">
        <f t="shared" si="406"/>
        <v>December!$F$1:$F$92</v>
      </c>
      <c r="E5163" t="s">
        <v>9</v>
      </c>
      <c r="F5163" t="s">
        <v>131</v>
      </c>
      <c r="G5163" t="s">
        <v>142</v>
      </c>
      <c r="H5163" t="s">
        <v>19</v>
      </c>
      <c r="I5163" t="e">
        <f t="shared" ca="1" si="407"/>
        <v>#REF!</v>
      </c>
      <c r="J5163" t="str">
        <f>VLOOKUP($G5163,DefinitionArrays!$I$6:$J$12,2,FALSE)</f>
        <v>Workweek</v>
      </c>
    </row>
    <row r="5164" spans="1:10">
      <c r="A5164" s="159" t="str">
        <f t="shared" si="403"/>
        <v>$E$1:$E$92</v>
      </c>
      <c r="B5164" s="159" t="str">
        <f t="shared" si="404"/>
        <v>$F$1:$F$92</v>
      </c>
      <c r="C5164" s="159" t="str">
        <f t="shared" si="405"/>
        <v>December!$E$1:$E$92</v>
      </c>
      <c r="D5164" s="159" t="str">
        <f t="shared" si="406"/>
        <v>December!$F$1:$F$92</v>
      </c>
      <c r="E5164" t="s">
        <v>9</v>
      </c>
      <c r="F5164" t="s">
        <v>131</v>
      </c>
      <c r="G5164" t="s">
        <v>142</v>
      </c>
      <c r="H5164" t="s">
        <v>20</v>
      </c>
      <c r="I5164" t="e">
        <f t="shared" ca="1" si="407"/>
        <v>#REF!</v>
      </c>
      <c r="J5164" t="str">
        <f>VLOOKUP($G5164,DefinitionArrays!$I$6:$J$12,2,FALSE)</f>
        <v>Workweek</v>
      </c>
    </row>
    <row r="5165" spans="1:10">
      <c r="A5165" s="159" t="str">
        <f t="shared" si="403"/>
        <v>$E$1:$E$92</v>
      </c>
      <c r="B5165" s="159" t="str">
        <f t="shared" si="404"/>
        <v>$F$1:$F$92</v>
      </c>
      <c r="C5165" s="159" t="str">
        <f t="shared" si="405"/>
        <v>December!$E$1:$E$92</v>
      </c>
      <c r="D5165" s="159" t="str">
        <f t="shared" si="406"/>
        <v>December!$F$1:$F$92</v>
      </c>
      <c r="E5165" t="s">
        <v>9</v>
      </c>
      <c r="F5165" t="s">
        <v>131</v>
      </c>
      <c r="G5165" t="s">
        <v>142</v>
      </c>
      <c r="H5165" t="s">
        <v>21</v>
      </c>
      <c r="I5165" t="e">
        <f t="shared" ca="1" si="407"/>
        <v>#REF!</v>
      </c>
      <c r="J5165" t="str">
        <f>VLOOKUP($G5165,DefinitionArrays!$I$6:$J$12,2,FALSE)</f>
        <v>Workweek</v>
      </c>
    </row>
    <row r="5166" spans="1:10">
      <c r="A5166" s="159" t="str">
        <f t="shared" si="403"/>
        <v>$E$1:$E$92</v>
      </c>
      <c r="B5166" s="159" t="str">
        <f t="shared" si="404"/>
        <v>$F$1:$F$92</v>
      </c>
      <c r="C5166" s="159" t="str">
        <f t="shared" si="405"/>
        <v>December!$E$1:$E$92</v>
      </c>
      <c r="D5166" s="159" t="str">
        <f t="shared" si="406"/>
        <v>December!$F$1:$F$92</v>
      </c>
      <c r="E5166" t="s">
        <v>9</v>
      </c>
      <c r="F5166" t="s">
        <v>131</v>
      </c>
      <c r="G5166" t="s">
        <v>142</v>
      </c>
      <c r="H5166" t="s">
        <v>22</v>
      </c>
      <c r="I5166" t="e">
        <f t="shared" ca="1" si="407"/>
        <v>#REF!</v>
      </c>
      <c r="J5166" t="str">
        <f>VLOOKUP($G5166,DefinitionArrays!$I$6:$J$12,2,FALSE)</f>
        <v>Workweek</v>
      </c>
    </row>
    <row r="5167" spans="1:10">
      <c r="A5167" s="159" t="str">
        <f t="shared" si="403"/>
        <v>$E$1:$E$92</v>
      </c>
      <c r="B5167" s="159" t="str">
        <f t="shared" si="404"/>
        <v>$F$1:$F$92</v>
      </c>
      <c r="C5167" s="159" t="str">
        <f t="shared" si="405"/>
        <v>December!$E$1:$E$92</v>
      </c>
      <c r="D5167" s="159" t="str">
        <f t="shared" si="406"/>
        <v>December!$F$1:$F$92</v>
      </c>
      <c r="E5167" t="s">
        <v>9</v>
      </c>
      <c r="F5167" t="s">
        <v>131</v>
      </c>
      <c r="G5167" t="s">
        <v>142</v>
      </c>
      <c r="H5167" t="s">
        <v>23</v>
      </c>
      <c r="I5167" t="e">
        <f t="shared" ca="1" si="407"/>
        <v>#REF!</v>
      </c>
      <c r="J5167" t="str">
        <f>VLOOKUP($G5167,DefinitionArrays!$I$6:$J$12,2,FALSE)</f>
        <v>Workweek</v>
      </c>
    </row>
    <row r="5168" spans="1:10">
      <c r="A5168" s="159" t="str">
        <f t="shared" si="403"/>
        <v>$E$1:$E$92</v>
      </c>
      <c r="B5168" s="159" t="str">
        <f t="shared" si="404"/>
        <v>$F$1:$F$92</v>
      </c>
      <c r="C5168" s="159" t="str">
        <f t="shared" si="405"/>
        <v>December!$E$1:$E$92</v>
      </c>
      <c r="D5168" s="159" t="str">
        <f t="shared" si="406"/>
        <v>December!$F$1:$F$92</v>
      </c>
      <c r="E5168" t="s">
        <v>9</v>
      </c>
      <c r="F5168" t="s">
        <v>131</v>
      </c>
      <c r="G5168" t="s">
        <v>142</v>
      </c>
      <c r="H5168" t="s">
        <v>24</v>
      </c>
      <c r="I5168" t="e">
        <f t="shared" ca="1" si="407"/>
        <v>#REF!</v>
      </c>
      <c r="J5168" t="str">
        <f>VLOOKUP($G5168,DefinitionArrays!$I$6:$J$12,2,FALSE)</f>
        <v>Workweek</v>
      </c>
    </row>
    <row r="5169" spans="1:10">
      <c r="A5169" s="159" t="str">
        <f t="shared" si="403"/>
        <v>$E$1:$E$92</v>
      </c>
      <c r="B5169" s="159" t="str">
        <f t="shared" si="404"/>
        <v>$F$1:$F$92</v>
      </c>
      <c r="C5169" s="159" t="str">
        <f t="shared" si="405"/>
        <v>December!$E$1:$E$92</v>
      </c>
      <c r="D5169" s="159" t="str">
        <f t="shared" si="406"/>
        <v>December!$F$1:$F$92</v>
      </c>
      <c r="E5169" t="s">
        <v>9</v>
      </c>
      <c r="F5169" t="s">
        <v>131</v>
      </c>
      <c r="G5169" t="s">
        <v>142</v>
      </c>
      <c r="H5169" t="s">
        <v>179</v>
      </c>
      <c r="I5169" t="e">
        <f t="shared" ca="1" si="407"/>
        <v>#REF!</v>
      </c>
      <c r="J5169" t="str">
        <f>VLOOKUP($G5169,DefinitionArrays!$I$6:$J$12,2,FALSE)</f>
        <v>Workweek</v>
      </c>
    </row>
    <row r="5170" spans="1:10">
      <c r="A5170" s="159" t="str">
        <f t="shared" si="403"/>
        <v>$E$1:$E$92</v>
      </c>
      <c r="B5170" s="159" t="str">
        <f t="shared" si="404"/>
        <v>$F$1:$F$92</v>
      </c>
      <c r="C5170" s="159" t="str">
        <f t="shared" si="405"/>
        <v>December!$E$1:$E$92</v>
      </c>
      <c r="D5170" s="159" t="str">
        <f t="shared" si="406"/>
        <v>December!$F$1:$F$92</v>
      </c>
      <c r="E5170" t="s">
        <v>9</v>
      </c>
      <c r="F5170" t="s">
        <v>131</v>
      </c>
      <c r="G5170" t="s">
        <v>142</v>
      </c>
      <c r="H5170" t="s">
        <v>180</v>
      </c>
      <c r="I5170" t="e">
        <f t="shared" ca="1" si="407"/>
        <v>#REF!</v>
      </c>
      <c r="J5170" t="str">
        <f>VLOOKUP($G5170,DefinitionArrays!$I$6:$J$12,2,FALSE)</f>
        <v>Workweek</v>
      </c>
    </row>
    <row r="5171" spans="1:10">
      <c r="A5171" s="159" t="str">
        <f t="shared" si="403"/>
        <v>$E$1:$E$92</v>
      </c>
      <c r="B5171" s="159" t="str">
        <f t="shared" si="404"/>
        <v>$F$1:$F$92</v>
      </c>
      <c r="C5171" s="159" t="str">
        <f t="shared" si="405"/>
        <v>December!$E$1:$E$92</v>
      </c>
      <c r="D5171" s="159" t="str">
        <f t="shared" si="406"/>
        <v>December!$F$1:$F$92</v>
      </c>
      <c r="E5171" t="s">
        <v>9</v>
      </c>
      <c r="F5171" t="s">
        <v>131</v>
      </c>
      <c r="G5171" t="s">
        <v>142</v>
      </c>
      <c r="H5171" t="s">
        <v>44</v>
      </c>
      <c r="I5171" t="e">
        <f t="shared" ca="1" si="407"/>
        <v>#REF!</v>
      </c>
      <c r="J5171" t="str">
        <f>VLOOKUP($G5171,DefinitionArrays!$I$6:$J$12,2,FALSE)</f>
        <v>Workweek</v>
      </c>
    </row>
    <row r="5172" spans="1:10">
      <c r="A5172" s="159" t="str">
        <f t="shared" si="403"/>
        <v>$H$1:$H$92</v>
      </c>
      <c r="B5172" s="159" t="str">
        <f t="shared" si="404"/>
        <v>$I$1:$I$92</v>
      </c>
      <c r="C5172" s="159" t="str">
        <f t="shared" si="405"/>
        <v>December!$H$1:$H$92</v>
      </c>
      <c r="D5172" s="159" t="str">
        <f t="shared" si="406"/>
        <v>December!$I$1:$I$92</v>
      </c>
      <c r="E5172" t="s">
        <v>9</v>
      </c>
      <c r="F5172" t="s">
        <v>131</v>
      </c>
      <c r="G5172" t="s">
        <v>143</v>
      </c>
      <c r="H5172" t="s">
        <v>159</v>
      </c>
      <c r="I5172" t="e">
        <f t="shared" ca="1" si="407"/>
        <v>#REF!</v>
      </c>
      <c r="J5172" t="str">
        <f>VLOOKUP($G5172,DefinitionArrays!$I$6:$J$12,2,FALSE)</f>
        <v>Workweek</v>
      </c>
    </row>
    <row r="5173" spans="1:10">
      <c r="A5173" s="159" t="str">
        <f t="shared" si="403"/>
        <v>$H$1:$H$92</v>
      </c>
      <c r="B5173" s="159" t="str">
        <f t="shared" si="404"/>
        <v>$I$1:$I$92</v>
      </c>
      <c r="C5173" s="159" t="str">
        <f t="shared" si="405"/>
        <v>December!$H$1:$H$92</v>
      </c>
      <c r="D5173" s="159" t="str">
        <f t="shared" si="406"/>
        <v>December!$I$1:$I$92</v>
      </c>
      <c r="E5173" t="s">
        <v>9</v>
      </c>
      <c r="F5173" t="s">
        <v>131</v>
      </c>
      <c r="G5173" t="s">
        <v>143</v>
      </c>
      <c r="H5173" t="s">
        <v>18</v>
      </c>
      <c r="I5173" t="e">
        <f t="shared" ca="1" si="407"/>
        <v>#REF!</v>
      </c>
      <c r="J5173" t="str">
        <f>VLOOKUP($G5173,DefinitionArrays!$I$6:$J$12,2,FALSE)</f>
        <v>Workweek</v>
      </c>
    </row>
    <row r="5174" spans="1:10">
      <c r="A5174" s="159" t="str">
        <f t="shared" si="403"/>
        <v>$H$1:$H$92</v>
      </c>
      <c r="B5174" s="159" t="str">
        <f t="shared" si="404"/>
        <v>$I$1:$I$92</v>
      </c>
      <c r="C5174" s="159" t="str">
        <f t="shared" si="405"/>
        <v>December!$H$1:$H$92</v>
      </c>
      <c r="D5174" s="159" t="str">
        <f t="shared" si="406"/>
        <v>December!$I$1:$I$92</v>
      </c>
      <c r="E5174" t="s">
        <v>9</v>
      </c>
      <c r="F5174" t="s">
        <v>131</v>
      </c>
      <c r="G5174" t="s">
        <v>143</v>
      </c>
      <c r="H5174" t="s">
        <v>153</v>
      </c>
      <c r="I5174" t="e">
        <f t="shared" ca="1" si="407"/>
        <v>#REF!</v>
      </c>
      <c r="J5174" t="str">
        <f>VLOOKUP($G5174,DefinitionArrays!$I$6:$J$12,2,FALSE)</f>
        <v>Workweek</v>
      </c>
    </row>
    <row r="5175" spans="1:10">
      <c r="A5175" s="159" t="str">
        <f t="shared" si="403"/>
        <v>$H$1:$H$92</v>
      </c>
      <c r="B5175" s="159" t="str">
        <f t="shared" si="404"/>
        <v>$I$1:$I$92</v>
      </c>
      <c r="C5175" s="159" t="str">
        <f t="shared" si="405"/>
        <v>December!$H$1:$H$92</v>
      </c>
      <c r="D5175" s="159" t="str">
        <f t="shared" si="406"/>
        <v>December!$I$1:$I$92</v>
      </c>
      <c r="E5175" t="s">
        <v>9</v>
      </c>
      <c r="F5175" t="s">
        <v>131</v>
      </c>
      <c r="G5175" t="s">
        <v>143</v>
      </c>
      <c r="H5175" t="s">
        <v>19</v>
      </c>
      <c r="I5175" t="e">
        <f t="shared" ca="1" si="407"/>
        <v>#REF!</v>
      </c>
      <c r="J5175" t="str">
        <f>VLOOKUP($G5175,DefinitionArrays!$I$6:$J$12,2,FALSE)</f>
        <v>Workweek</v>
      </c>
    </row>
    <row r="5176" spans="1:10">
      <c r="A5176" s="159" t="str">
        <f t="shared" si="403"/>
        <v>$H$1:$H$92</v>
      </c>
      <c r="B5176" s="159" t="str">
        <f t="shared" si="404"/>
        <v>$I$1:$I$92</v>
      </c>
      <c r="C5176" s="159" t="str">
        <f t="shared" si="405"/>
        <v>December!$H$1:$H$92</v>
      </c>
      <c r="D5176" s="159" t="str">
        <f t="shared" si="406"/>
        <v>December!$I$1:$I$92</v>
      </c>
      <c r="E5176" t="s">
        <v>9</v>
      </c>
      <c r="F5176" t="s">
        <v>131</v>
      </c>
      <c r="G5176" t="s">
        <v>143</v>
      </c>
      <c r="H5176" t="s">
        <v>20</v>
      </c>
      <c r="I5176" t="e">
        <f t="shared" ca="1" si="407"/>
        <v>#REF!</v>
      </c>
      <c r="J5176" t="str">
        <f>VLOOKUP($G5176,DefinitionArrays!$I$6:$J$12,2,FALSE)</f>
        <v>Workweek</v>
      </c>
    </row>
    <row r="5177" spans="1:10">
      <c r="A5177" s="159" t="str">
        <f t="shared" si="403"/>
        <v>$H$1:$H$92</v>
      </c>
      <c r="B5177" s="159" t="str">
        <f t="shared" si="404"/>
        <v>$I$1:$I$92</v>
      </c>
      <c r="C5177" s="159" t="str">
        <f t="shared" si="405"/>
        <v>December!$H$1:$H$92</v>
      </c>
      <c r="D5177" s="159" t="str">
        <f t="shared" si="406"/>
        <v>December!$I$1:$I$92</v>
      </c>
      <c r="E5177" t="s">
        <v>9</v>
      </c>
      <c r="F5177" t="s">
        <v>131</v>
      </c>
      <c r="G5177" t="s">
        <v>143</v>
      </c>
      <c r="H5177" t="s">
        <v>21</v>
      </c>
      <c r="I5177" t="e">
        <f t="shared" ca="1" si="407"/>
        <v>#REF!</v>
      </c>
      <c r="J5177" t="str">
        <f>VLOOKUP($G5177,DefinitionArrays!$I$6:$J$12,2,FALSE)</f>
        <v>Workweek</v>
      </c>
    </row>
    <row r="5178" spans="1:10">
      <c r="A5178" s="159" t="str">
        <f t="shared" si="403"/>
        <v>$H$1:$H$92</v>
      </c>
      <c r="B5178" s="159" t="str">
        <f t="shared" si="404"/>
        <v>$I$1:$I$92</v>
      </c>
      <c r="C5178" s="159" t="str">
        <f t="shared" si="405"/>
        <v>December!$H$1:$H$92</v>
      </c>
      <c r="D5178" s="159" t="str">
        <f t="shared" si="406"/>
        <v>December!$I$1:$I$92</v>
      </c>
      <c r="E5178" t="s">
        <v>9</v>
      </c>
      <c r="F5178" t="s">
        <v>131</v>
      </c>
      <c r="G5178" t="s">
        <v>143</v>
      </c>
      <c r="H5178" t="s">
        <v>22</v>
      </c>
      <c r="I5178" t="e">
        <f t="shared" ca="1" si="407"/>
        <v>#REF!</v>
      </c>
      <c r="J5178" t="str">
        <f>VLOOKUP($G5178,DefinitionArrays!$I$6:$J$12,2,FALSE)</f>
        <v>Workweek</v>
      </c>
    </row>
    <row r="5179" spans="1:10">
      <c r="A5179" s="159" t="str">
        <f t="shared" si="403"/>
        <v>$H$1:$H$92</v>
      </c>
      <c r="B5179" s="159" t="str">
        <f t="shared" si="404"/>
        <v>$I$1:$I$92</v>
      </c>
      <c r="C5179" s="159" t="str">
        <f t="shared" si="405"/>
        <v>December!$H$1:$H$92</v>
      </c>
      <c r="D5179" s="159" t="str">
        <f t="shared" si="406"/>
        <v>December!$I$1:$I$92</v>
      </c>
      <c r="E5179" t="s">
        <v>9</v>
      </c>
      <c r="F5179" t="s">
        <v>131</v>
      </c>
      <c r="G5179" t="s">
        <v>143</v>
      </c>
      <c r="H5179" t="s">
        <v>23</v>
      </c>
      <c r="I5179" t="e">
        <f t="shared" ca="1" si="407"/>
        <v>#REF!</v>
      </c>
      <c r="J5179" t="str">
        <f>VLOOKUP($G5179,DefinitionArrays!$I$6:$J$12,2,FALSE)</f>
        <v>Workweek</v>
      </c>
    </row>
    <row r="5180" spans="1:10">
      <c r="A5180" s="159" t="str">
        <f t="shared" si="403"/>
        <v>$H$1:$H$92</v>
      </c>
      <c r="B5180" s="159" t="str">
        <f t="shared" si="404"/>
        <v>$I$1:$I$92</v>
      </c>
      <c r="C5180" s="159" t="str">
        <f t="shared" si="405"/>
        <v>December!$H$1:$H$92</v>
      </c>
      <c r="D5180" s="159" t="str">
        <f t="shared" si="406"/>
        <v>December!$I$1:$I$92</v>
      </c>
      <c r="E5180" t="s">
        <v>9</v>
      </c>
      <c r="F5180" t="s">
        <v>131</v>
      </c>
      <c r="G5180" t="s">
        <v>143</v>
      </c>
      <c r="H5180" t="s">
        <v>24</v>
      </c>
      <c r="I5180" t="e">
        <f t="shared" ca="1" si="407"/>
        <v>#REF!</v>
      </c>
      <c r="J5180" t="str">
        <f>VLOOKUP($G5180,DefinitionArrays!$I$6:$J$12,2,FALSE)</f>
        <v>Workweek</v>
      </c>
    </row>
    <row r="5181" spans="1:10">
      <c r="A5181" s="159" t="str">
        <f t="shared" si="403"/>
        <v>$H$1:$H$92</v>
      </c>
      <c r="B5181" s="159" t="str">
        <f t="shared" si="404"/>
        <v>$I$1:$I$92</v>
      </c>
      <c r="C5181" s="159" t="str">
        <f t="shared" si="405"/>
        <v>December!$H$1:$H$92</v>
      </c>
      <c r="D5181" s="159" t="str">
        <f t="shared" si="406"/>
        <v>December!$I$1:$I$92</v>
      </c>
      <c r="E5181" t="s">
        <v>9</v>
      </c>
      <c r="F5181" t="s">
        <v>131</v>
      </c>
      <c r="G5181" t="s">
        <v>143</v>
      </c>
      <c r="H5181" t="s">
        <v>179</v>
      </c>
      <c r="I5181" t="e">
        <f t="shared" ca="1" si="407"/>
        <v>#REF!</v>
      </c>
      <c r="J5181" t="str">
        <f>VLOOKUP($G5181,DefinitionArrays!$I$6:$J$12,2,FALSE)</f>
        <v>Workweek</v>
      </c>
    </row>
    <row r="5182" spans="1:10">
      <c r="A5182" s="159" t="str">
        <f t="shared" si="403"/>
        <v>$H$1:$H$92</v>
      </c>
      <c r="B5182" s="159" t="str">
        <f t="shared" si="404"/>
        <v>$I$1:$I$92</v>
      </c>
      <c r="C5182" s="159" t="str">
        <f t="shared" si="405"/>
        <v>December!$H$1:$H$92</v>
      </c>
      <c r="D5182" s="159" t="str">
        <f t="shared" si="406"/>
        <v>December!$I$1:$I$92</v>
      </c>
      <c r="E5182" t="s">
        <v>9</v>
      </c>
      <c r="F5182" t="s">
        <v>131</v>
      </c>
      <c r="G5182" t="s">
        <v>143</v>
      </c>
      <c r="H5182" t="s">
        <v>180</v>
      </c>
      <c r="I5182" t="e">
        <f t="shared" ca="1" si="407"/>
        <v>#REF!</v>
      </c>
      <c r="J5182" t="str">
        <f>VLOOKUP($G5182,DefinitionArrays!$I$6:$J$12,2,FALSE)</f>
        <v>Workweek</v>
      </c>
    </row>
    <row r="5183" spans="1:10">
      <c r="A5183" s="159" t="str">
        <f t="shared" si="403"/>
        <v>$H$1:$H$92</v>
      </c>
      <c r="B5183" s="159" t="str">
        <f t="shared" si="404"/>
        <v>$I$1:$I$92</v>
      </c>
      <c r="C5183" s="159" t="str">
        <f t="shared" si="405"/>
        <v>December!$H$1:$H$92</v>
      </c>
      <c r="D5183" s="159" t="str">
        <f t="shared" si="406"/>
        <v>December!$I$1:$I$92</v>
      </c>
      <c r="E5183" t="s">
        <v>9</v>
      </c>
      <c r="F5183" t="s">
        <v>131</v>
      </c>
      <c r="G5183" t="s">
        <v>143</v>
      </c>
      <c r="H5183" t="s">
        <v>44</v>
      </c>
      <c r="I5183" t="e">
        <f t="shared" ca="1" si="407"/>
        <v>#REF!</v>
      </c>
      <c r="J5183" t="str">
        <f>VLOOKUP($G5183,DefinitionArrays!$I$6:$J$12,2,FALSE)</f>
        <v>Workweek</v>
      </c>
    </row>
    <row r="5184" spans="1:10">
      <c r="A5184" s="159" t="str">
        <f t="shared" si="403"/>
        <v>$K$1:$K$92</v>
      </c>
      <c r="B5184" s="159" t="str">
        <f t="shared" si="404"/>
        <v>$L$1:$L$92</v>
      </c>
      <c r="C5184" s="159" t="str">
        <f t="shared" si="405"/>
        <v>December!$K$1:$K$92</v>
      </c>
      <c r="D5184" s="159" t="str">
        <f t="shared" si="406"/>
        <v>December!$L$1:$L$92</v>
      </c>
      <c r="E5184" t="s">
        <v>9</v>
      </c>
      <c r="F5184" t="s">
        <v>131</v>
      </c>
      <c r="G5184" t="s">
        <v>144</v>
      </c>
      <c r="H5184" t="s">
        <v>159</v>
      </c>
      <c r="I5184" t="e">
        <f t="shared" ca="1" si="407"/>
        <v>#REF!</v>
      </c>
      <c r="J5184" t="str">
        <f>VLOOKUP($G5184,DefinitionArrays!$I$6:$J$12,2,FALSE)</f>
        <v>Workweek</v>
      </c>
    </row>
    <row r="5185" spans="1:10">
      <c r="A5185" s="159" t="str">
        <f t="shared" si="403"/>
        <v>$K$1:$K$92</v>
      </c>
      <c r="B5185" s="159" t="str">
        <f t="shared" si="404"/>
        <v>$L$1:$L$92</v>
      </c>
      <c r="C5185" s="159" t="str">
        <f t="shared" si="405"/>
        <v>December!$K$1:$K$92</v>
      </c>
      <c r="D5185" s="159" t="str">
        <f t="shared" si="406"/>
        <v>December!$L$1:$L$92</v>
      </c>
      <c r="E5185" t="s">
        <v>9</v>
      </c>
      <c r="F5185" t="s">
        <v>131</v>
      </c>
      <c r="G5185" t="s">
        <v>144</v>
      </c>
      <c r="H5185" t="s">
        <v>18</v>
      </c>
      <c r="I5185" t="e">
        <f t="shared" ca="1" si="407"/>
        <v>#REF!</v>
      </c>
      <c r="J5185" t="str">
        <f>VLOOKUP($G5185,DefinitionArrays!$I$6:$J$12,2,FALSE)</f>
        <v>Workweek</v>
      </c>
    </row>
    <row r="5186" spans="1:10">
      <c r="A5186" s="159" t="str">
        <f t="shared" ref="A5186:A5249" si="408">VLOOKUP($G5186,Fx_Code,2,FALSE)</f>
        <v>$K$1:$K$92</v>
      </c>
      <c r="B5186" s="159" t="str">
        <f t="shared" ref="B5186:B5249" si="409">VLOOKUP($G5186,Fx_Code,3,FALSE)</f>
        <v>$L$1:$L$92</v>
      </c>
      <c r="C5186" s="159" t="str">
        <f t="shared" ref="C5186:C5249" si="410">CONCATENATE($F5186,$K$1,A5186)</f>
        <v>December!$K$1:$K$92</v>
      </c>
      <c r="D5186" s="159" t="str">
        <f t="shared" ref="D5186:D5249" si="411">CONCATENATE($F5186,$K$1,B5186)</f>
        <v>December!$L$1:$L$92</v>
      </c>
      <c r="E5186" t="s">
        <v>9</v>
      </c>
      <c r="F5186" t="s">
        <v>131</v>
      </c>
      <c r="G5186" t="s">
        <v>144</v>
      </c>
      <c r="H5186" t="s">
        <v>153</v>
      </c>
      <c r="I5186" t="e">
        <f t="shared" ca="1" si="407"/>
        <v>#REF!</v>
      </c>
      <c r="J5186" t="str">
        <f>VLOOKUP($G5186,DefinitionArrays!$I$6:$J$12,2,FALSE)</f>
        <v>Workweek</v>
      </c>
    </row>
    <row r="5187" spans="1:10">
      <c r="A5187" s="159" t="str">
        <f t="shared" si="408"/>
        <v>$K$1:$K$92</v>
      </c>
      <c r="B5187" s="159" t="str">
        <f t="shared" si="409"/>
        <v>$L$1:$L$92</v>
      </c>
      <c r="C5187" s="159" t="str">
        <f t="shared" si="410"/>
        <v>December!$K$1:$K$92</v>
      </c>
      <c r="D5187" s="159" t="str">
        <f t="shared" si="411"/>
        <v>December!$L$1:$L$92</v>
      </c>
      <c r="E5187" t="s">
        <v>9</v>
      </c>
      <c r="F5187" t="s">
        <v>131</v>
      </c>
      <c r="G5187" t="s">
        <v>144</v>
      </c>
      <c r="H5187" t="s">
        <v>19</v>
      </c>
      <c r="I5187" t="e">
        <f t="shared" ca="1" si="407"/>
        <v>#REF!</v>
      </c>
      <c r="J5187" t="str">
        <f>VLOOKUP($G5187,DefinitionArrays!$I$6:$J$12,2,FALSE)</f>
        <v>Workweek</v>
      </c>
    </row>
    <row r="5188" spans="1:10">
      <c r="A5188" s="159" t="str">
        <f t="shared" si="408"/>
        <v>$K$1:$K$92</v>
      </c>
      <c r="B5188" s="159" t="str">
        <f t="shared" si="409"/>
        <v>$L$1:$L$92</v>
      </c>
      <c r="C5188" s="159" t="str">
        <f t="shared" si="410"/>
        <v>December!$K$1:$K$92</v>
      </c>
      <c r="D5188" s="159" t="str">
        <f t="shared" si="411"/>
        <v>December!$L$1:$L$92</v>
      </c>
      <c r="E5188" t="s">
        <v>9</v>
      </c>
      <c r="F5188" t="s">
        <v>131</v>
      </c>
      <c r="G5188" t="s">
        <v>144</v>
      </c>
      <c r="H5188" t="s">
        <v>20</v>
      </c>
      <c r="I5188" t="e">
        <f t="shared" ca="1" si="407"/>
        <v>#REF!</v>
      </c>
      <c r="J5188" t="str">
        <f>VLOOKUP($G5188,DefinitionArrays!$I$6:$J$12,2,FALSE)</f>
        <v>Workweek</v>
      </c>
    </row>
    <row r="5189" spans="1:10">
      <c r="A5189" s="159" t="str">
        <f t="shared" si="408"/>
        <v>$K$1:$K$92</v>
      </c>
      <c r="B5189" s="159" t="str">
        <f t="shared" si="409"/>
        <v>$L$1:$L$92</v>
      </c>
      <c r="C5189" s="159" t="str">
        <f t="shared" si="410"/>
        <v>December!$K$1:$K$92</v>
      </c>
      <c r="D5189" s="159" t="str">
        <f t="shared" si="411"/>
        <v>December!$L$1:$L$92</v>
      </c>
      <c r="E5189" t="s">
        <v>9</v>
      </c>
      <c r="F5189" t="s">
        <v>131</v>
      </c>
      <c r="G5189" t="s">
        <v>144</v>
      </c>
      <c r="H5189" t="s">
        <v>21</v>
      </c>
      <c r="I5189" t="e">
        <f t="shared" ca="1" si="407"/>
        <v>#REF!</v>
      </c>
      <c r="J5189" t="str">
        <f>VLOOKUP($G5189,DefinitionArrays!$I$6:$J$12,2,FALSE)</f>
        <v>Workweek</v>
      </c>
    </row>
    <row r="5190" spans="1:10">
      <c r="A5190" s="159" t="str">
        <f t="shared" si="408"/>
        <v>$K$1:$K$92</v>
      </c>
      <c r="B5190" s="159" t="str">
        <f t="shared" si="409"/>
        <v>$L$1:$L$92</v>
      </c>
      <c r="C5190" s="159" t="str">
        <f t="shared" si="410"/>
        <v>December!$K$1:$K$92</v>
      </c>
      <c r="D5190" s="159" t="str">
        <f t="shared" si="411"/>
        <v>December!$L$1:$L$92</v>
      </c>
      <c r="E5190" t="s">
        <v>9</v>
      </c>
      <c r="F5190" t="s">
        <v>131</v>
      </c>
      <c r="G5190" t="s">
        <v>144</v>
      </c>
      <c r="H5190" t="s">
        <v>22</v>
      </c>
      <c r="I5190" t="e">
        <f t="shared" ca="1" si="407"/>
        <v>#REF!</v>
      </c>
      <c r="J5190" t="str">
        <f>VLOOKUP($G5190,DefinitionArrays!$I$6:$J$12,2,FALSE)</f>
        <v>Workweek</v>
      </c>
    </row>
    <row r="5191" spans="1:10">
      <c r="A5191" s="159" t="str">
        <f t="shared" si="408"/>
        <v>$K$1:$K$92</v>
      </c>
      <c r="B5191" s="159" t="str">
        <f t="shared" si="409"/>
        <v>$L$1:$L$92</v>
      </c>
      <c r="C5191" s="159" t="str">
        <f t="shared" si="410"/>
        <v>December!$K$1:$K$92</v>
      </c>
      <c r="D5191" s="159" t="str">
        <f t="shared" si="411"/>
        <v>December!$L$1:$L$92</v>
      </c>
      <c r="E5191" t="s">
        <v>9</v>
      </c>
      <c r="F5191" t="s">
        <v>131</v>
      </c>
      <c r="G5191" t="s">
        <v>144</v>
      </c>
      <c r="H5191" t="s">
        <v>23</v>
      </c>
      <c r="I5191" t="e">
        <f t="shared" ca="1" si="407"/>
        <v>#REF!</v>
      </c>
      <c r="J5191" t="str">
        <f>VLOOKUP($G5191,DefinitionArrays!$I$6:$J$12,2,FALSE)</f>
        <v>Workweek</v>
      </c>
    </row>
    <row r="5192" spans="1:10">
      <c r="A5192" s="159" t="str">
        <f t="shared" si="408"/>
        <v>$K$1:$K$92</v>
      </c>
      <c r="B5192" s="159" t="str">
        <f t="shared" si="409"/>
        <v>$L$1:$L$92</v>
      </c>
      <c r="C5192" s="159" t="str">
        <f t="shared" si="410"/>
        <v>December!$K$1:$K$92</v>
      </c>
      <c r="D5192" s="159" t="str">
        <f t="shared" si="411"/>
        <v>December!$L$1:$L$92</v>
      </c>
      <c r="E5192" t="s">
        <v>9</v>
      </c>
      <c r="F5192" t="s">
        <v>131</v>
      </c>
      <c r="G5192" t="s">
        <v>144</v>
      </c>
      <c r="H5192" t="s">
        <v>24</v>
      </c>
      <c r="I5192" t="e">
        <f t="shared" ca="1" si="407"/>
        <v>#REF!</v>
      </c>
      <c r="J5192" t="str">
        <f>VLOOKUP($G5192,DefinitionArrays!$I$6:$J$12,2,FALSE)</f>
        <v>Workweek</v>
      </c>
    </row>
    <row r="5193" spans="1:10">
      <c r="A5193" s="159" t="str">
        <f t="shared" si="408"/>
        <v>$K$1:$K$92</v>
      </c>
      <c r="B5193" s="159" t="str">
        <f t="shared" si="409"/>
        <v>$L$1:$L$92</v>
      </c>
      <c r="C5193" s="159" t="str">
        <f t="shared" si="410"/>
        <v>December!$K$1:$K$92</v>
      </c>
      <c r="D5193" s="159" t="str">
        <f t="shared" si="411"/>
        <v>December!$L$1:$L$92</v>
      </c>
      <c r="E5193" t="s">
        <v>9</v>
      </c>
      <c r="F5193" t="s">
        <v>131</v>
      </c>
      <c r="G5193" t="s">
        <v>144</v>
      </c>
      <c r="H5193" t="s">
        <v>179</v>
      </c>
      <c r="I5193" t="e">
        <f t="shared" ca="1" si="407"/>
        <v>#REF!</v>
      </c>
      <c r="J5193" t="str">
        <f>VLOOKUP($G5193,DefinitionArrays!$I$6:$J$12,2,FALSE)</f>
        <v>Workweek</v>
      </c>
    </row>
    <row r="5194" spans="1:10">
      <c r="A5194" s="159" t="str">
        <f t="shared" si="408"/>
        <v>$K$1:$K$92</v>
      </c>
      <c r="B5194" s="159" t="str">
        <f t="shared" si="409"/>
        <v>$L$1:$L$92</v>
      </c>
      <c r="C5194" s="159" t="str">
        <f t="shared" si="410"/>
        <v>December!$K$1:$K$92</v>
      </c>
      <c r="D5194" s="159" t="str">
        <f t="shared" si="411"/>
        <v>December!$L$1:$L$92</v>
      </c>
      <c r="E5194" t="s">
        <v>9</v>
      </c>
      <c r="F5194" t="s">
        <v>131</v>
      </c>
      <c r="G5194" t="s">
        <v>144</v>
      </c>
      <c r="H5194" t="s">
        <v>180</v>
      </c>
      <c r="I5194" t="e">
        <f t="shared" ca="1" si="407"/>
        <v>#REF!</v>
      </c>
      <c r="J5194" t="str">
        <f>VLOOKUP($G5194,DefinitionArrays!$I$6:$J$12,2,FALSE)</f>
        <v>Workweek</v>
      </c>
    </row>
    <row r="5195" spans="1:10">
      <c r="A5195" s="159" t="str">
        <f t="shared" si="408"/>
        <v>$K$1:$K$92</v>
      </c>
      <c r="B5195" s="159" t="str">
        <f t="shared" si="409"/>
        <v>$L$1:$L$92</v>
      </c>
      <c r="C5195" s="159" t="str">
        <f t="shared" si="410"/>
        <v>December!$K$1:$K$92</v>
      </c>
      <c r="D5195" s="159" t="str">
        <f t="shared" si="411"/>
        <v>December!$L$1:$L$92</v>
      </c>
      <c r="E5195" t="s">
        <v>9</v>
      </c>
      <c r="F5195" t="s">
        <v>131</v>
      </c>
      <c r="G5195" t="s">
        <v>144</v>
      </c>
      <c r="H5195" t="s">
        <v>44</v>
      </c>
      <c r="I5195" t="e">
        <f t="shared" ca="1" si="407"/>
        <v>#REF!</v>
      </c>
      <c r="J5195" t="str">
        <f>VLOOKUP($G5195,DefinitionArrays!$I$6:$J$12,2,FALSE)</f>
        <v>Workweek</v>
      </c>
    </row>
    <row r="5196" spans="1:10">
      <c r="A5196" s="159" t="str">
        <f t="shared" si="408"/>
        <v>$N$1:$N$92</v>
      </c>
      <c r="B5196" s="159" t="str">
        <f t="shared" si="409"/>
        <v>$O$1:$O$92</v>
      </c>
      <c r="C5196" s="159" t="str">
        <f t="shared" si="410"/>
        <v>December!$N$1:$N$92</v>
      </c>
      <c r="D5196" s="159" t="str">
        <f t="shared" si="411"/>
        <v>December!$O$1:$O$92</v>
      </c>
      <c r="E5196" t="s">
        <v>9</v>
      </c>
      <c r="F5196" t="s">
        <v>131</v>
      </c>
      <c r="G5196" t="s">
        <v>145</v>
      </c>
      <c r="H5196" t="s">
        <v>159</v>
      </c>
      <c r="I5196" t="e">
        <f t="shared" ca="1" si="407"/>
        <v>#REF!</v>
      </c>
      <c r="J5196" t="str">
        <f>VLOOKUP($G5196,DefinitionArrays!$I$6:$J$12,2,FALSE)</f>
        <v>Weekend</v>
      </c>
    </row>
    <row r="5197" spans="1:10">
      <c r="A5197" s="159" t="str">
        <f t="shared" si="408"/>
        <v>$N$1:$N$92</v>
      </c>
      <c r="B5197" s="159" t="str">
        <f t="shared" si="409"/>
        <v>$O$1:$O$92</v>
      </c>
      <c r="C5197" s="159" t="str">
        <f t="shared" si="410"/>
        <v>December!$N$1:$N$92</v>
      </c>
      <c r="D5197" s="159" t="str">
        <f t="shared" si="411"/>
        <v>December!$O$1:$O$92</v>
      </c>
      <c r="E5197" t="s">
        <v>9</v>
      </c>
      <c r="F5197" t="s">
        <v>131</v>
      </c>
      <c r="G5197" t="s">
        <v>145</v>
      </c>
      <c r="H5197" t="s">
        <v>18</v>
      </c>
      <c r="I5197" t="e">
        <f t="shared" ca="1" si="407"/>
        <v>#REF!</v>
      </c>
      <c r="J5197" t="str">
        <f>VLOOKUP($G5197,DefinitionArrays!$I$6:$J$12,2,FALSE)</f>
        <v>Weekend</v>
      </c>
    </row>
    <row r="5198" spans="1:10">
      <c r="A5198" s="159" t="str">
        <f t="shared" si="408"/>
        <v>$N$1:$N$92</v>
      </c>
      <c r="B5198" s="159" t="str">
        <f t="shared" si="409"/>
        <v>$O$1:$O$92</v>
      </c>
      <c r="C5198" s="159" t="str">
        <f t="shared" si="410"/>
        <v>December!$N$1:$N$92</v>
      </c>
      <c r="D5198" s="159" t="str">
        <f t="shared" si="411"/>
        <v>December!$O$1:$O$92</v>
      </c>
      <c r="E5198" t="s">
        <v>9</v>
      </c>
      <c r="F5198" t="s">
        <v>131</v>
      </c>
      <c r="G5198" t="s">
        <v>145</v>
      </c>
      <c r="H5198" t="s">
        <v>153</v>
      </c>
      <c r="I5198" t="e">
        <f t="shared" ca="1" si="407"/>
        <v>#REF!</v>
      </c>
      <c r="J5198" t="str">
        <f>VLOOKUP($G5198,DefinitionArrays!$I$6:$J$12,2,FALSE)</f>
        <v>Weekend</v>
      </c>
    </row>
    <row r="5199" spans="1:10">
      <c r="A5199" s="159" t="str">
        <f t="shared" si="408"/>
        <v>$N$1:$N$92</v>
      </c>
      <c r="B5199" s="159" t="str">
        <f t="shared" si="409"/>
        <v>$O$1:$O$92</v>
      </c>
      <c r="C5199" s="159" t="str">
        <f t="shared" si="410"/>
        <v>December!$N$1:$N$92</v>
      </c>
      <c r="D5199" s="159" t="str">
        <f t="shared" si="411"/>
        <v>December!$O$1:$O$92</v>
      </c>
      <c r="E5199" t="s">
        <v>9</v>
      </c>
      <c r="F5199" t="s">
        <v>131</v>
      </c>
      <c r="G5199" t="s">
        <v>145</v>
      </c>
      <c r="H5199" t="s">
        <v>19</v>
      </c>
      <c r="I5199" t="e">
        <f t="shared" ca="1" si="407"/>
        <v>#REF!</v>
      </c>
      <c r="J5199" t="str">
        <f>VLOOKUP($G5199,DefinitionArrays!$I$6:$J$12,2,FALSE)</f>
        <v>Weekend</v>
      </c>
    </row>
    <row r="5200" spans="1:10">
      <c r="A5200" s="159" t="str">
        <f t="shared" si="408"/>
        <v>$N$1:$N$92</v>
      </c>
      <c r="B5200" s="159" t="str">
        <f t="shared" si="409"/>
        <v>$O$1:$O$92</v>
      </c>
      <c r="C5200" s="159" t="str">
        <f t="shared" si="410"/>
        <v>December!$N$1:$N$92</v>
      </c>
      <c r="D5200" s="159" t="str">
        <f t="shared" si="411"/>
        <v>December!$O$1:$O$92</v>
      </c>
      <c r="E5200" t="s">
        <v>9</v>
      </c>
      <c r="F5200" t="s">
        <v>131</v>
      </c>
      <c r="G5200" t="s">
        <v>145</v>
      </c>
      <c r="H5200" t="s">
        <v>20</v>
      </c>
      <c r="I5200" t="e">
        <f t="shared" ca="1" si="407"/>
        <v>#REF!</v>
      </c>
      <c r="J5200" t="str">
        <f>VLOOKUP($G5200,DefinitionArrays!$I$6:$J$12,2,FALSE)</f>
        <v>Weekend</v>
      </c>
    </row>
    <row r="5201" spans="1:10">
      <c r="A5201" s="159" t="str">
        <f t="shared" si="408"/>
        <v>$N$1:$N$92</v>
      </c>
      <c r="B5201" s="159" t="str">
        <f t="shared" si="409"/>
        <v>$O$1:$O$92</v>
      </c>
      <c r="C5201" s="159" t="str">
        <f t="shared" si="410"/>
        <v>December!$N$1:$N$92</v>
      </c>
      <c r="D5201" s="159" t="str">
        <f t="shared" si="411"/>
        <v>December!$O$1:$O$92</v>
      </c>
      <c r="E5201" t="s">
        <v>9</v>
      </c>
      <c r="F5201" t="s">
        <v>131</v>
      </c>
      <c r="G5201" t="s">
        <v>145</v>
      </c>
      <c r="H5201" t="s">
        <v>21</v>
      </c>
      <c r="I5201" t="e">
        <f t="shared" ca="1" si="407"/>
        <v>#REF!</v>
      </c>
      <c r="J5201" t="str">
        <f>VLOOKUP($G5201,DefinitionArrays!$I$6:$J$12,2,FALSE)</f>
        <v>Weekend</v>
      </c>
    </row>
    <row r="5202" spans="1:10">
      <c r="A5202" s="159" t="str">
        <f t="shared" si="408"/>
        <v>$N$1:$N$92</v>
      </c>
      <c r="B5202" s="159" t="str">
        <f t="shared" si="409"/>
        <v>$O$1:$O$92</v>
      </c>
      <c r="C5202" s="159" t="str">
        <f t="shared" si="410"/>
        <v>December!$N$1:$N$92</v>
      </c>
      <c r="D5202" s="159" t="str">
        <f t="shared" si="411"/>
        <v>December!$O$1:$O$92</v>
      </c>
      <c r="E5202" t="s">
        <v>9</v>
      </c>
      <c r="F5202" t="s">
        <v>131</v>
      </c>
      <c r="G5202" t="s">
        <v>145</v>
      </c>
      <c r="H5202" t="s">
        <v>22</v>
      </c>
      <c r="I5202" t="e">
        <f t="shared" ca="1" si="407"/>
        <v>#REF!</v>
      </c>
      <c r="J5202" t="str">
        <f>VLOOKUP($G5202,DefinitionArrays!$I$6:$J$12,2,FALSE)</f>
        <v>Weekend</v>
      </c>
    </row>
    <row r="5203" spans="1:10">
      <c r="A5203" s="159" t="str">
        <f t="shared" si="408"/>
        <v>$N$1:$N$92</v>
      </c>
      <c r="B5203" s="159" t="str">
        <f t="shared" si="409"/>
        <v>$O$1:$O$92</v>
      </c>
      <c r="C5203" s="159" t="str">
        <f t="shared" si="410"/>
        <v>December!$N$1:$N$92</v>
      </c>
      <c r="D5203" s="159" t="str">
        <f t="shared" si="411"/>
        <v>December!$O$1:$O$92</v>
      </c>
      <c r="E5203" t="s">
        <v>9</v>
      </c>
      <c r="F5203" t="s">
        <v>131</v>
      </c>
      <c r="G5203" t="s">
        <v>145</v>
      </c>
      <c r="H5203" t="s">
        <v>23</v>
      </c>
      <c r="I5203" t="e">
        <f t="shared" ca="1" si="407"/>
        <v>#REF!</v>
      </c>
      <c r="J5203" t="str">
        <f>VLOOKUP($G5203,DefinitionArrays!$I$6:$J$12,2,FALSE)</f>
        <v>Weekend</v>
      </c>
    </row>
    <row r="5204" spans="1:10">
      <c r="A5204" s="159" t="str">
        <f t="shared" si="408"/>
        <v>$N$1:$N$92</v>
      </c>
      <c r="B5204" s="159" t="str">
        <f t="shared" si="409"/>
        <v>$O$1:$O$92</v>
      </c>
      <c r="C5204" s="159" t="str">
        <f t="shared" si="410"/>
        <v>December!$N$1:$N$92</v>
      </c>
      <c r="D5204" s="159" t="str">
        <f t="shared" si="411"/>
        <v>December!$O$1:$O$92</v>
      </c>
      <c r="E5204" t="s">
        <v>9</v>
      </c>
      <c r="F5204" t="s">
        <v>131</v>
      </c>
      <c r="G5204" t="s">
        <v>145</v>
      </c>
      <c r="H5204" t="s">
        <v>24</v>
      </c>
      <c r="I5204" t="e">
        <f t="shared" ca="1" si="407"/>
        <v>#REF!</v>
      </c>
      <c r="J5204" t="str">
        <f>VLOOKUP($G5204,DefinitionArrays!$I$6:$J$12,2,FALSE)</f>
        <v>Weekend</v>
      </c>
    </row>
    <row r="5205" spans="1:10">
      <c r="A5205" s="159" t="str">
        <f t="shared" si="408"/>
        <v>$N$1:$N$92</v>
      </c>
      <c r="B5205" s="159" t="str">
        <f t="shared" si="409"/>
        <v>$O$1:$O$92</v>
      </c>
      <c r="C5205" s="159" t="str">
        <f t="shared" si="410"/>
        <v>December!$N$1:$N$92</v>
      </c>
      <c r="D5205" s="159" t="str">
        <f t="shared" si="411"/>
        <v>December!$O$1:$O$92</v>
      </c>
      <c r="E5205" t="s">
        <v>9</v>
      </c>
      <c r="F5205" t="s">
        <v>131</v>
      </c>
      <c r="G5205" t="s">
        <v>145</v>
      </c>
      <c r="H5205" t="s">
        <v>179</v>
      </c>
      <c r="I5205" t="e">
        <f t="shared" ca="1" si="407"/>
        <v>#REF!</v>
      </c>
      <c r="J5205" t="str">
        <f>VLOOKUP($G5205,DefinitionArrays!$I$6:$J$12,2,FALSE)</f>
        <v>Weekend</v>
      </c>
    </row>
    <row r="5206" spans="1:10">
      <c r="A5206" s="159" t="str">
        <f t="shared" si="408"/>
        <v>$N$1:$N$92</v>
      </c>
      <c r="B5206" s="159" t="str">
        <f t="shared" si="409"/>
        <v>$O$1:$O$92</v>
      </c>
      <c r="C5206" s="159" t="str">
        <f t="shared" si="410"/>
        <v>December!$N$1:$N$92</v>
      </c>
      <c r="D5206" s="159" t="str">
        <f t="shared" si="411"/>
        <v>December!$O$1:$O$92</v>
      </c>
      <c r="E5206" t="s">
        <v>9</v>
      </c>
      <c r="F5206" t="s">
        <v>131</v>
      </c>
      <c r="G5206" t="s">
        <v>145</v>
      </c>
      <c r="H5206" t="s">
        <v>180</v>
      </c>
      <c r="I5206" t="e">
        <f t="shared" ca="1" si="407"/>
        <v>#REF!</v>
      </c>
      <c r="J5206" t="str">
        <f>VLOOKUP($G5206,DefinitionArrays!$I$6:$J$12,2,FALSE)</f>
        <v>Weekend</v>
      </c>
    </row>
    <row r="5207" spans="1:10">
      <c r="A5207" s="159" t="str">
        <f t="shared" si="408"/>
        <v>$N$1:$N$92</v>
      </c>
      <c r="B5207" s="159" t="str">
        <f t="shared" si="409"/>
        <v>$O$1:$O$92</v>
      </c>
      <c r="C5207" s="159" t="str">
        <f t="shared" si="410"/>
        <v>December!$N$1:$N$92</v>
      </c>
      <c r="D5207" s="159" t="str">
        <f t="shared" si="411"/>
        <v>December!$O$1:$O$92</v>
      </c>
      <c r="E5207" t="s">
        <v>9</v>
      </c>
      <c r="F5207" t="s">
        <v>131</v>
      </c>
      <c r="G5207" t="s">
        <v>145</v>
      </c>
      <c r="H5207" t="s">
        <v>44</v>
      </c>
      <c r="I5207" t="e">
        <f t="shared" ca="1" si="407"/>
        <v>#REF!</v>
      </c>
      <c r="J5207" t="str">
        <f>VLOOKUP($G5207,DefinitionArrays!$I$6:$J$12,2,FALSE)</f>
        <v>Weekend</v>
      </c>
    </row>
    <row r="5208" spans="1:10">
      <c r="A5208" s="159" t="str">
        <f t="shared" si="408"/>
        <v>$Q$1:$Q$92</v>
      </c>
      <c r="B5208" s="159" t="str">
        <f t="shared" si="409"/>
        <v>$R$1:$R$92</v>
      </c>
      <c r="C5208" s="159" t="str">
        <f t="shared" si="410"/>
        <v>December!$Q$1:$Q$92</v>
      </c>
      <c r="D5208" s="159" t="str">
        <f t="shared" si="411"/>
        <v>December!$R$1:$R$92</v>
      </c>
      <c r="E5208" t="s">
        <v>9</v>
      </c>
      <c r="F5208" t="s">
        <v>131</v>
      </c>
      <c r="G5208" t="s">
        <v>146</v>
      </c>
      <c r="H5208" t="s">
        <v>159</v>
      </c>
      <c r="I5208" t="e">
        <f t="shared" ca="1" si="407"/>
        <v>#REF!</v>
      </c>
      <c r="J5208" t="str">
        <f>VLOOKUP($G5208,DefinitionArrays!$I$6:$J$12,2,FALSE)</f>
        <v>Weekend</v>
      </c>
    </row>
    <row r="5209" spans="1:10">
      <c r="A5209" s="159" t="str">
        <f t="shared" si="408"/>
        <v>$T$1:$T$92</v>
      </c>
      <c r="B5209" s="159" t="str">
        <f t="shared" si="409"/>
        <v>$U$1:$U$92</v>
      </c>
      <c r="C5209" s="159" t="str">
        <f t="shared" si="410"/>
        <v>December!$T$1:$T$92</v>
      </c>
      <c r="D5209" s="159" t="str">
        <f t="shared" si="411"/>
        <v>December!$U$1:$U$92</v>
      </c>
      <c r="E5209" t="s">
        <v>9</v>
      </c>
      <c r="F5209" t="s">
        <v>131</v>
      </c>
      <c r="G5209" t="s">
        <v>141</v>
      </c>
      <c r="H5209" t="s">
        <v>159</v>
      </c>
      <c r="I5209" t="e">
        <f t="shared" ca="1" si="407"/>
        <v>#REF!</v>
      </c>
      <c r="J5209" t="str">
        <f>VLOOKUP($G5209,DefinitionArrays!$I$6:$J$12,2,FALSE)</f>
        <v>Weekend</v>
      </c>
    </row>
    <row r="5210" spans="1:10">
      <c r="A5210" s="159" t="str">
        <f t="shared" si="408"/>
        <v>$B$1:$B$92</v>
      </c>
      <c r="B5210" s="159" t="str">
        <f t="shared" si="409"/>
        <v>$C$1:$C$92</v>
      </c>
      <c r="C5210" s="159" t="str">
        <f t="shared" si="410"/>
        <v>January!$B$1:$B$92</v>
      </c>
      <c r="D5210" s="159" t="str">
        <f t="shared" si="411"/>
        <v>January!$C$1:$C$92</v>
      </c>
      <c r="E5210" t="s">
        <v>10</v>
      </c>
      <c r="F5210" t="s">
        <v>48</v>
      </c>
      <c r="G5210" t="s">
        <v>13</v>
      </c>
      <c r="H5210" t="s">
        <v>159</v>
      </c>
      <c r="I5210" t="e">
        <f ca="1">COUNTIFS(INDIRECT($C5210),$E5210,INDIRECT($D5210),$H5210)</f>
        <v>#REF!</v>
      </c>
      <c r="J5210" t="str">
        <f>VLOOKUP($G5210,DefinitionArrays!$I$6:$J$12,2,FALSE)</f>
        <v>Workweek</v>
      </c>
    </row>
    <row r="5211" spans="1:10">
      <c r="A5211" s="159" t="str">
        <f t="shared" si="408"/>
        <v>$B$1:$B$92</v>
      </c>
      <c r="B5211" s="159" t="str">
        <f t="shared" si="409"/>
        <v>$C$1:$C$92</v>
      </c>
      <c r="C5211" s="159" t="str">
        <f t="shared" si="410"/>
        <v>January!$B$1:$B$92</v>
      </c>
      <c r="D5211" s="159" t="str">
        <f t="shared" si="411"/>
        <v>January!$C$1:$C$92</v>
      </c>
      <c r="E5211" t="s">
        <v>10</v>
      </c>
      <c r="F5211" t="s">
        <v>48</v>
      </c>
      <c r="G5211" t="s">
        <v>13</v>
      </c>
      <c r="H5211" t="s">
        <v>18</v>
      </c>
      <c r="I5211" t="e">
        <f t="shared" ref="I5211:I5271" ca="1" si="412">COUNTIFS(INDIRECT($C5211),$E5211,INDIRECT($D5211),$H5211)</f>
        <v>#REF!</v>
      </c>
      <c r="J5211" t="str">
        <f>VLOOKUP($G5211,DefinitionArrays!$I$6:$J$12,2,FALSE)</f>
        <v>Workweek</v>
      </c>
    </row>
    <row r="5212" spans="1:10">
      <c r="A5212" s="159" t="str">
        <f t="shared" si="408"/>
        <v>$B$1:$B$92</v>
      </c>
      <c r="B5212" s="159" t="str">
        <f t="shared" si="409"/>
        <v>$C$1:$C$92</v>
      </c>
      <c r="C5212" s="159" t="str">
        <f t="shared" si="410"/>
        <v>January!$B$1:$B$92</v>
      </c>
      <c r="D5212" s="159" t="str">
        <f t="shared" si="411"/>
        <v>January!$C$1:$C$92</v>
      </c>
      <c r="E5212" t="s">
        <v>10</v>
      </c>
      <c r="F5212" t="s">
        <v>48</v>
      </c>
      <c r="G5212" t="s">
        <v>13</v>
      </c>
      <c r="H5212" t="s">
        <v>153</v>
      </c>
      <c r="I5212" t="e">
        <f t="shared" ca="1" si="412"/>
        <v>#REF!</v>
      </c>
      <c r="J5212" t="str">
        <f>VLOOKUP($G5212,DefinitionArrays!$I$6:$J$12,2,FALSE)</f>
        <v>Workweek</v>
      </c>
    </row>
    <row r="5213" spans="1:10">
      <c r="A5213" s="159" t="str">
        <f t="shared" si="408"/>
        <v>$B$1:$B$92</v>
      </c>
      <c r="B5213" s="159" t="str">
        <f t="shared" si="409"/>
        <v>$C$1:$C$92</v>
      </c>
      <c r="C5213" s="159" t="str">
        <f t="shared" si="410"/>
        <v>January!$B$1:$B$92</v>
      </c>
      <c r="D5213" s="159" t="str">
        <f t="shared" si="411"/>
        <v>January!$C$1:$C$92</v>
      </c>
      <c r="E5213" t="s">
        <v>10</v>
      </c>
      <c r="F5213" t="s">
        <v>48</v>
      </c>
      <c r="G5213" t="s">
        <v>13</v>
      </c>
      <c r="H5213" t="s">
        <v>19</v>
      </c>
      <c r="I5213" t="e">
        <f t="shared" ca="1" si="412"/>
        <v>#REF!</v>
      </c>
      <c r="J5213" t="str">
        <f>VLOOKUP($G5213,DefinitionArrays!$I$6:$J$12,2,FALSE)</f>
        <v>Workweek</v>
      </c>
    </row>
    <row r="5214" spans="1:10">
      <c r="A5214" s="159" t="str">
        <f t="shared" si="408"/>
        <v>$B$1:$B$92</v>
      </c>
      <c r="B5214" s="159" t="str">
        <f t="shared" si="409"/>
        <v>$C$1:$C$92</v>
      </c>
      <c r="C5214" s="159" t="str">
        <f t="shared" si="410"/>
        <v>January!$B$1:$B$92</v>
      </c>
      <c r="D5214" s="159" t="str">
        <f t="shared" si="411"/>
        <v>January!$C$1:$C$92</v>
      </c>
      <c r="E5214" t="s">
        <v>10</v>
      </c>
      <c r="F5214" t="s">
        <v>48</v>
      </c>
      <c r="G5214" t="s">
        <v>13</v>
      </c>
      <c r="H5214" t="s">
        <v>20</v>
      </c>
      <c r="I5214" t="e">
        <f t="shared" ca="1" si="412"/>
        <v>#REF!</v>
      </c>
      <c r="J5214" t="str">
        <f>VLOOKUP($G5214,DefinitionArrays!$I$6:$J$12,2,FALSE)</f>
        <v>Workweek</v>
      </c>
    </row>
    <row r="5215" spans="1:10">
      <c r="A5215" s="159" t="str">
        <f t="shared" si="408"/>
        <v>$B$1:$B$92</v>
      </c>
      <c r="B5215" s="159" t="str">
        <f t="shared" si="409"/>
        <v>$C$1:$C$92</v>
      </c>
      <c r="C5215" s="159" t="str">
        <f t="shared" si="410"/>
        <v>January!$B$1:$B$92</v>
      </c>
      <c r="D5215" s="159" t="str">
        <f t="shared" si="411"/>
        <v>January!$C$1:$C$92</v>
      </c>
      <c r="E5215" t="s">
        <v>10</v>
      </c>
      <c r="F5215" t="s">
        <v>48</v>
      </c>
      <c r="G5215" t="s">
        <v>13</v>
      </c>
      <c r="H5215" t="s">
        <v>21</v>
      </c>
      <c r="I5215" t="e">
        <f t="shared" ca="1" si="412"/>
        <v>#REF!</v>
      </c>
      <c r="J5215" t="str">
        <f>VLOOKUP($G5215,DefinitionArrays!$I$6:$J$12,2,FALSE)</f>
        <v>Workweek</v>
      </c>
    </row>
    <row r="5216" spans="1:10">
      <c r="A5216" s="159" t="str">
        <f t="shared" si="408"/>
        <v>$B$1:$B$92</v>
      </c>
      <c r="B5216" s="159" t="str">
        <f t="shared" si="409"/>
        <v>$C$1:$C$92</v>
      </c>
      <c r="C5216" s="159" t="str">
        <f t="shared" si="410"/>
        <v>January!$B$1:$B$92</v>
      </c>
      <c r="D5216" s="159" t="str">
        <f t="shared" si="411"/>
        <v>January!$C$1:$C$92</v>
      </c>
      <c r="E5216" t="s">
        <v>10</v>
      </c>
      <c r="F5216" t="s">
        <v>48</v>
      </c>
      <c r="G5216" t="s">
        <v>13</v>
      </c>
      <c r="H5216" t="s">
        <v>22</v>
      </c>
      <c r="I5216" t="e">
        <f t="shared" ca="1" si="412"/>
        <v>#REF!</v>
      </c>
      <c r="J5216" t="str">
        <f>VLOOKUP($G5216,DefinitionArrays!$I$6:$J$12,2,FALSE)</f>
        <v>Workweek</v>
      </c>
    </row>
    <row r="5217" spans="1:10">
      <c r="A5217" s="159" t="str">
        <f t="shared" si="408"/>
        <v>$B$1:$B$92</v>
      </c>
      <c r="B5217" s="159" t="str">
        <f t="shared" si="409"/>
        <v>$C$1:$C$92</v>
      </c>
      <c r="C5217" s="159" t="str">
        <f t="shared" si="410"/>
        <v>January!$B$1:$B$92</v>
      </c>
      <c r="D5217" s="159" t="str">
        <f t="shared" si="411"/>
        <v>January!$C$1:$C$92</v>
      </c>
      <c r="E5217" t="s">
        <v>10</v>
      </c>
      <c r="F5217" t="s">
        <v>48</v>
      </c>
      <c r="G5217" t="s">
        <v>13</v>
      </c>
      <c r="H5217" t="s">
        <v>23</v>
      </c>
      <c r="I5217" t="e">
        <f t="shared" ca="1" si="412"/>
        <v>#REF!</v>
      </c>
      <c r="J5217" t="str">
        <f>VLOOKUP($G5217,DefinitionArrays!$I$6:$J$12,2,FALSE)</f>
        <v>Workweek</v>
      </c>
    </row>
    <row r="5218" spans="1:10">
      <c r="A5218" s="159" t="str">
        <f t="shared" si="408"/>
        <v>$B$1:$B$92</v>
      </c>
      <c r="B5218" s="159" t="str">
        <f t="shared" si="409"/>
        <v>$C$1:$C$92</v>
      </c>
      <c r="C5218" s="159" t="str">
        <f t="shared" si="410"/>
        <v>January!$B$1:$B$92</v>
      </c>
      <c r="D5218" s="159" t="str">
        <f t="shared" si="411"/>
        <v>January!$C$1:$C$92</v>
      </c>
      <c r="E5218" t="s">
        <v>10</v>
      </c>
      <c r="F5218" t="s">
        <v>48</v>
      </c>
      <c r="G5218" t="s">
        <v>13</v>
      </c>
      <c r="H5218" t="s">
        <v>24</v>
      </c>
      <c r="I5218" t="e">
        <f t="shared" ca="1" si="412"/>
        <v>#REF!</v>
      </c>
      <c r="J5218" t="str">
        <f>VLOOKUP($G5218,DefinitionArrays!$I$6:$J$12,2,FALSE)</f>
        <v>Workweek</v>
      </c>
    </row>
    <row r="5219" spans="1:10">
      <c r="A5219" s="159" t="str">
        <f t="shared" si="408"/>
        <v>$B$1:$B$92</v>
      </c>
      <c r="B5219" s="159" t="str">
        <f t="shared" si="409"/>
        <v>$C$1:$C$92</v>
      </c>
      <c r="C5219" s="159" t="str">
        <f t="shared" si="410"/>
        <v>January!$B$1:$B$92</v>
      </c>
      <c r="D5219" s="159" t="str">
        <f t="shared" si="411"/>
        <v>January!$C$1:$C$92</v>
      </c>
      <c r="E5219" t="s">
        <v>10</v>
      </c>
      <c r="F5219" t="s">
        <v>48</v>
      </c>
      <c r="G5219" t="s">
        <v>13</v>
      </c>
      <c r="H5219" t="s">
        <v>179</v>
      </c>
      <c r="I5219" t="e">
        <f t="shared" ca="1" si="412"/>
        <v>#REF!</v>
      </c>
      <c r="J5219" t="str">
        <f>VLOOKUP($G5219,DefinitionArrays!$I$6:$J$12,2,FALSE)</f>
        <v>Workweek</v>
      </c>
    </row>
    <row r="5220" spans="1:10">
      <c r="A5220" s="159" t="str">
        <f t="shared" si="408"/>
        <v>$B$1:$B$92</v>
      </c>
      <c r="B5220" s="159" t="str">
        <f t="shared" si="409"/>
        <v>$C$1:$C$92</v>
      </c>
      <c r="C5220" s="159" t="str">
        <f t="shared" si="410"/>
        <v>January!$B$1:$B$92</v>
      </c>
      <c r="D5220" s="159" t="str">
        <f t="shared" si="411"/>
        <v>January!$C$1:$C$92</v>
      </c>
      <c r="E5220" t="s">
        <v>10</v>
      </c>
      <c r="F5220" t="s">
        <v>48</v>
      </c>
      <c r="G5220" t="s">
        <v>13</v>
      </c>
      <c r="H5220" t="s">
        <v>180</v>
      </c>
      <c r="I5220" t="e">
        <f t="shared" ca="1" si="412"/>
        <v>#REF!</v>
      </c>
      <c r="J5220" t="str">
        <f>VLOOKUP($G5220,DefinitionArrays!$I$6:$J$12,2,FALSE)</f>
        <v>Workweek</v>
      </c>
    </row>
    <row r="5221" spans="1:10">
      <c r="A5221" s="159" t="str">
        <f t="shared" si="408"/>
        <v>$B$1:$B$92</v>
      </c>
      <c r="B5221" s="159" t="str">
        <f t="shared" si="409"/>
        <v>$C$1:$C$92</v>
      </c>
      <c r="C5221" s="159" t="str">
        <f t="shared" si="410"/>
        <v>January!$B$1:$B$92</v>
      </c>
      <c r="D5221" s="159" t="str">
        <f t="shared" si="411"/>
        <v>January!$C$1:$C$92</v>
      </c>
      <c r="E5221" t="s">
        <v>10</v>
      </c>
      <c r="F5221" t="s">
        <v>48</v>
      </c>
      <c r="G5221" t="s">
        <v>13</v>
      </c>
      <c r="H5221" t="s">
        <v>44</v>
      </c>
      <c r="I5221" t="e">
        <f t="shared" ca="1" si="412"/>
        <v>#REF!</v>
      </c>
      <c r="J5221" t="str">
        <f>VLOOKUP($G5221,DefinitionArrays!$I$6:$J$12,2,FALSE)</f>
        <v>Workweek</v>
      </c>
    </row>
    <row r="5222" spans="1:10">
      <c r="A5222" s="159" t="str">
        <f t="shared" si="408"/>
        <v>$E$1:$E$92</v>
      </c>
      <c r="B5222" s="159" t="str">
        <f t="shared" si="409"/>
        <v>$F$1:$F$92</v>
      </c>
      <c r="C5222" s="159" t="str">
        <f t="shared" si="410"/>
        <v>January!$E$1:$E$92</v>
      </c>
      <c r="D5222" s="159" t="str">
        <f t="shared" si="411"/>
        <v>January!$F$1:$F$92</v>
      </c>
      <c r="E5222" t="s">
        <v>10</v>
      </c>
      <c r="F5222" t="s">
        <v>48</v>
      </c>
      <c r="G5222" t="s">
        <v>142</v>
      </c>
      <c r="H5222" t="s">
        <v>159</v>
      </c>
      <c r="I5222" t="e">
        <f t="shared" ca="1" si="412"/>
        <v>#REF!</v>
      </c>
      <c r="J5222" t="str">
        <f>VLOOKUP($G5222,DefinitionArrays!$I$6:$J$12,2,FALSE)</f>
        <v>Workweek</v>
      </c>
    </row>
    <row r="5223" spans="1:10">
      <c r="A5223" s="159" t="str">
        <f t="shared" si="408"/>
        <v>$E$1:$E$92</v>
      </c>
      <c r="B5223" s="159" t="str">
        <f t="shared" si="409"/>
        <v>$F$1:$F$92</v>
      </c>
      <c r="C5223" s="159" t="str">
        <f t="shared" si="410"/>
        <v>January!$E$1:$E$92</v>
      </c>
      <c r="D5223" s="159" t="str">
        <f t="shared" si="411"/>
        <v>January!$F$1:$F$92</v>
      </c>
      <c r="E5223" t="s">
        <v>10</v>
      </c>
      <c r="F5223" t="s">
        <v>48</v>
      </c>
      <c r="G5223" t="s">
        <v>142</v>
      </c>
      <c r="H5223" t="s">
        <v>18</v>
      </c>
      <c r="I5223" t="e">
        <f t="shared" ca="1" si="412"/>
        <v>#REF!</v>
      </c>
      <c r="J5223" t="str">
        <f>VLOOKUP($G5223,DefinitionArrays!$I$6:$J$12,2,FALSE)</f>
        <v>Workweek</v>
      </c>
    </row>
    <row r="5224" spans="1:10">
      <c r="A5224" s="159" t="str">
        <f t="shared" si="408"/>
        <v>$E$1:$E$92</v>
      </c>
      <c r="B5224" s="159" t="str">
        <f t="shared" si="409"/>
        <v>$F$1:$F$92</v>
      </c>
      <c r="C5224" s="159" t="str">
        <f t="shared" si="410"/>
        <v>January!$E$1:$E$92</v>
      </c>
      <c r="D5224" s="159" t="str">
        <f t="shared" si="411"/>
        <v>January!$F$1:$F$92</v>
      </c>
      <c r="E5224" t="s">
        <v>10</v>
      </c>
      <c r="F5224" t="s">
        <v>48</v>
      </c>
      <c r="G5224" t="s">
        <v>142</v>
      </c>
      <c r="H5224" t="s">
        <v>153</v>
      </c>
      <c r="I5224" t="e">
        <f t="shared" ca="1" si="412"/>
        <v>#REF!</v>
      </c>
      <c r="J5224" t="str">
        <f>VLOOKUP($G5224,DefinitionArrays!$I$6:$J$12,2,FALSE)</f>
        <v>Workweek</v>
      </c>
    </row>
    <row r="5225" spans="1:10">
      <c r="A5225" s="159" t="str">
        <f t="shared" si="408"/>
        <v>$E$1:$E$92</v>
      </c>
      <c r="B5225" s="159" t="str">
        <f t="shared" si="409"/>
        <v>$F$1:$F$92</v>
      </c>
      <c r="C5225" s="159" t="str">
        <f t="shared" si="410"/>
        <v>January!$E$1:$E$92</v>
      </c>
      <c r="D5225" s="159" t="str">
        <f t="shared" si="411"/>
        <v>January!$F$1:$F$92</v>
      </c>
      <c r="E5225" t="s">
        <v>10</v>
      </c>
      <c r="F5225" t="s">
        <v>48</v>
      </c>
      <c r="G5225" t="s">
        <v>142</v>
      </c>
      <c r="H5225" t="s">
        <v>19</v>
      </c>
      <c r="I5225" t="e">
        <f t="shared" ca="1" si="412"/>
        <v>#REF!</v>
      </c>
      <c r="J5225" t="str">
        <f>VLOOKUP($G5225,DefinitionArrays!$I$6:$J$12,2,FALSE)</f>
        <v>Workweek</v>
      </c>
    </row>
    <row r="5226" spans="1:10">
      <c r="A5226" s="159" t="str">
        <f t="shared" si="408"/>
        <v>$E$1:$E$92</v>
      </c>
      <c r="B5226" s="159" t="str">
        <f t="shared" si="409"/>
        <v>$F$1:$F$92</v>
      </c>
      <c r="C5226" s="159" t="str">
        <f t="shared" si="410"/>
        <v>January!$E$1:$E$92</v>
      </c>
      <c r="D5226" s="159" t="str">
        <f t="shared" si="411"/>
        <v>January!$F$1:$F$92</v>
      </c>
      <c r="E5226" t="s">
        <v>10</v>
      </c>
      <c r="F5226" t="s">
        <v>48</v>
      </c>
      <c r="G5226" t="s">
        <v>142</v>
      </c>
      <c r="H5226" t="s">
        <v>20</v>
      </c>
      <c r="I5226" t="e">
        <f t="shared" ca="1" si="412"/>
        <v>#REF!</v>
      </c>
      <c r="J5226" t="str">
        <f>VLOOKUP($G5226,DefinitionArrays!$I$6:$J$12,2,FALSE)</f>
        <v>Workweek</v>
      </c>
    </row>
    <row r="5227" spans="1:10">
      <c r="A5227" s="159" t="str">
        <f t="shared" si="408"/>
        <v>$E$1:$E$92</v>
      </c>
      <c r="B5227" s="159" t="str">
        <f t="shared" si="409"/>
        <v>$F$1:$F$92</v>
      </c>
      <c r="C5227" s="159" t="str">
        <f t="shared" si="410"/>
        <v>January!$E$1:$E$92</v>
      </c>
      <c r="D5227" s="159" t="str">
        <f t="shared" si="411"/>
        <v>January!$F$1:$F$92</v>
      </c>
      <c r="E5227" t="s">
        <v>10</v>
      </c>
      <c r="F5227" t="s">
        <v>48</v>
      </c>
      <c r="G5227" t="s">
        <v>142</v>
      </c>
      <c r="H5227" t="s">
        <v>21</v>
      </c>
      <c r="I5227" t="e">
        <f t="shared" ca="1" si="412"/>
        <v>#REF!</v>
      </c>
      <c r="J5227" t="str">
        <f>VLOOKUP($G5227,DefinitionArrays!$I$6:$J$12,2,FALSE)</f>
        <v>Workweek</v>
      </c>
    </row>
    <row r="5228" spans="1:10">
      <c r="A5228" s="159" t="str">
        <f t="shared" si="408"/>
        <v>$E$1:$E$92</v>
      </c>
      <c r="B5228" s="159" t="str">
        <f t="shared" si="409"/>
        <v>$F$1:$F$92</v>
      </c>
      <c r="C5228" s="159" t="str">
        <f t="shared" si="410"/>
        <v>January!$E$1:$E$92</v>
      </c>
      <c r="D5228" s="159" t="str">
        <f t="shared" si="411"/>
        <v>January!$F$1:$F$92</v>
      </c>
      <c r="E5228" t="s">
        <v>10</v>
      </c>
      <c r="F5228" t="s">
        <v>48</v>
      </c>
      <c r="G5228" t="s">
        <v>142</v>
      </c>
      <c r="H5228" t="s">
        <v>22</v>
      </c>
      <c r="I5228" t="e">
        <f t="shared" ca="1" si="412"/>
        <v>#REF!</v>
      </c>
      <c r="J5228" t="str">
        <f>VLOOKUP($G5228,DefinitionArrays!$I$6:$J$12,2,FALSE)</f>
        <v>Workweek</v>
      </c>
    </row>
    <row r="5229" spans="1:10">
      <c r="A5229" s="159" t="str">
        <f t="shared" si="408"/>
        <v>$E$1:$E$92</v>
      </c>
      <c r="B5229" s="159" t="str">
        <f t="shared" si="409"/>
        <v>$F$1:$F$92</v>
      </c>
      <c r="C5229" s="159" t="str">
        <f t="shared" si="410"/>
        <v>January!$E$1:$E$92</v>
      </c>
      <c r="D5229" s="159" t="str">
        <f t="shared" si="411"/>
        <v>January!$F$1:$F$92</v>
      </c>
      <c r="E5229" t="s">
        <v>10</v>
      </c>
      <c r="F5229" t="s">
        <v>48</v>
      </c>
      <c r="G5229" t="s">
        <v>142</v>
      </c>
      <c r="H5229" t="s">
        <v>23</v>
      </c>
      <c r="I5229" t="e">
        <f t="shared" ca="1" si="412"/>
        <v>#REF!</v>
      </c>
      <c r="J5229" t="str">
        <f>VLOOKUP($G5229,DefinitionArrays!$I$6:$J$12,2,FALSE)</f>
        <v>Workweek</v>
      </c>
    </row>
    <row r="5230" spans="1:10">
      <c r="A5230" s="159" t="str">
        <f t="shared" si="408"/>
        <v>$E$1:$E$92</v>
      </c>
      <c r="B5230" s="159" t="str">
        <f t="shared" si="409"/>
        <v>$F$1:$F$92</v>
      </c>
      <c r="C5230" s="159" t="str">
        <f t="shared" si="410"/>
        <v>January!$E$1:$E$92</v>
      </c>
      <c r="D5230" s="159" t="str">
        <f t="shared" si="411"/>
        <v>January!$F$1:$F$92</v>
      </c>
      <c r="E5230" t="s">
        <v>10</v>
      </c>
      <c r="F5230" t="s">
        <v>48</v>
      </c>
      <c r="G5230" t="s">
        <v>142</v>
      </c>
      <c r="H5230" t="s">
        <v>24</v>
      </c>
      <c r="I5230" t="e">
        <f t="shared" ca="1" si="412"/>
        <v>#REF!</v>
      </c>
      <c r="J5230" t="str">
        <f>VLOOKUP($G5230,DefinitionArrays!$I$6:$J$12,2,FALSE)</f>
        <v>Workweek</v>
      </c>
    </row>
    <row r="5231" spans="1:10">
      <c r="A5231" s="159" t="str">
        <f t="shared" si="408"/>
        <v>$E$1:$E$92</v>
      </c>
      <c r="B5231" s="159" t="str">
        <f t="shared" si="409"/>
        <v>$F$1:$F$92</v>
      </c>
      <c r="C5231" s="159" t="str">
        <f t="shared" si="410"/>
        <v>January!$E$1:$E$92</v>
      </c>
      <c r="D5231" s="159" t="str">
        <f t="shared" si="411"/>
        <v>January!$F$1:$F$92</v>
      </c>
      <c r="E5231" t="s">
        <v>10</v>
      </c>
      <c r="F5231" t="s">
        <v>48</v>
      </c>
      <c r="G5231" t="s">
        <v>142</v>
      </c>
      <c r="H5231" t="s">
        <v>179</v>
      </c>
      <c r="I5231" t="e">
        <f t="shared" ca="1" si="412"/>
        <v>#REF!</v>
      </c>
      <c r="J5231" t="str">
        <f>VLOOKUP($G5231,DefinitionArrays!$I$6:$J$12,2,FALSE)</f>
        <v>Workweek</v>
      </c>
    </row>
    <row r="5232" spans="1:10">
      <c r="A5232" s="159" t="str">
        <f t="shared" si="408"/>
        <v>$E$1:$E$92</v>
      </c>
      <c r="B5232" s="159" t="str">
        <f t="shared" si="409"/>
        <v>$F$1:$F$92</v>
      </c>
      <c r="C5232" s="159" t="str">
        <f t="shared" si="410"/>
        <v>January!$E$1:$E$92</v>
      </c>
      <c r="D5232" s="159" t="str">
        <f t="shared" si="411"/>
        <v>January!$F$1:$F$92</v>
      </c>
      <c r="E5232" t="s">
        <v>10</v>
      </c>
      <c r="F5232" t="s">
        <v>48</v>
      </c>
      <c r="G5232" t="s">
        <v>142</v>
      </c>
      <c r="H5232" t="s">
        <v>180</v>
      </c>
      <c r="I5232" t="e">
        <f t="shared" ca="1" si="412"/>
        <v>#REF!</v>
      </c>
      <c r="J5232" t="str">
        <f>VLOOKUP($G5232,DefinitionArrays!$I$6:$J$12,2,FALSE)</f>
        <v>Workweek</v>
      </c>
    </row>
    <row r="5233" spans="1:10">
      <c r="A5233" s="159" t="str">
        <f t="shared" si="408"/>
        <v>$E$1:$E$92</v>
      </c>
      <c r="B5233" s="159" t="str">
        <f t="shared" si="409"/>
        <v>$F$1:$F$92</v>
      </c>
      <c r="C5233" s="159" t="str">
        <f t="shared" si="410"/>
        <v>January!$E$1:$E$92</v>
      </c>
      <c r="D5233" s="159" t="str">
        <f t="shared" si="411"/>
        <v>January!$F$1:$F$92</v>
      </c>
      <c r="E5233" t="s">
        <v>10</v>
      </c>
      <c r="F5233" t="s">
        <v>48</v>
      </c>
      <c r="G5233" t="s">
        <v>142</v>
      </c>
      <c r="H5233" t="s">
        <v>44</v>
      </c>
      <c r="I5233" t="e">
        <f t="shared" ca="1" si="412"/>
        <v>#REF!</v>
      </c>
      <c r="J5233" t="str">
        <f>VLOOKUP($G5233,DefinitionArrays!$I$6:$J$12,2,FALSE)</f>
        <v>Workweek</v>
      </c>
    </row>
    <row r="5234" spans="1:10">
      <c r="A5234" s="159" t="str">
        <f t="shared" si="408"/>
        <v>$H$1:$H$92</v>
      </c>
      <c r="B5234" s="159" t="str">
        <f t="shared" si="409"/>
        <v>$I$1:$I$92</v>
      </c>
      <c r="C5234" s="159" t="str">
        <f t="shared" si="410"/>
        <v>January!$H$1:$H$92</v>
      </c>
      <c r="D5234" s="159" t="str">
        <f t="shared" si="411"/>
        <v>January!$I$1:$I$92</v>
      </c>
      <c r="E5234" t="s">
        <v>10</v>
      </c>
      <c r="F5234" t="s">
        <v>48</v>
      </c>
      <c r="G5234" t="s">
        <v>143</v>
      </c>
      <c r="H5234" t="s">
        <v>159</v>
      </c>
      <c r="I5234" t="e">
        <f t="shared" ca="1" si="412"/>
        <v>#REF!</v>
      </c>
      <c r="J5234" t="str">
        <f>VLOOKUP($G5234,DefinitionArrays!$I$6:$J$12,2,FALSE)</f>
        <v>Workweek</v>
      </c>
    </row>
    <row r="5235" spans="1:10">
      <c r="A5235" s="159" t="str">
        <f t="shared" si="408"/>
        <v>$H$1:$H$92</v>
      </c>
      <c r="B5235" s="159" t="str">
        <f t="shared" si="409"/>
        <v>$I$1:$I$92</v>
      </c>
      <c r="C5235" s="159" t="str">
        <f t="shared" si="410"/>
        <v>January!$H$1:$H$92</v>
      </c>
      <c r="D5235" s="159" t="str">
        <f t="shared" si="411"/>
        <v>January!$I$1:$I$92</v>
      </c>
      <c r="E5235" t="s">
        <v>10</v>
      </c>
      <c r="F5235" t="s">
        <v>48</v>
      </c>
      <c r="G5235" t="s">
        <v>143</v>
      </c>
      <c r="H5235" t="s">
        <v>18</v>
      </c>
      <c r="I5235" t="e">
        <f t="shared" ca="1" si="412"/>
        <v>#REF!</v>
      </c>
      <c r="J5235" t="str">
        <f>VLOOKUP($G5235,DefinitionArrays!$I$6:$J$12,2,FALSE)</f>
        <v>Workweek</v>
      </c>
    </row>
    <row r="5236" spans="1:10">
      <c r="A5236" s="159" t="str">
        <f t="shared" si="408"/>
        <v>$H$1:$H$92</v>
      </c>
      <c r="B5236" s="159" t="str">
        <f t="shared" si="409"/>
        <v>$I$1:$I$92</v>
      </c>
      <c r="C5236" s="159" t="str">
        <f t="shared" si="410"/>
        <v>January!$H$1:$H$92</v>
      </c>
      <c r="D5236" s="159" t="str">
        <f t="shared" si="411"/>
        <v>January!$I$1:$I$92</v>
      </c>
      <c r="E5236" t="s">
        <v>10</v>
      </c>
      <c r="F5236" t="s">
        <v>48</v>
      </c>
      <c r="G5236" t="s">
        <v>143</v>
      </c>
      <c r="H5236" t="s">
        <v>153</v>
      </c>
      <c r="I5236" t="e">
        <f t="shared" ca="1" si="412"/>
        <v>#REF!</v>
      </c>
      <c r="J5236" t="str">
        <f>VLOOKUP($G5236,DefinitionArrays!$I$6:$J$12,2,FALSE)</f>
        <v>Workweek</v>
      </c>
    </row>
    <row r="5237" spans="1:10">
      <c r="A5237" s="159" t="str">
        <f t="shared" si="408"/>
        <v>$H$1:$H$92</v>
      </c>
      <c r="B5237" s="159" t="str">
        <f t="shared" si="409"/>
        <v>$I$1:$I$92</v>
      </c>
      <c r="C5237" s="159" t="str">
        <f t="shared" si="410"/>
        <v>January!$H$1:$H$92</v>
      </c>
      <c r="D5237" s="159" t="str">
        <f t="shared" si="411"/>
        <v>January!$I$1:$I$92</v>
      </c>
      <c r="E5237" t="s">
        <v>10</v>
      </c>
      <c r="F5237" t="s">
        <v>48</v>
      </c>
      <c r="G5237" t="s">
        <v>143</v>
      </c>
      <c r="H5237" t="s">
        <v>19</v>
      </c>
      <c r="I5237" t="e">
        <f t="shared" ca="1" si="412"/>
        <v>#REF!</v>
      </c>
      <c r="J5237" t="str">
        <f>VLOOKUP($G5237,DefinitionArrays!$I$6:$J$12,2,FALSE)</f>
        <v>Workweek</v>
      </c>
    </row>
    <row r="5238" spans="1:10">
      <c r="A5238" s="159" t="str">
        <f t="shared" si="408"/>
        <v>$H$1:$H$92</v>
      </c>
      <c r="B5238" s="159" t="str">
        <f t="shared" si="409"/>
        <v>$I$1:$I$92</v>
      </c>
      <c r="C5238" s="159" t="str">
        <f t="shared" si="410"/>
        <v>January!$H$1:$H$92</v>
      </c>
      <c r="D5238" s="159" t="str">
        <f t="shared" si="411"/>
        <v>January!$I$1:$I$92</v>
      </c>
      <c r="E5238" t="s">
        <v>10</v>
      </c>
      <c r="F5238" t="s">
        <v>48</v>
      </c>
      <c r="G5238" t="s">
        <v>143</v>
      </c>
      <c r="H5238" t="s">
        <v>20</v>
      </c>
      <c r="I5238" t="e">
        <f t="shared" ca="1" si="412"/>
        <v>#REF!</v>
      </c>
      <c r="J5238" t="str">
        <f>VLOOKUP($G5238,DefinitionArrays!$I$6:$J$12,2,FALSE)</f>
        <v>Workweek</v>
      </c>
    </row>
    <row r="5239" spans="1:10">
      <c r="A5239" s="159" t="str">
        <f t="shared" si="408"/>
        <v>$H$1:$H$92</v>
      </c>
      <c r="B5239" s="159" t="str">
        <f t="shared" si="409"/>
        <v>$I$1:$I$92</v>
      </c>
      <c r="C5239" s="159" t="str">
        <f t="shared" si="410"/>
        <v>January!$H$1:$H$92</v>
      </c>
      <c r="D5239" s="159" t="str">
        <f t="shared" si="411"/>
        <v>January!$I$1:$I$92</v>
      </c>
      <c r="E5239" t="s">
        <v>10</v>
      </c>
      <c r="F5239" t="s">
        <v>48</v>
      </c>
      <c r="G5239" t="s">
        <v>143</v>
      </c>
      <c r="H5239" t="s">
        <v>21</v>
      </c>
      <c r="I5239" t="e">
        <f t="shared" ca="1" si="412"/>
        <v>#REF!</v>
      </c>
      <c r="J5239" t="str">
        <f>VLOOKUP($G5239,DefinitionArrays!$I$6:$J$12,2,FALSE)</f>
        <v>Workweek</v>
      </c>
    </row>
    <row r="5240" spans="1:10">
      <c r="A5240" s="159" t="str">
        <f t="shared" si="408"/>
        <v>$H$1:$H$92</v>
      </c>
      <c r="B5240" s="159" t="str">
        <f t="shared" si="409"/>
        <v>$I$1:$I$92</v>
      </c>
      <c r="C5240" s="159" t="str">
        <f t="shared" si="410"/>
        <v>January!$H$1:$H$92</v>
      </c>
      <c r="D5240" s="159" t="str">
        <f t="shared" si="411"/>
        <v>January!$I$1:$I$92</v>
      </c>
      <c r="E5240" t="s">
        <v>10</v>
      </c>
      <c r="F5240" t="s">
        <v>48</v>
      </c>
      <c r="G5240" t="s">
        <v>143</v>
      </c>
      <c r="H5240" t="s">
        <v>22</v>
      </c>
      <c r="I5240" t="e">
        <f t="shared" ca="1" si="412"/>
        <v>#REF!</v>
      </c>
      <c r="J5240" t="str">
        <f>VLOOKUP($G5240,DefinitionArrays!$I$6:$J$12,2,FALSE)</f>
        <v>Workweek</v>
      </c>
    </row>
    <row r="5241" spans="1:10">
      <c r="A5241" s="159" t="str">
        <f t="shared" si="408"/>
        <v>$H$1:$H$92</v>
      </c>
      <c r="B5241" s="159" t="str">
        <f t="shared" si="409"/>
        <v>$I$1:$I$92</v>
      </c>
      <c r="C5241" s="159" t="str">
        <f t="shared" si="410"/>
        <v>January!$H$1:$H$92</v>
      </c>
      <c r="D5241" s="159" t="str">
        <f t="shared" si="411"/>
        <v>January!$I$1:$I$92</v>
      </c>
      <c r="E5241" t="s">
        <v>10</v>
      </c>
      <c r="F5241" t="s">
        <v>48</v>
      </c>
      <c r="G5241" t="s">
        <v>143</v>
      </c>
      <c r="H5241" t="s">
        <v>23</v>
      </c>
      <c r="I5241" t="e">
        <f t="shared" ca="1" si="412"/>
        <v>#REF!</v>
      </c>
      <c r="J5241" t="str">
        <f>VLOOKUP($G5241,DefinitionArrays!$I$6:$J$12,2,FALSE)</f>
        <v>Workweek</v>
      </c>
    </row>
    <row r="5242" spans="1:10">
      <c r="A5242" s="159" t="str">
        <f t="shared" si="408"/>
        <v>$H$1:$H$92</v>
      </c>
      <c r="B5242" s="159" t="str">
        <f t="shared" si="409"/>
        <v>$I$1:$I$92</v>
      </c>
      <c r="C5242" s="159" t="str">
        <f t="shared" si="410"/>
        <v>January!$H$1:$H$92</v>
      </c>
      <c r="D5242" s="159" t="str">
        <f t="shared" si="411"/>
        <v>January!$I$1:$I$92</v>
      </c>
      <c r="E5242" t="s">
        <v>10</v>
      </c>
      <c r="F5242" t="s">
        <v>48</v>
      </c>
      <c r="G5242" t="s">
        <v>143</v>
      </c>
      <c r="H5242" t="s">
        <v>24</v>
      </c>
      <c r="I5242" t="e">
        <f t="shared" ca="1" si="412"/>
        <v>#REF!</v>
      </c>
      <c r="J5242" t="str">
        <f>VLOOKUP($G5242,DefinitionArrays!$I$6:$J$12,2,FALSE)</f>
        <v>Workweek</v>
      </c>
    </row>
    <row r="5243" spans="1:10">
      <c r="A5243" s="159" t="str">
        <f t="shared" si="408"/>
        <v>$H$1:$H$92</v>
      </c>
      <c r="B5243" s="159" t="str">
        <f t="shared" si="409"/>
        <v>$I$1:$I$92</v>
      </c>
      <c r="C5243" s="159" t="str">
        <f t="shared" si="410"/>
        <v>January!$H$1:$H$92</v>
      </c>
      <c r="D5243" s="159" t="str">
        <f t="shared" si="411"/>
        <v>January!$I$1:$I$92</v>
      </c>
      <c r="E5243" t="s">
        <v>10</v>
      </c>
      <c r="F5243" t="s">
        <v>48</v>
      </c>
      <c r="G5243" t="s">
        <v>143</v>
      </c>
      <c r="H5243" t="s">
        <v>179</v>
      </c>
      <c r="I5243" t="e">
        <f t="shared" ca="1" si="412"/>
        <v>#REF!</v>
      </c>
      <c r="J5243" t="str">
        <f>VLOOKUP($G5243,DefinitionArrays!$I$6:$J$12,2,FALSE)</f>
        <v>Workweek</v>
      </c>
    </row>
    <row r="5244" spans="1:10">
      <c r="A5244" s="159" t="str">
        <f t="shared" si="408"/>
        <v>$H$1:$H$92</v>
      </c>
      <c r="B5244" s="159" t="str">
        <f t="shared" si="409"/>
        <v>$I$1:$I$92</v>
      </c>
      <c r="C5244" s="159" t="str">
        <f t="shared" si="410"/>
        <v>January!$H$1:$H$92</v>
      </c>
      <c r="D5244" s="159" t="str">
        <f t="shared" si="411"/>
        <v>January!$I$1:$I$92</v>
      </c>
      <c r="E5244" t="s">
        <v>10</v>
      </c>
      <c r="F5244" t="s">
        <v>48</v>
      </c>
      <c r="G5244" t="s">
        <v>143</v>
      </c>
      <c r="H5244" t="s">
        <v>180</v>
      </c>
      <c r="I5244" t="e">
        <f t="shared" ca="1" si="412"/>
        <v>#REF!</v>
      </c>
      <c r="J5244" t="str">
        <f>VLOOKUP($G5244,DefinitionArrays!$I$6:$J$12,2,FALSE)</f>
        <v>Workweek</v>
      </c>
    </row>
    <row r="5245" spans="1:10">
      <c r="A5245" s="159" t="str">
        <f t="shared" si="408"/>
        <v>$H$1:$H$92</v>
      </c>
      <c r="B5245" s="159" t="str">
        <f t="shared" si="409"/>
        <v>$I$1:$I$92</v>
      </c>
      <c r="C5245" s="159" t="str">
        <f t="shared" si="410"/>
        <v>January!$H$1:$H$92</v>
      </c>
      <c r="D5245" s="159" t="str">
        <f t="shared" si="411"/>
        <v>January!$I$1:$I$92</v>
      </c>
      <c r="E5245" t="s">
        <v>10</v>
      </c>
      <c r="F5245" t="s">
        <v>48</v>
      </c>
      <c r="G5245" t="s">
        <v>143</v>
      </c>
      <c r="H5245" t="s">
        <v>44</v>
      </c>
      <c r="I5245" t="e">
        <f t="shared" ca="1" si="412"/>
        <v>#REF!</v>
      </c>
      <c r="J5245" t="str">
        <f>VLOOKUP($G5245,DefinitionArrays!$I$6:$J$12,2,FALSE)</f>
        <v>Workweek</v>
      </c>
    </row>
    <row r="5246" spans="1:10">
      <c r="A5246" s="159" t="str">
        <f t="shared" si="408"/>
        <v>$K$1:$K$92</v>
      </c>
      <c r="B5246" s="159" t="str">
        <f t="shared" si="409"/>
        <v>$L$1:$L$92</v>
      </c>
      <c r="C5246" s="159" t="str">
        <f t="shared" si="410"/>
        <v>January!$K$1:$K$92</v>
      </c>
      <c r="D5246" s="159" t="str">
        <f t="shared" si="411"/>
        <v>January!$L$1:$L$92</v>
      </c>
      <c r="E5246" t="s">
        <v>10</v>
      </c>
      <c r="F5246" t="s">
        <v>48</v>
      </c>
      <c r="G5246" t="s">
        <v>144</v>
      </c>
      <c r="H5246" t="s">
        <v>159</v>
      </c>
      <c r="I5246" t="e">
        <f t="shared" ca="1" si="412"/>
        <v>#REF!</v>
      </c>
      <c r="J5246" t="str">
        <f>VLOOKUP($G5246,DefinitionArrays!$I$6:$J$12,2,FALSE)</f>
        <v>Workweek</v>
      </c>
    </row>
    <row r="5247" spans="1:10">
      <c r="A5247" s="159" t="str">
        <f t="shared" si="408"/>
        <v>$K$1:$K$92</v>
      </c>
      <c r="B5247" s="159" t="str">
        <f t="shared" si="409"/>
        <v>$L$1:$L$92</v>
      </c>
      <c r="C5247" s="159" t="str">
        <f t="shared" si="410"/>
        <v>January!$K$1:$K$92</v>
      </c>
      <c r="D5247" s="159" t="str">
        <f t="shared" si="411"/>
        <v>January!$L$1:$L$92</v>
      </c>
      <c r="E5247" t="s">
        <v>10</v>
      </c>
      <c r="F5247" t="s">
        <v>48</v>
      </c>
      <c r="G5247" t="s">
        <v>144</v>
      </c>
      <c r="H5247" t="s">
        <v>18</v>
      </c>
      <c r="I5247" t="e">
        <f t="shared" ca="1" si="412"/>
        <v>#REF!</v>
      </c>
      <c r="J5247" t="str">
        <f>VLOOKUP($G5247,DefinitionArrays!$I$6:$J$12,2,FALSE)</f>
        <v>Workweek</v>
      </c>
    </row>
    <row r="5248" spans="1:10">
      <c r="A5248" s="159" t="str">
        <f t="shared" si="408"/>
        <v>$K$1:$K$92</v>
      </c>
      <c r="B5248" s="159" t="str">
        <f t="shared" si="409"/>
        <v>$L$1:$L$92</v>
      </c>
      <c r="C5248" s="159" t="str">
        <f t="shared" si="410"/>
        <v>January!$K$1:$K$92</v>
      </c>
      <c r="D5248" s="159" t="str">
        <f t="shared" si="411"/>
        <v>January!$L$1:$L$92</v>
      </c>
      <c r="E5248" t="s">
        <v>10</v>
      </c>
      <c r="F5248" t="s">
        <v>48</v>
      </c>
      <c r="G5248" t="s">
        <v>144</v>
      </c>
      <c r="H5248" t="s">
        <v>153</v>
      </c>
      <c r="I5248" t="e">
        <f t="shared" ca="1" si="412"/>
        <v>#REF!</v>
      </c>
      <c r="J5248" t="str">
        <f>VLOOKUP($G5248,DefinitionArrays!$I$6:$J$12,2,FALSE)</f>
        <v>Workweek</v>
      </c>
    </row>
    <row r="5249" spans="1:10">
      <c r="A5249" s="159" t="str">
        <f t="shared" si="408"/>
        <v>$K$1:$K$92</v>
      </c>
      <c r="B5249" s="159" t="str">
        <f t="shared" si="409"/>
        <v>$L$1:$L$92</v>
      </c>
      <c r="C5249" s="159" t="str">
        <f t="shared" si="410"/>
        <v>January!$K$1:$K$92</v>
      </c>
      <c r="D5249" s="159" t="str">
        <f t="shared" si="411"/>
        <v>January!$L$1:$L$92</v>
      </c>
      <c r="E5249" t="s">
        <v>10</v>
      </c>
      <c r="F5249" t="s">
        <v>48</v>
      </c>
      <c r="G5249" t="s">
        <v>144</v>
      </c>
      <c r="H5249" t="s">
        <v>19</v>
      </c>
      <c r="I5249" t="e">
        <f t="shared" ca="1" si="412"/>
        <v>#REF!</v>
      </c>
      <c r="J5249" t="str">
        <f>VLOOKUP($G5249,DefinitionArrays!$I$6:$J$12,2,FALSE)</f>
        <v>Workweek</v>
      </c>
    </row>
    <row r="5250" spans="1:10">
      <c r="A5250" s="159" t="str">
        <f t="shared" ref="A5250:A5313" si="413">VLOOKUP($G5250,Fx_Code,2,FALSE)</f>
        <v>$K$1:$K$92</v>
      </c>
      <c r="B5250" s="159" t="str">
        <f t="shared" ref="B5250:B5313" si="414">VLOOKUP($G5250,Fx_Code,3,FALSE)</f>
        <v>$L$1:$L$92</v>
      </c>
      <c r="C5250" s="159" t="str">
        <f t="shared" ref="C5250:C5313" si="415">CONCATENATE($F5250,$K$1,A5250)</f>
        <v>January!$K$1:$K$92</v>
      </c>
      <c r="D5250" s="159" t="str">
        <f t="shared" ref="D5250:D5313" si="416">CONCATENATE($F5250,$K$1,B5250)</f>
        <v>January!$L$1:$L$92</v>
      </c>
      <c r="E5250" t="s">
        <v>10</v>
      </c>
      <c r="F5250" t="s">
        <v>48</v>
      </c>
      <c r="G5250" t="s">
        <v>144</v>
      </c>
      <c r="H5250" t="s">
        <v>20</v>
      </c>
      <c r="I5250" t="e">
        <f t="shared" ca="1" si="412"/>
        <v>#REF!</v>
      </c>
      <c r="J5250" t="str">
        <f>VLOOKUP($G5250,DefinitionArrays!$I$6:$J$12,2,FALSE)</f>
        <v>Workweek</v>
      </c>
    </row>
    <row r="5251" spans="1:10">
      <c r="A5251" s="159" t="str">
        <f t="shared" si="413"/>
        <v>$K$1:$K$92</v>
      </c>
      <c r="B5251" s="159" t="str">
        <f t="shared" si="414"/>
        <v>$L$1:$L$92</v>
      </c>
      <c r="C5251" s="159" t="str">
        <f t="shared" si="415"/>
        <v>January!$K$1:$K$92</v>
      </c>
      <c r="D5251" s="159" t="str">
        <f t="shared" si="416"/>
        <v>January!$L$1:$L$92</v>
      </c>
      <c r="E5251" t="s">
        <v>10</v>
      </c>
      <c r="F5251" t="s">
        <v>48</v>
      </c>
      <c r="G5251" t="s">
        <v>144</v>
      </c>
      <c r="H5251" t="s">
        <v>21</v>
      </c>
      <c r="I5251" t="e">
        <f t="shared" ca="1" si="412"/>
        <v>#REF!</v>
      </c>
      <c r="J5251" t="str">
        <f>VLOOKUP($G5251,DefinitionArrays!$I$6:$J$12,2,FALSE)</f>
        <v>Workweek</v>
      </c>
    </row>
    <row r="5252" spans="1:10">
      <c r="A5252" s="159" t="str">
        <f t="shared" si="413"/>
        <v>$K$1:$K$92</v>
      </c>
      <c r="B5252" s="159" t="str">
        <f t="shared" si="414"/>
        <v>$L$1:$L$92</v>
      </c>
      <c r="C5252" s="159" t="str">
        <f t="shared" si="415"/>
        <v>January!$K$1:$K$92</v>
      </c>
      <c r="D5252" s="159" t="str">
        <f t="shared" si="416"/>
        <v>January!$L$1:$L$92</v>
      </c>
      <c r="E5252" t="s">
        <v>10</v>
      </c>
      <c r="F5252" t="s">
        <v>48</v>
      </c>
      <c r="G5252" t="s">
        <v>144</v>
      </c>
      <c r="H5252" t="s">
        <v>22</v>
      </c>
      <c r="I5252" t="e">
        <f t="shared" ca="1" si="412"/>
        <v>#REF!</v>
      </c>
      <c r="J5252" t="str">
        <f>VLOOKUP($G5252,DefinitionArrays!$I$6:$J$12,2,FALSE)</f>
        <v>Workweek</v>
      </c>
    </row>
    <row r="5253" spans="1:10">
      <c r="A5253" s="159" t="str">
        <f t="shared" si="413"/>
        <v>$K$1:$K$92</v>
      </c>
      <c r="B5253" s="159" t="str">
        <f t="shared" si="414"/>
        <v>$L$1:$L$92</v>
      </c>
      <c r="C5253" s="159" t="str">
        <f t="shared" si="415"/>
        <v>January!$K$1:$K$92</v>
      </c>
      <c r="D5253" s="159" t="str">
        <f t="shared" si="416"/>
        <v>January!$L$1:$L$92</v>
      </c>
      <c r="E5253" t="s">
        <v>10</v>
      </c>
      <c r="F5253" t="s">
        <v>48</v>
      </c>
      <c r="G5253" t="s">
        <v>144</v>
      </c>
      <c r="H5253" t="s">
        <v>23</v>
      </c>
      <c r="I5253" t="e">
        <f t="shared" ca="1" si="412"/>
        <v>#REF!</v>
      </c>
      <c r="J5253" t="str">
        <f>VLOOKUP($G5253,DefinitionArrays!$I$6:$J$12,2,FALSE)</f>
        <v>Workweek</v>
      </c>
    </row>
    <row r="5254" spans="1:10">
      <c r="A5254" s="159" t="str">
        <f t="shared" si="413"/>
        <v>$K$1:$K$92</v>
      </c>
      <c r="B5254" s="159" t="str">
        <f t="shared" si="414"/>
        <v>$L$1:$L$92</v>
      </c>
      <c r="C5254" s="159" t="str">
        <f t="shared" si="415"/>
        <v>January!$K$1:$K$92</v>
      </c>
      <c r="D5254" s="159" t="str">
        <f t="shared" si="416"/>
        <v>January!$L$1:$L$92</v>
      </c>
      <c r="E5254" t="s">
        <v>10</v>
      </c>
      <c r="F5254" t="s">
        <v>48</v>
      </c>
      <c r="G5254" t="s">
        <v>144</v>
      </c>
      <c r="H5254" t="s">
        <v>24</v>
      </c>
      <c r="I5254" t="e">
        <f t="shared" ca="1" si="412"/>
        <v>#REF!</v>
      </c>
      <c r="J5254" t="str">
        <f>VLOOKUP($G5254,DefinitionArrays!$I$6:$J$12,2,FALSE)</f>
        <v>Workweek</v>
      </c>
    </row>
    <row r="5255" spans="1:10">
      <c r="A5255" s="159" t="str">
        <f t="shared" si="413"/>
        <v>$K$1:$K$92</v>
      </c>
      <c r="B5255" s="159" t="str">
        <f t="shared" si="414"/>
        <v>$L$1:$L$92</v>
      </c>
      <c r="C5255" s="159" t="str">
        <f t="shared" si="415"/>
        <v>January!$K$1:$K$92</v>
      </c>
      <c r="D5255" s="159" t="str">
        <f t="shared" si="416"/>
        <v>January!$L$1:$L$92</v>
      </c>
      <c r="E5255" t="s">
        <v>10</v>
      </c>
      <c r="F5255" t="s">
        <v>48</v>
      </c>
      <c r="G5255" t="s">
        <v>144</v>
      </c>
      <c r="H5255" t="s">
        <v>179</v>
      </c>
      <c r="I5255" t="e">
        <f t="shared" ca="1" si="412"/>
        <v>#REF!</v>
      </c>
      <c r="J5255" t="str">
        <f>VLOOKUP($G5255,DefinitionArrays!$I$6:$J$12,2,FALSE)</f>
        <v>Workweek</v>
      </c>
    </row>
    <row r="5256" spans="1:10">
      <c r="A5256" s="159" t="str">
        <f t="shared" si="413"/>
        <v>$K$1:$K$92</v>
      </c>
      <c r="B5256" s="159" t="str">
        <f t="shared" si="414"/>
        <v>$L$1:$L$92</v>
      </c>
      <c r="C5256" s="159" t="str">
        <f t="shared" si="415"/>
        <v>January!$K$1:$K$92</v>
      </c>
      <c r="D5256" s="159" t="str">
        <f t="shared" si="416"/>
        <v>January!$L$1:$L$92</v>
      </c>
      <c r="E5256" t="s">
        <v>10</v>
      </c>
      <c r="F5256" t="s">
        <v>48</v>
      </c>
      <c r="G5256" t="s">
        <v>144</v>
      </c>
      <c r="H5256" t="s">
        <v>180</v>
      </c>
      <c r="I5256" t="e">
        <f t="shared" ca="1" si="412"/>
        <v>#REF!</v>
      </c>
      <c r="J5256" t="str">
        <f>VLOOKUP($G5256,DefinitionArrays!$I$6:$J$12,2,FALSE)</f>
        <v>Workweek</v>
      </c>
    </row>
    <row r="5257" spans="1:10">
      <c r="A5257" s="159" t="str">
        <f t="shared" si="413"/>
        <v>$K$1:$K$92</v>
      </c>
      <c r="B5257" s="159" t="str">
        <f t="shared" si="414"/>
        <v>$L$1:$L$92</v>
      </c>
      <c r="C5257" s="159" t="str">
        <f t="shared" si="415"/>
        <v>January!$K$1:$K$92</v>
      </c>
      <c r="D5257" s="159" t="str">
        <f t="shared" si="416"/>
        <v>January!$L$1:$L$92</v>
      </c>
      <c r="E5257" t="s">
        <v>10</v>
      </c>
      <c r="F5257" t="s">
        <v>48</v>
      </c>
      <c r="G5257" t="s">
        <v>144</v>
      </c>
      <c r="H5257" t="s">
        <v>44</v>
      </c>
      <c r="I5257" t="e">
        <f t="shared" ca="1" si="412"/>
        <v>#REF!</v>
      </c>
      <c r="J5257" t="str">
        <f>VLOOKUP($G5257,DefinitionArrays!$I$6:$J$12,2,FALSE)</f>
        <v>Workweek</v>
      </c>
    </row>
    <row r="5258" spans="1:10">
      <c r="A5258" s="159" t="str">
        <f t="shared" si="413"/>
        <v>$N$1:$N$92</v>
      </c>
      <c r="B5258" s="159" t="str">
        <f t="shared" si="414"/>
        <v>$O$1:$O$92</v>
      </c>
      <c r="C5258" s="159" t="str">
        <f t="shared" si="415"/>
        <v>January!$N$1:$N$92</v>
      </c>
      <c r="D5258" s="159" t="str">
        <f t="shared" si="416"/>
        <v>January!$O$1:$O$92</v>
      </c>
      <c r="E5258" t="s">
        <v>10</v>
      </c>
      <c r="F5258" t="s">
        <v>48</v>
      </c>
      <c r="G5258" t="s">
        <v>145</v>
      </c>
      <c r="H5258" t="s">
        <v>159</v>
      </c>
      <c r="I5258" t="e">
        <f t="shared" ca="1" si="412"/>
        <v>#REF!</v>
      </c>
      <c r="J5258" t="str">
        <f>VLOOKUP($G5258,DefinitionArrays!$I$6:$J$12,2,FALSE)</f>
        <v>Weekend</v>
      </c>
    </row>
    <row r="5259" spans="1:10">
      <c r="A5259" s="159" t="str">
        <f t="shared" si="413"/>
        <v>$N$1:$N$92</v>
      </c>
      <c r="B5259" s="159" t="str">
        <f t="shared" si="414"/>
        <v>$O$1:$O$92</v>
      </c>
      <c r="C5259" s="159" t="str">
        <f t="shared" si="415"/>
        <v>January!$N$1:$N$92</v>
      </c>
      <c r="D5259" s="159" t="str">
        <f t="shared" si="416"/>
        <v>January!$O$1:$O$92</v>
      </c>
      <c r="E5259" t="s">
        <v>10</v>
      </c>
      <c r="F5259" t="s">
        <v>48</v>
      </c>
      <c r="G5259" t="s">
        <v>145</v>
      </c>
      <c r="H5259" t="s">
        <v>18</v>
      </c>
      <c r="I5259" t="e">
        <f t="shared" ca="1" si="412"/>
        <v>#REF!</v>
      </c>
      <c r="J5259" t="str">
        <f>VLOOKUP($G5259,DefinitionArrays!$I$6:$J$12,2,FALSE)</f>
        <v>Weekend</v>
      </c>
    </row>
    <row r="5260" spans="1:10">
      <c r="A5260" s="159" t="str">
        <f t="shared" si="413"/>
        <v>$N$1:$N$92</v>
      </c>
      <c r="B5260" s="159" t="str">
        <f t="shared" si="414"/>
        <v>$O$1:$O$92</v>
      </c>
      <c r="C5260" s="159" t="str">
        <f t="shared" si="415"/>
        <v>January!$N$1:$N$92</v>
      </c>
      <c r="D5260" s="159" t="str">
        <f t="shared" si="416"/>
        <v>January!$O$1:$O$92</v>
      </c>
      <c r="E5260" t="s">
        <v>10</v>
      </c>
      <c r="F5260" t="s">
        <v>48</v>
      </c>
      <c r="G5260" t="s">
        <v>145</v>
      </c>
      <c r="H5260" t="s">
        <v>153</v>
      </c>
      <c r="I5260" t="e">
        <f t="shared" ca="1" si="412"/>
        <v>#REF!</v>
      </c>
      <c r="J5260" t="str">
        <f>VLOOKUP($G5260,DefinitionArrays!$I$6:$J$12,2,FALSE)</f>
        <v>Weekend</v>
      </c>
    </row>
    <row r="5261" spans="1:10">
      <c r="A5261" s="159" t="str">
        <f t="shared" si="413"/>
        <v>$N$1:$N$92</v>
      </c>
      <c r="B5261" s="159" t="str">
        <f t="shared" si="414"/>
        <v>$O$1:$O$92</v>
      </c>
      <c r="C5261" s="159" t="str">
        <f t="shared" si="415"/>
        <v>January!$N$1:$N$92</v>
      </c>
      <c r="D5261" s="159" t="str">
        <f t="shared" si="416"/>
        <v>January!$O$1:$O$92</v>
      </c>
      <c r="E5261" t="s">
        <v>10</v>
      </c>
      <c r="F5261" t="s">
        <v>48</v>
      </c>
      <c r="G5261" t="s">
        <v>145</v>
      </c>
      <c r="H5261" t="s">
        <v>19</v>
      </c>
      <c r="I5261" t="e">
        <f t="shared" ca="1" si="412"/>
        <v>#REF!</v>
      </c>
      <c r="J5261" t="str">
        <f>VLOOKUP($G5261,DefinitionArrays!$I$6:$J$12,2,FALSE)</f>
        <v>Weekend</v>
      </c>
    </row>
    <row r="5262" spans="1:10">
      <c r="A5262" s="159" t="str">
        <f t="shared" si="413"/>
        <v>$N$1:$N$92</v>
      </c>
      <c r="B5262" s="159" t="str">
        <f t="shared" si="414"/>
        <v>$O$1:$O$92</v>
      </c>
      <c r="C5262" s="159" t="str">
        <f t="shared" si="415"/>
        <v>January!$N$1:$N$92</v>
      </c>
      <c r="D5262" s="159" t="str">
        <f t="shared" si="416"/>
        <v>January!$O$1:$O$92</v>
      </c>
      <c r="E5262" t="s">
        <v>10</v>
      </c>
      <c r="F5262" t="s">
        <v>48</v>
      </c>
      <c r="G5262" t="s">
        <v>145</v>
      </c>
      <c r="H5262" t="s">
        <v>20</v>
      </c>
      <c r="I5262" t="e">
        <f t="shared" ca="1" si="412"/>
        <v>#REF!</v>
      </c>
      <c r="J5262" t="str">
        <f>VLOOKUP($G5262,DefinitionArrays!$I$6:$J$12,2,FALSE)</f>
        <v>Weekend</v>
      </c>
    </row>
    <row r="5263" spans="1:10">
      <c r="A5263" s="159" t="str">
        <f t="shared" si="413"/>
        <v>$N$1:$N$92</v>
      </c>
      <c r="B5263" s="159" t="str">
        <f t="shared" si="414"/>
        <v>$O$1:$O$92</v>
      </c>
      <c r="C5263" s="159" t="str">
        <f t="shared" si="415"/>
        <v>January!$N$1:$N$92</v>
      </c>
      <c r="D5263" s="159" t="str">
        <f t="shared" si="416"/>
        <v>January!$O$1:$O$92</v>
      </c>
      <c r="E5263" t="s">
        <v>10</v>
      </c>
      <c r="F5263" t="s">
        <v>48</v>
      </c>
      <c r="G5263" t="s">
        <v>145</v>
      </c>
      <c r="H5263" t="s">
        <v>21</v>
      </c>
      <c r="I5263" t="e">
        <f t="shared" ca="1" si="412"/>
        <v>#REF!</v>
      </c>
      <c r="J5263" t="str">
        <f>VLOOKUP($G5263,DefinitionArrays!$I$6:$J$12,2,FALSE)</f>
        <v>Weekend</v>
      </c>
    </row>
    <row r="5264" spans="1:10">
      <c r="A5264" s="159" t="str">
        <f t="shared" si="413"/>
        <v>$N$1:$N$92</v>
      </c>
      <c r="B5264" s="159" t="str">
        <f t="shared" si="414"/>
        <v>$O$1:$O$92</v>
      </c>
      <c r="C5264" s="159" t="str">
        <f t="shared" si="415"/>
        <v>January!$N$1:$N$92</v>
      </c>
      <c r="D5264" s="159" t="str">
        <f t="shared" si="416"/>
        <v>January!$O$1:$O$92</v>
      </c>
      <c r="E5264" t="s">
        <v>10</v>
      </c>
      <c r="F5264" t="s">
        <v>48</v>
      </c>
      <c r="G5264" t="s">
        <v>145</v>
      </c>
      <c r="H5264" t="s">
        <v>22</v>
      </c>
      <c r="I5264" t="e">
        <f t="shared" ca="1" si="412"/>
        <v>#REF!</v>
      </c>
      <c r="J5264" t="str">
        <f>VLOOKUP($G5264,DefinitionArrays!$I$6:$J$12,2,FALSE)</f>
        <v>Weekend</v>
      </c>
    </row>
    <row r="5265" spans="1:10">
      <c r="A5265" s="159" t="str">
        <f t="shared" si="413"/>
        <v>$N$1:$N$92</v>
      </c>
      <c r="B5265" s="159" t="str">
        <f t="shared" si="414"/>
        <v>$O$1:$O$92</v>
      </c>
      <c r="C5265" s="159" t="str">
        <f t="shared" si="415"/>
        <v>January!$N$1:$N$92</v>
      </c>
      <c r="D5265" s="159" t="str">
        <f t="shared" si="416"/>
        <v>January!$O$1:$O$92</v>
      </c>
      <c r="E5265" t="s">
        <v>10</v>
      </c>
      <c r="F5265" t="s">
        <v>48</v>
      </c>
      <c r="G5265" t="s">
        <v>145</v>
      </c>
      <c r="H5265" t="s">
        <v>23</v>
      </c>
      <c r="I5265" t="e">
        <f t="shared" ca="1" si="412"/>
        <v>#REF!</v>
      </c>
      <c r="J5265" t="str">
        <f>VLOOKUP($G5265,DefinitionArrays!$I$6:$J$12,2,FALSE)</f>
        <v>Weekend</v>
      </c>
    </row>
    <row r="5266" spans="1:10">
      <c r="A5266" s="159" t="str">
        <f t="shared" si="413"/>
        <v>$N$1:$N$92</v>
      </c>
      <c r="B5266" s="159" t="str">
        <f t="shared" si="414"/>
        <v>$O$1:$O$92</v>
      </c>
      <c r="C5266" s="159" t="str">
        <f t="shared" si="415"/>
        <v>January!$N$1:$N$92</v>
      </c>
      <c r="D5266" s="159" t="str">
        <f t="shared" si="416"/>
        <v>January!$O$1:$O$92</v>
      </c>
      <c r="E5266" t="s">
        <v>10</v>
      </c>
      <c r="F5266" t="s">
        <v>48</v>
      </c>
      <c r="G5266" t="s">
        <v>145</v>
      </c>
      <c r="H5266" t="s">
        <v>24</v>
      </c>
      <c r="I5266" t="e">
        <f t="shared" ca="1" si="412"/>
        <v>#REF!</v>
      </c>
      <c r="J5266" t="str">
        <f>VLOOKUP($G5266,DefinitionArrays!$I$6:$J$12,2,FALSE)</f>
        <v>Weekend</v>
      </c>
    </row>
    <row r="5267" spans="1:10">
      <c r="A5267" s="159" t="str">
        <f t="shared" si="413"/>
        <v>$N$1:$N$92</v>
      </c>
      <c r="B5267" s="159" t="str">
        <f t="shared" si="414"/>
        <v>$O$1:$O$92</v>
      </c>
      <c r="C5267" s="159" t="str">
        <f t="shared" si="415"/>
        <v>January!$N$1:$N$92</v>
      </c>
      <c r="D5267" s="159" t="str">
        <f t="shared" si="416"/>
        <v>January!$O$1:$O$92</v>
      </c>
      <c r="E5267" t="s">
        <v>10</v>
      </c>
      <c r="F5267" t="s">
        <v>48</v>
      </c>
      <c r="G5267" t="s">
        <v>145</v>
      </c>
      <c r="H5267" t="s">
        <v>179</v>
      </c>
      <c r="I5267" t="e">
        <f t="shared" ca="1" si="412"/>
        <v>#REF!</v>
      </c>
      <c r="J5267" t="str">
        <f>VLOOKUP($G5267,DefinitionArrays!$I$6:$J$12,2,FALSE)</f>
        <v>Weekend</v>
      </c>
    </row>
    <row r="5268" spans="1:10">
      <c r="A5268" s="159" t="str">
        <f t="shared" si="413"/>
        <v>$N$1:$N$92</v>
      </c>
      <c r="B5268" s="159" t="str">
        <f t="shared" si="414"/>
        <v>$O$1:$O$92</v>
      </c>
      <c r="C5268" s="159" t="str">
        <f t="shared" si="415"/>
        <v>January!$N$1:$N$92</v>
      </c>
      <c r="D5268" s="159" t="str">
        <f t="shared" si="416"/>
        <v>January!$O$1:$O$92</v>
      </c>
      <c r="E5268" t="s">
        <v>10</v>
      </c>
      <c r="F5268" t="s">
        <v>48</v>
      </c>
      <c r="G5268" t="s">
        <v>145</v>
      </c>
      <c r="H5268" t="s">
        <v>180</v>
      </c>
      <c r="I5268" t="e">
        <f t="shared" ca="1" si="412"/>
        <v>#REF!</v>
      </c>
      <c r="J5268" t="str">
        <f>VLOOKUP($G5268,DefinitionArrays!$I$6:$J$12,2,FALSE)</f>
        <v>Weekend</v>
      </c>
    </row>
    <row r="5269" spans="1:10">
      <c r="A5269" s="159" t="str">
        <f t="shared" si="413"/>
        <v>$N$1:$N$92</v>
      </c>
      <c r="B5269" s="159" t="str">
        <f t="shared" si="414"/>
        <v>$O$1:$O$92</v>
      </c>
      <c r="C5269" s="159" t="str">
        <f t="shared" si="415"/>
        <v>January!$N$1:$N$92</v>
      </c>
      <c r="D5269" s="159" t="str">
        <f t="shared" si="416"/>
        <v>January!$O$1:$O$92</v>
      </c>
      <c r="E5269" t="s">
        <v>10</v>
      </c>
      <c r="F5269" t="s">
        <v>48</v>
      </c>
      <c r="G5269" t="s">
        <v>145</v>
      </c>
      <c r="H5269" t="s">
        <v>44</v>
      </c>
      <c r="I5269" t="e">
        <f t="shared" ca="1" si="412"/>
        <v>#REF!</v>
      </c>
      <c r="J5269" t="str">
        <f>VLOOKUP($G5269,DefinitionArrays!$I$6:$J$12,2,FALSE)</f>
        <v>Weekend</v>
      </c>
    </row>
    <row r="5270" spans="1:10">
      <c r="A5270" s="159" t="str">
        <f t="shared" si="413"/>
        <v>$Q$1:$Q$92</v>
      </c>
      <c r="B5270" s="159" t="str">
        <f t="shared" si="414"/>
        <v>$R$1:$R$92</v>
      </c>
      <c r="C5270" s="159" t="str">
        <f t="shared" si="415"/>
        <v>January!$Q$1:$Q$92</v>
      </c>
      <c r="D5270" s="159" t="str">
        <f t="shared" si="416"/>
        <v>January!$R$1:$R$92</v>
      </c>
      <c r="E5270" t="s">
        <v>10</v>
      </c>
      <c r="F5270" t="s">
        <v>48</v>
      </c>
      <c r="G5270" t="s">
        <v>146</v>
      </c>
      <c r="H5270" t="s">
        <v>159</v>
      </c>
      <c r="I5270" t="e">
        <f t="shared" ca="1" si="412"/>
        <v>#REF!</v>
      </c>
      <c r="J5270" t="str">
        <f>VLOOKUP($G5270,DefinitionArrays!$I$6:$J$12,2,FALSE)</f>
        <v>Weekend</v>
      </c>
    </row>
    <row r="5271" spans="1:10">
      <c r="A5271" s="159" t="str">
        <f t="shared" si="413"/>
        <v>$T$1:$T$92</v>
      </c>
      <c r="B5271" s="159" t="str">
        <f t="shared" si="414"/>
        <v>$U$1:$U$92</v>
      </c>
      <c r="C5271" s="159" t="str">
        <f t="shared" si="415"/>
        <v>January!$T$1:$T$92</v>
      </c>
      <c r="D5271" s="159" t="str">
        <f t="shared" si="416"/>
        <v>January!$U$1:$U$92</v>
      </c>
      <c r="E5271" t="s">
        <v>10</v>
      </c>
      <c r="F5271" t="s">
        <v>48</v>
      </c>
      <c r="G5271" t="s">
        <v>141</v>
      </c>
      <c r="H5271" t="s">
        <v>159</v>
      </c>
      <c r="I5271" t="e">
        <f t="shared" ca="1" si="412"/>
        <v>#REF!</v>
      </c>
      <c r="J5271" t="str">
        <f>VLOOKUP($G5271,DefinitionArrays!$I$6:$J$12,2,FALSE)</f>
        <v>Weekend</v>
      </c>
    </row>
    <row r="5272" spans="1:10">
      <c r="A5272" s="159" t="str">
        <f t="shared" si="413"/>
        <v>$B$1:$B$92</v>
      </c>
      <c r="B5272" s="159" t="str">
        <f t="shared" si="414"/>
        <v>$C$1:$C$92</v>
      </c>
      <c r="C5272" s="159" t="str">
        <f t="shared" si="415"/>
        <v>February!$B$1:$B$92</v>
      </c>
      <c r="D5272" s="159" t="str">
        <f t="shared" si="416"/>
        <v>February!$C$1:$C$92</v>
      </c>
      <c r="E5272" t="s">
        <v>10</v>
      </c>
      <c r="F5272" t="s">
        <v>121</v>
      </c>
      <c r="G5272" t="s">
        <v>13</v>
      </c>
      <c r="H5272" t="s">
        <v>159</v>
      </c>
      <c r="I5272" t="e">
        <f ca="1">COUNTIFS(INDIRECT($C5272),$E5272,INDIRECT($D5272),$H5272)</f>
        <v>#REF!</v>
      </c>
      <c r="J5272" t="str">
        <f>VLOOKUP($G5272,DefinitionArrays!$I$6:$J$12,2,FALSE)</f>
        <v>Workweek</v>
      </c>
    </row>
    <row r="5273" spans="1:10">
      <c r="A5273" s="159" t="str">
        <f t="shared" si="413"/>
        <v>$B$1:$B$92</v>
      </c>
      <c r="B5273" s="159" t="str">
        <f t="shared" si="414"/>
        <v>$C$1:$C$92</v>
      </c>
      <c r="C5273" s="159" t="str">
        <f t="shared" si="415"/>
        <v>February!$B$1:$B$92</v>
      </c>
      <c r="D5273" s="159" t="str">
        <f t="shared" si="416"/>
        <v>February!$C$1:$C$92</v>
      </c>
      <c r="E5273" t="s">
        <v>10</v>
      </c>
      <c r="F5273" t="s">
        <v>121</v>
      </c>
      <c r="G5273" t="s">
        <v>13</v>
      </c>
      <c r="H5273" t="s">
        <v>18</v>
      </c>
      <c r="I5273" t="e">
        <f t="shared" ref="I5273:I5333" ca="1" si="417">COUNTIFS(INDIRECT($C5273),$E5273,INDIRECT($D5273),$H5273)</f>
        <v>#REF!</v>
      </c>
      <c r="J5273" t="str">
        <f>VLOOKUP($G5273,DefinitionArrays!$I$6:$J$12,2,FALSE)</f>
        <v>Workweek</v>
      </c>
    </row>
    <row r="5274" spans="1:10">
      <c r="A5274" s="159" t="str">
        <f t="shared" si="413"/>
        <v>$B$1:$B$92</v>
      </c>
      <c r="B5274" s="159" t="str">
        <f t="shared" si="414"/>
        <v>$C$1:$C$92</v>
      </c>
      <c r="C5274" s="159" t="str">
        <f t="shared" si="415"/>
        <v>February!$B$1:$B$92</v>
      </c>
      <c r="D5274" s="159" t="str">
        <f t="shared" si="416"/>
        <v>February!$C$1:$C$92</v>
      </c>
      <c r="E5274" t="s">
        <v>10</v>
      </c>
      <c r="F5274" t="s">
        <v>121</v>
      </c>
      <c r="G5274" t="s">
        <v>13</v>
      </c>
      <c r="H5274" t="s">
        <v>153</v>
      </c>
      <c r="I5274" t="e">
        <f t="shared" ca="1" si="417"/>
        <v>#REF!</v>
      </c>
      <c r="J5274" t="str">
        <f>VLOOKUP($G5274,DefinitionArrays!$I$6:$J$12,2,FALSE)</f>
        <v>Workweek</v>
      </c>
    </row>
    <row r="5275" spans="1:10">
      <c r="A5275" s="159" t="str">
        <f t="shared" si="413"/>
        <v>$B$1:$B$92</v>
      </c>
      <c r="B5275" s="159" t="str">
        <f t="shared" si="414"/>
        <v>$C$1:$C$92</v>
      </c>
      <c r="C5275" s="159" t="str">
        <f t="shared" si="415"/>
        <v>February!$B$1:$B$92</v>
      </c>
      <c r="D5275" s="159" t="str">
        <f t="shared" si="416"/>
        <v>February!$C$1:$C$92</v>
      </c>
      <c r="E5275" t="s">
        <v>10</v>
      </c>
      <c r="F5275" t="s">
        <v>121</v>
      </c>
      <c r="G5275" t="s">
        <v>13</v>
      </c>
      <c r="H5275" t="s">
        <v>19</v>
      </c>
      <c r="I5275" t="e">
        <f t="shared" ca="1" si="417"/>
        <v>#REF!</v>
      </c>
      <c r="J5275" t="str">
        <f>VLOOKUP($G5275,DefinitionArrays!$I$6:$J$12,2,FALSE)</f>
        <v>Workweek</v>
      </c>
    </row>
    <row r="5276" spans="1:10">
      <c r="A5276" s="159" t="str">
        <f t="shared" si="413"/>
        <v>$B$1:$B$92</v>
      </c>
      <c r="B5276" s="159" t="str">
        <f t="shared" si="414"/>
        <v>$C$1:$C$92</v>
      </c>
      <c r="C5276" s="159" t="str">
        <f t="shared" si="415"/>
        <v>February!$B$1:$B$92</v>
      </c>
      <c r="D5276" s="159" t="str">
        <f t="shared" si="416"/>
        <v>February!$C$1:$C$92</v>
      </c>
      <c r="E5276" t="s">
        <v>10</v>
      </c>
      <c r="F5276" t="s">
        <v>121</v>
      </c>
      <c r="G5276" t="s">
        <v>13</v>
      </c>
      <c r="H5276" t="s">
        <v>20</v>
      </c>
      <c r="I5276" t="e">
        <f t="shared" ca="1" si="417"/>
        <v>#REF!</v>
      </c>
      <c r="J5276" t="str">
        <f>VLOOKUP($G5276,DefinitionArrays!$I$6:$J$12,2,FALSE)</f>
        <v>Workweek</v>
      </c>
    </row>
    <row r="5277" spans="1:10">
      <c r="A5277" s="159" t="str">
        <f t="shared" si="413"/>
        <v>$B$1:$B$92</v>
      </c>
      <c r="B5277" s="159" t="str">
        <f t="shared" si="414"/>
        <v>$C$1:$C$92</v>
      </c>
      <c r="C5277" s="159" t="str">
        <f t="shared" si="415"/>
        <v>February!$B$1:$B$92</v>
      </c>
      <c r="D5277" s="159" t="str">
        <f t="shared" si="416"/>
        <v>February!$C$1:$C$92</v>
      </c>
      <c r="E5277" t="s">
        <v>10</v>
      </c>
      <c r="F5277" t="s">
        <v>121</v>
      </c>
      <c r="G5277" t="s">
        <v>13</v>
      </c>
      <c r="H5277" t="s">
        <v>21</v>
      </c>
      <c r="I5277" t="e">
        <f t="shared" ca="1" si="417"/>
        <v>#REF!</v>
      </c>
      <c r="J5277" t="str">
        <f>VLOOKUP($G5277,DefinitionArrays!$I$6:$J$12,2,FALSE)</f>
        <v>Workweek</v>
      </c>
    </row>
    <row r="5278" spans="1:10">
      <c r="A5278" s="159" t="str">
        <f t="shared" si="413"/>
        <v>$B$1:$B$92</v>
      </c>
      <c r="B5278" s="159" t="str">
        <f t="shared" si="414"/>
        <v>$C$1:$C$92</v>
      </c>
      <c r="C5278" s="159" t="str">
        <f t="shared" si="415"/>
        <v>February!$B$1:$B$92</v>
      </c>
      <c r="D5278" s="159" t="str">
        <f t="shared" si="416"/>
        <v>February!$C$1:$C$92</v>
      </c>
      <c r="E5278" t="s">
        <v>10</v>
      </c>
      <c r="F5278" t="s">
        <v>121</v>
      </c>
      <c r="G5278" t="s">
        <v>13</v>
      </c>
      <c r="H5278" t="s">
        <v>22</v>
      </c>
      <c r="I5278" t="e">
        <f t="shared" ca="1" si="417"/>
        <v>#REF!</v>
      </c>
      <c r="J5278" t="str">
        <f>VLOOKUP($G5278,DefinitionArrays!$I$6:$J$12,2,FALSE)</f>
        <v>Workweek</v>
      </c>
    </row>
    <row r="5279" spans="1:10">
      <c r="A5279" s="159" t="str">
        <f t="shared" si="413"/>
        <v>$B$1:$B$92</v>
      </c>
      <c r="B5279" s="159" t="str">
        <f t="shared" si="414"/>
        <v>$C$1:$C$92</v>
      </c>
      <c r="C5279" s="159" t="str">
        <f t="shared" si="415"/>
        <v>February!$B$1:$B$92</v>
      </c>
      <c r="D5279" s="159" t="str">
        <f t="shared" si="416"/>
        <v>February!$C$1:$C$92</v>
      </c>
      <c r="E5279" t="s">
        <v>10</v>
      </c>
      <c r="F5279" t="s">
        <v>121</v>
      </c>
      <c r="G5279" t="s">
        <v>13</v>
      </c>
      <c r="H5279" t="s">
        <v>23</v>
      </c>
      <c r="I5279" t="e">
        <f t="shared" ca="1" si="417"/>
        <v>#REF!</v>
      </c>
      <c r="J5279" t="str">
        <f>VLOOKUP($G5279,DefinitionArrays!$I$6:$J$12,2,FALSE)</f>
        <v>Workweek</v>
      </c>
    </row>
    <row r="5280" spans="1:10">
      <c r="A5280" s="159" t="str">
        <f t="shared" si="413"/>
        <v>$B$1:$B$92</v>
      </c>
      <c r="B5280" s="159" t="str">
        <f t="shared" si="414"/>
        <v>$C$1:$C$92</v>
      </c>
      <c r="C5280" s="159" t="str">
        <f t="shared" si="415"/>
        <v>February!$B$1:$B$92</v>
      </c>
      <c r="D5280" s="159" t="str">
        <f t="shared" si="416"/>
        <v>February!$C$1:$C$92</v>
      </c>
      <c r="E5280" t="s">
        <v>10</v>
      </c>
      <c r="F5280" t="s">
        <v>121</v>
      </c>
      <c r="G5280" t="s">
        <v>13</v>
      </c>
      <c r="H5280" t="s">
        <v>24</v>
      </c>
      <c r="I5280" t="e">
        <f t="shared" ca="1" si="417"/>
        <v>#REF!</v>
      </c>
      <c r="J5280" t="str">
        <f>VLOOKUP($G5280,DefinitionArrays!$I$6:$J$12,2,FALSE)</f>
        <v>Workweek</v>
      </c>
    </row>
    <row r="5281" spans="1:10">
      <c r="A5281" s="159" t="str">
        <f t="shared" si="413"/>
        <v>$B$1:$B$92</v>
      </c>
      <c r="B5281" s="159" t="str">
        <f t="shared" si="414"/>
        <v>$C$1:$C$92</v>
      </c>
      <c r="C5281" s="159" t="str">
        <f t="shared" si="415"/>
        <v>February!$B$1:$B$92</v>
      </c>
      <c r="D5281" s="159" t="str">
        <f t="shared" si="416"/>
        <v>February!$C$1:$C$92</v>
      </c>
      <c r="E5281" t="s">
        <v>10</v>
      </c>
      <c r="F5281" t="s">
        <v>121</v>
      </c>
      <c r="G5281" t="s">
        <v>13</v>
      </c>
      <c r="H5281" t="s">
        <v>179</v>
      </c>
      <c r="I5281" t="e">
        <f t="shared" ca="1" si="417"/>
        <v>#REF!</v>
      </c>
      <c r="J5281" t="str">
        <f>VLOOKUP($G5281,DefinitionArrays!$I$6:$J$12,2,FALSE)</f>
        <v>Workweek</v>
      </c>
    </row>
    <row r="5282" spans="1:10">
      <c r="A5282" s="159" t="str">
        <f t="shared" si="413"/>
        <v>$B$1:$B$92</v>
      </c>
      <c r="B5282" s="159" t="str">
        <f t="shared" si="414"/>
        <v>$C$1:$C$92</v>
      </c>
      <c r="C5282" s="159" t="str">
        <f t="shared" si="415"/>
        <v>February!$B$1:$B$92</v>
      </c>
      <c r="D5282" s="159" t="str">
        <f t="shared" si="416"/>
        <v>February!$C$1:$C$92</v>
      </c>
      <c r="E5282" t="s">
        <v>10</v>
      </c>
      <c r="F5282" t="s">
        <v>121</v>
      </c>
      <c r="G5282" t="s">
        <v>13</v>
      </c>
      <c r="H5282" t="s">
        <v>180</v>
      </c>
      <c r="I5282" t="e">
        <f t="shared" ca="1" si="417"/>
        <v>#REF!</v>
      </c>
      <c r="J5282" t="str">
        <f>VLOOKUP($G5282,DefinitionArrays!$I$6:$J$12,2,FALSE)</f>
        <v>Workweek</v>
      </c>
    </row>
    <row r="5283" spans="1:10">
      <c r="A5283" s="159" t="str">
        <f t="shared" si="413"/>
        <v>$B$1:$B$92</v>
      </c>
      <c r="B5283" s="159" t="str">
        <f t="shared" si="414"/>
        <v>$C$1:$C$92</v>
      </c>
      <c r="C5283" s="159" t="str">
        <f t="shared" si="415"/>
        <v>February!$B$1:$B$92</v>
      </c>
      <c r="D5283" s="159" t="str">
        <f t="shared" si="416"/>
        <v>February!$C$1:$C$92</v>
      </c>
      <c r="E5283" t="s">
        <v>10</v>
      </c>
      <c r="F5283" t="s">
        <v>121</v>
      </c>
      <c r="G5283" t="s">
        <v>13</v>
      </c>
      <c r="H5283" t="s">
        <v>44</v>
      </c>
      <c r="I5283" t="e">
        <f t="shared" ca="1" si="417"/>
        <v>#REF!</v>
      </c>
      <c r="J5283" t="str">
        <f>VLOOKUP($G5283,DefinitionArrays!$I$6:$J$12,2,FALSE)</f>
        <v>Workweek</v>
      </c>
    </row>
    <row r="5284" spans="1:10">
      <c r="A5284" s="159" t="str">
        <f t="shared" si="413"/>
        <v>$E$1:$E$92</v>
      </c>
      <c r="B5284" s="159" t="str">
        <f t="shared" si="414"/>
        <v>$F$1:$F$92</v>
      </c>
      <c r="C5284" s="159" t="str">
        <f t="shared" si="415"/>
        <v>February!$E$1:$E$92</v>
      </c>
      <c r="D5284" s="159" t="str">
        <f t="shared" si="416"/>
        <v>February!$F$1:$F$92</v>
      </c>
      <c r="E5284" t="s">
        <v>10</v>
      </c>
      <c r="F5284" t="s">
        <v>121</v>
      </c>
      <c r="G5284" t="s">
        <v>142</v>
      </c>
      <c r="H5284" t="s">
        <v>159</v>
      </c>
      <c r="I5284" t="e">
        <f t="shared" ca="1" si="417"/>
        <v>#REF!</v>
      </c>
      <c r="J5284" t="str">
        <f>VLOOKUP($G5284,DefinitionArrays!$I$6:$J$12,2,FALSE)</f>
        <v>Workweek</v>
      </c>
    </row>
    <row r="5285" spans="1:10">
      <c r="A5285" s="159" t="str">
        <f t="shared" si="413"/>
        <v>$E$1:$E$92</v>
      </c>
      <c r="B5285" s="159" t="str">
        <f t="shared" si="414"/>
        <v>$F$1:$F$92</v>
      </c>
      <c r="C5285" s="159" t="str">
        <f t="shared" si="415"/>
        <v>February!$E$1:$E$92</v>
      </c>
      <c r="D5285" s="159" t="str">
        <f t="shared" si="416"/>
        <v>February!$F$1:$F$92</v>
      </c>
      <c r="E5285" t="s">
        <v>10</v>
      </c>
      <c r="F5285" t="s">
        <v>121</v>
      </c>
      <c r="G5285" t="s">
        <v>142</v>
      </c>
      <c r="H5285" t="s">
        <v>18</v>
      </c>
      <c r="I5285" t="e">
        <f t="shared" ca="1" si="417"/>
        <v>#REF!</v>
      </c>
      <c r="J5285" t="str">
        <f>VLOOKUP($G5285,DefinitionArrays!$I$6:$J$12,2,FALSE)</f>
        <v>Workweek</v>
      </c>
    </row>
    <row r="5286" spans="1:10">
      <c r="A5286" s="159" t="str">
        <f t="shared" si="413"/>
        <v>$E$1:$E$92</v>
      </c>
      <c r="B5286" s="159" t="str">
        <f t="shared" si="414"/>
        <v>$F$1:$F$92</v>
      </c>
      <c r="C5286" s="159" t="str">
        <f t="shared" si="415"/>
        <v>February!$E$1:$E$92</v>
      </c>
      <c r="D5286" s="159" t="str">
        <f t="shared" si="416"/>
        <v>February!$F$1:$F$92</v>
      </c>
      <c r="E5286" t="s">
        <v>10</v>
      </c>
      <c r="F5286" t="s">
        <v>121</v>
      </c>
      <c r="G5286" t="s">
        <v>142</v>
      </c>
      <c r="H5286" t="s">
        <v>153</v>
      </c>
      <c r="I5286" t="e">
        <f t="shared" ca="1" si="417"/>
        <v>#REF!</v>
      </c>
      <c r="J5286" t="str">
        <f>VLOOKUP($G5286,DefinitionArrays!$I$6:$J$12,2,FALSE)</f>
        <v>Workweek</v>
      </c>
    </row>
    <row r="5287" spans="1:10">
      <c r="A5287" s="159" t="str">
        <f t="shared" si="413"/>
        <v>$E$1:$E$92</v>
      </c>
      <c r="B5287" s="159" t="str">
        <f t="shared" si="414"/>
        <v>$F$1:$F$92</v>
      </c>
      <c r="C5287" s="159" t="str">
        <f t="shared" si="415"/>
        <v>February!$E$1:$E$92</v>
      </c>
      <c r="D5287" s="159" t="str">
        <f t="shared" si="416"/>
        <v>February!$F$1:$F$92</v>
      </c>
      <c r="E5287" t="s">
        <v>10</v>
      </c>
      <c r="F5287" t="s">
        <v>121</v>
      </c>
      <c r="G5287" t="s">
        <v>142</v>
      </c>
      <c r="H5287" t="s">
        <v>19</v>
      </c>
      <c r="I5287" t="e">
        <f t="shared" ca="1" si="417"/>
        <v>#REF!</v>
      </c>
      <c r="J5287" t="str">
        <f>VLOOKUP($G5287,DefinitionArrays!$I$6:$J$12,2,FALSE)</f>
        <v>Workweek</v>
      </c>
    </row>
    <row r="5288" spans="1:10">
      <c r="A5288" s="159" t="str">
        <f t="shared" si="413"/>
        <v>$E$1:$E$92</v>
      </c>
      <c r="B5288" s="159" t="str">
        <f t="shared" si="414"/>
        <v>$F$1:$F$92</v>
      </c>
      <c r="C5288" s="159" t="str">
        <f t="shared" si="415"/>
        <v>February!$E$1:$E$92</v>
      </c>
      <c r="D5288" s="159" t="str">
        <f t="shared" si="416"/>
        <v>February!$F$1:$F$92</v>
      </c>
      <c r="E5288" t="s">
        <v>10</v>
      </c>
      <c r="F5288" t="s">
        <v>121</v>
      </c>
      <c r="G5288" t="s">
        <v>142</v>
      </c>
      <c r="H5288" t="s">
        <v>20</v>
      </c>
      <c r="I5288" t="e">
        <f t="shared" ca="1" si="417"/>
        <v>#REF!</v>
      </c>
      <c r="J5288" t="str">
        <f>VLOOKUP($G5288,DefinitionArrays!$I$6:$J$12,2,FALSE)</f>
        <v>Workweek</v>
      </c>
    </row>
    <row r="5289" spans="1:10">
      <c r="A5289" s="159" t="str">
        <f t="shared" si="413"/>
        <v>$E$1:$E$92</v>
      </c>
      <c r="B5289" s="159" t="str">
        <f t="shared" si="414"/>
        <v>$F$1:$F$92</v>
      </c>
      <c r="C5289" s="159" t="str">
        <f t="shared" si="415"/>
        <v>February!$E$1:$E$92</v>
      </c>
      <c r="D5289" s="159" t="str">
        <f t="shared" si="416"/>
        <v>February!$F$1:$F$92</v>
      </c>
      <c r="E5289" t="s">
        <v>10</v>
      </c>
      <c r="F5289" t="s">
        <v>121</v>
      </c>
      <c r="G5289" t="s">
        <v>142</v>
      </c>
      <c r="H5289" t="s">
        <v>21</v>
      </c>
      <c r="I5289" t="e">
        <f t="shared" ca="1" si="417"/>
        <v>#REF!</v>
      </c>
      <c r="J5289" t="str">
        <f>VLOOKUP($G5289,DefinitionArrays!$I$6:$J$12,2,FALSE)</f>
        <v>Workweek</v>
      </c>
    </row>
    <row r="5290" spans="1:10">
      <c r="A5290" s="159" t="str">
        <f t="shared" si="413"/>
        <v>$E$1:$E$92</v>
      </c>
      <c r="B5290" s="159" t="str">
        <f t="shared" si="414"/>
        <v>$F$1:$F$92</v>
      </c>
      <c r="C5290" s="159" t="str">
        <f t="shared" si="415"/>
        <v>February!$E$1:$E$92</v>
      </c>
      <c r="D5290" s="159" t="str">
        <f t="shared" si="416"/>
        <v>February!$F$1:$F$92</v>
      </c>
      <c r="E5290" t="s">
        <v>10</v>
      </c>
      <c r="F5290" t="s">
        <v>121</v>
      </c>
      <c r="G5290" t="s">
        <v>142</v>
      </c>
      <c r="H5290" t="s">
        <v>22</v>
      </c>
      <c r="I5290" t="e">
        <f t="shared" ca="1" si="417"/>
        <v>#REF!</v>
      </c>
      <c r="J5290" t="str">
        <f>VLOOKUP($G5290,DefinitionArrays!$I$6:$J$12,2,FALSE)</f>
        <v>Workweek</v>
      </c>
    </row>
    <row r="5291" spans="1:10">
      <c r="A5291" s="159" t="str">
        <f t="shared" si="413"/>
        <v>$E$1:$E$92</v>
      </c>
      <c r="B5291" s="159" t="str">
        <f t="shared" si="414"/>
        <v>$F$1:$F$92</v>
      </c>
      <c r="C5291" s="159" t="str">
        <f t="shared" si="415"/>
        <v>February!$E$1:$E$92</v>
      </c>
      <c r="D5291" s="159" t="str">
        <f t="shared" si="416"/>
        <v>February!$F$1:$F$92</v>
      </c>
      <c r="E5291" t="s">
        <v>10</v>
      </c>
      <c r="F5291" t="s">
        <v>121</v>
      </c>
      <c r="G5291" t="s">
        <v>142</v>
      </c>
      <c r="H5291" t="s">
        <v>23</v>
      </c>
      <c r="I5291" t="e">
        <f t="shared" ca="1" si="417"/>
        <v>#REF!</v>
      </c>
      <c r="J5291" t="str">
        <f>VLOOKUP($G5291,DefinitionArrays!$I$6:$J$12,2,FALSE)</f>
        <v>Workweek</v>
      </c>
    </row>
    <row r="5292" spans="1:10">
      <c r="A5292" s="159" t="str">
        <f t="shared" si="413"/>
        <v>$E$1:$E$92</v>
      </c>
      <c r="B5292" s="159" t="str">
        <f t="shared" si="414"/>
        <v>$F$1:$F$92</v>
      </c>
      <c r="C5292" s="159" t="str">
        <f t="shared" si="415"/>
        <v>February!$E$1:$E$92</v>
      </c>
      <c r="D5292" s="159" t="str">
        <f t="shared" si="416"/>
        <v>February!$F$1:$F$92</v>
      </c>
      <c r="E5292" t="s">
        <v>10</v>
      </c>
      <c r="F5292" t="s">
        <v>121</v>
      </c>
      <c r="G5292" t="s">
        <v>142</v>
      </c>
      <c r="H5292" t="s">
        <v>24</v>
      </c>
      <c r="I5292" t="e">
        <f t="shared" ca="1" si="417"/>
        <v>#REF!</v>
      </c>
      <c r="J5292" t="str">
        <f>VLOOKUP($G5292,DefinitionArrays!$I$6:$J$12,2,FALSE)</f>
        <v>Workweek</v>
      </c>
    </row>
    <row r="5293" spans="1:10">
      <c r="A5293" s="159" t="str">
        <f t="shared" si="413"/>
        <v>$E$1:$E$92</v>
      </c>
      <c r="B5293" s="159" t="str">
        <f t="shared" si="414"/>
        <v>$F$1:$F$92</v>
      </c>
      <c r="C5293" s="159" t="str">
        <f t="shared" si="415"/>
        <v>February!$E$1:$E$92</v>
      </c>
      <c r="D5293" s="159" t="str">
        <f t="shared" si="416"/>
        <v>February!$F$1:$F$92</v>
      </c>
      <c r="E5293" t="s">
        <v>10</v>
      </c>
      <c r="F5293" t="s">
        <v>121</v>
      </c>
      <c r="G5293" t="s">
        <v>142</v>
      </c>
      <c r="H5293" t="s">
        <v>179</v>
      </c>
      <c r="I5293" t="e">
        <f t="shared" ca="1" si="417"/>
        <v>#REF!</v>
      </c>
      <c r="J5293" t="str">
        <f>VLOOKUP($G5293,DefinitionArrays!$I$6:$J$12,2,FALSE)</f>
        <v>Workweek</v>
      </c>
    </row>
    <row r="5294" spans="1:10">
      <c r="A5294" s="159" t="str">
        <f t="shared" si="413"/>
        <v>$E$1:$E$92</v>
      </c>
      <c r="B5294" s="159" t="str">
        <f t="shared" si="414"/>
        <v>$F$1:$F$92</v>
      </c>
      <c r="C5294" s="159" t="str">
        <f t="shared" si="415"/>
        <v>February!$E$1:$E$92</v>
      </c>
      <c r="D5294" s="159" t="str">
        <f t="shared" si="416"/>
        <v>February!$F$1:$F$92</v>
      </c>
      <c r="E5294" t="s">
        <v>10</v>
      </c>
      <c r="F5294" t="s">
        <v>121</v>
      </c>
      <c r="G5294" t="s">
        <v>142</v>
      </c>
      <c r="H5294" t="s">
        <v>180</v>
      </c>
      <c r="I5294" t="e">
        <f t="shared" ca="1" si="417"/>
        <v>#REF!</v>
      </c>
      <c r="J5294" t="str">
        <f>VLOOKUP($G5294,DefinitionArrays!$I$6:$J$12,2,FALSE)</f>
        <v>Workweek</v>
      </c>
    </row>
    <row r="5295" spans="1:10">
      <c r="A5295" s="159" t="str">
        <f t="shared" si="413"/>
        <v>$E$1:$E$92</v>
      </c>
      <c r="B5295" s="159" t="str">
        <f t="shared" si="414"/>
        <v>$F$1:$F$92</v>
      </c>
      <c r="C5295" s="159" t="str">
        <f t="shared" si="415"/>
        <v>February!$E$1:$E$92</v>
      </c>
      <c r="D5295" s="159" t="str">
        <f t="shared" si="416"/>
        <v>February!$F$1:$F$92</v>
      </c>
      <c r="E5295" t="s">
        <v>10</v>
      </c>
      <c r="F5295" t="s">
        <v>121</v>
      </c>
      <c r="G5295" t="s">
        <v>142</v>
      </c>
      <c r="H5295" t="s">
        <v>44</v>
      </c>
      <c r="I5295" t="e">
        <f t="shared" ca="1" si="417"/>
        <v>#REF!</v>
      </c>
      <c r="J5295" t="str">
        <f>VLOOKUP($G5295,DefinitionArrays!$I$6:$J$12,2,FALSE)</f>
        <v>Workweek</v>
      </c>
    </row>
    <row r="5296" spans="1:10">
      <c r="A5296" s="159" t="str">
        <f t="shared" si="413"/>
        <v>$H$1:$H$92</v>
      </c>
      <c r="B5296" s="159" t="str">
        <f t="shared" si="414"/>
        <v>$I$1:$I$92</v>
      </c>
      <c r="C5296" s="159" t="str">
        <f t="shared" si="415"/>
        <v>February!$H$1:$H$92</v>
      </c>
      <c r="D5296" s="159" t="str">
        <f t="shared" si="416"/>
        <v>February!$I$1:$I$92</v>
      </c>
      <c r="E5296" t="s">
        <v>10</v>
      </c>
      <c r="F5296" t="s">
        <v>121</v>
      </c>
      <c r="G5296" t="s">
        <v>143</v>
      </c>
      <c r="H5296" t="s">
        <v>159</v>
      </c>
      <c r="I5296" t="e">
        <f t="shared" ca="1" si="417"/>
        <v>#REF!</v>
      </c>
      <c r="J5296" t="str">
        <f>VLOOKUP($G5296,DefinitionArrays!$I$6:$J$12,2,FALSE)</f>
        <v>Workweek</v>
      </c>
    </row>
    <row r="5297" spans="1:10">
      <c r="A5297" s="159" t="str">
        <f t="shared" si="413"/>
        <v>$H$1:$H$92</v>
      </c>
      <c r="B5297" s="159" t="str">
        <f t="shared" si="414"/>
        <v>$I$1:$I$92</v>
      </c>
      <c r="C5297" s="159" t="str">
        <f t="shared" si="415"/>
        <v>February!$H$1:$H$92</v>
      </c>
      <c r="D5297" s="159" t="str">
        <f t="shared" si="416"/>
        <v>February!$I$1:$I$92</v>
      </c>
      <c r="E5297" t="s">
        <v>10</v>
      </c>
      <c r="F5297" t="s">
        <v>121</v>
      </c>
      <c r="G5297" t="s">
        <v>143</v>
      </c>
      <c r="H5297" t="s">
        <v>18</v>
      </c>
      <c r="I5297" t="e">
        <f t="shared" ca="1" si="417"/>
        <v>#REF!</v>
      </c>
      <c r="J5297" t="str">
        <f>VLOOKUP($G5297,DefinitionArrays!$I$6:$J$12,2,FALSE)</f>
        <v>Workweek</v>
      </c>
    </row>
    <row r="5298" spans="1:10">
      <c r="A5298" s="159" t="str">
        <f t="shared" si="413"/>
        <v>$H$1:$H$92</v>
      </c>
      <c r="B5298" s="159" t="str">
        <f t="shared" si="414"/>
        <v>$I$1:$I$92</v>
      </c>
      <c r="C5298" s="159" t="str">
        <f t="shared" si="415"/>
        <v>February!$H$1:$H$92</v>
      </c>
      <c r="D5298" s="159" t="str">
        <f t="shared" si="416"/>
        <v>February!$I$1:$I$92</v>
      </c>
      <c r="E5298" t="s">
        <v>10</v>
      </c>
      <c r="F5298" t="s">
        <v>121</v>
      </c>
      <c r="G5298" t="s">
        <v>143</v>
      </c>
      <c r="H5298" t="s">
        <v>153</v>
      </c>
      <c r="I5298" t="e">
        <f t="shared" ca="1" si="417"/>
        <v>#REF!</v>
      </c>
      <c r="J5298" t="str">
        <f>VLOOKUP($G5298,DefinitionArrays!$I$6:$J$12,2,FALSE)</f>
        <v>Workweek</v>
      </c>
    </row>
    <row r="5299" spans="1:10">
      <c r="A5299" s="159" t="str">
        <f t="shared" si="413"/>
        <v>$H$1:$H$92</v>
      </c>
      <c r="B5299" s="159" t="str">
        <f t="shared" si="414"/>
        <v>$I$1:$I$92</v>
      </c>
      <c r="C5299" s="159" t="str">
        <f t="shared" si="415"/>
        <v>February!$H$1:$H$92</v>
      </c>
      <c r="D5299" s="159" t="str">
        <f t="shared" si="416"/>
        <v>February!$I$1:$I$92</v>
      </c>
      <c r="E5299" t="s">
        <v>10</v>
      </c>
      <c r="F5299" t="s">
        <v>121</v>
      </c>
      <c r="G5299" t="s">
        <v>143</v>
      </c>
      <c r="H5299" t="s">
        <v>19</v>
      </c>
      <c r="I5299" t="e">
        <f t="shared" ca="1" si="417"/>
        <v>#REF!</v>
      </c>
      <c r="J5299" t="str">
        <f>VLOOKUP($G5299,DefinitionArrays!$I$6:$J$12,2,FALSE)</f>
        <v>Workweek</v>
      </c>
    </row>
    <row r="5300" spans="1:10">
      <c r="A5300" s="159" t="str">
        <f t="shared" si="413"/>
        <v>$H$1:$H$92</v>
      </c>
      <c r="B5300" s="159" t="str">
        <f t="shared" si="414"/>
        <v>$I$1:$I$92</v>
      </c>
      <c r="C5300" s="159" t="str">
        <f t="shared" si="415"/>
        <v>February!$H$1:$H$92</v>
      </c>
      <c r="D5300" s="159" t="str">
        <f t="shared" si="416"/>
        <v>February!$I$1:$I$92</v>
      </c>
      <c r="E5300" t="s">
        <v>10</v>
      </c>
      <c r="F5300" t="s">
        <v>121</v>
      </c>
      <c r="G5300" t="s">
        <v>143</v>
      </c>
      <c r="H5300" t="s">
        <v>20</v>
      </c>
      <c r="I5300" t="e">
        <f t="shared" ca="1" si="417"/>
        <v>#REF!</v>
      </c>
      <c r="J5300" t="str">
        <f>VLOOKUP($G5300,DefinitionArrays!$I$6:$J$12,2,FALSE)</f>
        <v>Workweek</v>
      </c>
    </row>
    <row r="5301" spans="1:10">
      <c r="A5301" s="159" t="str">
        <f t="shared" si="413"/>
        <v>$H$1:$H$92</v>
      </c>
      <c r="B5301" s="159" t="str">
        <f t="shared" si="414"/>
        <v>$I$1:$I$92</v>
      </c>
      <c r="C5301" s="159" t="str">
        <f t="shared" si="415"/>
        <v>February!$H$1:$H$92</v>
      </c>
      <c r="D5301" s="159" t="str">
        <f t="shared" si="416"/>
        <v>February!$I$1:$I$92</v>
      </c>
      <c r="E5301" t="s">
        <v>10</v>
      </c>
      <c r="F5301" t="s">
        <v>121</v>
      </c>
      <c r="G5301" t="s">
        <v>143</v>
      </c>
      <c r="H5301" t="s">
        <v>21</v>
      </c>
      <c r="I5301" t="e">
        <f t="shared" ca="1" si="417"/>
        <v>#REF!</v>
      </c>
      <c r="J5301" t="str">
        <f>VLOOKUP($G5301,DefinitionArrays!$I$6:$J$12,2,FALSE)</f>
        <v>Workweek</v>
      </c>
    </row>
    <row r="5302" spans="1:10">
      <c r="A5302" s="159" t="str">
        <f t="shared" si="413"/>
        <v>$H$1:$H$92</v>
      </c>
      <c r="B5302" s="159" t="str">
        <f t="shared" si="414"/>
        <v>$I$1:$I$92</v>
      </c>
      <c r="C5302" s="159" t="str">
        <f t="shared" si="415"/>
        <v>February!$H$1:$H$92</v>
      </c>
      <c r="D5302" s="159" t="str">
        <f t="shared" si="416"/>
        <v>February!$I$1:$I$92</v>
      </c>
      <c r="E5302" t="s">
        <v>10</v>
      </c>
      <c r="F5302" t="s">
        <v>121</v>
      </c>
      <c r="G5302" t="s">
        <v>143</v>
      </c>
      <c r="H5302" t="s">
        <v>22</v>
      </c>
      <c r="I5302" t="e">
        <f t="shared" ca="1" si="417"/>
        <v>#REF!</v>
      </c>
      <c r="J5302" t="str">
        <f>VLOOKUP($G5302,DefinitionArrays!$I$6:$J$12,2,FALSE)</f>
        <v>Workweek</v>
      </c>
    </row>
    <row r="5303" spans="1:10">
      <c r="A5303" s="159" t="str">
        <f t="shared" si="413"/>
        <v>$H$1:$H$92</v>
      </c>
      <c r="B5303" s="159" t="str">
        <f t="shared" si="414"/>
        <v>$I$1:$I$92</v>
      </c>
      <c r="C5303" s="159" t="str">
        <f t="shared" si="415"/>
        <v>February!$H$1:$H$92</v>
      </c>
      <c r="D5303" s="159" t="str">
        <f t="shared" si="416"/>
        <v>February!$I$1:$I$92</v>
      </c>
      <c r="E5303" t="s">
        <v>10</v>
      </c>
      <c r="F5303" t="s">
        <v>121</v>
      </c>
      <c r="G5303" t="s">
        <v>143</v>
      </c>
      <c r="H5303" t="s">
        <v>23</v>
      </c>
      <c r="I5303" t="e">
        <f t="shared" ca="1" si="417"/>
        <v>#REF!</v>
      </c>
      <c r="J5303" t="str">
        <f>VLOOKUP($G5303,DefinitionArrays!$I$6:$J$12,2,FALSE)</f>
        <v>Workweek</v>
      </c>
    </row>
    <row r="5304" spans="1:10">
      <c r="A5304" s="159" t="str">
        <f t="shared" si="413"/>
        <v>$H$1:$H$92</v>
      </c>
      <c r="B5304" s="159" t="str">
        <f t="shared" si="414"/>
        <v>$I$1:$I$92</v>
      </c>
      <c r="C5304" s="159" t="str">
        <f t="shared" si="415"/>
        <v>February!$H$1:$H$92</v>
      </c>
      <c r="D5304" s="159" t="str">
        <f t="shared" si="416"/>
        <v>February!$I$1:$I$92</v>
      </c>
      <c r="E5304" t="s">
        <v>10</v>
      </c>
      <c r="F5304" t="s">
        <v>121</v>
      </c>
      <c r="G5304" t="s">
        <v>143</v>
      </c>
      <c r="H5304" t="s">
        <v>24</v>
      </c>
      <c r="I5304" t="e">
        <f t="shared" ca="1" si="417"/>
        <v>#REF!</v>
      </c>
      <c r="J5304" t="str">
        <f>VLOOKUP($G5304,DefinitionArrays!$I$6:$J$12,2,FALSE)</f>
        <v>Workweek</v>
      </c>
    </row>
    <row r="5305" spans="1:10">
      <c r="A5305" s="159" t="str">
        <f t="shared" si="413"/>
        <v>$H$1:$H$92</v>
      </c>
      <c r="B5305" s="159" t="str">
        <f t="shared" si="414"/>
        <v>$I$1:$I$92</v>
      </c>
      <c r="C5305" s="159" t="str">
        <f t="shared" si="415"/>
        <v>February!$H$1:$H$92</v>
      </c>
      <c r="D5305" s="159" t="str">
        <f t="shared" si="416"/>
        <v>February!$I$1:$I$92</v>
      </c>
      <c r="E5305" t="s">
        <v>10</v>
      </c>
      <c r="F5305" t="s">
        <v>121</v>
      </c>
      <c r="G5305" t="s">
        <v>143</v>
      </c>
      <c r="H5305" t="s">
        <v>179</v>
      </c>
      <c r="I5305" t="e">
        <f t="shared" ca="1" si="417"/>
        <v>#REF!</v>
      </c>
      <c r="J5305" t="str">
        <f>VLOOKUP($G5305,DefinitionArrays!$I$6:$J$12,2,FALSE)</f>
        <v>Workweek</v>
      </c>
    </row>
    <row r="5306" spans="1:10">
      <c r="A5306" s="159" t="str">
        <f t="shared" si="413"/>
        <v>$H$1:$H$92</v>
      </c>
      <c r="B5306" s="159" t="str">
        <f t="shared" si="414"/>
        <v>$I$1:$I$92</v>
      </c>
      <c r="C5306" s="159" t="str">
        <f t="shared" si="415"/>
        <v>February!$H$1:$H$92</v>
      </c>
      <c r="D5306" s="159" t="str">
        <f t="shared" si="416"/>
        <v>February!$I$1:$I$92</v>
      </c>
      <c r="E5306" t="s">
        <v>10</v>
      </c>
      <c r="F5306" t="s">
        <v>121</v>
      </c>
      <c r="G5306" t="s">
        <v>143</v>
      </c>
      <c r="H5306" t="s">
        <v>180</v>
      </c>
      <c r="I5306" t="e">
        <f t="shared" ca="1" si="417"/>
        <v>#REF!</v>
      </c>
      <c r="J5306" t="str">
        <f>VLOOKUP($G5306,DefinitionArrays!$I$6:$J$12,2,FALSE)</f>
        <v>Workweek</v>
      </c>
    </row>
    <row r="5307" spans="1:10">
      <c r="A5307" s="159" t="str">
        <f t="shared" si="413"/>
        <v>$H$1:$H$92</v>
      </c>
      <c r="B5307" s="159" t="str">
        <f t="shared" si="414"/>
        <v>$I$1:$I$92</v>
      </c>
      <c r="C5307" s="159" t="str">
        <f t="shared" si="415"/>
        <v>February!$H$1:$H$92</v>
      </c>
      <c r="D5307" s="159" t="str">
        <f t="shared" si="416"/>
        <v>February!$I$1:$I$92</v>
      </c>
      <c r="E5307" t="s">
        <v>10</v>
      </c>
      <c r="F5307" t="s">
        <v>121</v>
      </c>
      <c r="G5307" t="s">
        <v>143</v>
      </c>
      <c r="H5307" t="s">
        <v>44</v>
      </c>
      <c r="I5307" t="e">
        <f t="shared" ca="1" si="417"/>
        <v>#REF!</v>
      </c>
      <c r="J5307" t="str">
        <f>VLOOKUP($G5307,DefinitionArrays!$I$6:$J$12,2,FALSE)</f>
        <v>Workweek</v>
      </c>
    </row>
    <row r="5308" spans="1:10">
      <c r="A5308" s="159" t="str">
        <f t="shared" si="413"/>
        <v>$K$1:$K$92</v>
      </c>
      <c r="B5308" s="159" t="str">
        <f t="shared" si="414"/>
        <v>$L$1:$L$92</v>
      </c>
      <c r="C5308" s="159" t="str">
        <f t="shared" si="415"/>
        <v>February!$K$1:$K$92</v>
      </c>
      <c r="D5308" s="159" t="str">
        <f t="shared" si="416"/>
        <v>February!$L$1:$L$92</v>
      </c>
      <c r="E5308" t="s">
        <v>10</v>
      </c>
      <c r="F5308" t="s">
        <v>121</v>
      </c>
      <c r="G5308" t="s">
        <v>144</v>
      </c>
      <c r="H5308" t="s">
        <v>159</v>
      </c>
      <c r="I5308" t="e">
        <f t="shared" ca="1" si="417"/>
        <v>#REF!</v>
      </c>
      <c r="J5308" t="str">
        <f>VLOOKUP($G5308,DefinitionArrays!$I$6:$J$12,2,FALSE)</f>
        <v>Workweek</v>
      </c>
    </row>
    <row r="5309" spans="1:10">
      <c r="A5309" s="159" t="str">
        <f t="shared" si="413"/>
        <v>$K$1:$K$92</v>
      </c>
      <c r="B5309" s="159" t="str">
        <f t="shared" si="414"/>
        <v>$L$1:$L$92</v>
      </c>
      <c r="C5309" s="159" t="str">
        <f t="shared" si="415"/>
        <v>February!$K$1:$K$92</v>
      </c>
      <c r="D5309" s="159" t="str">
        <f t="shared" si="416"/>
        <v>February!$L$1:$L$92</v>
      </c>
      <c r="E5309" t="s">
        <v>10</v>
      </c>
      <c r="F5309" t="s">
        <v>121</v>
      </c>
      <c r="G5309" t="s">
        <v>144</v>
      </c>
      <c r="H5309" t="s">
        <v>18</v>
      </c>
      <c r="I5309" t="e">
        <f t="shared" ca="1" si="417"/>
        <v>#REF!</v>
      </c>
      <c r="J5309" t="str">
        <f>VLOOKUP($G5309,DefinitionArrays!$I$6:$J$12,2,FALSE)</f>
        <v>Workweek</v>
      </c>
    </row>
    <row r="5310" spans="1:10">
      <c r="A5310" s="159" t="str">
        <f t="shared" si="413"/>
        <v>$K$1:$K$92</v>
      </c>
      <c r="B5310" s="159" t="str">
        <f t="shared" si="414"/>
        <v>$L$1:$L$92</v>
      </c>
      <c r="C5310" s="159" t="str">
        <f t="shared" si="415"/>
        <v>February!$K$1:$K$92</v>
      </c>
      <c r="D5310" s="159" t="str">
        <f t="shared" si="416"/>
        <v>February!$L$1:$L$92</v>
      </c>
      <c r="E5310" t="s">
        <v>10</v>
      </c>
      <c r="F5310" t="s">
        <v>121</v>
      </c>
      <c r="G5310" t="s">
        <v>144</v>
      </c>
      <c r="H5310" t="s">
        <v>153</v>
      </c>
      <c r="I5310" t="e">
        <f t="shared" ca="1" si="417"/>
        <v>#REF!</v>
      </c>
      <c r="J5310" t="str">
        <f>VLOOKUP($G5310,DefinitionArrays!$I$6:$J$12,2,FALSE)</f>
        <v>Workweek</v>
      </c>
    </row>
    <row r="5311" spans="1:10">
      <c r="A5311" s="159" t="str">
        <f t="shared" si="413"/>
        <v>$K$1:$K$92</v>
      </c>
      <c r="B5311" s="159" t="str">
        <f t="shared" si="414"/>
        <v>$L$1:$L$92</v>
      </c>
      <c r="C5311" s="159" t="str">
        <f t="shared" si="415"/>
        <v>February!$K$1:$K$92</v>
      </c>
      <c r="D5311" s="159" t="str">
        <f t="shared" si="416"/>
        <v>February!$L$1:$L$92</v>
      </c>
      <c r="E5311" t="s">
        <v>10</v>
      </c>
      <c r="F5311" t="s">
        <v>121</v>
      </c>
      <c r="G5311" t="s">
        <v>144</v>
      </c>
      <c r="H5311" t="s">
        <v>19</v>
      </c>
      <c r="I5311" t="e">
        <f t="shared" ca="1" si="417"/>
        <v>#REF!</v>
      </c>
      <c r="J5311" t="str">
        <f>VLOOKUP($G5311,DefinitionArrays!$I$6:$J$12,2,FALSE)</f>
        <v>Workweek</v>
      </c>
    </row>
    <row r="5312" spans="1:10">
      <c r="A5312" s="159" t="str">
        <f t="shared" si="413"/>
        <v>$K$1:$K$92</v>
      </c>
      <c r="B5312" s="159" t="str">
        <f t="shared" si="414"/>
        <v>$L$1:$L$92</v>
      </c>
      <c r="C5312" s="159" t="str">
        <f t="shared" si="415"/>
        <v>February!$K$1:$K$92</v>
      </c>
      <c r="D5312" s="159" t="str">
        <f t="shared" si="416"/>
        <v>February!$L$1:$L$92</v>
      </c>
      <c r="E5312" t="s">
        <v>10</v>
      </c>
      <c r="F5312" t="s">
        <v>121</v>
      </c>
      <c r="G5312" t="s">
        <v>144</v>
      </c>
      <c r="H5312" t="s">
        <v>20</v>
      </c>
      <c r="I5312" t="e">
        <f t="shared" ca="1" si="417"/>
        <v>#REF!</v>
      </c>
      <c r="J5312" t="str">
        <f>VLOOKUP($G5312,DefinitionArrays!$I$6:$J$12,2,FALSE)</f>
        <v>Workweek</v>
      </c>
    </row>
    <row r="5313" spans="1:10">
      <c r="A5313" s="159" t="str">
        <f t="shared" si="413"/>
        <v>$K$1:$K$92</v>
      </c>
      <c r="B5313" s="159" t="str">
        <f t="shared" si="414"/>
        <v>$L$1:$L$92</v>
      </c>
      <c r="C5313" s="159" t="str">
        <f t="shared" si="415"/>
        <v>February!$K$1:$K$92</v>
      </c>
      <c r="D5313" s="159" t="str">
        <f t="shared" si="416"/>
        <v>February!$L$1:$L$92</v>
      </c>
      <c r="E5313" t="s">
        <v>10</v>
      </c>
      <c r="F5313" t="s">
        <v>121</v>
      </c>
      <c r="G5313" t="s">
        <v>144</v>
      </c>
      <c r="H5313" t="s">
        <v>21</v>
      </c>
      <c r="I5313" t="e">
        <f t="shared" ca="1" si="417"/>
        <v>#REF!</v>
      </c>
      <c r="J5313" t="str">
        <f>VLOOKUP($G5313,DefinitionArrays!$I$6:$J$12,2,FALSE)</f>
        <v>Workweek</v>
      </c>
    </row>
    <row r="5314" spans="1:10">
      <c r="A5314" s="159" t="str">
        <f t="shared" ref="A5314:A5377" si="418">VLOOKUP($G5314,Fx_Code,2,FALSE)</f>
        <v>$K$1:$K$92</v>
      </c>
      <c r="B5314" s="159" t="str">
        <f t="shared" ref="B5314:B5377" si="419">VLOOKUP($G5314,Fx_Code,3,FALSE)</f>
        <v>$L$1:$L$92</v>
      </c>
      <c r="C5314" s="159" t="str">
        <f t="shared" ref="C5314:C5377" si="420">CONCATENATE($F5314,$K$1,A5314)</f>
        <v>February!$K$1:$K$92</v>
      </c>
      <c r="D5314" s="159" t="str">
        <f t="shared" ref="D5314:D5377" si="421">CONCATENATE($F5314,$K$1,B5314)</f>
        <v>February!$L$1:$L$92</v>
      </c>
      <c r="E5314" t="s">
        <v>10</v>
      </c>
      <c r="F5314" t="s">
        <v>121</v>
      </c>
      <c r="G5314" t="s">
        <v>144</v>
      </c>
      <c r="H5314" t="s">
        <v>22</v>
      </c>
      <c r="I5314" t="e">
        <f t="shared" ca="1" si="417"/>
        <v>#REF!</v>
      </c>
      <c r="J5314" t="str">
        <f>VLOOKUP($G5314,DefinitionArrays!$I$6:$J$12,2,FALSE)</f>
        <v>Workweek</v>
      </c>
    </row>
    <row r="5315" spans="1:10">
      <c r="A5315" s="159" t="str">
        <f t="shared" si="418"/>
        <v>$K$1:$K$92</v>
      </c>
      <c r="B5315" s="159" t="str">
        <f t="shared" si="419"/>
        <v>$L$1:$L$92</v>
      </c>
      <c r="C5315" s="159" t="str">
        <f t="shared" si="420"/>
        <v>February!$K$1:$K$92</v>
      </c>
      <c r="D5315" s="159" t="str">
        <f t="shared" si="421"/>
        <v>February!$L$1:$L$92</v>
      </c>
      <c r="E5315" t="s">
        <v>10</v>
      </c>
      <c r="F5315" t="s">
        <v>121</v>
      </c>
      <c r="G5315" t="s">
        <v>144</v>
      </c>
      <c r="H5315" t="s">
        <v>23</v>
      </c>
      <c r="I5315" t="e">
        <f t="shared" ca="1" si="417"/>
        <v>#REF!</v>
      </c>
      <c r="J5315" t="str">
        <f>VLOOKUP($G5315,DefinitionArrays!$I$6:$J$12,2,FALSE)</f>
        <v>Workweek</v>
      </c>
    </row>
    <row r="5316" spans="1:10">
      <c r="A5316" s="159" t="str">
        <f t="shared" si="418"/>
        <v>$K$1:$K$92</v>
      </c>
      <c r="B5316" s="159" t="str">
        <f t="shared" si="419"/>
        <v>$L$1:$L$92</v>
      </c>
      <c r="C5316" s="159" t="str">
        <f t="shared" si="420"/>
        <v>February!$K$1:$K$92</v>
      </c>
      <c r="D5316" s="159" t="str">
        <f t="shared" si="421"/>
        <v>February!$L$1:$L$92</v>
      </c>
      <c r="E5316" t="s">
        <v>10</v>
      </c>
      <c r="F5316" t="s">
        <v>121</v>
      </c>
      <c r="G5316" t="s">
        <v>144</v>
      </c>
      <c r="H5316" t="s">
        <v>24</v>
      </c>
      <c r="I5316" t="e">
        <f t="shared" ca="1" si="417"/>
        <v>#REF!</v>
      </c>
      <c r="J5316" t="str">
        <f>VLOOKUP($G5316,DefinitionArrays!$I$6:$J$12,2,FALSE)</f>
        <v>Workweek</v>
      </c>
    </row>
    <row r="5317" spans="1:10">
      <c r="A5317" s="159" t="str">
        <f t="shared" si="418"/>
        <v>$K$1:$K$92</v>
      </c>
      <c r="B5317" s="159" t="str">
        <f t="shared" si="419"/>
        <v>$L$1:$L$92</v>
      </c>
      <c r="C5317" s="159" t="str">
        <f t="shared" si="420"/>
        <v>February!$K$1:$K$92</v>
      </c>
      <c r="D5317" s="159" t="str">
        <f t="shared" si="421"/>
        <v>February!$L$1:$L$92</v>
      </c>
      <c r="E5317" t="s">
        <v>10</v>
      </c>
      <c r="F5317" t="s">
        <v>121</v>
      </c>
      <c r="G5317" t="s">
        <v>144</v>
      </c>
      <c r="H5317" t="s">
        <v>179</v>
      </c>
      <c r="I5317" t="e">
        <f t="shared" ca="1" si="417"/>
        <v>#REF!</v>
      </c>
      <c r="J5317" t="str">
        <f>VLOOKUP($G5317,DefinitionArrays!$I$6:$J$12,2,FALSE)</f>
        <v>Workweek</v>
      </c>
    </row>
    <row r="5318" spans="1:10">
      <c r="A5318" s="159" t="str">
        <f t="shared" si="418"/>
        <v>$K$1:$K$92</v>
      </c>
      <c r="B5318" s="159" t="str">
        <f t="shared" si="419"/>
        <v>$L$1:$L$92</v>
      </c>
      <c r="C5318" s="159" t="str">
        <f t="shared" si="420"/>
        <v>February!$K$1:$K$92</v>
      </c>
      <c r="D5318" s="159" t="str">
        <f t="shared" si="421"/>
        <v>February!$L$1:$L$92</v>
      </c>
      <c r="E5318" t="s">
        <v>10</v>
      </c>
      <c r="F5318" t="s">
        <v>121</v>
      </c>
      <c r="G5318" t="s">
        <v>144</v>
      </c>
      <c r="H5318" t="s">
        <v>180</v>
      </c>
      <c r="I5318" t="e">
        <f t="shared" ca="1" si="417"/>
        <v>#REF!</v>
      </c>
      <c r="J5318" t="str">
        <f>VLOOKUP($G5318,DefinitionArrays!$I$6:$J$12,2,FALSE)</f>
        <v>Workweek</v>
      </c>
    </row>
    <row r="5319" spans="1:10">
      <c r="A5319" s="159" t="str">
        <f t="shared" si="418"/>
        <v>$K$1:$K$92</v>
      </c>
      <c r="B5319" s="159" t="str">
        <f t="shared" si="419"/>
        <v>$L$1:$L$92</v>
      </c>
      <c r="C5319" s="159" t="str">
        <f t="shared" si="420"/>
        <v>February!$K$1:$K$92</v>
      </c>
      <c r="D5319" s="159" t="str">
        <f t="shared" si="421"/>
        <v>February!$L$1:$L$92</v>
      </c>
      <c r="E5319" t="s">
        <v>10</v>
      </c>
      <c r="F5319" t="s">
        <v>121</v>
      </c>
      <c r="G5319" t="s">
        <v>144</v>
      </c>
      <c r="H5319" t="s">
        <v>44</v>
      </c>
      <c r="I5319" t="e">
        <f t="shared" ca="1" si="417"/>
        <v>#REF!</v>
      </c>
      <c r="J5319" t="str">
        <f>VLOOKUP($G5319,DefinitionArrays!$I$6:$J$12,2,FALSE)</f>
        <v>Workweek</v>
      </c>
    </row>
    <row r="5320" spans="1:10">
      <c r="A5320" s="159" t="str">
        <f t="shared" si="418"/>
        <v>$N$1:$N$92</v>
      </c>
      <c r="B5320" s="159" t="str">
        <f t="shared" si="419"/>
        <v>$O$1:$O$92</v>
      </c>
      <c r="C5320" s="159" t="str">
        <f t="shared" si="420"/>
        <v>February!$N$1:$N$92</v>
      </c>
      <c r="D5320" s="159" t="str">
        <f t="shared" si="421"/>
        <v>February!$O$1:$O$92</v>
      </c>
      <c r="E5320" t="s">
        <v>10</v>
      </c>
      <c r="F5320" t="s">
        <v>121</v>
      </c>
      <c r="G5320" t="s">
        <v>145</v>
      </c>
      <c r="H5320" t="s">
        <v>159</v>
      </c>
      <c r="I5320" t="e">
        <f t="shared" ca="1" si="417"/>
        <v>#REF!</v>
      </c>
      <c r="J5320" t="str">
        <f>VLOOKUP($G5320,DefinitionArrays!$I$6:$J$12,2,FALSE)</f>
        <v>Weekend</v>
      </c>
    </row>
    <row r="5321" spans="1:10">
      <c r="A5321" s="159" t="str">
        <f t="shared" si="418"/>
        <v>$N$1:$N$92</v>
      </c>
      <c r="B5321" s="159" t="str">
        <f t="shared" si="419"/>
        <v>$O$1:$O$92</v>
      </c>
      <c r="C5321" s="159" t="str">
        <f t="shared" si="420"/>
        <v>February!$N$1:$N$92</v>
      </c>
      <c r="D5321" s="159" t="str">
        <f t="shared" si="421"/>
        <v>February!$O$1:$O$92</v>
      </c>
      <c r="E5321" t="s">
        <v>10</v>
      </c>
      <c r="F5321" t="s">
        <v>121</v>
      </c>
      <c r="G5321" t="s">
        <v>145</v>
      </c>
      <c r="H5321" t="s">
        <v>18</v>
      </c>
      <c r="I5321" t="e">
        <f t="shared" ca="1" si="417"/>
        <v>#REF!</v>
      </c>
      <c r="J5321" t="str">
        <f>VLOOKUP($G5321,DefinitionArrays!$I$6:$J$12,2,FALSE)</f>
        <v>Weekend</v>
      </c>
    </row>
    <row r="5322" spans="1:10">
      <c r="A5322" s="159" t="str">
        <f t="shared" si="418"/>
        <v>$N$1:$N$92</v>
      </c>
      <c r="B5322" s="159" t="str">
        <f t="shared" si="419"/>
        <v>$O$1:$O$92</v>
      </c>
      <c r="C5322" s="159" t="str">
        <f t="shared" si="420"/>
        <v>February!$N$1:$N$92</v>
      </c>
      <c r="D5322" s="159" t="str">
        <f t="shared" si="421"/>
        <v>February!$O$1:$O$92</v>
      </c>
      <c r="E5322" t="s">
        <v>10</v>
      </c>
      <c r="F5322" t="s">
        <v>121</v>
      </c>
      <c r="G5322" t="s">
        <v>145</v>
      </c>
      <c r="H5322" t="s">
        <v>153</v>
      </c>
      <c r="I5322" t="e">
        <f t="shared" ca="1" si="417"/>
        <v>#REF!</v>
      </c>
      <c r="J5322" t="str">
        <f>VLOOKUP($G5322,DefinitionArrays!$I$6:$J$12,2,FALSE)</f>
        <v>Weekend</v>
      </c>
    </row>
    <row r="5323" spans="1:10">
      <c r="A5323" s="159" t="str">
        <f t="shared" si="418"/>
        <v>$N$1:$N$92</v>
      </c>
      <c r="B5323" s="159" t="str">
        <f t="shared" si="419"/>
        <v>$O$1:$O$92</v>
      </c>
      <c r="C5323" s="159" t="str">
        <f t="shared" si="420"/>
        <v>February!$N$1:$N$92</v>
      </c>
      <c r="D5323" s="159" t="str">
        <f t="shared" si="421"/>
        <v>February!$O$1:$O$92</v>
      </c>
      <c r="E5323" t="s">
        <v>10</v>
      </c>
      <c r="F5323" t="s">
        <v>121</v>
      </c>
      <c r="G5323" t="s">
        <v>145</v>
      </c>
      <c r="H5323" t="s">
        <v>19</v>
      </c>
      <c r="I5323" t="e">
        <f t="shared" ca="1" si="417"/>
        <v>#REF!</v>
      </c>
      <c r="J5323" t="str">
        <f>VLOOKUP($G5323,DefinitionArrays!$I$6:$J$12,2,FALSE)</f>
        <v>Weekend</v>
      </c>
    </row>
    <row r="5324" spans="1:10">
      <c r="A5324" s="159" t="str">
        <f t="shared" si="418"/>
        <v>$N$1:$N$92</v>
      </c>
      <c r="B5324" s="159" t="str">
        <f t="shared" si="419"/>
        <v>$O$1:$O$92</v>
      </c>
      <c r="C5324" s="159" t="str">
        <f t="shared" si="420"/>
        <v>February!$N$1:$N$92</v>
      </c>
      <c r="D5324" s="159" t="str">
        <f t="shared" si="421"/>
        <v>February!$O$1:$O$92</v>
      </c>
      <c r="E5324" t="s">
        <v>10</v>
      </c>
      <c r="F5324" t="s">
        <v>121</v>
      </c>
      <c r="G5324" t="s">
        <v>145</v>
      </c>
      <c r="H5324" t="s">
        <v>20</v>
      </c>
      <c r="I5324" t="e">
        <f t="shared" ca="1" si="417"/>
        <v>#REF!</v>
      </c>
      <c r="J5324" t="str">
        <f>VLOOKUP($G5324,DefinitionArrays!$I$6:$J$12,2,FALSE)</f>
        <v>Weekend</v>
      </c>
    </row>
    <row r="5325" spans="1:10">
      <c r="A5325" s="159" t="str">
        <f t="shared" si="418"/>
        <v>$N$1:$N$92</v>
      </c>
      <c r="B5325" s="159" t="str">
        <f t="shared" si="419"/>
        <v>$O$1:$O$92</v>
      </c>
      <c r="C5325" s="159" t="str">
        <f t="shared" si="420"/>
        <v>February!$N$1:$N$92</v>
      </c>
      <c r="D5325" s="159" t="str">
        <f t="shared" si="421"/>
        <v>February!$O$1:$O$92</v>
      </c>
      <c r="E5325" t="s">
        <v>10</v>
      </c>
      <c r="F5325" t="s">
        <v>121</v>
      </c>
      <c r="G5325" t="s">
        <v>145</v>
      </c>
      <c r="H5325" t="s">
        <v>21</v>
      </c>
      <c r="I5325" t="e">
        <f t="shared" ca="1" si="417"/>
        <v>#REF!</v>
      </c>
      <c r="J5325" t="str">
        <f>VLOOKUP($G5325,DefinitionArrays!$I$6:$J$12,2,FALSE)</f>
        <v>Weekend</v>
      </c>
    </row>
    <row r="5326" spans="1:10">
      <c r="A5326" s="159" t="str">
        <f t="shared" si="418"/>
        <v>$N$1:$N$92</v>
      </c>
      <c r="B5326" s="159" t="str">
        <f t="shared" si="419"/>
        <v>$O$1:$O$92</v>
      </c>
      <c r="C5326" s="159" t="str">
        <f t="shared" si="420"/>
        <v>February!$N$1:$N$92</v>
      </c>
      <c r="D5326" s="159" t="str">
        <f t="shared" si="421"/>
        <v>February!$O$1:$O$92</v>
      </c>
      <c r="E5326" t="s">
        <v>10</v>
      </c>
      <c r="F5326" t="s">
        <v>121</v>
      </c>
      <c r="G5326" t="s">
        <v>145</v>
      </c>
      <c r="H5326" t="s">
        <v>22</v>
      </c>
      <c r="I5326" t="e">
        <f t="shared" ca="1" si="417"/>
        <v>#REF!</v>
      </c>
      <c r="J5326" t="str">
        <f>VLOOKUP($G5326,DefinitionArrays!$I$6:$J$12,2,FALSE)</f>
        <v>Weekend</v>
      </c>
    </row>
    <row r="5327" spans="1:10">
      <c r="A5327" s="159" t="str">
        <f t="shared" si="418"/>
        <v>$N$1:$N$92</v>
      </c>
      <c r="B5327" s="159" t="str">
        <f t="shared" si="419"/>
        <v>$O$1:$O$92</v>
      </c>
      <c r="C5327" s="159" t="str">
        <f t="shared" si="420"/>
        <v>February!$N$1:$N$92</v>
      </c>
      <c r="D5327" s="159" t="str">
        <f t="shared" si="421"/>
        <v>February!$O$1:$O$92</v>
      </c>
      <c r="E5327" t="s">
        <v>10</v>
      </c>
      <c r="F5327" t="s">
        <v>121</v>
      </c>
      <c r="G5327" t="s">
        <v>145</v>
      </c>
      <c r="H5327" t="s">
        <v>23</v>
      </c>
      <c r="I5327" t="e">
        <f t="shared" ca="1" si="417"/>
        <v>#REF!</v>
      </c>
      <c r="J5327" t="str">
        <f>VLOOKUP($G5327,DefinitionArrays!$I$6:$J$12,2,FALSE)</f>
        <v>Weekend</v>
      </c>
    </row>
    <row r="5328" spans="1:10">
      <c r="A5328" s="159" t="str">
        <f t="shared" si="418"/>
        <v>$N$1:$N$92</v>
      </c>
      <c r="B5328" s="159" t="str">
        <f t="shared" si="419"/>
        <v>$O$1:$O$92</v>
      </c>
      <c r="C5328" s="159" t="str">
        <f t="shared" si="420"/>
        <v>February!$N$1:$N$92</v>
      </c>
      <c r="D5328" s="159" t="str">
        <f t="shared" si="421"/>
        <v>February!$O$1:$O$92</v>
      </c>
      <c r="E5328" t="s">
        <v>10</v>
      </c>
      <c r="F5328" t="s">
        <v>121</v>
      </c>
      <c r="G5328" t="s">
        <v>145</v>
      </c>
      <c r="H5328" t="s">
        <v>24</v>
      </c>
      <c r="I5328" t="e">
        <f t="shared" ca="1" si="417"/>
        <v>#REF!</v>
      </c>
      <c r="J5328" t="str">
        <f>VLOOKUP($G5328,DefinitionArrays!$I$6:$J$12,2,FALSE)</f>
        <v>Weekend</v>
      </c>
    </row>
    <row r="5329" spans="1:10">
      <c r="A5329" s="159" t="str">
        <f t="shared" si="418"/>
        <v>$N$1:$N$92</v>
      </c>
      <c r="B5329" s="159" t="str">
        <f t="shared" si="419"/>
        <v>$O$1:$O$92</v>
      </c>
      <c r="C5329" s="159" t="str">
        <f t="shared" si="420"/>
        <v>February!$N$1:$N$92</v>
      </c>
      <c r="D5329" s="159" t="str">
        <f t="shared" si="421"/>
        <v>February!$O$1:$O$92</v>
      </c>
      <c r="E5329" t="s">
        <v>10</v>
      </c>
      <c r="F5329" t="s">
        <v>121</v>
      </c>
      <c r="G5329" t="s">
        <v>145</v>
      </c>
      <c r="H5329" t="s">
        <v>179</v>
      </c>
      <c r="I5329" t="e">
        <f t="shared" ca="1" si="417"/>
        <v>#REF!</v>
      </c>
      <c r="J5329" t="str">
        <f>VLOOKUP($G5329,DefinitionArrays!$I$6:$J$12,2,FALSE)</f>
        <v>Weekend</v>
      </c>
    </row>
    <row r="5330" spans="1:10">
      <c r="A5330" s="159" t="str">
        <f t="shared" si="418"/>
        <v>$N$1:$N$92</v>
      </c>
      <c r="B5330" s="159" t="str">
        <f t="shared" si="419"/>
        <v>$O$1:$O$92</v>
      </c>
      <c r="C5330" s="159" t="str">
        <f t="shared" si="420"/>
        <v>February!$N$1:$N$92</v>
      </c>
      <c r="D5330" s="159" t="str">
        <f t="shared" si="421"/>
        <v>February!$O$1:$O$92</v>
      </c>
      <c r="E5330" t="s">
        <v>10</v>
      </c>
      <c r="F5330" t="s">
        <v>121</v>
      </c>
      <c r="G5330" t="s">
        <v>145</v>
      </c>
      <c r="H5330" t="s">
        <v>180</v>
      </c>
      <c r="I5330" t="e">
        <f t="shared" ca="1" si="417"/>
        <v>#REF!</v>
      </c>
      <c r="J5330" t="str">
        <f>VLOOKUP($G5330,DefinitionArrays!$I$6:$J$12,2,FALSE)</f>
        <v>Weekend</v>
      </c>
    </row>
    <row r="5331" spans="1:10">
      <c r="A5331" s="159" t="str">
        <f t="shared" si="418"/>
        <v>$N$1:$N$92</v>
      </c>
      <c r="B5331" s="159" t="str">
        <f t="shared" si="419"/>
        <v>$O$1:$O$92</v>
      </c>
      <c r="C5331" s="159" t="str">
        <f t="shared" si="420"/>
        <v>February!$N$1:$N$92</v>
      </c>
      <c r="D5331" s="159" t="str">
        <f t="shared" si="421"/>
        <v>February!$O$1:$O$92</v>
      </c>
      <c r="E5331" t="s">
        <v>10</v>
      </c>
      <c r="F5331" t="s">
        <v>121</v>
      </c>
      <c r="G5331" t="s">
        <v>145</v>
      </c>
      <c r="H5331" t="s">
        <v>44</v>
      </c>
      <c r="I5331" t="e">
        <f t="shared" ca="1" si="417"/>
        <v>#REF!</v>
      </c>
      <c r="J5331" t="str">
        <f>VLOOKUP($G5331,DefinitionArrays!$I$6:$J$12,2,FALSE)</f>
        <v>Weekend</v>
      </c>
    </row>
    <row r="5332" spans="1:10">
      <c r="A5332" s="159" t="str">
        <f t="shared" si="418"/>
        <v>$Q$1:$Q$92</v>
      </c>
      <c r="B5332" s="159" t="str">
        <f t="shared" si="419"/>
        <v>$R$1:$R$92</v>
      </c>
      <c r="C5332" s="159" t="str">
        <f t="shared" si="420"/>
        <v>February!$Q$1:$Q$92</v>
      </c>
      <c r="D5332" s="159" t="str">
        <f t="shared" si="421"/>
        <v>February!$R$1:$R$92</v>
      </c>
      <c r="E5332" t="s">
        <v>10</v>
      </c>
      <c r="F5332" t="s">
        <v>121</v>
      </c>
      <c r="G5332" t="s">
        <v>146</v>
      </c>
      <c r="H5332" t="s">
        <v>159</v>
      </c>
      <c r="I5332" t="e">
        <f t="shared" ca="1" si="417"/>
        <v>#REF!</v>
      </c>
      <c r="J5332" t="str">
        <f>VLOOKUP($G5332,DefinitionArrays!$I$6:$J$12,2,FALSE)</f>
        <v>Weekend</v>
      </c>
    </row>
    <row r="5333" spans="1:10">
      <c r="A5333" s="159" t="str">
        <f t="shared" si="418"/>
        <v>$T$1:$T$92</v>
      </c>
      <c r="B5333" s="159" t="str">
        <f t="shared" si="419"/>
        <v>$U$1:$U$92</v>
      </c>
      <c r="C5333" s="159" t="str">
        <f t="shared" si="420"/>
        <v>February!$T$1:$T$92</v>
      </c>
      <c r="D5333" s="159" t="str">
        <f t="shared" si="421"/>
        <v>February!$U$1:$U$92</v>
      </c>
      <c r="E5333" t="s">
        <v>10</v>
      </c>
      <c r="F5333" t="s">
        <v>121</v>
      </c>
      <c r="G5333" t="s">
        <v>141</v>
      </c>
      <c r="H5333" t="s">
        <v>159</v>
      </c>
      <c r="I5333" t="e">
        <f t="shared" ca="1" si="417"/>
        <v>#REF!</v>
      </c>
      <c r="J5333" t="str">
        <f>VLOOKUP($G5333,DefinitionArrays!$I$6:$J$12,2,FALSE)</f>
        <v>Weekend</v>
      </c>
    </row>
    <row r="5334" spans="1:10">
      <c r="A5334" s="159" t="str">
        <f t="shared" si="418"/>
        <v>$B$1:$B$92</v>
      </c>
      <c r="B5334" s="159" t="str">
        <f t="shared" si="419"/>
        <v>$C$1:$C$92</v>
      </c>
      <c r="C5334" s="159" t="str">
        <f t="shared" si="420"/>
        <v>March!$B$1:$B$92</v>
      </c>
      <c r="D5334" s="159" t="str">
        <f t="shared" si="421"/>
        <v>March!$C$1:$C$92</v>
      </c>
      <c r="E5334" t="s">
        <v>10</v>
      </c>
      <c r="F5334" t="s">
        <v>122</v>
      </c>
      <c r="G5334" t="s">
        <v>13</v>
      </c>
      <c r="H5334" t="s">
        <v>159</v>
      </c>
      <c r="I5334" t="e">
        <f ca="1">COUNTIFS(INDIRECT($C5334),$E5334,INDIRECT($D5334),$H5334)</f>
        <v>#REF!</v>
      </c>
      <c r="J5334" t="str">
        <f>VLOOKUP($G5334,DefinitionArrays!$I$6:$J$12,2,FALSE)</f>
        <v>Workweek</v>
      </c>
    </row>
    <row r="5335" spans="1:10">
      <c r="A5335" s="159" t="str">
        <f t="shared" si="418"/>
        <v>$B$1:$B$92</v>
      </c>
      <c r="B5335" s="159" t="str">
        <f t="shared" si="419"/>
        <v>$C$1:$C$92</v>
      </c>
      <c r="C5335" s="159" t="str">
        <f t="shared" si="420"/>
        <v>March!$B$1:$B$92</v>
      </c>
      <c r="D5335" s="159" t="str">
        <f t="shared" si="421"/>
        <v>March!$C$1:$C$92</v>
      </c>
      <c r="E5335" t="s">
        <v>10</v>
      </c>
      <c r="F5335" t="s">
        <v>122</v>
      </c>
      <c r="G5335" t="s">
        <v>13</v>
      </c>
      <c r="H5335" t="s">
        <v>18</v>
      </c>
      <c r="I5335" t="e">
        <f t="shared" ref="I5335:I5395" ca="1" si="422">COUNTIFS(INDIRECT($C5335),$E5335,INDIRECT($D5335),$H5335)</f>
        <v>#REF!</v>
      </c>
      <c r="J5335" t="str">
        <f>VLOOKUP($G5335,DefinitionArrays!$I$6:$J$12,2,FALSE)</f>
        <v>Workweek</v>
      </c>
    </row>
    <row r="5336" spans="1:10">
      <c r="A5336" s="159" t="str">
        <f t="shared" si="418"/>
        <v>$B$1:$B$92</v>
      </c>
      <c r="B5336" s="159" t="str">
        <f t="shared" si="419"/>
        <v>$C$1:$C$92</v>
      </c>
      <c r="C5336" s="159" t="str">
        <f t="shared" si="420"/>
        <v>March!$B$1:$B$92</v>
      </c>
      <c r="D5336" s="159" t="str">
        <f t="shared" si="421"/>
        <v>March!$C$1:$C$92</v>
      </c>
      <c r="E5336" t="s">
        <v>10</v>
      </c>
      <c r="F5336" t="s">
        <v>122</v>
      </c>
      <c r="G5336" t="s">
        <v>13</v>
      </c>
      <c r="H5336" t="s">
        <v>153</v>
      </c>
      <c r="I5336" t="e">
        <f t="shared" ca="1" si="422"/>
        <v>#REF!</v>
      </c>
      <c r="J5336" t="str">
        <f>VLOOKUP($G5336,DefinitionArrays!$I$6:$J$12,2,FALSE)</f>
        <v>Workweek</v>
      </c>
    </row>
    <row r="5337" spans="1:10">
      <c r="A5337" s="159" t="str">
        <f t="shared" si="418"/>
        <v>$B$1:$B$92</v>
      </c>
      <c r="B5337" s="159" t="str">
        <f t="shared" si="419"/>
        <v>$C$1:$C$92</v>
      </c>
      <c r="C5337" s="159" t="str">
        <f t="shared" si="420"/>
        <v>March!$B$1:$B$92</v>
      </c>
      <c r="D5337" s="159" t="str">
        <f t="shared" si="421"/>
        <v>March!$C$1:$C$92</v>
      </c>
      <c r="E5337" t="s">
        <v>10</v>
      </c>
      <c r="F5337" t="s">
        <v>122</v>
      </c>
      <c r="G5337" t="s">
        <v>13</v>
      </c>
      <c r="H5337" t="s">
        <v>19</v>
      </c>
      <c r="I5337" t="e">
        <f t="shared" ca="1" si="422"/>
        <v>#REF!</v>
      </c>
      <c r="J5337" t="str">
        <f>VLOOKUP($G5337,DefinitionArrays!$I$6:$J$12,2,FALSE)</f>
        <v>Workweek</v>
      </c>
    </row>
    <row r="5338" spans="1:10">
      <c r="A5338" s="159" t="str">
        <f t="shared" si="418"/>
        <v>$B$1:$B$92</v>
      </c>
      <c r="B5338" s="159" t="str">
        <f t="shared" si="419"/>
        <v>$C$1:$C$92</v>
      </c>
      <c r="C5338" s="159" t="str">
        <f t="shared" si="420"/>
        <v>March!$B$1:$B$92</v>
      </c>
      <c r="D5338" s="159" t="str">
        <f t="shared" si="421"/>
        <v>March!$C$1:$C$92</v>
      </c>
      <c r="E5338" t="s">
        <v>10</v>
      </c>
      <c r="F5338" t="s">
        <v>122</v>
      </c>
      <c r="G5338" t="s">
        <v>13</v>
      </c>
      <c r="H5338" t="s">
        <v>20</v>
      </c>
      <c r="I5338" t="e">
        <f t="shared" ca="1" si="422"/>
        <v>#REF!</v>
      </c>
      <c r="J5338" t="str">
        <f>VLOOKUP($G5338,DefinitionArrays!$I$6:$J$12,2,FALSE)</f>
        <v>Workweek</v>
      </c>
    </row>
    <row r="5339" spans="1:10">
      <c r="A5339" s="159" t="str">
        <f t="shared" si="418"/>
        <v>$B$1:$B$92</v>
      </c>
      <c r="B5339" s="159" t="str">
        <f t="shared" si="419"/>
        <v>$C$1:$C$92</v>
      </c>
      <c r="C5339" s="159" t="str">
        <f t="shared" si="420"/>
        <v>March!$B$1:$B$92</v>
      </c>
      <c r="D5339" s="159" t="str">
        <f t="shared" si="421"/>
        <v>March!$C$1:$C$92</v>
      </c>
      <c r="E5339" t="s">
        <v>10</v>
      </c>
      <c r="F5339" t="s">
        <v>122</v>
      </c>
      <c r="G5339" t="s">
        <v>13</v>
      </c>
      <c r="H5339" t="s">
        <v>21</v>
      </c>
      <c r="I5339" t="e">
        <f t="shared" ca="1" si="422"/>
        <v>#REF!</v>
      </c>
      <c r="J5339" t="str">
        <f>VLOOKUP($G5339,DefinitionArrays!$I$6:$J$12,2,FALSE)</f>
        <v>Workweek</v>
      </c>
    </row>
    <row r="5340" spans="1:10">
      <c r="A5340" s="159" t="str">
        <f t="shared" si="418"/>
        <v>$B$1:$B$92</v>
      </c>
      <c r="B5340" s="159" t="str">
        <f t="shared" si="419"/>
        <v>$C$1:$C$92</v>
      </c>
      <c r="C5340" s="159" t="str">
        <f t="shared" si="420"/>
        <v>March!$B$1:$B$92</v>
      </c>
      <c r="D5340" s="159" t="str">
        <f t="shared" si="421"/>
        <v>March!$C$1:$C$92</v>
      </c>
      <c r="E5340" t="s">
        <v>10</v>
      </c>
      <c r="F5340" t="s">
        <v>122</v>
      </c>
      <c r="G5340" t="s">
        <v>13</v>
      </c>
      <c r="H5340" t="s">
        <v>22</v>
      </c>
      <c r="I5340" t="e">
        <f t="shared" ca="1" si="422"/>
        <v>#REF!</v>
      </c>
      <c r="J5340" t="str">
        <f>VLOOKUP($G5340,DefinitionArrays!$I$6:$J$12,2,FALSE)</f>
        <v>Workweek</v>
      </c>
    </row>
    <row r="5341" spans="1:10">
      <c r="A5341" s="159" t="str">
        <f t="shared" si="418"/>
        <v>$B$1:$B$92</v>
      </c>
      <c r="B5341" s="159" t="str">
        <f t="shared" si="419"/>
        <v>$C$1:$C$92</v>
      </c>
      <c r="C5341" s="159" t="str">
        <f t="shared" si="420"/>
        <v>March!$B$1:$B$92</v>
      </c>
      <c r="D5341" s="159" t="str">
        <f t="shared" si="421"/>
        <v>March!$C$1:$C$92</v>
      </c>
      <c r="E5341" t="s">
        <v>10</v>
      </c>
      <c r="F5341" t="s">
        <v>122</v>
      </c>
      <c r="G5341" t="s">
        <v>13</v>
      </c>
      <c r="H5341" t="s">
        <v>23</v>
      </c>
      <c r="I5341" t="e">
        <f t="shared" ca="1" si="422"/>
        <v>#REF!</v>
      </c>
      <c r="J5341" t="str">
        <f>VLOOKUP($G5341,DefinitionArrays!$I$6:$J$12,2,FALSE)</f>
        <v>Workweek</v>
      </c>
    </row>
    <row r="5342" spans="1:10">
      <c r="A5342" s="159" t="str">
        <f t="shared" si="418"/>
        <v>$B$1:$B$92</v>
      </c>
      <c r="B5342" s="159" t="str">
        <f t="shared" si="419"/>
        <v>$C$1:$C$92</v>
      </c>
      <c r="C5342" s="159" t="str">
        <f t="shared" si="420"/>
        <v>March!$B$1:$B$92</v>
      </c>
      <c r="D5342" s="159" t="str">
        <f t="shared" si="421"/>
        <v>March!$C$1:$C$92</v>
      </c>
      <c r="E5342" t="s">
        <v>10</v>
      </c>
      <c r="F5342" t="s">
        <v>122</v>
      </c>
      <c r="G5342" t="s">
        <v>13</v>
      </c>
      <c r="H5342" t="s">
        <v>24</v>
      </c>
      <c r="I5342" t="e">
        <f t="shared" ca="1" si="422"/>
        <v>#REF!</v>
      </c>
      <c r="J5342" t="str">
        <f>VLOOKUP($G5342,DefinitionArrays!$I$6:$J$12,2,FALSE)</f>
        <v>Workweek</v>
      </c>
    </row>
    <row r="5343" spans="1:10">
      <c r="A5343" s="159" t="str">
        <f t="shared" si="418"/>
        <v>$B$1:$B$92</v>
      </c>
      <c r="B5343" s="159" t="str">
        <f t="shared" si="419"/>
        <v>$C$1:$C$92</v>
      </c>
      <c r="C5343" s="159" t="str">
        <f t="shared" si="420"/>
        <v>March!$B$1:$B$92</v>
      </c>
      <c r="D5343" s="159" t="str">
        <f t="shared" si="421"/>
        <v>March!$C$1:$C$92</v>
      </c>
      <c r="E5343" t="s">
        <v>10</v>
      </c>
      <c r="F5343" t="s">
        <v>122</v>
      </c>
      <c r="G5343" t="s">
        <v>13</v>
      </c>
      <c r="H5343" t="s">
        <v>179</v>
      </c>
      <c r="I5343" t="e">
        <f t="shared" ca="1" si="422"/>
        <v>#REF!</v>
      </c>
      <c r="J5343" t="str">
        <f>VLOOKUP($G5343,DefinitionArrays!$I$6:$J$12,2,FALSE)</f>
        <v>Workweek</v>
      </c>
    </row>
    <row r="5344" spans="1:10">
      <c r="A5344" s="159" t="str">
        <f t="shared" si="418"/>
        <v>$B$1:$B$92</v>
      </c>
      <c r="B5344" s="159" t="str">
        <f t="shared" si="419"/>
        <v>$C$1:$C$92</v>
      </c>
      <c r="C5344" s="159" t="str">
        <f t="shared" si="420"/>
        <v>March!$B$1:$B$92</v>
      </c>
      <c r="D5344" s="159" t="str">
        <f t="shared" si="421"/>
        <v>March!$C$1:$C$92</v>
      </c>
      <c r="E5344" t="s">
        <v>10</v>
      </c>
      <c r="F5344" t="s">
        <v>122</v>
      </c>
      <c r="G5344" t="s">
        <v>13</v>
      </c>
      <c r="H5344" t="s">
        <v>180</v>
      </c>
      <c r="I5344" t="e">
        <f t="shared" ca="1" si="422"/>
        <v>#REF!</v>
      </c>
      <c r="J5344" t="str">
        <f>VLOOKUP($G5344,DefinitionArrays!$I$6:$J$12,2,FALSE)</f>
        <v>Workweek</v>
      </c>
    </row>
    <row r="5345" spans="1:10">
      <c r="A5345" s="159" t="str">
        <f t="shared" si="418"/>
        <v>$B$1:$B$92</v>
      </c>
      <c r="B5345" s="159" t="str">
        <f t="shared" si="419"/>
        <v>$C$1:$C$92</v>
      </c>
      <c r="C5345" s="159" t="str">
        <f t="shared" si="420"/>
        <v>March!$B$1:$B$92</v>
      </c>
      <c r="D5345" s="159" t="str">
        <f t="shared" si="421"/>
        <v>March!$C$1:$C$92</v>
      </c>
      <c r="E5345" t="s">
        <v>10</v>
      </c>
      <c r="F5345" t="s">
        <v>122</v>
      </c>
      <c r="G5345" t="s">
        <v>13</v>
      </c>
      <c r="H5345" t="s">
        <v>44</v>
      </c>
      <c r="I5345" t="e">
        <f t="shared" ca="1" si="422"/>
        <v>#REF!</v>
      </c>
      <c r="J5345" t="str">
        <f>VLOOKUP($G5345,DefinitionArrays!$I$6:$J$12,2,FALSE)</f>
        <v>Workweek</v>
      </c>
    </row>
    <row r="5346" spans="1:10">
      <c r="A5346" s="159" t="str">
        <f t="shared" si="418"/>
        <v>$E$1:$E$92</v>
      </c>
      <c r="B5346" s="159" t="str">
        <f t="shared" si="419"/>
        <v>$F$1:$F$92</v>
      </c>
      <c r="C5346" s="159" t="str">
        <f t="shared" si="420"/>
        <v>March!$E$1:$E$92</v>
      </c>
      <c r="D5346" s="159" t="str">
        <f t="shared" si="421"/>
        <v>March!$F$1:$F$92</v>
      </c>
      <c r="E5346" t="s">
        <v>10</v>
      </c>
      <c r="F5346" t="s">
        <v>122</v>
      </c>
      <c r="G5346" t="s">
        <v>142</v>
      </c>
      <c r="H5346" t="s">
        <v>159</v>
      </c>
      <c r="I5346" t="e">
        <f t="shared" ca="1" si="422"/>
        <v>#REF!</v>
      </c>
      <c r="J5346" t="str">
        <f>VLOOKUP($G5346,DefinitionArrays!$I$6:$J$12,2,FALSE)</f>
        <v>Workweek</v>
      </c>
    </row>
    <row r="5347" spans="1:10">
      <c r="A5347" s="159" t="str">
        <f t="shared" si="418"/>
        <v>$E$1:$E$92</v>
      </c>
      <c r="B5347" s="159" t="str">
        <f t="shared" si="419"/>
        <v>$F$1:$F$92</v>
      </c>
      <c r="C5347" s="159" t="str">
        <f t="shared" si="420"/>
        <v>March!$E$1:$E$92</v>
      </c>
      <c r="D5347" s="159" t="str">
        <f t="shared" si="421"/>
        <v>March!$F$1:$F$92</v>
      </c>
      <c r="E5347" t="s">
        <v>10</v>
      </c>
      <c r="F5347" t="s">
        <v>122</v>
      </c>
      <c r="G5347" t="s">
        <v>142</v>
      </c>
      <c r="H5347" t="s">
        <v>18</v>
      </c>
      <c r="I5347" t="e">
        <f t="shared" ca="1" si="422"/>
        <v>#REF!</v>
      </c>
      <c r="J5347" t="str">
        <f>VLOOKUP($G5347,DefinitionArrays!$I$6:$J$12,2,FALSE)</f>
        <v>Workweek</v>
      </c>
    </row>
    <row r="5348" spans="1:10">
      <c r="A5348" s="159" t="str">
        <f t="shared" si="418"/>
        <v>$E$1:$E$92</v>
      </c>
      <c r="B5348" s="159" t="str">
        <f t="shared" si="419"/>
        <v>$F$1:$F$92</v>
      </c>
      <c r="C5348" s="159" t="str">
        <f t="shared" si="420"/>
        <v>March!$E$1:$E$92</v>
      </c>
      <c r="D5348" s="159" t="str">
        <f t="shared" si="421"/>
        <v>March!$F$1:$F$92</v>
      </c>
      <c r="E5348" t="s">
        <v>10</v>
      </c>
      <c r="F5348" t="s">
        <v>122</v>
      </c>
      <c r="G5348" t="s">
        <v>142</v>
      </c>
      <c r="H5348" t="s">
        <v>153</v>
      </c>
      <c r="I5348" t="e">
        <f t="shared" ca="1" si="422"/>
        <v>#REF!</v>
      </c>
      <c r="J5348" t="str">
        <f>VLOOKUP($G5348,DefinitionArrays!$I$6:$J$12,2,FALSE)</f>
        <v>Workweek</v>
      </c>
    </row>
    <row r="5349" spans="1:10">
      <c r="A5349" s="159" t="str">
        <f t="shared" si="418"/>
        <v>$E$1:$E$92</v>
      </c>
      <c r="B5349" s="159" t="str">
        <f t="shared" si="419"/>
        <v>$F$1:$F$92</v>
      </c>
      <c r="C5349" s="159" t="str">
        <f t="shared" si="420"/>
        <v>March!$E$1:$E$92</v>
      </c>
      <c r="D5349" s="159" t="str">
        <f t="shared" si="421"/>
        <v>March!$F$1:$F$92</v>
      </c>
      <c r="E5349" t="s">
        <v>10</v>
      </c>
      <c r="F5349" t="s">
        <v>122</v>
      </c>
      <c r="G5349" t="s">
        <v>142</v>
      </c>
      <c r="H5349" t="s">
        <v>19</v>
      </c>
      <c r="I5349" t="e">
        <f t="shared" ca="1" si="422"/>
        <v>#REF!</v>
      </c>
      <c r="J5349" t="str">
        <f>VLOOKUP($G5349,DefinitionArrays!$I$6:$J$12,2,FALSE)</f>
        <v>Workweek</v>
      </c>
    </row>
    <row r="5350" spans="1:10">
      <c r="A5350" s="159" t="str">
        <f t="shared" si="418"/>
        <v>$E$1:$E$92</v>
      </c>
      <c r="B5350" s="159" t="str">
        <f t="shared" si="419"/>
        <v>$F$1:$F$92</v>
      </c>
      <c r="C5350" s="159" t="str">
        <f t="shared" si="420"/>
        <v>March!$E$1:$E$92</v>
      </c>
      <c r="D5350" s="159" t="str">
        <f t="shared" si="421"/>
        <v>March!$F$1:$F$92</v>
      </c>
      <c r="E5350" t="s">
        <v>10</v>
      </c>
      <c r="F5350" t="s">
        <v>122</v>
      </c>
      <c r="G5350" t="s">
        <v>142</v>
      </c>
      <c r="H5350" t="s">
        <v>20</v>
      </c>
      <c r="I5350" t="e">
        <f t="shared" ca="1" si="422"/>
        <v>#REF!</v>
      </c>
      <c r="J5350" t="str">
        <f>VLOOKUP($G5350,DefinitionArrays!$I$6:$J$12,2,FALSE)</f>
        <v>Workweek</v>
      </c>
    </row>
    <row r="5351" spans="1:10">
      <c r="A5351" s="159" t="str">
        <f t="shared" si="418"/>
        <v>$E$1:$E$92</v>
      </c>
      <c r="B5351" s="159" t="str">
        <f t="shared" si="419"/>
        <v>$F$1:$F$92</v>
      </c>
      <c r="C5351" s="159" t="str">
        <f t="shared" si="420"/>
        <v>March!$E$1:$E$92</v>
      </c>
      <c r="D5351" s="159" t="str">
        <f t="shared" si="421"/>
        <v>March!$F$1:$F$92</v>
      </c>
      <c r="E5351" t="s">
        <v>10</v>
      </c>
      <c r="F5351" t="s">
        <v>122</v>
      </c>
      <c r="G5351" t="s">
        <v>142</v>
      </c>
      <c r="H5351" t="s">
        <v>21</v>
      </c>
      <c r="I5351" t="e">
        <f t="shared" ca="1" si="422"/>
        <v>#REF!</v>
      </c>
      <c r="J5351" t="str">
        <f>VLOOKUP($G5351,DefinitionArrays!$I$6:$J$12,2,FALSE)</f>
        <v>Workweek</v>
      </c>
    </row>
    <row r="5352" spans="1:10">
      <c r="A5352" s="159" t="str">
        <f t="shared" si="418"/>
        <v>$E$1:$E$92</v>
      </c>
      <c r="B5352" s="159" t="str">
        <f t="shared" si="419"/>
        <v>$F$1:$F$92</v>
      </c>
      <c r="C5352" s="159" t="str">
        <f t="shared" si="420"/>
        <v>March!$E$1:$E$92</v>
      </c>
      <c r="D5352" s="159" t="str">
        <f t="shared" si="421"/>
        <v>March!$F$1:$F$92</v>
      </c>
      <c r="E5352" t="s">
        <v>10</v>
      </c>
      <c r="F5352" t="s">
        <v>122</v>
      </c>
      <c r="G5352" t="s">
        <v>142</v>
      </c>
      <c r="H5352" t="s">
        <v>22</v>
      </c>
      <c r="I5352" t="e">
        <f t="shared" ca="1" si="422"/>
        <v>#REF!</v>
      </c>
      <c r="J5352" t="str">
        <f>VLOOKUP($G5352,DefinitionArrays!$I$6:$J$12,2,FALSE)</f>
        <v>Workweek</v>
      </c>
    </row>
    <row r="5353" spans="1:10">
      <c r="A5353" s="159" t="str">
        <f t="shared" si="418"/>
        <v>$E$1:$E$92</v>
      </c>
      <c r="B5353" s="159" t="str">
        <f t="shared" si="419"/>
        <v>$F$1:$F$92</v>
      </c>
      <c r="C5353" s="159" t="str">
        <f t="shared" si="420"/>
        <v>March!$E$1:$E$92</v>
      </c>
      <c r="D5353" s="159" t="str">
        <f t="shared" si="421"/>
        <v>March!$F$1:$F$92</v>
      </c>
      <c r="E5353" t="s">
        <v>10</v>
      </c>
      <c r="F5353" t="s">
        <v>122</v>
      </c>
      <c r="G5353" t="s">
        <v>142</v>
      </c>
      <c r="H5353" t="s">
        <v>23</v>
      </c>
      <c r="I5353" t="e">
        <f t="shared" ca="1" si="422"/>
        <v>#REF!</v>
      </c>
      <c r="J5353" t="str">
        <f>VLOOKUP($G5353,DefinitionArrays!$I$6:$J$12,2,FALSE)</f>
        <v>Workweek</v>
      </c>
    </row>
    <row r="5354" spans="1:10">
      <c r="A5354" s="159" t="str">
        <f t="shared" si="418"/>
        <v>$E$1:$E$92</v>
      </c>
      <c r="B5354" s="159" t="str">
        <f t="shared" si="419"/>
        <v>$F$1:$F$92</v>
      </c>
      <c r="C5354" s="159" t="str">
        <f t="shared" si="420"/>
        <v>March!$E$1:$E$92</v>
      </c>
      <c r="D5354" s="159" t="str">
        <f t="shared" si="421"/>
        <v>March!$F$1:$F$92</v>
      </c>
      <c r="E5354" t="s">
        <v>10</v>
      </c>
      <c r="F5354" t="s">
        <v>122</v>
      </c>
      <c r="G5354" t="s">
        <v>142</v>
      </c>
      <c r="H5354" t="s">
        <v>24</v>
      </c>
      <c r="I5354" t="e">
        <f t="shared" ca="1" si="422"/>
        <v>#REF!</v>
      </c>
      <c r="J5354" t="str">
        <f>VLOOKUP($G5354,DefinitionArrays!$I$6:$J$12,2,FALSE)</f>
        <v>Workweek</v>
      </c>
    </row>
    <row r="5355" spans="1:10">
      <c r="A5355" s="159" t="str">
        <f t="shared" si="418"/>
        <v>$E$1:$E$92</v>
      </c>
      <c r="B5355" s="159" t="str">
        <f t="shared" si="419"/>
        <v>$F$1:$F$92</v>
      </c>
      <c r="C5355" s="159" t="str">
        <f t="shared" si="420"/>
        <v>March!$E$1:$E$92</v>
      </c>
      <c r="D5355" s="159" t="str">
        <f t="shared" si="421"/>
        <v>March!$F$1:$F$92</v>
      </c>
      <c r="E5355" t="s">
        <v>10</v>
      </c>
      <c r="F5355" t="s">
        <v>122</v>
      </c>
      <c r="G5355" t="s">
        <v>142</v>
      </c>
      <c r="H5355" t="s">
        <v>179</v>
      </c>
      <c r="I5355" t="e">
        <f t="shared" ca="1" si="422"/>
        <v>#REF!</v>
      </c>
      <c r="J5355" t="str">
        <f>VLOOKUP($G5355,DefinitionArrays!$I$6:$J$12,2,FALSE)</f>
        <v>Workweek</v>
      </c>
    </row>
    <row r="5356" spans="1:10">
      <c r="A5356" s="159" t="str">
        <f t="shared" si="418"/>
        <v>$E$1:$E$92</v>
      </c>
      <c r="B5356" s="159" t="str">
        <f t="shared" si="419"/>
        <v>$F$1:$F$92</v>
      </c>
      <c r="C5356" s="159" t="str">
        <f t="shared" si="420"/>
        <v>March!$E$1:$E$92</v>
      </c>
      <c r="D5356" s="159" t="str">
        <f t="shared" si="421"/>
        <v>March!$F$1:$F$92</v>
      </c>
      <c r="E5356" t="s">
        <v>10</v>
      </c>
      <c r="F5356" t="s">
        <v>122</v>
      </c>
      <c r="G5356" t="s">
        <v>142</v>
      </c>
      <c r="H5356" t="s">
        <v>180</v>
      </c>
      <c r="I5356" t="e">
        <f t="shared" ca="1" si="422"/>
        <v>#REF!</v>
      </c>
      <c r="J5356" t="str">
        <f>VLOOKUP($G5356,DefinitionArrays!$I$6:$J$12,2,FALSE)</f>
        <v>Workweek</v>
      </c>
    </row>
    <row r="5357" spans="1:10">
      <c r="A5357" s="159" t="str">
        <f t="shared" si="418"/>
        <v>$E$1:$E$92</v>
      </c>
      <c r="B5357" s="159" t="str">
        <f t="shared" si="419"/>
        <v>$F$1:$F$92</v>
      </c>
      <c r="C5357" s="159" t="str">
        <f t="shared" si="420"/>
        <v>March!$E$1:$E$92</v>
      </c>
      <c r="D5357" s="159" t="str">
        <f t="shared" si="421"/>
        <v>March!$F$1:$F$92</v>
      </c>
      <c r="E5357" t="s">
        <v>10</v>
      </c>
      <c r="F5357" t="s">
        <v>122</v>
      </c>
      <c r="G5357" t="s">
        <v>142</v>
      </c>
      <c r="H5357" t="s">
        <v>44</v>
      </c>
      <c r="I5357" t="e">
        <f t="shared" ca="1" si="422"/>
        <v>#REF!</v>
      </c>
      <c r="J5357" t="str">
        <f>VLOOKUP($G5357,DefinitionArrays!$I$6:$J$12,2,FALSE)</f>
        <v>Workweek</v>
      </c>
    </row>
    <row r="5358" spans="1:10">
      <c r="A5358" s="159" t="str">
        <f t="shared" si="418"/>
        <v>$H$1:$H$92</v>
      </c>
      <c r="B5358" s="159" t="str">
        <f t="shared" si="419"/>
        <v>$I$1:$I$92</v>
      </c>
      <c r="C5358" s="159" t="str">
        <f t="shared" si="420"/>
        <v>March!$H$1:$H$92</v>
      </c>
      <c r="D5358" s="159" t="str">
        <f t="shared" si="421"/>
        <v>March!$I$1:$I$92</v>
      </c>
      <c r="E5358" t="s">
        <v>10</v>
      </c>
      <c r="F5358" t="s">
        <v>122</v>
      </c>
      <c r="G5358" t="s">
        <v>143</v>
      </c>
      <c r="H5358" t="s">
        <v>159</v>
      </c>
      <c r="I5358" t="e">
        <f t="shared" ca="1" si="422"/>
        <v>#REF!</v>
      </c>
      <c r="J5358" t="str">
        <f>VLOOKUP($G5358,DefinitionArrays!$I$6:$J$12,2,FALSE)</f>
        <v>Workweek</v>
      </c>
    </row>
    <row r="5359" spans="1:10">
      <c r="A5359" s="159" t="str">
        <f t="shared" si="418"/>
        <v>$H$1:$H$92</v>
      </c>
      <c r="B5359" s="159" t="str">
        <f t="shared" si="419"/>
        <v>$I$1:$I$92</v>
      </c>
      <c r="C5359" s="159" t="str">
        <f t="shared" si="420"/>
        <v>March!$H$1:$H$92</v>
      </c>
      <c r="D5359" s="159" t="str">
        <f t="shared" si="421"/>
        <v>March!$I$1:$I$92</v>
      </c>
      <c r="E5359" t="s">
        <v>10</v>
      </c>
      <c r="F5359" t="s">
        <v>122</v>
      </c>
      <c r="G5359" t="s">
        <v>143</v>
      </c>
      <c r="H5359" t="s">
        <v>18</v>
      </c>
      <c r="I5359" t="e">
        <f t="shared" ca="1" si="422"/>
        <v>#REF!</v>
      </c>
      <c r="J5359" t="str">
        <f>VLOOKUP($G5359,DefinitionArrays!$I$6:$J$12,2,FALSE)</f>
        <v>Workweek</v>
      </c>
    </row>
    <row r="5360" spans="1:10">
      <c r="A5360" s="159" t="str">
        <f t="shared" si="418"/>
        <v>$H$1:$H$92</v>
      </c>
      <c r="B5360" s="159" t="str">
        <f t="shared" si="419"/>
        <v>$I$1:$I$92</v>
      </c>
      <c r="C5360" s="159" t="str">
        <f t="shared" si="420"/>
        <v>March!$H$1:$H$92</v>
      </c>
      <c r="D5360" s="159" t="str">
        <f t="shared" si="421"/>
        <v>March!$I$1:$I$92</v>
      </c>
      <c r="E5360" t="s">
        <v>10</v>
      </c>
      <c r="F5360" t="s">
        <v>122</v>
      </c>
      <c r="G5360" t="s">
        <v>143</v>
      </c>
      <c r="H5360" t="s">
        <v>153</v>
      </c>
      <c r="I5360" t="e">
        <f t="shared" ca="1" si="422"/>
        <v>#REF!</v>
      </c>
      <c r="J5360" t="str">
        <f>VLOOKUP($G5360,DefinitionArrays!$I$6:$J$12,2,FALSE)</f>
        <v>Workweek</v>
      </c>
    </row>
    <row r="5361" spans="1:10">
      <c r="A5361" s="159" t="str">
        <f t="shared" si="418"/>
        <v>$H$1:$H$92</v>
      </c>
      <c r="B5361" s="159" t="str">
        <f t="shared" si="419"/>
        <v>$I$1:$I$92</v>
      </c>
      <c r="C5361" s="159" t="str">
        <f t="shared" si="420"/>
        <v>March!$H$1:$H$92</v>
      </c>
      <c r="D5361" s="159" t="str">
        <f t="shared" si="421"/>
        <v>March!$I$1:$I$92</v>
      </c>
      <c r="E5361" t="s">
        <v>10</v>
      </c>
      <c r="F5361" t="s">
        <v>122</v>
      </c>
      <c r="G5361" t="s">
        <v>143</v>
      </c>
      <c r="H5361" t="s">
        <v>19</v>
      </c>
      <c r="I5361" t="e">
        <f t="shared" ca="1" si="422"/>
        <v>#REF!</v>
      </c>
      <c r="J5361" t="str">
        <f>VLOOKUP($G5361,DefinitionArrays!$I$6:$J$12,2,FALSE)</f>
        <v>Workweek</v>
      </c>
    </row>
    <row r="5362" spans="1:10">
      <c r="A5362" s="159" t="str">
        <f t="shared" si="418"/>
        <v>$H$1:$H$92</v>
      </c>
      <c r="B5362" s="159" t="str">
        <f t="shared" si="419"/>
        <v>$I$1:$I$92</v>
      </c>
      <c r="C5362" s="159" t="str">
        <f t="shared" si="420"/>
        <v>March!$H$1:$H$92</v>
      </c>
      <c r="D5362" s="159" t="str">
        <f t="shared" si="421"/>
        <v>March!$I$1:$I$92</v>
      </c>
      <c r="E5362" t="s">
        <v>10</v>
      </c>
      <c r="F5362" t="s">
        <v>122</v>
      </c>
      <c r="G5362" t="s">
        <v>143</v>
      </c>
      <c r="H5362" t="s">
        <v>20</v>
      </c>
      <c r="I5362" t="e">
        <f t="shared" ca="1" si="422"/>
        <v>#REF!</v>
      </c>
      <c r="J5362" t="str">
        <f>VLOOKUP($G5362,DefinitionArrays!$I$6:$J$12,2,FALSE)</f>
        <v>Workweek</v>
      </c>
    </row>
    <row r="5363" spans="1:10">
      <c r="A5363" s="159" t="str">
        <f t="shared" si="418"/>
        <v>$H$1:$H$92</v>
      </c>
      <c r="B5363" s="159" t="str">
        <f t="shared" si="419"/>
        <v>$I$1:$I$92</v>
      </c>
      <c r="C5363" s="159" t="str">
        <f t="shared" si="420"/>
        <v>March!$H$1:$H$92</v>
      </c>
      <c r="D5363" s="159" t="str">
        <f t="shared" si="421"/>
        <v>March!$I$1:$I$92</v>
      </c>
      <c r="E5363" t="s">
        <v>10</v>
      </c>
      <c r="F5363" t="s">
        <v>122</v>
      </c>
      <c r="G5363" t="s">
        <v>143</v>
      </c>
      <c r="H5363" t="s">
        <v>21</v>
      </c>
      <c r="I5363" t="e">
        <f t="shared" ca="1" si="422"/>
        <v>#REF!</v>
      </c>
      <c r="J5363" t="str">
        <f>VLOOKUP($G5363,DefinitionArrays!$I$6:$J$12,2,FALSE)</f>
        <v>Workweek</v>
      </c>
    </row>
    <row r="5364" spans="1:10">
      <c r="A5364" s="159" t="str">
        <f t="shared" si="418"/>
        <v>$H$1:$H$92</v>
      </c>
      <c r="B5364" s="159" t="str">
        <f t="shared" si="419"/>
        <v>$I$1:$I$92</v>
      </c>
      <c r="C5364" s="159" t="str">
        <f t="shared" si="420"/>
        <v>March!$H$1:$H$92</v>
      </c>
      <c r="D5364" s="159" t="str">
        <f t="shared" si="421"/>
        <v>March!$I$1:$I$92</v>
      </c>
      <c r="E5364" t="s">
        <v>10</v>
      </c>
      <c r="F5364" t="s">
        <v>122</v>
      </c>
      <c r="G5364" t="s">
        <v>143</v>
      </c>
      <c r="H5364" t="s">
        <v>22</v>
      </c>
      <c r="I5364" t="e">
        <f t="shared" ca="1" si="422"/>
        <v>#REF!</v>
      </c>
      <c r="J5364" t="str">
        <f>VLOOKUP($G5364,DefinitionArrays!$I$6:$J$12,2,FALSE)</f>
        <v>Workweek</v>
      </c>
    </row>
    <row r="5365" spans="1:10">
      <c r="A5365" s="159" t="str">
        <f t="shared" si="418"/>
        <v>$H$1:$H$92</v>
      </c>
      <c r="B5365" s="159" t="str">
        <f t="shared" si="419"/>
        <v>$I$1:$I$92</v>
      </c>
      <c r="C5365" s="159" t="str">
        <f t="shared" si="420"/>
        <v>March!$H$1:$H$92</v>
      </c>
      <c r="D5365" s="159" t="str">
        <f t="shared" si="421"/>
        <v>March!$I$1:$I$92</v>
      </c>
      <c r="E5365" t="s">
        <v>10</v>
      </c>
      <c r="F5365" t="s">
        <v>122</v>
      </c>
      <c r="G5365" t="s">
        <v>143</v>
      </c>
      <c r="H5365" t="s">
        <v>23</v>
      </c>
      <c r="I5365" t="e">
        <f t="shared" ca="1" si="422"/>
        <v>#REF!</v>
      </c>
      <c r="J5365" t="str">
        <f>VLOOKUP($G5365,DefinitionArrays!$I$6:$J$12,2,FALSE)</f>
        <v>Workweek</v>
      </c>
    </row>
    <row r="5366" spans="1:10">
      <c r="A5366" s="159" t="str">
        <f t="shared" si="418"/>
        <v>$H$1:$H$92</v>
      </c>
      <c r="B5366" s="159" t="str">
        <f t="shared" si="419"/>
        <v>$I$1:$I$92</v>
      </c>
      <c r="C5366" s="159" t="str">
        <f t="shared" si="420"/>
        <v>March!$H$1:$H$92</v>
      </c>
      <c r="D5366" s="159" t="str">
        <f t="shared" si="421"/>
        <v>March!$I$1:$I$92</v>
      </c>
      <c r="E5366" t="s">
        <v>10</v>
      </c>
      <c r="F5366" t="s">
        <v>122</v>
      </c>
      <c r="G5366" t="s">
        <v>143</v>
      </c>
      <c r="H5366" t="s">
        <v>24</v>
      </c>
      <c r="I5366" t="e">
        <f t="shared" ca="1" si="422"/>
        <v>#REF!</v>
      </c>
      <c r="J5366" t="str">
        <f>VLOOKUP($G5366,DefinitionArrays!$I$6:$J$12,2,FALSE)</f>
        <v>Workweek</v>
      </c>
    </row>
    <row r="5367" spans="1:10">
      <c r="A5367" s="159" t="str">
        <f t="shared" si="418"/>
        <v>$H$1:$H$92</v>
      </c>
      <c r="B5367" s="159" t="str">
        <f t="shared" si="419"/>
        <v>$I$1:$I$92</v>
      </c>
      <c r="C5367" s="159" t="str">
        <f t="shared" si="420"/>
        <v>March!$H$1:$H$92</v>
      </c>
      <c r="D5367" s="159" t="str">
        <f t="shared" si="421"/>
        <v>March!$I$1:$I$92</v>
      </c>
      <c r="E5367" t="s">
        <v>10</v>
      </c>
      <c r="F5367" t="s">
        <v>122</v>
      </c>
      <c r="G5367" t="s">
        <v>143</v>
      </c>
      <c r="H5367" t="s">
        <v>179</v>
      </c>
      <c r="I5367" t="e">
        <f t="shared" ca="1" si="422"/>
        <v>#REF!</v>
      </c>
      <c r="J5367" t="str">
        <f>VLOOKUP($G5367,DefinitionArrays!$I$6:$J$12,2,FALSE)</f>
        <v>Workweek</v>
      </c>
    </row>
    <row r="5368" spans="1:10">
      <c r="A5368" s="159" t="str">
        <f t="shared" si="418"/>
        <v>$H$1:$H$92</v>
      </c>
      <c r="B5368" s="159" t="str">
        <f t="shared" si="419"/>
        <v>$I$1:$I$92</v>
      </c>
      <c r="C5368" s="159" t="str">
        <f t="shared" si="420"/>
        <v>March!$H$1:$H$92</v>
      </c>
      <c r="D5368" s="159" t="str">
        <f t="shared" si="421"/>
        <v>March!$I$1:$I$92</v>
      </c>
      <c r="E5368" t="s">
        <v>10</v>
      </c>
      <c r="F5368" t="s">
        <v>122</v>
      </c>
      <c r="G5368" t="s">
        <v>143</v>
      </c>
      <c r="H5368" t="s">
        <v>180</v>
      </c>
      <c r="I5368" t="e">
        <f t="shared" ca="1" si="422"/>
        <v>#REF!</v>
      </c>
      <c r="J5368" t="str">
        <f>VLOOKUP($G5368,DefinitionArrays!$I$6:$J$12,2,FALSE)</f>
        <v>Workweek</v>
      </c>
    </row>
    <row r="5369" spans="1:10">
      <c r="A5369" s="159" t="str">
        <f t="shared" si="418"/>
        <v>$H$1:$H$92</v>
      </c>
      <c r="B5369" s="159" t="str">
        <f t="shared" si="419"/>
        <v>$I$1:$I$92</v>
      </c>
      <c r="C5369" s="159" t="str">
        <f t="shared" si="420"/>
        <v>March!$H$1:$H$92</v>
      </c>
      <c r="D5369" s="159" t="str">
        <f t="shared" si="421"/>
        <v>March!$I$1:$I$92</v>
      </c>
      <c r="E5369" t="s">
        <v>10</v>
      </c>
      <c r="F5369" t="s">
        <v>122</v>
      </c>
      <c r="G5369" t="s">
        <v>143</v>
      </c>
      <c r="H5369" t="s">
        <v>44</v>
      </c>
      <c r="I5369" t="e">
        <f t="shared" ca="1" si="422"/>
        <v>#REF!</v>
      </c>
      <c r="J5369" t="str">
        <f>VLOOKUP($G5369,DefinitionArrays!$I$6:$J$12,2,FALSE)</f>
        <v>Workweek</v>
      </c>
    </row>
    <row r="5370" spans="1:10">
      <c r="A5370" s="159" t="str">
        <f t="shared" si="418"/>
        <v>$K$1:$K$92</v>
      </c>
      <c r="B5370" s="159" t="str">
        <f t="shared" si="419"/>
        <v>$L$1:$L$92</v>
      </c>
      <c r="C5370" s="159" t="str">
        <f t="shared" si="420"/>
        <v>March!$K$1:$K$92</v>
      </c>
      <c r="D5370" s="159" t="str">
        <f t="shared" si="421"/>
        <v>March!$L$1:$L$92</v>
      </c>
      <c r="E5370" t="s">
        <v>10</v>
      </c>
      <c r="F5370" t="s">
        <v>122</v>
      </c>
      <c r="G5370" t="s">
        <v>144</v>
      </c>
      <c r="H5370" t="s">
        <v>159</v>
      </c>
      <c r="I5370" t="e">
        <f t="shared" ca="1" si="422"/>
        <v>#REF!</v>
      </c>
      <c r="J5370" t="str">
        <f>VLOOKUP($G5370,DefinitionArrays!$I$6:$J$12,2,FALSE)</f>
        <v>Workweek</v>
      </c>
    </row>
    <row r="5371" spans="1:10">
      <c r="A5371" s="159" t="str">
        <f t="shared" si="418"/>
        <v>$K$1:$K$92</v>
      </c>
      <c r="B5371" s="159" t="str">
        <f t="shared" si="419"/>
        <v>$L$1:$L$92</v>
      </c>
      <c r="C5371" s="159" t="str">
        <f t="shared" si="420"/>
        <v>March!$K$1:$K$92</v>
      </c>
      <c r="D5371" s="159" t="str">
        <f t="shared" si="421"/>
        <v>March!$L$1:$L$92</v>
      </c>
      <c r="E5371" t="s">
        <v>10</v>
      </c>
      <c r="F5371" t="s">
        <v>122</v>
      </c>
      <c r="G5371" t="s">
        <v>144</v>
      </c>
      <c r="H5371" t="s">
        <v>18</v>
      </c>
      <c r="I5371" t="e">
        <f t="shared" ca="1" si="422"/>
        <v>#REF!</v>
      </c>
      <c r="J5371" t="str">
        <f>VLOOKUP($G5371,DefinitionArrays!$I$6:$J$12,2,FALSE)</f>
        <v>Workweek</v>
      </c>
    </row>
    <row r="5372" spans="1:10">
      <c r="A5372" s="159" t="str">
        <f t="shared" si="418"/>
        <v>$K$1:$K$92</v>
      </c>
      <c r="B5372" s="159" t="str">
        <f t="shared" si="419"/>
        <v>$L$1:$L$92</v>
      </c>
      <c r="C5372" s="159" t="str">
        <f t="shared" si="420"/>
        <v>March!$K$1:$K$92</v>
      </c>
      <c r="D5372" s="159" t="str">
        <f t="shared" si="421"/>
        <v>March!$L$1:$L$92</v>
      </c>
      <c r="E5372" t="s">
        <v>10</v>
      </c>
      <c r="F5372" t="s">
        <v>122</v>
      </c>
      <c r="G5372" t="s">
        <v>144</v>
      </c>
      <c r="H5372" t="s">
        <v>153</v>
      </c>
      <c r="I5372" t="e">
        <f t="shared" ca="1" si="422"/>
        <v>#REF!</v>
      </c>
      <c r="J5372" t="str">
        <f>VLOOKUP($G5372,DefinitionArrays!$I$6:$J$12,2,FALSE)</f>
        <v>Workweek</v>
      </c>
    </row>
    <row r="5373" spans="1:10">
      <c r="A5373" s="159" t="str">
        <f t="shared" si="418"/>
        <v>$K$1:$K$92</v>
      </c>
      <c r="B5373" s="159" t="str">
        <f t="shared" si="419"/>
        <v>$L$1:$L$92</v>
      </c>
      <c r="C5373" s="159" t="str">
        <f t="shared" si="420"/>
        <v>March!$K$1:$K$92</v>
      </c>
      <c r="D5373" s="159" t="str">
        <f t="shared" si="421"/>
        <v>March!$L$1:$L$92</v>
      </c>
      <c r="E5373" t="s">
        <v>10</v>
      </c>
      <c r="F5373" t="s">
        <v>122</v>
      </c>
      <c r="G5373" t="s">
        <v>144</v>
      </c>
      <c r="H5373" t="s">
        <v>19</v>
      </c>
      <c r="I5373" t="e">
        <f t="shared" ca="1" si="422"/>
        <v>#REF!</v>
      </c>
      <c r="J5373" t="str">
        <f>VLOOKUP($G5373,DefinitionArrays!$I$6:$J$12,2,FALSE)</f>
        <v>Workweek</v>
      </c>
    </row>
    <row r="5374" spans="1:10">
      <c r="A5374" s="159" t="str">
        <f t="shared" si="418"/>
        <v>$K$1:$K$92</v>
      </c>
      <c r="B5374" s="159" t="str">
        <f t="shared" si="419"/>
        <v>$L$1:$L$92</v>
      </c>
      <c r="C5374" s="159" t="str">
        <f t="shared" si="420"/>
        <v>March!$K$1:$K$92</v>
      </c>
      <c r="D5374" s="159" t="str">
        <f t="shared" si="421"/>
        <v>March!$L$1:$L$92</v>
      </c>
      <c r="E5374" t="s">
        <v>10</v>
      </c>
      <c r="F5374" t="s">
        <v>122</v>
      </c>
      <c r="G5374" t="s">
        <v>144</v>
      </c>
      <c r="H5374" t="s">
        <v>20</v>
      </c>
      <c r="I5374" t="e">
        <f t="shared" ca="1" si="422"/>
        <v>#REF!</v>
      </c>
      <c r="J5374" t="str">
        <f>VLOOKUP($G5374,DefinitionArrays!$I$6:$J$12,2,FALSE)</f>
        <v>Workweek</v>
      </c>
    </row>
    <row r="5375" spans="1:10">
      <c r="A5375" s="159" t="str">
        <f t="shared" si="418"/>
        <v>$K$1:$K$92</v>
      </c>
      <c r="B5375" s="159" t="str">
        <f t="shared" si="419"/>
        <v>$L$1:$L$92</v>
      </c>
      <c r="C5375" s="159" t="str">
        <f t="shared" si="420"/>
        <v>March!$K$1:$K$92</v>
      </c>
      <c r="D5375" s="159" t="str">
        <f t="shared" si="421"/>
        <v>March!$L$1:$L$92</v>
      </c>
      <c r="E5375" t="s">
        <v>10</v>
      </c>
      <c r="F5375" t="s">
        <v>122</v>
      </c>
      <c r="G5375" t="s">
        <v>144</v>
      </c>
      <c r="H5375" t="s">
        <v>21</v>
      </c>
      <c r="I5375" t="e">
        <f t="shared" ca="1" si="422"/>
        <v>#REF!</v>
      </c>
      <c r="J5375" t="str">
        <f>VLOOKUP($G5375,DefinitionArrays!$I$6:$J$12,2,FALSE)</f>
        <v>Workweek</v>
      </c>
    </row>
    <row r="5376" spans="1:10">
      <c r="A5376" s="159" t="str">
        <f t="shared" si="418"/>
        <v>$K$1:$K$92</v>
      </c>
      <c r="B5376" s="159" t="str">
        <f t="shared" si="419"/>
        <v>$L$1:$L$92</v>
      </c>
      <c r="C5376" s="159" t="str">
        <f t="shared" si="420"/>
        <v>March!$K$1:$K$92</v>
      </c>
      <c r="D5376" s="159" t="str">
        <f t="shared" si="421"/>
        <v>March!$L$1:$L$92</v>
      </c>
      <c r="E5376" t="s">
        <v>10</v>
      </c>
      <c r="F5376" t="s">
        <v>122</v>
      </c>
      <c r="G5376" t="s">
        <v>144</v>
      </c>
      <c r="H5376" t="s">
        <v>22</v>
      </c>
      <c r="I5376" t="e">
        <f t="shared" ca="1" si="422"/>
        <v>#REF!</v>
      </c>
      <c r="J5376" t="str">
        <f>VLOOKUP($G5376,DefinitionArrays!$I$6:$J$12,2,FALSE)</f>
        <v>Workweek</v>
      </c>
    </row>
    <row r="5377" spans="1:10">
      <c r="A5377" s="159" t="str">
        <f t="shared" si="418"/>
        <v>$K$1:$K$92</v>
      </c>
      <c r="B5377" s="159" t="str">
        <f t="shared" si="419"/>
        <v>$L$1:$L$92</v>
      </c>
      <c r="C5377" s="159" t="str">
        <f t="shared" si="420"/>
        <v>March!$K$1:$K$92</v>
      </c>
      <c r="D5377" s="159" t="str">
        <f t="shared" si="421"/>
        <v>March!$L$1:$L$92</v>
      </c>
      <c r="E5377" t="s">
        <v>10</v>
      </c>
      <c r="F5377" t="s">
        <v>122</v>
      </c>
      <c r="G5377" t="s">
        <v>144</v>
      </c>
      <c r="H5377" t="s">
        <v>23</v>
      </c>
      <c r="I5377" t="e">
        <f t="shared" ca="1" si="422"/>
        <v>#REF!</v>
      </c>
      <c r="J5377" t="str">
        <f>VLOOKUP($G5377,DefinitionArrays!$I$6:$J$12,2,FALSE)</f>
        <v>Workweek</v>
      </c>
    </row>
    <row r="5378" spans="1:10">
      <c r="A5378" s="159" t="str">
        <f t="shared" ref="A5378:A5441" si="423">VLOOKUP($G5378,Fx_Code,2,FALSE)</f>
        <v>$K$1:$K$92</v>
      </c>
      <c r="B5378" s="159" t="str">
        <f t="shared" ref="B5378:B5441" si="424">VLOOKUP($G5378,Fx_Code,3,FALSE)</f>
        <v>$L$1:$L$92</v>
      </c>
      <c r="C5378" s="159" t="str">
        <f t="shared" ref="C5378:C5441" si="425">CONCATENATE($F5378,$K$1,A5378)</f>
        <v>March!$K$1:$K$92</v>
      </c>
      <c r="D5378" s="159" t="str">
        <f t="shared" ref="D5378:D5441" si="426">CONCATENATE($F5378,$K$1,B5378)</f>
        <v>March!$L$1:$L$92</v>
      </c>
      <c r="E5378" t="s">
        <v>10</v>
      </c>
      <c r="F5378" t="s">
        <v>122</v>
      </c>
      <c r="G5378" t="s">
        <v>144</v>
      </c>
      <c r="H5378" t="s">
        <v>24</v>
      </c>
      <c r="I5378" t="e">
        <f t="shared" ca="1" si="422"/>
        <v>#REF!</v>
      </c>
      <c r="J5378" t="str">
        <f>VLOOKUP($G5378,DefinitionArrays!$I$6:$J$12,2,FALSE)</f>
        <v>Workweek</v>
      </c>
    </row>
    <row r="5379" spans="1:10">
      <c r="A5379" s="159" t="str">
        <f t="shared" si="423"/>
        <v>$K$1:$K$92</v>
      </c>
      <c r="B5379" s="159" t="str">
        <f t="shared" si="424"/>
        <v>$L$1:$L$92</v>
      </c>
      <c r="C5379" s="159" t="str">
        <f t="shared" si="425"/>
        <v>March!$K$1:$K$92</v>
      </c>
      <c r="D5379" s="159" t="str">
        <f t="shared" si="426"/>
        <v>March!$L$1:$L$92</v>
      </c>
      <c r="E5379" t="s">
        <v>10</v>
      </c>
      <c r="F5379" t="s">
        <v>122</v>
      </c>
      <c r="G5379" t="s">
        <v>144</v>
      </c>
      <c r="H5379" t="s">
        <v>179</v>
      </c>
      <c r="I5379" t="e">
        <f t="shared" ca="1" si="422"/>
        <v>#REF!</v>
      </c>
      <c r="J5379" t="str">
        <f>VLOOKUP($G5379,DefinitionArrays!$I$6:$J$12,2,FALSE)</f>
        <v>Workweek</v>
      </c>
    </row>
    <row r="5380" spans="1:10">
      <c r="A5380" s="159" t="str">
        <f t="shared" si="423"/>
        <v>$K$1:$K$92</v>
      </c>
      <c r="B5380" s="159" t="str">
        <f t="shared" si="424"/>
        <v>$L$1:$L$92</v>
      </c>
      <c r="C5380" s="159" t="str">
        <f t="shared" si="425"/>
        <v>March!$K$1:$K$92</v>
      </c>
      <c r="D5380" s="159" t="str">
        <f t="shared" si="426"/>
        <v>March!$L$1:$L$92</v>
      </c>
      <c r="E5380" t="s">
        <v>10</v>
      </c>
      <c r="F5380" t="s">
        <v>122</v>
      </c>
      <c r="G5380" t="s">
        <v>144</v>
      </c>
      <c r="H5380" t="s">
        <v>180</v>
      </c>
      <c r="I5380" t="e">
        <f t="shared" ca="1" si="422"/>
        <v>#REF!</v>
      </c>
      <c r="J5380" t="str">
        <f>VLOOKUP($G5380,DefinitionArrays!$I$6:$J$12,2,FALSE)</f>
        <v>Workweek</v>
      </c>
    </row>
    <row r="5381" spans="1:10">
      <c r="A5381" s="159" t="str">
        <f t="shared" si="423"/>
        <v>$K$1:$K$92</v>
      </c>
      <c r="B5381" s="159" t="str">
        <f t="shared" si="424"/>
        <v>$L$1:$L$92</v>
      </c>
      <c r="C5381" s="159" t="str">
        <f t="shared" si="425"/>
        <v>March!$K$1:$K$92</v>
      </c>
      <c r="D5381" s="159" t="str">
        <f t="shared" si="426"/>
        <v>March!$L$1:$L$92</v>
      </c>
      <c r="E5381" t="s">
        <v>10</v>
      </c>
      <c r="F5381" t="s">
        <v>122</v>
      </c>
      <c r="G5381" t="s">
        <v>144</v>
      </c>
      <c r="H5381" t="s">
        <v>44</v>
      </c>
      <c r="I5381" t="e">
        <f t="shared" ca="1" si="422"/>
        <v>#REF!</v>
      </c>
      <c r="J5381" t="str">
        <f>VLOOKUP($G5381,DefinitionArrays!$I$6:$J$12,2,FALSE)</f>
        <v>Workweek</v>
      </c>
    </row>
    <row r="5382" spans="1:10">
      <c r="A5382" s="159" t="str">
        <f t="shared" si="423"/>
        <v>$N$1:$N$92</v>
      </c>
      <c r="B5382" s="159" t="str">
        <f t="shared" si="424"/>
        <v>$O$1:$O$92</v>
      </c>
      <c r="C5382" s="159" t="str">
        <f t="shared" si="425"/>
        <v>March!$N$1:$N$92</v>
      </c>
      <c r="D5382" s="159" t="str">
        <f t="shared" si="426"/>
        <v>March!$O$1:$O$92</v>
      </c>
      <c r="E5382" t="s">
        <v>10</v>
      </c>
      <c r="F5382" t="s">
        <v>122</v>
      </c>
      <c r="G5382" t="s">
        <v>145</v>
      </c>
      <c r="H5382" t="s">
        <v>159</v>
      </c>
      <c r="I5382" t="e">
        <f t="shared" ca="1" si="422"/>
        <v>#REF!</v>
      </c>
      <c r="J5382" t="str">
        <f>VLOOKUP($G5382,DefinitionArrays!$I$6:$J$12,2,FALSE)</f>
        <v>Weekend</v>
      </c>
    </row>
    <row r="5383" spans="1:10">
      <c r="A5383" s="159" t="str">
        <f t="shared" si="423"/>
        <v>$N$1:$N$92</v>
      </c>
      <c r="B5383" s="159" t="str">
        <f t="shared" si="424"/>
        <v>$O$1:$O$92</v>
      </c>
      <c r="C5383" s="159" t="str">
        <f t="shared" si="425"/>
        <v>March!$N$1:$N$92</v>
      </c>
      <c r="D5383" s="159" t="str">
        <f t="shared" si="426"/>
        <v>March!$O$1:$O$92</v>
      </c>
      <c r="E5383" t="s">
        <v>10</v>
      </c>
      <c r="F5383" t="s">
        <v>122</v>
      </c>
      <c r="G5383" t="s">
        <v>145</v>
      </c>
      <c r="H5383" t="s">
        <v>18</v>
      </c>
      <c r="I5383" t="e">
        <f t="shared" ca="1" si="422"/>
        <v>#REF!</v>
      </c>
      <c r="J5383" t="str">
        <f>VLOOKUP($G5383,DefinitionArrays!$I$6:$J$12,2,FALSE)</f>
        <v>Weekend</v>
      </c>
    </row>
    <row r="5384" spans="1:10">
      <c r="A5384" s="159" t="str">
        <f t="shared" si="423"/>
        <v>$N$1:$N$92</v>
      </c>
      <c r="B5384" s="159" t="str">
        <f t="shared" si="424"/>
        <v>$O$1:$O$92</v>
      </c>
      <c r="C5384" s="159" t="str">
        <f t="shared" si="425"/>
        <v>March!$N$1:$N$92</v>
      </c>
      <c r="D5384" s="159" t="str">
        <f t="shared" si="426"/>
        <v>March!$O$1:$O$92</v>
      </c>
      <c r="E5384" t="s">
        <v>10</v>
      </c>
      <c r="F5384" t="s">
        <v>122</v>
      </c>
      <c r="G5384" t="s">
        <v>145</v>
      </c>
      <c r="H5384" t="s">
        <v>153</v>
      </c>
      <c r="I5384" t="e">
        <f t="shared" ca="1" si="422"/>
        <v>#REF!</v>
      </c>
      <c r="J5384" t="str">
        <f>VLOOKUP($G5384,DefinitionArrays!$I$6:$J$12,2,FALSE)</f>
        <v>Weekend</v>
      </c>
    </row>
    <row r="5385" spans="1:10">
      <c r="A5385" s="159" t="str">
        <f t="shared" si="423"/>
        <v>$N$1:$N$92</v>
      </c>
      <c r="B5385" s="159" t="str">
        <f t="shared" si="424"/>
        <v>$O$1:$O$92</v>
      </c>
      <c r="C5385" s="159" t="str">
        <f t="shared" si="425"/>
        <v>March!$N$1:$N$92</v>
      </c>
      <c r="D5385" s="159" t="str">
        <f t="shared" si="426"/>
        <v>March!$O$1:$O$92</v>
      </c>
      <c r="E5385" t="s">
        <v>10</v>
      </c>
      <c r="F5385" t="s">
        <v>122</v>
      </c>
      <c r="G5385" t="s">
        <v>145</v>
      </c>
      <c r="H5385" t="s">
        <v>19</v>
      </c>
      <c r="I5385" t="e">
        <f t="shared" ca="1" si="422"/>
        <v>#REF!</v>
      </c>
      <c r="J5385" t="str">
        <f>VLOOKUP($G5385,DefinitionArrays!$I$6:$J$12,2,FALSE)</f>
        <v>Weekend</v>
      </c>
    </row>
    <row r="5386" spans="1:10">
      <c r="A5386" s="159" t="str">
        <f t="shared" si="423"/>
        <v>$N$1:$N$92</v>
      </c>
      <c r="B5386" s="159" t="str">
        <f t="shared" si="424"/>
        <v>$O$1:$O$92</v>
      </c>
      <c r="C5386" s="159" t="str">
        <f t="shared" si="425"/>
        <v>March!$N$1:$N$92</v>
      </c>
      <c r="D5386" s="159" t="str">
        <f t="shared" si="426"/>
        <v>March!$O$1:$O$92</v>
      </c>
      <c r="E5386" t="s">
        <v>10</v>
      </c>
      <c r="F5386" t="s">
        <v>122</v>
      </c>
      <c r="G5386" t="s">
        <v>145</v>
      </c>
      <c r="H5386" t="s">
        <v>20</v>
      </c>
      <c r="I5386" t="e">
        <f t="shared" ca="1" si="422"/>
        <v>#REF!</v>
      </c>
      <c r="J5386" t="str">
        <f>VLOOKUP($G5386,DefinitionArrays!$I$6:$J$12,2,FALSE)</f>
        <v>Weekend</v>
      </c>
    </row>
    <row r="5387" spans="1:10">
      <c r="A5387" s="159" t="str">
        <f t="shared" si="423"/>
        <v>$N$1:$N$92</v>
      </c>
      <c r="B5387" s="159" t="str">
        <f t="shared" si="424"/>
        <v>$O$1:$O$92</v>
      </c>
      <c r="C5387" s="159" t="str">
        <f t="shared" si="425"/>
        <v>March!$N$1:$N$92</v>
      </c>
      <c r="D5387" s="159" t="str">
        <f t="shared" si="426"/>
        <v>March!$O$1:$O$92</v>
      </c>
      <c r="E5387" t="s">
        <v>10</v>
      </c>
      <c r="F5387" t="s">
        <v>122</v>
      </c>
      <c r="G5387" t="s">
        <v>145</v>
      </c>
      <c r="H5387" t="s">
        <v>21</v>
      </c>
      <c r="I5387" t="e">
        <f t="shared" ca="1" si="422"/>
        <v>#REF!</v>
      </c>
      <c r="J5387" t="str">
        <f>VLOOKUP($G5387,DefinitionArrays!$I$6:$J$12,2,FALSE)</f>
        <v>Weekend</v>
      </c>
    </row>
    <row r="5388" spans="1:10">
      <c r="A5388" s="159" t="str">
        <f t="shared" si="423"/>
        <v>$N$1:$N$92</v>
      </c>
      <c r="B5388" s="159" t="str">
        <f t="shared" si="424"/>
        <v>$O$1:$O$92</v>
      </c>
      <c r="C5388" s="159" t="str">
        <f t="shared" si="425"/>
        <v>March!$N$1:$N$92</v>
      </c>
      <c r="D5388" s="159" t="str">
        <f t="shared" si="426"/>
        <v>March!$O$1:$O$92</v>
      </c>
      <c r="E5388" t="s">
        <v>10</v>
      </c>
      <c r="F5388" t="s">
        <v>122</v>
      </c>
      <c r="G5388" t="s">
        <v>145</v>
      </c>
      <c r="H5388" t="s">
        <v>22</v>
      </c>
      <c r="I5388" t="e">
        <f t="shared" ca="1" si="422"/>
        <v>#REF!</v>
      </c>
      <c r="J5388" t="str">
        <f>VLOOKUP($G5388,DefinitionArrays!$I$6:$J$12,2,FALSE)</f>
        <v>Weekend</v>
      </c>
    </row>
    <row r="5389" spans="1:10">
      <c r="A5389" s="159" t="str">
        <f t="shared" si="423"/>
        <v>$N$1:$N$92</v>
      </c>
      <c r="B5389" s="159" t="str">
        <f t="shared" si="424"/>
        <v>$O$1:$O$92</v>
      </c>
      <c r="C5389" s="159" t="str">
        <f t="shared" si="425"/>
        <v>March!$N$1:$N$92</v>
      </c>
      <c r="D5389" s="159" t="str">
        <f t="shared" si="426"/>
        <v>March!$O$1:$O$92</v>
      </c>
      <c r="E5389" t="s">
        <v>10</v>
      </c>
      <c r="F5389" t="s">
        <v>122</v>
      </c>
      <c r="G5389" t="s">
        <v>145</v>
      </c>
      <c r="H5389" t="s">
        <v>23</v>
      </c>
      <c r="I5389" t="e">
        <f t="shared" ca="1" si="422"/>
        <v>#REF!</v>
      </c>
      <c r="J5389" t="str">
        <f>VLOOKUP($G5389,DefinitionArrays!$I$6:$J$12,2,FALSE)</f>
        <v>Weekend</v>
      </c>
    </row>
    <row r="5390" spans="1:10">
      <c r="A5390" s="159" t="str">
        <f t="shared" si="423"/>
        <v>$N$1:$N$92</v>
      </c>
      <c r="B5390" s="159" t="str">
        <f t="shared" si="424"/>
        <v>$O$1:$O$92</v>
      </c>
      <c r="C5390" s="159" t="str">
        <f t="shared" si="425"/>
        <v>March!$N$1:$N$92</v>
      </c>
      <c r="D5390" s="159" t="str">
        <f t="shared" si="426"/>
        <v>March!$O$1:$O$92</v>
      </c>
      <c r="E5390" t="s">
        <v>10</v>
      </c>
      <c r="F5390" t="s">
        <v>122</v>
      </c>
      <c r="G5390" t="s">
        <v>145</v>
      </c>
      <c r="H5390" t="s">
        <v>24</v>
      </c>
      <c r="I5390" t="e">
        <f t="shared" ca="1" si="422"/>
        <v>#REF!</v>
      </c>
      <c r="J5390" t="str">
        <f>VLOOKUP($G5390,DefinitionArrays!$I$6:$J$12,2,FALSE)</f>
        <v>Weekend</v>
      </c>
    </row>
    <row r="5391" spans="1:10">
      <c r="A5391" s="159" t="str">
        <f t="shared" si="423"/>
        <v>$N$1:$N$92</v>
      </c>
      <c r="B5391" s="159" t="str">
        <f t="shared" si="424"/>
        <v>$O$1:$O$92</v>
      </c>
      <c r="C5391" s="159" t="str">
        <f t="shared" si="425"/>
        <v>March!$N$1:$N$92</v>
      </c>
      <c r="D5391" s="159" t="str">
        <f t="shared" si="426"/>
        <v>March!$O$1:$O$92</v>
      </c>
      <c r="E5391" t="s">
        <v>10</v>
      </c>
      <c r="F5391" t="s">
        <v>122</v>
      </c>
      <c r="G5391" t="s">
        <v>145</v>
      </c>
      <c r="H5391" t="s">
        <v>179</v>
      </c>
      <c r="I5391" t="e">
        <f t="shared" ca="1" si="422"/>
        <v>#REF!</v>
      </c>
      <c r="J5391" t="str">
        <f>VLOOKUP($G5391,DefinitionArrays!$I$6:$J$12,2,FALSE)</f>
        <v>Weekend</v>
      </c>
    </row>
    <row r="5392" spans="1:10">
      <c r="A5392" s="159" t="str">
        <f t="shared" si="423"/>
        <v>$N$1:$N$92</v>
      </c>
      <c r="B5392" s="159" t="str">
        <f t="shared" si="424"/>
        <v>$O$1:$O$92</v>
      </c>
      <c r="C5392" s="159" t="str">
        <f t="shared" si="425"/>
        <v>March!$N$1:$N$92</v>
      </c>
      <c r="D5392" s="159" t="str">
        <f t="shared" si="426"/>
        <v>March!$O$1:$O$92</v>
      </c>
      <c r="E5392" t="s">
        <v>10</v>
      </c>
      <c r="F5392" t="s">
        <v>122</v>
      </c>
      <c r="G5392" t="s">
        <v>145</v>
      </c>
      <c r="H5392" t="s">
        <v>180</v>
      </c>
      <c r="I5392" t="e">
        <f t="shared" ca="1" si="422"/>
        <v>#REF!</v>
      </c>
      <c r="J5392" t="str">
        <f>VLOOKUP($G5392,DefinitionArrays!$I$6:$J$12,2,FALSE)</f>
        <v>Weekend</v>
      </c>
    </row>
    <row r="5393" spans="1:10">
      <c r="A5393" s="159" t="str">
        <f t="shared" si="423"/>
        <v>$N$1:$N$92</v>
      </c>
      <c r="B5393" s="159" t="str">
        <f t="shared" si="424"/>
        <v>$O$1:$O$92</v>
      </c>
      <c r="C5393" s="159" t="str">
        <f t="shared" si="425"/>
        <v>March!$N$1:$N$92</v>
      </c>
      <c r="D5393" s="159" t="str">
        <f t="shared" si="426"/>
        <v>March!$O$1:$O$92</v>
      </c>
      <c r="E5393" t="s">
        <v>10</v>
      </c>
      <c r="F5393" t="s">
        <v>122</v>
      </c>
      <c r="G5393" t="s">
        <v>145</v>
      </c>
      <c r="H5393" t="s">
        <v>44</v>
      </c>
      <c r="I5393" t="e">
        <f t="shared" ca="1" si="422"/>
        <v>#REF!</v>
      </c>
      <c r="J5393" t="str">
        <f>VLOOKUP($G5393,DefinitionArrays!$I$6:$J$12,2,FALSE)</f>
        <v>Weekend</v>
      </c>
    </row>
    <row r="5394" spans="1:10">
      <c r="A5394" s="159" t="str">
        <f t="shared" si="423"/>
        <v>$Q$1:$Q$92</v>
      </c>
      <c r="B5394" s="159" t="str">
        <f t="shared" si="424"/>
        <v>$R$1:$R$92</v>
      </c>
      <c r="C5394" s="159" t="str">
        <f t="shared" si="425"/>
        <v>March!$Q$1:$Q$92</v>
      </c>
      <c r="D5394" s="159" t="str">
        <f t="shared" si="426"/>
        <v>March!$R$1:$R$92</v>
      </c>
      <c r="E5394" t="s">
        <v>10</v>
      </c>
      <c r="F5394" t="s">
        <v>122</v>
      </c>
      <c r="G5394" t="s">
        <v>146</v>
      </c>
      <c r="H5394" t="s">
        <v>159</v>
      </c>
      <c r="I5394" t="e">
        <f t="shared" ca="1" si="422"/>
        <v>#REF!</v>
      </c>
      <c r="J5394" t="str">
        <f>VLOOKUP($G5394,DefinitionArrays!$I$6:$J$12,2,FALSE)</f>
        <v>Weekend</v>
      </c>
    </row>
    <row r="5395" spans="1:10">
      <c r="A5395" s="159" t="str">
        <f t="shared" si="423"/>
        <v>$T$1:$T$92</v>
      </c>
      <c r="B5395" s="159" t="str">
        <f t="shared" si="424"/>
        <v>$U$1:$U$92</v>
      </c>
      <c r="C5395" s="159" t="str">
        <f t="shared" si="425"/>
        <v>March!$T$1:$T$92</v>
      </c>
      <c r="D5395" s="159" t="str">
        <f t="shared" si="426"/>
        <v>March!$U$1:$U$92</v>
      </c>
      <c r="E5395" t="s">
        <v>10</v>
      </c>
      <c r="F5395" t="s">
        <v>122</v>
      </c>
      <c r="G5395" t="s">
        <v>141</v>
      </c>
      <c r="H5395" t="s">
        <v>159</v>
      </c>
      <c r="I5395" t="e">
        <f t="shared" ca="1" si="422"/>
        <v>#REF!</v>
      </c>
      <c r="J5395" t="str">
        <f>VLOOKUP($G5395,DefinitionArrays!$I$6:$J$12,2,FALSE)</f>
        <v>Weekend</v>
      </c>
    </row>
    <row r="5396" spans="1:10">
      <c r="A5396" s="159" t="str">
        <f t="shared" si="423"/>
        <v>$B$1:$B$92</v>
      </c>
      <c r="B5396" s="159" t="str">
        <f t="shared" si="424"/>
        <v>$C$1:$C$92</v>
      </c>
      <c r="C5396" s="159" t="str">
        <f t="shared" si="425"/>
        <v>April!$B$1:$B$92</v>
      </c>
      <c r="D5396" s="159" t="str">
        <f t="shared" si="426"/>
        <v>April!$C$1:$C$92</v>
      </c>
      <c r="E5396" t="s">
        <v>10</v>
      </c>
      <c r="F5396" t="s">
        <v>123</v>
      </c>
      <c r="G5396" t="s">
        <v>13</v>
      </c>
      <c r="H5396" t="s">
        <v>159</v>
      </c>
      <c r="I5396" t="e">
        <f ca="1">COUNTIFS(INDIRECT($C5396),$E5396,INDIRECT($D5396),$H5396)</f>
        <v>#REF!</v>
      </c>
      <c r="J5396" t="str">
        <f>VLOOKUP($G5396,DefinitionArrays!$I$6:$J$12,2,FALSE)</f>
        <v>Workweek</v>
      </c>
    </row>
    <row r="5397" spans="1:10">
      <c r="A5397" s="159" t="str">
        <f t="shared" si="423"/>
        <v>$B$1:$B$92</v>
      </c>
      <c r="B5397" s="159" t="str">
        <f t="shared" si="424"/>
        <v>$C$1:$C$92</v>
      </c>
      <c r="C5397" s="159" t="str">
        <f t="shared" si="425"/>
        <v>April!$B$1:$B$92</v>
      </c>
      <c r="D5397" s="159" t="str">
        <f t="shared" si="426"/>
        <v>April!$C$1:$C$92</v>
      </c>
      <c r="E5397" t="s">
        <v>10</v>
      </c>
      <c r="F5397" t="s">
        <v>123</v>
      </c>
      <c r="G5397" t="s">
        <v>13</v>
      </c>
      <c r="H5397" t="s">
        <v>18</v>
      </c>
      <c r="I5397" t="e">
        <f t="shared" ref="I5397:I5457" ca="1" si="427">COUNTIFS(INDIRECT($C5397),$E5397,INDIRECT($D5397),$H5397)</f>
        <v>#REF!</v>
      </c>
      <c r="J5397" t="str">
        <f>VLOOKUP($G5397,DefinitionArrays!$I$6:$J$12,2,FALSE)</f>
        <v>Workweek</v>
      </c>
    </row>
    <row r="5398" spans="1:10">
      <c r="A5398" s="159" t="str">
        <f t="shared" si="423"/>
        <v>$B$1:$B$92</v>
      </c>
      <c r="B5398" s="159" t="str">
        <f t="shared" si="424"/>
        <v>$C$1:$C$92</v>
      </c>
      <c r="C5398" s="159" t="str">
        <f t="shared" si="425"/>
        <v>April!$B$1:$B$92</v>
      </c>
      <c r="D5398" s="159" t="str">
        <f t="shared" si="426"/>
        <v>April!$C$1:$C$92</v>
      </c>
      <c r="E5398" t="s">
        <v>10</v>
      </c>
      <c r="F5398" t="s">
        <v>123</v>
      </c>
      <c r="G5398" t="s">
        <v>13</v>
      </c>
      <c r="H5398" t="s">
        <v>153</v>
      </c>
      <c r="I5398" t="e">
        <f t="shared" ca="1" si="427"/>
        <v>#REF!</v>
      </c>
      <c r="J5398" t="str">
        <f>VLOOKUP($G5398,DefinitionArrays!$I$6:$J$12,2,FALSE)</f>
        <v>Workweek</v>
      </c>
    </row>
    <row r="5399" spans="1:10">
      <c r="A5399" s="159" t="str">
        <f t="shared" si="423"/>
        <v>$B$1:$B$92</v>
      </c>
      <c r="B5399" s="159" t="str">
        <f t="shared" si="424"/>
        <v>$C$1:$C$92</v>
      </c>
      <c r="C5399" s="159" t="str">
        <f t="shared" si="425"/>
        <v>April!$B$1:$B$92</v>
      </c>
      <c r="D5399" s="159" t="str">
        <f t="shared" si="426"/>
        <v>April!$C$1:$C$92</v>
      </c>
      <c r="E5399" t="s">
        <v>10</v>
      </c>
      <c r="F5399" t="s">
        <v>123</v>
      </c>
      <c r="G5399" t="s">
        <v>13</v>
      </c>
      <c r="H5399" t="s">
        <v>19</v>
      </c>
      <c r="I5399" t="e">
        <f t="shared" ca="1" si="427"/>
        <v>#REF!</v>
      </c>
      <c r="J5399" t="str">
        <f>VLOOKUP($G5399,DefinitionArrays!$I$6:$J$12,2,FALSE)</f>
        <v>Workweek</v>
      </c>
    </row>
    <row r="5400" spans="1:10">
      <c r="A5400" s="159" t="str">
        <f t="shared" si="423"/>
        <v>$B$1:$B$92</v>
      </c>
      <c r="B5400" s="159" t="str">
        <f t="shared" si="424"/>
        <v>$C$1:$C$92</v>
      </c>
      <c r="C5400" s="159" t="str">
        <f t="shared" si="425"/>
        <v>April!$B$1:$B$92</v>
      </c>
      <c r="D5400" s="159" t="str">
        <f t="shared" si="426"/>
        <v>April!$C$1:$C$92</v>
      </c>
      <c r="E5400" t="s">
        <v>10</v>
      </c>
      <c r="F5400" t="s">
        <v>123</v>
      </c>
      <c r="G5400" t="s">
        <v>13</v>
      </c>
      <c r="H5400" t="s">
        <v>20</v>
      </c>
      <c r="I5400" t="e">
        <f t="shared" ca="1" si="427"/>
        <v>#REF!</v>
      </c>
      <c r="J5400" t="str">
        <f>VLOOKUP($G5400,DefinitionArrays!$I$6:$J$12,2,FALSE)</f>
        <v>Workweek</v>
      </c>
    </row>
    <row r="5401" spans="1:10">
      <c r="A5401" s="159" t="str">
        <f t="shared" si="423"/>
        <v>$B$1:$B$92</v>
      </c>
      <c r="B5401" s="159" t="str">
        <f t="shared" si="424"/>
        <v>$C$1:$C$92</v>
      </c>
      <c r="C5401" s="159" t="str">
        <f t="shared" si="425"/>
        <v>April!$B$1:$B$92</v>
      </c>
      <c r="D5401" s="159" t="str">
        <f t="shared" si="426"/>
        <v>April!$C$1:$C$92</v>
      </c>
      <c r="E5401" t="s">
        <v>10</v>
      </c>
      <c r="F5401" t="s">
        <v>123</v>
      </c>
      <c r="G5401" t="s">
        <v>13</v>
      </c>
      <c r="H5401" t="s">
        <v>21</v>
      </c>
      <c r="I5401" t="e">
        <f t="shared" ca="1" si="427"/>
        <v>#REF!</v>
      </c>
      <c r="J5401" t="str">
        <f>VLOOKUP($G5401,DefinitionArrays!$I$6:$J$12,2,FALSE)</f>
        <v>Workweek</v>
      </c>
    </row>
    <row r="5402" spans="1:10">
      <c r="A5402" s="159" t="str">
        <f t="shared" si="423"/>
        <v>$B$1:$B$92</v>
      </c>
      <c r="B5402" s="159" t="str">
        <f t="shared" si="424"/>
        <v>$C$1:$C$92</v>
      </c>
      <c r="C5402" s="159" t="str">
        <f t="shared" si="425"/>
        <v>April!$B$1:$B$92</v>
      </c>
      <c r="D5402" s="159" t="str">
        <f t="shared" si="426"/>
        <v>April!$C$1:$C$92</v>
      </c>
      <c r="E5402" t="s">
        <v>10</v>
      </c>
      <c r="F5402" t="s">
        <v>123</v>
      </c>
      <c r="G5402" t="s">
        <v>13</v>
      </c>
      <c r="H5402" t="s">
        <v>22</v>
      </c>
      <c r="I5402" t="e">
        <f t="shared" ca="1" si="427"/>
        <v>#REF!</v>
      </c>
      <c r="J5402" t="str">
        <f>VLOOKUP($G5402,DefinitionArrays!$I$6:$J$12,2,FALSE)</f>
        <v>Workweek</v>
      </c>
    </row>
    <row r="5403" spans="1:10">
      <c r="A5403" s="159" t="str">
        <f t="shared" si="423"/>
        <v>$B$1:$B$92</v>
      </c>
      <c r="B5403" s="159" t="str">
        <f t="shared" si="424"/>
        <v>$C$1:$C$92</v>
      </c>
      <c r="C5403" s="159" t="str">
        <f t="shared" si="425"/>
        <v>April!$B$1:$B$92</v>
      </c>
      <c r="D5403" s="159" t="str">
        <f t="shared" si="426"/>
        <v>April!$C$1:$C$92</v>
      </c>
      <c r="E5403" t="s">
        <v>10</v>
      </c>
      <c r="F5403" t="s">
        <v>123</v>
      </c>
      <c r="G5403" t="s">
        <v>13</v>
      </c>
      <c r="H5403" t="s">
        <v>23</v>
      </c>
      <c r="I5403" t="e">
        <f t="shared" ca="1" si="427"/>
        <v>#REF!</v>
      </c>
      <c r="J5403" t="str">
        <f>VLOOKUP($G5403,DefinitionArrays!$I$6:$J$12,2,FALSE)</f>
        <v>Workweek</v>
      </c>
    </row>
    <row r="5404" spans="1:10">
      <c r="A5404" s="159" t="str">
        <f t="shared" si="423"/>
        <v>$B$1:$B$92</v>
      </c>
      <c r="B5404" s="159" t="str">
        <f t="shared" si="424"/>
        <v>$C$1:$C$92</v>
      </c>
      <c r="C5404" s="159" t="str">
        <f t="shared" si="425"/>
        <v>April!$B$1:$B$92</v>
      </c>
      <c r="D5404" s="159" t="str">
        <f t="shared" si="426"/>
        <v>April!$C$1:$C$92</v>
      </c>
      <c r="E5404" t="s">
        <v>10</v>
      </c>
      <c r="F5404" t="s">
        <v>123</v>
      </c>
      <c r="G5404" t="s">
        <v>13</v>
      </c>
      <c r="H5404" t="s">
        <v>24</v>
      </c>
      <c r="I5404" t="e">
        <f t="shared" ca="1" si="427"/>
        <v>#REF!</v>
      </c>
      <c r="J5404" t="str">
        <f>VLOOKUP($G5404,DefinitionArrays!$I$6:$J$12,2,FALSE)</f>
        <v>Workweek</v>
      </c>
    </row>
    <row r="5405" spans="1:10">
      <c r="A5405" s="159" t="str">
        <f t="shared" si="423"/>
        <v>$B$1:$B$92</v>
      </c>
      <c r="B5405" s="159" t="str">
        <f t="shared" si="424"/>
        <v>$C$1:$C$92</v>
      </c>
      <c r="C5405" s="159" t="str">
        <f t="shared" si="425"/>
        <v>April!$B$1:$B$92</v>
      </c>
      <c r="D5405" s="159" t="str">
        <f t="shared" si="426"/>
        <v>April!$C$1:$C$92</v>
      </c>
      <c r="E5405" t="s">
        <v>10</v>
      </c>
      <c r="F5405" t="s">
        <v>123</v>
      </c>
      <c r="G5405" t="s">
        <v>13</v>
      </c>
      <c r="H5405" t="s">
        <v>179</v>
      </c>
      <c r="I5405" t="e">
        <f t="shared" ca="1" si="427"/>
        <v>#REF!</v>
      </c>
      <c r="J5405" t="str">
        <f>VLOOKUP($G5405,DefinitionArrays!$I$6:$J$12,2,FALSE)</f>
        <v>Workweek</v>
      </c>
    </row>
    <row r="5406" spans="1:10">
      <c r="A5406" s="159" t="str">
        <f t="shared" si="423"/>
        <v>$B$1:$B$92</v>
      </c>
      <c r="B5406" s="159" t="str">
        <f t="shared" si="424"/>
        <v>$C$1:$C$92</v>
      </c>
      <c r="C5406" s="159" t="str">
        <f t="shared" si="425"/>
        <v>April!$B$1:$B$92</v>
      </c>
      <c r="D5406" s="159" t="str">
        <f t="shared" si="426"/>
        <v>April!$C$1:$C$92</v>
      </c>
      <c r="E5406" t="s">
        <v>10</v>
      </c>
      <c r="F5406" t="s">
        <v>123</v>
      </c>
      <c r="G5406" t="s">
        <v>13</v>
      </c>
      <c r="H5406" t="s">
        <v>180</v>
      </c>
      <c r="I5406" t="e">
        <f t="shared" ca="1" si="427"/>
        <v>#REF!</v>
      </c>
      <c r="J5406" t="str">
        <f>VLOOKUP($G5406,DefinitionArrays!$I$6:$J$12,2,FALSE)</f>
        <v>Workweek</v>
      </c>
    </row>
    <row r="5407" spans="1:10">
      <c r="A5407" s="159" t="str">
        <f t="shared" si="423"/>
        <v>$B$1:$B$92</v>
      </c>
      <c r="B5407" s="159" t="str">
        <f t="shared" si="424"/>
        <v>$C$1:$C$92</v>
      </c>
      <c r="C5407" s="159" t="str">
        <f t="shared" si="425"/>
        <v>April!$B$1:$B$92</v>
      </c>
      <c r="D5407" s="159" t="str">
        <f t="shared" si="426"/>
        <v>April!$C$1:$C$92</v>
      </c>
      <c r="E5407" t="s">
        <v>10</v>
      </c>
      <c r="F5407" t="s">
        <v>123</v>
      </c>
      <c r="G5407" t="s">
        <v>13</v>
      </c>
      <c r="H5407" t="s">
        <v>44</v>
      </c>
      <c r="I5407" t="e">
        <f t="shared" ca="1" si="427"/>
        <v>#REF!</v>
      </c>
      <c r="J5407" t="str">
        <f>VLOOKUP($G5407,DefinitionArrays!$I$6:$J$12,2,FALSE)</f>
        <v>Workweek</v>
      </c>
    </row>
    <row r="5408" spans="1:10">
      <c r="A5408" s="159" t="str">
        <f t="shared" si="423"/>
        <v>$E$1:$E$92</v>
      </c>
      <c r="B5408" s="159" t="str">
        <f t="shared" si="424"/>
        <v>$F$1:$F$92</v>
      </c>
      <c r="C5408" s="159" t="str">
        <f t="shared" si="425"/>
        <v>April!$E$1:$E$92</v>
      </c>
      <c r="D5408" s="159" t="str">
        <f t="shared" si="426"/>
        <v>April!$F$1:$F$92</v>
      </c>
      <c r="E5408" t="s">
        <v>10</v>
      </c>
      <c r="F5408" t="s">
        <v>123</v>
      </c>
      <c r="G5408" t="s">
        <v>142</v>
      </c>
      <c r="H5408" t="s">
        <v>159</v>
      </c>
      <c r="I5408" t="e">
        <f t="shared" ca="1" si="427"/>
        <v>#REF!</v>
      </c>
      <c r="J5408" t="str">
        <f>VLOOKUP($G5408,DefinitionArrays!$I$6:$J$12,2,FALSE)</f>
        <v>Workweek</v>
      </c>
    </row>
    <row r="5409" spans="1:10">
      <c r="A5409" s="159" t="str">
        <f t="shared" si="423"/>
        <v>$E$1:$E$92</v>
      </c>
      <c r="B5409" s="159" t="str">
        <f t="shared" si="424"/>
        <v>$F$1:$F$92</v>
      </c>
      <c r="C5409" s="159" t="str">
        <f t="shared" si="425"/>
        <v>April!$E$1:$E$92</v>
      </c>
      <c r="D5409" s="159" t="str">
        <f t="shared" si="426"/>
        <v>April!$F$1:$F$92</v>
      </c>
      <c r="E5409" t="s">
        <v>10</v>
      </c>
      <c r="F5409" t="s">
        <v>123</v>
      </c>
      <c r="G5409" t="s">
        <v>142</v>
      </c>
      <c r="H5409" t="s">
        <v>18</v>
      </c>
      <c r="I5409" t="e">
        <f t="shared" ca="1" si="427"/>
        <v>#REF!</v>
      </c>
      <c r="J5409" t="str">
        <f>VLOOKUP($G5409,DefinitionArrays!$I$6:$J$12,2,FALSE)</f>
        <v>Workweek</v>
      </c>
    </row>
    <row r="5410" spans="1:10">
      <c r="A5410" s="159" t="str">
        <f t="shared" si="423"/>
        <v>$E$1:$E$92</v>
      </c>
      <c r="B5410" s="159" t="str">
        <f t="shared" si="424"/>
        <v>$F$1:$F$92</v>
      </c>
      <c r="C5410" s="159" t="str">
        <f t="shared" si="425"/>
        <v>April!$E$1:$E$92</v>
      </c>
      <c r="D5410" s="159" t="str">
        <f t="shared" si="426"/>
        <v>April!$F$1:$F$92</v>
      </c>
      <c r="E5410" t="s">
        <v>10</v>
      </c>
      <c r="F5410" t="s">
        <v>123</v>
      </c>
      <c r="G5410" t="s">
        <v>142</v>
      </c>
      <c r="H5410" t="s">
        <v>153</v>
      </c>
      <c r="I5410" t="e">
        <f t="shared" ca="1" si="427"/>
        <v>#REF!</v>
      </c>
      <c r="J5410" t="str">
        <f>VLOOKUP($G5410,DefinitionArrays!$I$6:$J$12,2,FALSE)</f>
        <v>Workweek</v>
      </c>
    </row>
    <row r="5411" spans="1:10">
      <c r="A5411" s="159" t="str">
        <f t="shared" si="423"/>
        <v>$E$1:$E$92</v>
      </c>
      <c r="B5411" s="159" t="str">
        <f t="shared" si="424"/>
        <v>$F$1:$F$92</v>
      </c>
      <c r="C5411" s="159" t="str">
        <f t="shared" si="425"/>
        <v>April!$E$1:$E$92</v>
      </c>
      <c r="D5411" s="159" t="str">
        <f t="shared" si="426"/>
        <v>April!$F$1:$F$92</v>
      </c>
      <c r="E5411" t="s">
        <v>10</v>
      </c>
      <c r="F5411" t="s">
        <v>123</v>
      </c>
      <c r="G5411" t="s">
        <v>142</v>
      </c>
      <c r="H5411" t="s">
        <v>19</v>
      </c>
      <c r="I5411" t="e">
        <f t="shared" ca="1" si="427"/>
        <v>#REF!</v>
      </c>
      <c r="J5411" t="str">
        <f>VLOOKUP($G5411,DefinitionArrays!$I$6:$J$12,2,FALSE)</f>
        <v>Workweek</v>
      </c>
    </row>
    <row r="5412" spans="1:10">
      <c r="A5412" s="159" t="str">
        <f t="shared" si="423"/>
        <v>$E$1:$E$92</v>
      </c>
      <c r="B5412" s="159" t="str">
        <f t="shared" si="424"/>
        <v>$F$1:$F$92</v>
      </c>
      <c r="C5412" s="159" t="str">
        <f t="shared" si="425"/>
        <v>April!$E$1:$E$92</v>
      </c>
      <c r="D5412" s="159" t="str">
        <f t="shared" si="426"/>
        <v>April!$F$1:$F$92</v>
      </c>
      <c r="E5412" t="s">
        <v>10</v>
      </c>
      <c r="F5412" t="s">
        <v>123</v>
      </c>
      <c r="G5412" t="s">
        <v>142</v>
      </c>
      <c r="H5412" t="s">
        <v>20</v>
      </c>
      <c r="I5412" t="e">
        <f t="shared" ca="1" si="427"/>
        <v>#REF!</v>
      </c>
      <c r="J5412" t="str">
        <f>VLOOKUP($G5412,DefinitionArrays!$I$6:$J$12,2,FALSE)</f>
        <v>Workweek</v>
      </c>
    </row>
    <row r="5413" spans="1:10">
      <c r="A5413" s="159" t="str">
        <f t="shared" si="423"/>
        <v>$E$1:$E$92</v>
      </c>
      <c r="B5413" s="159" t="str">
        <f t="shared" si="424"/>
        <v>$F$1:$F$92</v>
      </c>
      <c r="C5413" s="159" t="str">
        <f t="shared" si="425"/>
        <v>April!$E$1:$E$92</v>
      </c>
      <c r="D5413" s="159" t="str">
        <f t="shared" si="426"/>
        <v>April!$F$1:$F$92</v>
      </c>
      <c r="E5413" t="s">
        <v>10</v>
      </c>
      <c r="F5413" t="s">
        <v>123</v>
      </c>
      <c r="G5413" t="s">
        <v>142</v>
      </c>
      <c r="H5413" t="s">
        <v>21</v>
      </c>
      <c r="I5413" t="e">
        <f t="shared" ca="1" si="427"/>
        <v>#REF!</v>
      </c>
      <c r="J5413" t="str">
        <f>VLOOKUP($G5413,DefinitionArrays!$I$6:$J$12,2,FALSE)</f>
        <v>Workweek</v>
      </c>
    </row>
    <row r="5414" spans="1:10">
      <c r="A5414" s="159" t="str">
        <f t="shared" si="423"/>
        <v>$E$1:$E$92</v>
      </c>
      <c r="B5414" s="159" t="str">
        <f t="shared" si="424"/>
        <v>$F$1:$F$92</v>
      </c>
      <c r="C5414" s="159" t="str">
        <f t="shared" si="425"/>
        <v>April!$E$1:$E$92</v>
      </c>
      <c r="D5414" s="159" t="str">
        <f t="shared" si="426"/>
        <v>April!$F$1:$F$92</v>
      </c>
      <c r="E5414" t="s">
        <v>10</v>
      </c>
      <c r="F5414" t="s">
        <v>123</v>
      </c>
      <c r="G5414" t="s">
        <v>142</v>
      </c>
      <c r="H5414" t="s">
        <v>22</v>
      </c>
      <c r="I5414" t="e">
        <f t="shared" ca="1" si="427"/>
        <v>#REF!</v>
      </c>
      <c r="J5414" t="str">
        <f>VLOOKUP($G5414,DefinitionArrays!$I$6:$J$12,2,FALSE)</f>
        <v>Workweek</v>
      </c>
    </row>
    <row r="5415" spans="1:10">
      <c r="A5415" s="159" t="str">
        <f t="shared" si="423"/>
        <v>$E$1:$E$92</v>
      </c>
      <c r="B5415" s="159" t="str">
        <f t="shared" si="424"/>
        <v>$F$1:$F$92</v>
      </c>
      <c r="C5415" s="159" t="str">
        <f t="shared" si="425"/>
        <v>April!$E$1:$E$92</v>
      </c>
      <c r="D5415" s="159" t="str">
        <f t="shared" si="426"/>
        <v>April!$F$1:$F$92</v>
      </c>
      <c r="E5415" t="s">
        <v>10</v>
      </c>
      <c r="F5415" t="s">
        <v>123</v>
      </c>
      <c r="G5415" t="s">
        <v>142</v>
      </c>
      <c r="H5415" t="s">
        <v>23</v>
      </c>
      <c r="I5415" t="e">
        <f t="shared" ca="1" si="427"/>
        <v>#REF!</v>
      </c>
      <c r="J5415" t="str">
        <f>VLOOKUP($G5415,DefinitionArrays!$I$6:$J$12,2,FALSE)</f>
        <v>Workweek</v>
      </c>
    </row>
    <row r="5416" spans="1:10">
      <c r="A5416" s="159" t="str">
        <f t="shared" si="423"/>
        <v>$E$1:$E$92</v>
      </c>
      <c r="B5416" s="159" t="str">
        <f t="shared" si="424"/>
        <v>$F$1:$F$92</v>
      </c>
      <c r="C5416" s="159" t="str">
        <f t="shared" si="425"/>
        <v>April!$E$1:$E$92</v>
      </c>
      <c r="D5416" s="159" t="str">
        <f t="shared" si="426"/>
        <v>April!$F$1:$F$92</v>
      </c>
      <c r="E5416" t="s">
        <v>10</v>
      </c>
      <c r="F5416" t="s">
        <v>123</v>
      </c>
      <c r="G5416" t="s">
        <v>142</v>
      </c>
      <c r="H5416" t="s">
        <v>24</v>
      </c>
      <c r="I5416" t="e">
        <f t="shared" ca="1" si="427"/>
        <v>#REF!</v>
      </c>
      <c r="J5416" t="str">
        <f>VLOOKUP($G5416,DefinitionArrays!$I$6:$J$12,2,FALSE)</f>
        <v>Workweek</v>
      </c>
    </row>
    <row r="5417" spans="1:10">
      <c r="A5417" s="159" t="str">
        <f t="shared" si="423"/>
        <v>$E$1:$E$92</v>
      </c>
      <c r="B5417" s="159" t="str">
        <f t="shared" si="424"/>
        <v>$F$1:$F$92</v>
      </c>
      <c r="C5417" s="159" t="str">
        <f t="shared" si="425"/>
        <v>April!$E$1:$E$92</v>
      </c>
      <c r="D5417" s="159" t="str">
        <f t="shared" si="426"/>
        <v>April!$F$1:$F$92</v>
      </c>
      <c r="E5417" t="s">
        <v>10</v>
      </c>
      <c r="F5417" t="s">
        <v>123</v>
      </c>
      <c r="G5417" t="s">
        <v>142</v>
      </c>
      <c r="H5417" t="s">
        <v>179</v>
      </c>
      <c r="I5417" t="e">
        <f t="shared" ca="1" si="427"/>
        <v>#REF!</v>
      </c>
      <c r="J5417" t="str">
        <f>VLOOKUP($G5417,DefinitionArrays!$I$6:$J$12,2,FALSE)</f>
        <v>Workweek</v>
      </c>
    </row>
    <row r="5418" spans="1:10">
      <c r="A5418" s="159" t="str">
        <f t="shared" si="423"/>
        <v>$E$1:$E$92</v>
      </c>
      <c r="B5418" s="159" t="str">
        <f t="shared" si="424"/>
        <v>$F$1:$F$92</v>
      </c>
      <c r="C5418" s="159" t="str">
        <f t="shared" si="425"/>
        <v>April!$E$1:$E$92</v>
      </c>
      <c r="D5418" s="159" t="str">
        <f t="shared" si="426"/>
        <v>April!$F$1:$F$92</v>
      </c>
      <c r="E5418" t="s">
        <v>10</v>
      </c>
      <c r="F5418" t="s">
        <v>123</v>
      </c>
      <c r="G5418" t="s">
        <v>142</v>
      </c>
      <c r="H5418" t="s">
        <v>180</v>
      </c>
      <c r="I5418" t="e">
        <f t="shared" ca="1" si="427"/>
        <v>#REF!</v>
      </c>
      <c r="J5418" t="str">
        <f>VLOOKUP($G5418,DefinitionArrays!$I$6:$J$12,2,FALSE)</f>
        <v>Workweek</v>
      </c>
    </row>
    <row r="5419" spans="1:10">
      <c r="A5419" s="159" t="str">
        <f t="shared" si="423"/>
        <v>$E$1:$E$92</v>
      </c>
      <c r="B5419" s="159" t="str">
        <f t="shared" si="424"/>
        <v>$F$1:$F$92</v>
      </c>
      <c r="C5419" s="159" t="str">
        <f t="shared" si="425"/>
        <v>April!$E$1:$E$92</v>
      </c>
      <c r="D5419" s="159" t="str">
        <f t="shared" si="426"/>
        <v>April!$F$1:$F$92</v>
      </c>
      <c r="E5419" t="s">
        <v>10</v>
      </c>
      <c r="F5419" t="s">
        <v>123</v>
      </c>
      <c r="G5419" t="s">
        <v>142</v>
      </c>
      <c r="H5419" t="s">
        <v>44</v>
      </c>
      <c r="I5419" t="e">
        <f t="shared" ca="1" si="427"/>
        <v>#REF!</v>
      </c>
      <c r="J5419" t="str">
        <f>VLOOKUP($G5419,DefinitionArrays!$I$6:$J$12,2,FALSE)</f>
        <v>Workweek</v>
      </c>
    </row>
    <row r="5420" spans="1:10">
      <c r="A5420" s="159" t="str">
        <f t="shared" si="423"/>
        <v>$H$1:$H$92</v>
      </c>
      <c r="B5420" s="159" t="str">
        <f t="shared" si="424"/>
        <v>$I$1:$I$92</v>
      </c>
      <c r="C5420" s="159" t="str">
        <f t="shared" si="425"/>
        <v>April!$H$1:$H$92</v>
      </c>
      <c r="D5420" s="159" t="str">
        <f t="shared" si="426"/>
        <v>April!$I$1:$I$92</v>
      </c>
      <c r="E5420" t="s">
        <v>10</v>
      </c>
      <c r="F5420" t="s">
        <v>123</v>
      </c>
      <c r="G5420" t="s">
        <v>143</v>
      </c>
      <c r="H5420" t="s">
        <v>159</v>
      </c>
      <c r="I5420" t="e">
        <f t="shared" ca="1" si="427"/>
        <v>#REF!</v>
      </c>
      <c r="J5420" t="str">
        <f>VLOOKUP($G5420,DefinitionArrays!$I$6:$J$12,2,FALSE)</f>
        <v>Workweek</v>
      </c>
    </row>
    <row r="5421" spans="1:10">
      <c r="A5421" s="159" t="str">
        <f t="shared" si="423"/>
        <v>$H$1:$H$92</v>
      </c>
      <c r="B5421" s="159" t="str">
        <f t="shared" si="424"/>
        <v>$I$1:$I$92</v>
      </c>
      <c r="C5421" s="159" t="str">
        <f t="shared" si="425"/>
        <v>April!$H$1:$H$92</v>
      </c>
      <c r="D5421" s="159" t="str">
        <f t="shared" si="426"/>
        <v>April!$I$1:$I$92</v>
      </c>
      <c r="E5421" t="s">
        <v>10</v>
      </c>
      <c r="F5421" t="s">
        <v>123</v>
      </c>
      <c r="G5421" t="s">
        <v>143</v>
      </c>
      <c r="H5421" t="s">
        <v>18</v>
      </c>
      <c r="I5421" t="e">
        <f t="shared" ca="1" si="427"/>
        <v>#REF!</v>
      </c>
      <c r="J5421" t="str">
        <f>VLOOKUP($G5421,DefinitionArrays!$I$6:$J$12,2,FALSE)</f>
        <v>Workweek</v>
      </c>
    </row>
    <row r="5422" spans="1:10">
      <c r="A5422" s="159" t="str">
        <f t="shared" si="423"/>
        <v>$H$1:$H$92</v>
      </c>
      <c r="B5422" s="159" t="str">
        <f t="shared" si="424"/>
        <v>$I$1:$I$92</v>
      </c>
      <c r="C5422" s="159" t="str">
        <f t="shared" si="425"/>
        <v>April!$H$1:$H$92</v>
      </c>
      <c r="D5422" s="159" t="str">
        <f t="shared" si="426"/>
        <v>April!$I$1:$I$92</v>
      </c>
      <c r="E5422" t="s">
        <v>10</v>
      </c>
      <c r="F5422" t="s">
        <v>123</v>
      </c>
      <c r="G5422" t="s">
        <v>143</v>
      </c>
      <c r="H5422" t="s">
        <v>153</v>
      </c>
      <c r="I5422" t="e">
        <f t="shared" ca="1" si="427"/>
        <v>#REF!</v>
      </c>
      <c r="J5422" t="str">
        <f>VLOOKUP($G5422,DefinitionArrays!$I$6:$J$12,2,FALSE)</f>
        <v>Workweek</v>
      </c>
    </row>
    <row r="5423" spans="1:10">
      <c r="A5423" s="159" t="str">
        <f t="shared" si="423"/>
        <v>$H$1:$H$92</v>
      </c>
      <c r="B5423" s="159" t="str">
        <f t="shared" si="424"/>
        <v>$I$1:$I$92</v>
      </c>
      <c r="C5423" s="159" t="str">
        <f t="shared" si="425"/>
        <v>April!$H$1:$H$92</v>
      </c>
      <c r="D5423" s="159" t="str">
        <f t="shared" si="426"/>
        <v>April!$I$1:$I$92</v>
      </c>
      <c r="E5423" t="s">
        <v>10</v>
      </c>
      <c r="F5423" t="s">
        <v>123</v>
      </c>
      <c r="G5423" t="s">
        <v>143</v>
      </c>
      <c r="H5423" t="s">
        <v>19</v>
      </c>
      <c r="I5423" t="e">
        <f t="shared" ca="1" si="427"/>
        <v>#REF!</v>
      </c>
      <c r="J5423" t="str">
        <f>VLOOKUP($G5423,DefinitionArrays!$I$6:$J$12,2,FALSE)</f>
        <v>Workweek</v>
      </c>
    </row>
    <row r="5424" spans="1:10">
      <c r="A5424" s="159" t="str">
        <f t="shared" si="423"/>
        <v>$H$1:$H$92</v>
      </c>
      <c r="B5424" s="159" t="str">
        <f t="shared" si="424"/>
        <v>$I$1:$I$92</v>
      </c>
      <c r="C5424" s="159" t="str">
        <f t="shared" si="425"/>
        <v>April!$H$1:$H$92</v>
      </c>
      <c r="D5424" s="159" t="str">
        <f t="shared" si="426"/>
        <v>April!$I$1:$I$92</v>
      </c>
      <c r="E5424" t="s">
        <v>10</v>
      </c>
      <c r="F5424" t="s">
        <v>123</v>
      </c>
      <c r="G5424" t="s">
        <v>143</v>
      </c>
      <c r="H5424" t="s">
        <v>20</v>
      </c>
      <c r="I5424" t="e">
        <f t="shared" ca="1" si="427"/>
        <v>#REF!</v>
      </c>
      <c r="J5424" t="str">
        <f>VLOOKUP($G5424,DefinitionArrays!$I$6:$J$12,2,FALSE)</f>
        <v>Workweek</v>
      </c>
    </row>
    <row r="5425" spans="1:10">
      <c r="A5425" s="159" t="str">
        <f t="shared" si="423"/>
        <v>$H$1:$H$92</v>
      </c>
      <c r="B5425" s="159" t="str">
        <f t="shared" si="424"/>
        <v>$I$1:$I$92</v>
      </c>
      <c r="C5425" s="159" t="str">
        <f t="shared" si="425"/>
        <v>April!$H$1:$H$92</v>
      </c>
      <c r="D5425" s="159" t="str">
        <f t="shared" si="426"/>
        <v>April!$I$1:$I$92</v>
      </c>
      <c r="E5425" t="s">
        <v>10</v>
      </c>
      <c r="F5425" t="s">
        <v>123</v>
      </c>
      <c r="G5425" t="s">
        <v>143</v>
      </c>
      <c r="H5425" t="s">
        <v>21</v>
      </c>
      <c r="I5425" t="e">
        <f t="shared" ca="1" si="427"/>
        <v>#REF!</v>
      </c>
      <c r="J5425" t="str">
        <f>VLOOKUP($G5425,DefinitionArrays!$I$6:$J$12,2,FALSE)</f>
        <v>Workweek</v>
      </c>
    </row>
    <row r="5426" spans="1:10">
      <c r="A5426" s="159" t="str">
        <f t="shared" si="423"/>
        <v>$H$1:$H$92</v>
      </c>
      <c r="B5426" s="159" t="str">
        <f t="shared" si="424"/>
        <v>$I$1:$I$92</v>
      </c>
      <c r="C5426" s="159" t="str">
        <f t="shared" si="425"/>
        <v>April!$H$1:$H$92</v>
      </c>
      <c r="D5426" s="159" t="str">
        <f t="shared" si="426"/>
        <v>April!$I$1:$I$92</v>
      </c>
      <c r="E5426" t="s">
        <v>10</v>
      </c>
      <c r="F5426" t="s">
        <v>123</v>
      </c>
      <c r="G5426" t="s">
        <v>143</v>
      </c>
      <c r="H5426" t="s">
        <v>22</v>
      </c>
      <c r="I5426" t="e">
        <f t="shared" ca="1" si="427"/>
        <v>#REF!</v>
      </c>
      <c r="J5426" t="str">
        <f>VLOOKUP($G5426,DefinitionArrays!$I$6:$J$12,2,FALSE)</f>
        <v>Workweek</v>
      </c>
    </row>
    <row r="5427" spans="1:10">
      <c r="A5427" s="159" t="str">
        <f t="shared" si="423"/>
        <v>$H$1:$H$92</v>
      </c>
      <c r="B5427" s="159" t="str">
        <f t="shared" si="424"/>
        <v>$I$1:$I$92</v>
      </c>
      <c r="C5427" s="159" t="str">
        <f t="shared" si="425"/>
        <v>April!$H$1:$H$92</v>
      </c>
      <c r="D5427" s="159" t="str">
        <f t="shared" si="426"/>
        <v>April!$I$1:$I$92</v>
      </c>
      <c r="E5427" t="s">
        <v>10</v>
      </c>
      <c r="F5427" t="s">
        <v>123</v>
      </c>
      <c r="G5427" t="s">
        <v>143</v>
      </c>
      <c r="H5427" t="s">
        <v>23</v>
      </c>
      <c r="I5427" t="e">
        <f t="shared" ca="1" si="427"/>
        <v>#REF!</v>
      </c>
      <c r="J5427" t="str">
        <f>VLOOKUP($G5427,DefinitionArrays!$I$6:$J$12,2,FALSE)</f>
        <v>Workweek</v>
      </c>
    </row>
    <row r="5428" spans="1:10">
      <c r="A5428" s="159" t="str">
        <f t="shared" si="423"/>
        <v>$H$1:$H$92</v>
      </c>
      <c r="B5428" s="159" t="str">
        <f t="shared" si="424"/>
        <v>$I$1:$I$92</v>
      </c>
      <c r="C5428" s="159" t="str">
        <f t="shared" si="425"/>
        <v>April!$H$1:$H$92</v>
      </c>
      <c r="D5428" s="159" t="str">
        <f t="shared" si="426"/>
        <v>April!$I$1:$I$92</v>
      </c>
      <c r="E5428" t="s">
        <v>10</v>
      </c>
      <c r="F5428" t="s">
        <v>123</v>
      </c>
      <c r="G5428" t="s">
        <v>143</v>
      </c>
      <c r="H5428" t="s">
        <v>24</v>
      </c>
      <c r="I5428" t="e">
        <f t="shared" ca="1" si="427"/>
        <v>#REF!</v>
      </c>
      <c r="J5428" t="str">
        <f>VLOOKUP($G5428,DefinitionArrays!$I$6:$J$12,2,FALSE)</f>
        <v>Workweek</v>
      </c>
    </row>
    <row r="5429" spans="1:10">
      <c r="A5429" s="159" t="str">
        <f t="shared" si="423"/>
        <v>$H$1:$H$92</v>
      </c>
      <c r="B5429" s="159" t="str">
        <f t="shared" si="424"/>
        <v>$I$1:$I$92</v>
      </c>
      <c r="C5429" s="159" t="str">
        <f t="shared" si="425"/>
        <v>April!$H$1:$H$92</v>
      </c>
      <c r="D5429" s="159" t="str">
        <f t="shared" si="426"/>
        <v>April!$I$1:$I$92</v>
      </c>
      <c r="E5429" t="s">
        <v>10</v>
      </c>
      <c r="F5429" t="s">
        <v>123</v>
      </c>
      <c r="G5429" t="s">
        <v>143</v>
      </c>
      <c r="H5429" t="s">
        <v>179</v>
      </c>
      <c r="I5429" t="e">
        <f t="shared" ca="1" si="427"/>
        <v>#REF!</v>
      </c>
      <c r="J5429" t="str">
        <f>VLOOKUP($G5429,DefinitionArrays!$I$6:$J$12,2,FALSE)</f>
        <v>Workweek</v>
      </c>
    </row>
    <row r="5430" spans="1:10">
      <c r="A5430" s="159" t="str">
        <f t="shared" si="423"/>
        <v>$H$1:$H$92</v>
      </c>
      <c r="B5430" s="159" t="str">
        <f t="shared" si="424"/>
        <v>$I$1:$I$92</v>
      </c>
      <c r="C5430" s="159" t="str">
        <f t="shared" si="425"/>
        <v>April!$H$1:$H$92</v>
      </c>
      <c r="D5430" s="159" t="str">
        <f t="shared" si="426"/>
        <v>April!$I$1:$I$92</v>
      </c>
      <c r="E5430" t="s">
        <v>10</v>
      </c>
      <c r="F5430" t="s">
        <v>123</v>
      </c>
      <c r="G5430" t="s">
        <v>143</v>
      </c>
      <c r="H5430" t="s">
        <v>180</v>
      </c>
      <c r="I5430" t="e">
        <f t="shared" ca="1" si="427"/>
        <v>#REF!</v>
      </c>
      <c r="J5430" t="str">
        <f>VLOOKUP($G5430,DefinitionArrays!$I$6:$J$12,2,FALSE)</f>
        <v>Workweek</v>
      </c>
    </row>
    <row r="5431" spans="1:10">
      <c r="A5431" s="159" t="str">
        <f t="shared" si="423"/>
        <v>$H$1:$H$92</v>
      </c>
      <c r="B5431" s="159" t="str">
        <f t="shared" si="424"/>
        <v>$I$1:$I$92</v>
      </c>
      <c r="C5431" s="159" t="str">
        <f t="shared" si="425"/>
        <v>April!$H$1:$H$92</v>
      </c>
      <c r="D5431" s="159" t="str">
        <f t="shared" si="426"/>
        <v>April!$I$1:$I$92</v>
      </c>
      <c r="E5431" t="s">
        <v>10</v>
      </c>
      <c r="F5431" t="s">
        <v>123</v>
      </c>
      <c r="G5431" t="s">
        <v>143</v>
      </c>
      <c r="H5431" t="s">
        <v>44</v>
      </c>
      <c r="I5431" t="e">
        <f t="shared" ca="1" si="427"/>
        <v>#REF!</v>
      </c>
      <c r="J5431" t="str">
        <f>VLOOKUP($G5431,DefinitionArrays!$I$6:$J$12,2,FALSE)</f>
        <v>Workweek</v>
      </c>
    </row>
    <row r="5432" spans="1:10">
      <c r="A5432" s="159" t="str">
        <f t="shared" si="423"/>
        <v>$K$1:$K$92</v>
      </c>
      <c r="B5432" s="159" t="str">
        <f t="shared" si="424"/>
        <v>$L$1:$L$92</v>
      </c>
      <c r="C5432" s="159" t="str">
        <f t="shared" si="425"/>
        <v>April!$K$1:$K$92</v>
      </c>
      <c r="D5432" s="159" t="str">
        <f t="shared" si="426"/>
        <v>April!$L$1:$L$92</v>
      </c>
      <c r="E5432" t="s">
        <v>10</v>
      </c>
      <c r="F5432" t="s">
        <v>123</v>
      </c>
      <c r="G5432" t="s">
        <v>144</v>
      </c>
      <c r="H5432" t="s">
        <v>159</v>
      </c>
      <c r="I5432" t="e">
        <f t="shared" ca="1" si="427"/>
        <v>#REF!</v>
      </c>
      <c r="J5432" t="str">
        <f>VLOOKUP($G5432,DefinitionArrays!$I$6:$J$12,2,FALSE)</f>
        <v>Workweek</v>
      </c>
    </row>
    <row r="5433" spans="1:10">
      <c r="A5433" s="159" t="str">
        <f t="shared" si="423"/>
        <v>$K$1:$K$92</v>
      </c>
      <c r="B5433" s="159" t="str">
        <f t="shared" si="424"/>
        <v>$L$1:$L$92</v>
      </c>
      <c r="C5433" s="159" t="str">
        <f t="shared" si="425"/>
        <v>April!$K$1:$K$92</v>
      </c>
      <c r="D5433" s="159" t="str">
        <f t="shared" si="426"/>
        <v>April!$L$1:$L$92</v>
      </c>
      <c r="E5433" t="s">
        <v>10</v>
      </c>
      <c r="F5433" t="s">
        <v>123</v>
      </c>
      <c r="G5433" t="s">
        <v>144</v>
      </c>
      <c r="H5433" t="s">
        <v>18</v>
      </c>
      <c r="I5433" t="e">
        <f t="shared" ca="1" si="427"/>
        <v>#REF!</v>
      </c>
      <c r="J5433" t="str">
        <f>VLOOKUP($G5433,DefinitionArrays!$I$6:$J$12,2,FALSE)</f>
        <v>Workweek</v>
      </c>
    </row>
    <row r="5434" spans="1:10">
      <c r="A5434" s="159" t="str">
        <f t="shared" si="423"/>
        <v>$K$1:$K$92</v>
      </c>
      <c r="B5434" s="159" t="str">
        <f t="shared" si="424"/>
        <v>$L$1:$L$92</v>
      </c>
      <c r="C5434" s="159" t="str">
        <f t="shared" si="425"/>
        <v>April!$K$1:$K$92</v>
      </c>
      <c r="D5434" s="159" t="str">
        <f t="shared" si="426"/>
        <v>April!$L$1:$L$92</v>
      </c>
      <c r="E5434" t="s">
        <v>10</v>
      </c>
      <c r="F5434" t="s">
        <v>123</v>
      </c>
      <c r="G5434" t="s">
        <v>144</v>
      </c>
      <c r="H5434" t="s">
        <v>153</v>
      </c>
      <c r="I5434" t="e">
        <f t="shared" ca="1" si="427"/>
        <v>#REF!</v>
      </c>
      <c r="J5434" t="str">
        <f>VLOOKUP($G5434,DefinitionArrays!$I$6:$J$12,2,FALSE)</f>
        <v>Workweek</v>
      </c>
    </row>
    <row r="5435" spans="1:10">
      <c r="A5435" s="159" t="str">
        <f t="shared" si="423"/>
        <v>$K$1:$K$92</v>
      </c>
      <c r="B5435" s="159" t="str">
        <f t="shared" si="424"/>
        <v>$L$1:$L$92</v>
      </c>
      <c r="C5435" s="159" t="str">
        <f t="shared" si="425"/>
        <v>April!$K$1:$K$92</v>
      </c>
      <c r="D5435" s="159" t="str">
        <f t="shared" si="426"/>
        <v>April!$L$1:$L$92</v>
      </c>
      <c r="E5435" t="s">
        <v>10</v>
      </c>
      <c r="F5435" t="s">
        <v>123</v>
      </c>
      <c r="G5435" t="s">
        <v>144</v>
      </c>
      <c r="H5435" t="s">
        <v>19</v>
      </c>
      <c r="I5435" t="e">
        <f t="shared" ca="1" si="427"/>
        <v>#REF!</v>
      </c>
      <c r="J5435" t="str">
        <f>VLOOKUP($G5435,DefinitionArrays!$I$6:$J$12,2,FALSE)</f>
        <v>Workweek</v>
      </c>
    </row>
    <row r="5436" spans="1:10">
      <c r="A5436" s="159" t="str">
        <f t="shared" si="423"/>
        <v>$K$1:$K$92</v>
      </c>
      <c r="B5436" s="159" t="str">
        <f t="shared" si="424"/>
        <v>$L$1:$L$92</v>
      </c>
      <c r="C5436" s="159" t="str">
        <f t="shared" si="425"/>
        <v>April!$K$1:$K$92</v>
      </c>
      <c r="D5436" s="159" t="str">
        <f t="shared" si="426"/>
        <v>April!$L$1:$L$92</v>
      </c>
      <c r="E5436" t="s">
        <v>10</v>
      </c>
      <c r="F5436" t="s">
        <v>123</v>
      </c>
      <c r="G5436" t="s">
        <v>144</v>
      </c>
      <c r="H5436" t="s">
        <v>20</v>
      </c>
      <c r="I5436" t="e">
        <f t="shared" ca="1" si="427"/>
        <v>#REF!</v>
      </c>
      <c r="J5436" t="str">
        <f>VLOOKUP($G5436,DefinitionArrays!$I$6:$J$12,2,FALSE)</f>
        <v>Workweek</v>
      </c>
    </row>
    <row r="5437" spans="1:10">
      <c r="A5437" s="159" t="str">
        <f t="shared" si="423"/>
        <v>$K$1:$K$92</v>
      </c>
      <c r="B5437" s="159" t="str">
        <f t="shared" si="424"/>
        <v>$L$1:$L$92</v>
      </c>
      <c r="C5437" s="159" t="str">
        <f t="shared" si="425"/>
        <v>April!$K$1:$K$92</v>
      </c>
      <c r="D5437" s="159" t="str">
        <f t="shared" si="426"/>
        <v>April!$L$1:$L$92</v>
      </c>
      <c r="E5437" t="s">
        <v>10</v>
      </c>
      <c r="F5437" t="s">
        <v>123</v>
      </c>
      <c r="G5437" t="s">
        <v>144</v>
      </c>
      <c r="H5437" t="s">
        <v>21</v>
      </c>
      <c r="I5437" t="e">
        <f t="shared" ca="1" si="427"/>
        <v>#REF!</v>
      </c>
      <c r="J5437" t="str">
        <f>VLOOKUP($G5437,DefinitionArrays!$I$6:$J$12,2,FALSE)</f>
        <v>Workweek</v>
      </c>
    </row>
    <row r="5438" spans="1:10">
      <c r="A5438" s="159" t="str">
        <f t="shared" si="423"/>
        <v>$K$1:$K$92</v>
      </c>
      <c r="B5438" s="159" t="str">
        <f t="shared" si="424"/>
        <v>$L$1:$L$92</v>
      </c>
      <c r="C5438" s="159" t="str">
        <f t="shared" si="425"/>
        <v>April!$K$1:$K$92</v>
      </c>
      <c r="D5438" s="159" t="str">
        <f t="shared" si="426"/>
        <v>April!$L$1:$L$92</v>
      </c>
      <c r="E5438" t="s">
        <v>10</v>
      </c>
      <c r="F5438" t="s">
        <v>123</v>
      </c>
      <c r="G5438" t="s">
        <v>144</v>
      </c>
      <c r="H5438" t="s">
        <v>22</v>
      </c>
      <c r="I5438" t="e">
        <f t="shared" ca="1" si="427"/>
        <v>#REF!</v>
      </c>
      <c r="J5438" t="str">
        <f>VLOOKUP($G5438,DefinitionArrays!$I$6:$J$12,2,FALSE)</f>
        <v>Workweek</v>
      </c>
    </row>
    <row r="5439" spans="1:10">
      <c r="A5439" s="159" t="str">
        <f t="shared" si="423"/>
        <v>$K$1:$K$92</v>
      </c>
      <c r="B5439" s="159" t="str">
        <f t="shared" si="424"/>
        <v>$L$1:$L$92</v>
      </c>
      <c r="C5439" s="159" t="str">
        <f t="shared" si="425"/>
        <v>April!$K$1:$K$92</v>
      </c>
      <c r="D5439" s="159" t="str">
        <f t="shared" si="426"/>
        <v>April!$L$1:$L$92</v>
      </c>
      <c r="E5439" t="s">
        <v>10</v>
      </c>
      <c r="F5439" t="s">
        <v>123</v>
      </c>
      <c r="G5439" t="s">
        <v>144</v>
      </c>
      <c r="H5439" t="s">
        <v>23</v>
      </c>
      <c r="I5439" t="e">
        <f t="shared" ca="1" si="427"/>
        <v>#REF!</v>
      </c>
      <c r="J5439" t="str">
        <f>VLOOKUP($G5439,DefinitionArrays!$I$6:$J$12,2,FALSE)</f>
        <v>Workweek</v>
      </c>
    </row>
    <row r="5440" spans="1:10">
      <c r="A5440" s="159" t="str">
        <f t="shared" si="423"/>
        <v>$K$1:$K$92</v>
      </c>
      <c r="B5440" s="159" t="str">
        <f t="shared" si="424"/>
        <v>$L$1:$L$92</v>
      </c>
      <c r="C5440" s="159" t="str">
        <f t="shared" si="425"/>
        <v>April!$K$1:$K$92</v>
      </c>
      <c r="D5440" s="159" t="str">
        <f t="shared" si="426"/>
        <v>April!$L$1:$L$92</v>
      </c>
      <c r="E5440" t="s">
        <v>10</v>
      </c>
      <c r="F5440" t="s">
        <v>123</v>
      </c>
      <c r="G5440" t="s">
        <v>144</v>
      </c>
      <c r="H5440" t="s">
        <v>24</v>
      </c>
      <c r="I5440" t="e">
        <f t="shared" ca="1" si="427"/>
        <v>#REF!</v>
      </c>
      <c r="J5440" t="str">
        <f>VLOOKUP($G5440,DefinitionArrays!$I$6:$J$12,2,FALSE)</f>
        <v>Workweek</v>
      </c>
    </row>
    <row r="5441" spans="1:10">
      <c r="A5441" s="159" t="str">
        <f t="shared" si="423"/>
        <v>$K$1:$K$92</v>
      </c>
      <c r="B5441" s="159" t="str">
        <f t="shared" si="424"/>
        <v>$L$1:$L$92</v>
      </c>
      <c r="C5441" s="159" t="str">
        <f t="shared" si="425"/>
        <v>April!$K$1:$K$92</v>
      </c>
      <c r="D5441" s="159" t="str">
        <f t="shared" si="426"/>
        <v>April!$L$1:$L$92</v>
      </c>
      <c r="E5441" t="s">
        <v>10</v>
      </c>
      <c r="F5441" t="s">
        <v>123</v>
      </c>
      <c r="G5441" t="s">
        <v>144</v>
      </c>
      <c r="H5441" t="s">
        <v>179</v>
      </c>
      <c r="I5441" t="e">
        <f t="shared" ca="1" si="427"/>
        <v>#REF!</v>
      </c>
      <c r="J5441" t="str">
        <f>VLOOKUP($G5441,DefinitionArrays!$I$6:$J$12,2,FALSE)</f>
        <v>Workweek</v>
      </c>
    </row>
    <row r="5442" spans="1:10">
      <c r="A5442" s="159" t="str">
        <f t="shared" ref="A5442:A5505" si="428">VLOOKUP($G5442,Fx_Code,2,FALSE)</f>
        <v>$K$1:$K$92</v>
      </c>
      <c r="B5442" s="159" t="str">
        <f t="shared" ref="B5442:B5505" si="429">VLOOKUP($G5442,Fx_Code,3,FALSE)</f>
        <v>$L$1:$L$92</v>
      </c>
      <c r="C5442" s="159" t="str">
        <f t="shared" ref="C5442:C5505" si="430">CONCATENATE($F5442,$K$1,A5442)</f>
        <v>April!$K$1:$K$92</v>
      </c>
      <c r="D5442" s="159" t="str">
        <f t="shared" ref="D5442:D5505" si="431">CONCATENATE($F5442,$K$1,B5442)</f>
        <v>April!$L$1:$L$92</v>
      </c>
      <c r="E5442" t="s">
        <v>10</v>
      </c>
      <c r="F5442" t="s">
        <v>123</v>
      </c>
      <c r="G5442" t="s">
        <v>144</v>
      </c>
      <c r="H5442" t="s">
        <v>180</v>
      </c>
      <c r="I5442" t="e">
        <f t="shared" ca="1" si="427"/>
        <v>#REF!</v>
      </c>
      <c r="J5442" t="str">
        <f>VLOOKUP($G5442,DefinitionArrays!$I$6:$J$12,2,FALSE)</f>
        <v>Workweek</v>
      </c>
    </row>
    <row r="5443" spans="1:10">
      <c r="A5443" s="159" t="str">
        <f t="shared" si="428"/>
        <v>$K$1:$K$92</v>
      </c>
      <c r="B5443" s="159" t="str">
        <f t="shared" si="429"/>
        <v>$L$1:$L$92</v>
      </c>
      <c r="C5443" s="159" t="str">
        <f t="shared" si="430"/>
        <v>April!$K$1:$K$92</v>
      </c>
      <c r="D5443" s="159" t="str">
        <f t="shared" si="431"/>
        <v>April!$L$1:$L$92</v>
      </c>
      <c r="E5443" t="s">
        <v>10</v>
      </c>
      <c r="F5443" t="s">
        <v>123</v>
      </c>
      <c r="G5443" t="s">
        <v>144</v>
      </c>
      <c r="H5443" t="s">
        <v>44</v>
      </c>
      <c r="I5443" t="e">
        <f t="shared" ca="1" si="427"/>
        <v>#REF!</v>
      </c>
      <c r="J5443" t="str">
        <f>VLOOKUP($G5443,DefinitionArrays!$I$6:$J$12,2,FALSE)</f>
        <v>Workweek</v>
      </c>
    </row>
    <row r="5444" spans="1:10">
      <c r="A5444" s="159" t="str">
        <f t="shared" si="428"/>
        <v>$N$1:$N$92</v>
      </c>
      <c r="B5444" s="159" t="str">
        <f t="shared" si="429"/>
        <v>$O$1:$O$92</v>
      </c>
      <c r="C5444" s="159" t="str">
        <f t="shared" si="430"/>
        <v>April!$N$1:$N$92</v>
      </c>
      <c r="D5444" s="159" t="str">
        <f t="shared" si="431"/>
        <v>April!$O$1:$O$92</v>
      </c>
      <c r="E5444" t="s">
        <v>10</v>
      </c>
      <c r="F5444" t="s">
        <v>123</v>
      </c>
      <c r="G5444" t="s">
        <v>145</v>
      </c>
      <c r="H5444" t="s">
        <v>159</v>
      </c>
      <c r="I5444" t="e">
        <f t="shared" ca="1" si="427"/>
        <v>#REF!</v>
      </c>
      <c r="J5444" t="str">
        <f>VLOOKUP($G5444,DefinitionArrays!$I$6:$J$12,2,FALSE)</f>
        <v>Weekend</v>
      </c>
    </row>
    <row r="5445" spans="1:10">
      <c r="A5445" s="159" t="str">
        <f t="shared" si="428"/>
        <v>$N$1:$N$92</v>
      </c>
      <c r="B5445" s="159" t="str">
        <f t="shared" si="429"/>
        <v>$O$1:$O$92</v>
      </c>
      <c r="C5445" s="159" t="str">
        <f t="shared" si="430"/>
        <v>April!$N$1:$N$92</v>
      </c>
      <c r="D5445" s="159" t="str">
        <f t="shared" si="431"/>
        <v>April!$O$1:$O$92</v>
      </c>
      <c r="E5445" t="s">
        <v>10</v>
      </c>
      <c r="F5445" t="s">
        <v>123</v>
      </c>
      <c r="G5445" t="s">
        <v>145</v>
      </c>
      <c r="H5445" t="s">
        <v>18</v>
      </c>
      <c r="I5445" t="e">
        <f t="shared" ca="1" si="427"/>
        <v>#REF!</v>
      </c>
      <c r="J5445" t="str">
        <f>VLOOKUP($G5445,DefinitionArrays!$I$6:$J$12,2,FALSE)</f>
        <v>Weekend</v>
      </c>
    </row>
    <row r="5446" spans="1:10">
      <c r="A5446" s="159" t="str">
        <f t="shared" si="428"/>
        <v>$N$1:$N$92</v>
      </c>
      <c r="B5446" s="159" t="str">
        <f t="shared" si="429"/>
        <v>$O$1:$O$92</v>
      </c>
      <c r="C5446" s="159" t="str">
        <f t="shared" si="430"/>
        <v>April!$N$1:$N$92</v>
      </c>
      <c r="D5446" s="159" t="str">
        <f t="shared" si="431"/>
        <v>April!$O$1:$O$92</v>
      </c>
      <c r="E5446" t="s">
        <v>10</v>
      </c>
      <c r="F5446" t="s">
        <v>123</v>
      </c>
      <c r="G5446" t="s">
        <v>145</v>
      </c>
      <c r="H5446" t="s">
        <v>153</v>
      </c>
      <c r="I5446" t="e">
        <f t="shared" ca="1" si="427"/>
        <v>#REF!</v>
      </c>
      <c r="J5446" t="str">
        <f>VLOOKUP($G5446,DefinitionArrays!$I$6:$J$12,2,FALSE)</f>
        <v>Weekend</v>
      </c>
    </row>
    <row r="5447" spans="1:10">
      <c r="A5447" s="159" t="str">
        <f t="shared" si="428"/>
        <v>$N$1:$N$92</v>
      </c>
      <c r="B5447" s="159" t="str">
        <f t="shared" si="429"/>
        <v>$O$1:$O$92</v>
      </c>
      <c r="C5447" s="159" t="str">
        <f t="shared" si="430"/>
        <v>April!$N$1:$N$92</v>
      </c>
      <c r="D5447" s="159" t="str">
        <f t="shared" si="431"/>
        <v>April!$O$1:$O$92</v>
      </c>
      <c r="E5447" t="s">
        <v>10</v>
      </c>
      <c r="F5447" t="s">
        <v>123</v>
      </c>
      <c r="G5447" t="s">
        <v>145</v>
      </c>
      <c r="H5447" t="s">
        <v>19</v>
      </c>
      <c r="I5447" t="e">
        <f t="shared" ca="1" si="427"/>
        <v>#REF!</v>
      </c>
      <c r="J5447" t="str">
        <f>VLOOKUP($G5447,DefinitionArrays!$I$6:$J$12,2,FALSE)</f>
        <v>Weekend</v>
      </c>
    </row>
    <row r="5448" spans="1:10">
      <c r="A5448" s="159" t="str">
        <f t="shared" si="428"/>
        <v>$N$1:$N$92</v>
      </c>
      <c r="B5448" s="159" t="str">
        <f t="shared" si="429"/>
        <v>$O$1:$O$92</v>
      </c>
      <c r="C5448" s="159" t="str">
        <f t="shared" si="430"/>
        <v>April!$N$1:$N$92</v>
      </c>
      <c r="D5448" s="159" t="str">
        <f t="shared" si="431"/>
        <v>April!$O$1:$O$92</v>
      </c>
      <c r="E5448" t="s">
        <v>10</v>
      </c>
      <c r="F5448" t="s">
        <v>123</v>
      </c>
      <c r="G5448" t="s">
        <v>145</v>
      </c>
      <c r="H5448" t="s">
        <v>20</v>
      </c>
      <c r="I5448" t="e">
        <f t="shared" ca="1" si="427"/>
        <v>#REF!</v>
      </c>
      <c r="J5448" t="str">
        <f>VLOOKUP($G5448,DefinitionArrays!$I$6:$J$12,2,FALSE)</f>
        <v>Weekend</v>
      </c>
    </row>
    <row r="5449" spans="1:10">
      <c r="A5449" s="159" t="str">
        <f t="shared" si="428"/>
        <v>$N$1:$N$92</v>
      </c>
      <c r="B5449" s="159" t="str">
        <f t="shared" si="429"/>
        <v>$O$1:$O$92</v>
      </c>
      <c r="C5449" s="159" t="str">
        <f t="shared" si="430"/>
        <v>April!$N$1:$N$92</v>
      </c>
      <c r="D5449" s="159" t="str">
        <f t="shared" si="431"/>
        <v>April!$O$1:$O$92</v>
      </c>
      <c r="E5449" t="s">
        <v>10</v>
      </c>
      <c r="F5449" t="s">
        <v>123</v>
      </c>
      <c r="G5449" t="s">
        <v>145</v>
      </c>
      <c r="H5449" t="s">
        <v>21</v>
      </c>
      <c r="I5449" t="e">
        <f t="shared" ca="1" si="427"/>
        <v>#REF!</v>
      </c>
      <c r="J5449" t="str">
        <f>VLOOKUP($G5449,DefinitionArrays!$I$6:$J$12,2,FALSE)</f>
        <v>Weekend</v>
      </c>
    </row>
    <row r="5450" spans="1:10">
      <c r="A5450" s="159" t="str">
        <f t="shared" si="428"/>
        <v>$N$1:$N$92</v>
      </c>
      <c r="B5450" s="159" t="str">
        <f t="shared" si="429"/>
        <v>$O$1:$O$92</v>
      </c>
      <c r="C5450" s="159" t="str">
        <f t="shared" si="430"/>
        <v>April!$N$1:$N$92</v>
      </c>
      <c r="D5450" s="159" t="str">
        <f t="shared" si="431"/>
        <v>April!$O$1:$O$92</v>
      </c>
      <c r="E5450" t="s">
        <v>10</v>
      </c>
      <c r="F5450" t="s">
        <v>123</v>
      </c>
      <c r="G5450" t="s">
        <v>145</v>
      </c>
      <c r="H5450" t="s">
        <v>22</v>
      </c>
      <c r="I5450" t="e">
        <f t="shared" ca="1" si="427"/>
        <v>#REF!</v>
      </c>
      <c r="J5450" t="str">
        <f>VLOOKUP($G5450,DefinitionArrays!$I$6:$J$12,2,FALSE)</f>
        <v>Weekend</v>
      </c>
    </row>
    <row r="5451" spans="1:10">
      <c r="A5451" s="159" t="str">
        <f t="shared" si="428"/>
        <v>$N$1:$N$92</v>
      </c>
      <c r="B5451" s="159" t="str">
        <f t="shared" si="429"/>
        <v>$O$1:$O$92</v>
      </c>
      <c r="C5451" s="159" t="str">
        <f t="shared" si="430"/>
        <v>April!$N$1:$N$92</v>
      </c>
      <c r="D5451" s="159" t="str">
        <f t="shared" si="431"/>
        <v>April!$O$1:$O$92</v>
      </c>
      <c r="E5451" t="s">
        <v>10</v>
      </c>
      <c r="F5451" t="s">
        <v>123</v>
      </c>
      <c r="G5451" t="s">
        <v>145</v>
      </c>
      <c r="H5451" t="s">
        <v>23</v>
      </c>
      <c r="I5451" t="e">
        <f t="shared" ca="1" si="427"/>
        <v>#REF!</v>
      </c>
      <c r="J5451" t="str">
        <f>VLOOKUP($G5451,DefinitionArrays!$I$6:$J$12,2,FALSE)</f>
        <v>Weekend</v>
      </c>
    </row>
    <row r="5452" spans="1:10">
      <c r="A5452" s="159" t="str">
        <f t="shared" si="428"/>
        <v>$N$1:$N$92</v>
      </c>
      <c r="B5452" s="159" t="str">
        <f t="shared" si="429"/>
        <v>$O$1:$O$92</v>
      </c>
      <c r="C5452" s="159" t="str">
        <f t="shared" si="430"/>
        <v>April!$N$1:$N$92</v>
      </c>
      <c r="D5452" s="159" t="str">
        <f t="shared" si="431"/>
        <v>April!$O$1:$O$92</v>
      </c>
      <c r="E5452" t="s">
        <v>10</v>
      </c>
      <c r="F5452" t="s">
        <v>123</v>
      </c>
      <c r="G5452" t="s">
        <v>145</v>
      </c>
      <c r="H5452" t="s">
        <v>24</v>
      </c>
      <c r="I5452" t="e">
        <f t="shared" ca="1" si="427"/>
        <v>#REF!</v>
      </c>
      <c r="J5452" t="str">
        <f>VLOOKUP($G5452,DefinitionArrays!$I$6:$J$12,2,FALSE)</f>
        <v>Weekend</v>
      </c>
    </row>
    <row r="5453" spans="1:10">
      <c r="A5453" s="159" t="str">
        <f t="shared" si="428"/>
        <v>$N$1:$N$92</v>
      </c>
      <c r="B5453" s="159" t="str">
        <f t="shared" si="429"/>
        <v>$O$1:$O$92</v>
      </c>
      <c r="C5453" s="159" t="str">
        <f t="shared" si="430"/>
        <v>April!$N$1:$N$92</v>
      </c>
      <c r="D5453" s="159" t="str">
        <f t="shared" si="431"/>
        <v>April!$O$1:$O$92</v>
      </c>
      <c r="E5453" t="s">
        <v>10</v>
      </c>
      <c r="F5453" t="s">
        <v>123</v>
      </c>
      <c r="G5453" t="s">
        <v>145</v>
      </c>
      <c r="H5453" t="s">
        <v>179</v>
      </c>
      <c r="I5453" t="e">
        <f t="shared" ca="1" si="427"/>
        <v>#REF!</v>
      </c>
      <c r="J5453" t="str">
        <f>VLOOKUP($G5453,DefinitionArrays!$I$6:$J$12,2,FALSE)</f>
        <v>Weekend</v>
      </c>
    </row>
    <row r="5454" spans="1:10">
      <c r="A5454" s="159" t="str">
        <f t="shared" si="428"/>
        <v>$N$1:$N$92</v>
      </c>
      <c r="B5454" s="159" t="str">
        <f t="shared" si="429"/>
        <v>$O$1:$O$92</v>
      </c>
      <c r="C5454" s="159" t="str">
        <f t="shared" si="430"/>
        <v>April!$N$1:$N$92</v>
      </c>
      <c r="D5454" s="159" t="str">
        <f t="shared" si="431"/>
        <v>April!$O$1:$O$92</v>
      </c>
      <c r="E5454" t="s">
        <v>10</v>
      </c>
      <c r="F5454" t="s">
        <v>123</v>
      </c>
      <c r="G5454" t="s">
        <v>145</v>
      </c>
      <c r="H5454" t="s">
        <v>180</v>
      </c>
      <c r="I5454" t="e">
        <f t="shared" ca="1" si="427"/>
        <v>#REF!</v>
      </c>
      <c r="J5454" t="str">
        <f>VLOOKUP($G5454,DefinitionArrays!$I$6:$J$12,2,FALSE)</f>
        <v>Weekend</v>
      </c>
    </row>
    <row r="5455" spans="1:10">
      <c r="A5455" s="159" t="str">
        <f t="shared" si="428"/>
        <v>$N$1:$N$92</v>
      </c>
      <c r="B5455" s="159" t="str">
        <f t="shared" si="429"/>
        <v>$O$1:$O$92</v>
      </c>
      <c r="C5455" s="159" t="str">
        <f t="shared" si="430"/>
        <v>April!$N$1:$N$92</v>
      </c>
      <c r="D5455" s="159" t="str">
        <f t="shared" si="431"/>
        <v>April!$O$1:$O$92</v>
      </c>
      <c r="E5455" t="s">
        <v>10</v>
      </c>
      <c r="F5455" t="s">
        <v>123</v>
      </c>
      <c r="G5455" t="s">
        <v>145</v>
      </c>
      <c r="H5455" t="s">
        <v>44</v>
      </c>
      <c r="I5455" t="e">
        <f t="shared" ca="1" si="427"/>
        <v>#REF!</v>
      </c>
      <c r="J5455" t="str">
        <f>VLOOKUP($G5455,DefinitionArrays!$I$6:$J$12,2,FALSE)</f>
        <v>Weekend</v>
      </c>
    </row>
    <row r="5456" spans="1:10">
      <c r="A5456" s="159" t="str">
        <f t="shared" si="428"/>
        <v>$Q$1:$Q$92</v>
      </c>
      <c r="B5456" s="159" t="str">
        <f t="shared" si="429"/>
        <v>$R$1:$R$92</v>
      </c>
      <c r="C5456" s="159" t="str">
        <f t="shared" si="430"/>
        <v>April!$Q$1:$Q$92</v>
      </c>
      <c r="D5456" s="159" t="str">
        <f t="shared" si="431"/>
        <v>April!$R$1:$R$92</v>
      </c>
      <c r="E5456" t="s">
        <v>10</v>
      </c>
      <c r="F5456" t="s">
        <v>123</v>
      </c>
      <c r="G5456" t="s">
        <v>146</v>
      </c>
      <c r="H5456" t="s">
        <v>159</v>
      </c>
      <c r="I5456" t="e">
        <f t="shared" ca="1" si="427"/>
        <v>#REF!</v>
      </c>
      <c r="J5456" t="str">
        <f>VLOOKUP($G5456,DefinitionArrays!$I$6:$J$12,2,FALSE)</f>
        <v>Weekend</v>
      </c>
    </row>
    <row r="5457" spans="1:10">
      <c r="A5457" s="159" t="str">
        <f t="shared" si="428"/>
        <v>$T$1:$T$92</v>
      </c>
      <c r="B5457" s="159" t="str">
        <f t="shared" si="429"/>
        <v>$U$1:$U$92</v>
      </c>
      <c r="C5457" s="159" t="str">
        <f t="shared" si="430"/>
        <v>April!$T$1:$T$92</v>
      </c>
      <c r="D5457" s="159" t="str">
        <f t="shared" si="431"/>
        <v>April!$U$1:$U$92</v>
      </c>
      <c r="E5457" t="s">
        <v>10</v>
      </c>
      <c r="F5457" t="s">
        <v>123</v>
      </c>
      <c r="G5457" t="s">
        <v>141</v>
      </c>
      <c r="H5457" t="s">
        <v>159</v>
      </c>
      <c r="I5457" t="e">
        <f t="shared" ca="1" si="427"/>
        <v>#REF!</v>
      </c>
      <c r="J5457" t="str">
        <f>VLOOKUP($G5457,DefinitionArrays!$I$6:$J$12,2,FALSE)</f>
        <v>Weekend</v>
      </c>
    </row>
    <row r="5458" spans="1:10">
      <c r="A5458" s="159" t="str">
        <f t="shared" si="428"/>
        <v>$B$1:$B$92</v>
      </c>
      <c r="B5458" s="159" t="str">
        <f t="shared" si="429"/>
        <v>$C$1:$C$92</v>
      </c>
      <c r="C5458" s="159" t="str">
        <f t="shared" si="430"/>
        <v>May!$B$1:$B$92</v>
      </c>
      <c r="D5458" s="159" t="str">
        <f t="shared" si="431"/>
        <v>May!$C$1:$C$92</v>
      </c>
      <c r="E5458" t="s">
        <v>10</v>
      </c>
      <c r="F5458" t="s">
        <v>124</v>
      </c>
      <c r="G5458" t="s">
        <v>13</v>
      </c>
      <c r="H5458" t="s">
        <v>159</v>
      </c>
      <c r="I5458" t="e">
        <f ca="1">COUNTIFS(INDIRECT($C5458),$E5458,INDIRECT($D5458),$H5458)</f>
        <v>#REF!</v>
      </c>
      <c r="J5458" t="str">
        <f>VLOOKUP($G5458,DefinitionArrays!$I$6:$J$12,2,FALSE)</f>
        <v>Workweek</v>
      </c>
    </row>
    <row r="5459" spans="1:10">
      <c r="A5459" s="159" t="str">
        <f t="shared" si="428"/>
        <v>$B$1:$B$92</v>
      </c>
      <c r="B5459" s="159" t="str">
        <f t="shared" si="429"/>
        <v>$C$1:$C$92</v>
      </c>
      <c r="C5459" s="159" t="str">
        <f t="shared" si="430"/>
        <v>May!$B$1:$B$92</v>
      </c>
      <c r="D5459" s="159" t="str">
        <f t="shared" si="431"/>
        <v>May!$C$1:$C$92</v>
      </c>
      <c r="E5459" t="s">
        <v>10</v>
      </c>
      <c r="F5459" t="s">
        <v>124</v>
      </c>
      <c r="G5459" t="s">
        <v>13</v>
      </c>
      <c r="H5459" t="s">
        <v>18</v>
      </c>
      <c r="I5459" t="e">
        <f t="shared" ref="I5459:I5519" ca="1" si="432">COUNTIFS(INDIRECT($C5459),$E5459,INDIRECT($D5459),$H5459)</f>
        <v>#REF!</v>
      </c>
      <c r="J5459" t="str">
        <f>VLOOKUP($G5459,DefinitionArrays!$I$6:$J$12,2,FALSE)</f>
        <v>Workweek</v>
      </c>
    </row>
    <row r="5460" spans="1:10">
      <c r="A5460" s="159" t="str">
        <f t="shared" si="428"/>
        <v>$B$1:$B$92</v>
      </c>
      <c r="B5460" s="159" t="str">
        <f t="shared" si="429"/>
        <v>$C$1:$C$92</v>
      </c>
      <c r="C5460" s="159" t="str">
        <f t="shared" si="430"/>
        <v>May!$B$1:$B$92</v>
      </c>
      <c r="D5460" s="159" t="str">
        <f t="shared" si="431"/>
        <v>May!$C$1:$C$92</v>
      </c>
      <c r="E5460" t="s">
        <v>10</v>
      </c>
      <c r="F5460" t="s">
        <v>124</v>
      </c>
      <c r="G5460" t="s">
        <v>13</v>
      </c>
      <c r="H5460" t="s">
        <v>153</v>
      </c>
      <c r="I5460" t="e">
        <f t="shared" ca="1" si="432"/>
        <v>#REF!</v>
      </c>
      <c r="J5460" t="str">
        <f>VLOOKUP($G5460,DefinitionArrays!$I$6:$J$12,2,FALSE)</f>
        <v>Workweek</v>
      </c>
    </row>
    <row r="5461" spans="1:10">
      <c r="A5461" s="159" t="str">
        <f t="shared" si="428"/>
        <v>$B$1:$B$92</v>
      </c>
      <c r="B5461" s="159" t="str">
        <f t="shared" si="429"/>
        <v>$C$1:$C$92</v>
      </c>
      <c r="C5461" s="159" t="str">
        <f t="shared" si="430"/>
        <v>May!$B$1:$B$92</v>
      </c>
      <c r="D5461" s="159" t="str">
        <f t="shared" si="431"/>
        <v>May!$C$1:$C$92</v>
      </c>
      <c r="E5461" t="s">
        <v>10</v>
      </c>
      <c r="F5461" t="s">
        <v>124</v>
      </c>
      <c r="G5461" t="s">
        <v>13</v>
      </c>
      <c r="H5461" t="s">
        <v>19</v>
      </c>
      <c r="I5461" t="e">
        <f t="shared" ca="1" si="432"/>
        <v>#REF!</v>
      </c>
      <c r="J5461" t="str">
        <f>VLOOKUP($G5461,DefinitionArrays!$I$6:$J$12,2,FALSE)</f>
        <v>Workweek</v>
      </c>
    </row>
    <row r="5462" spans="1:10">
      <c r="A5462" s="159" t="str">
        <f t="shared" si="428"/>
        <v>$B$1:$B$92</v>
      </c>
      <c r="B5462" s="159" t="str">
        <f t="shared" si="429"/>
        <v>$C$1:$C$92</v>
      </c>
      <c r="C5462" s="159" t="str">
        <f t="shared" si="430"/>
        <v>May!$B$1:$B$92</v>
      </c>
      <c r="D5462" s="159" t="str">
        <f t="shared" si="431"/>
        <v>May!$C$1:$C$92</v>
      </c>
      <c r="E5462" t="s">
        <v>10</v>
      </c>
      <c r="F5462" t="s">
        <v>124</v>
      </c>
      <c r="G5462" t="s">
        <v>13</v>
      </c>
      <c r="H5462" t="s">
        <v>20</v>
      </c>
      <c r="I5462" t="e">
        <f t="shared" ca="1" si="432"/>
        <v>#REF!</v>
      </c>
      <c r="J5462" t="str">
        <f>VLOOKUP($G5462,DefinitionArrays!$I$6:$J$12,2,FALSE)</f>
        <v>Workweek</v>
      </c>
    </row>
    <row r="5463" spans="1:10">
      <c r="A5463" s="159" t="str">
        <f t="shared" si="428"/>
        <v>$B$1:$B$92</v>
      </c>
      <c r="B5463" s="159" t="str">
        <f t="shared" si="429"/>
        <v>$C$1:$C$92</v>
      </c>
      <c r="C5463" s="159" t="str">
        <f t="shared" si="430"/>
        <v>May!$B$1:$B$92</v>
      </c>
      <c r="D5463" s="159" t="str">
        <f t="shared" si="431"/>
        <v>May!$C$1:$C$92</v>
      </c>
      <c r="E5463" t="s">
        <v>10</v>
      </c>
      <c r="F5463" t="s">
        <v>124</v>
      </c>
      <c r="G5463" t="s">
        <v>13</v>
      </c>
      <c r="H5463" t="s">
        <v>21</v>
      </c>
      <c r="I5463" t="e">
        <f t="shared" ca="1" si="432"/>
        <v>#REF!</v>
      </c>
      <c r="J5463" t="str">
        <f>VLOOKUP($G5463,DefinitionArrays!$I$6:$J$12,2,FALSE)</f>
        <v>Workweek</v>
      </c>
    </row>
    <row r="5464" spans="1:10">
      <c r="A5464" s="159" t="str">
        <f t="shared" si="428"/>
        <v>$B$1:$B$92</v>
      </c>
      <c r="B5464" s="159" t="str">
        <f t="shared" si="429"/>
        <v>$C$1:$C$92</v>
      </c>
      <c r="C5464" s="159" t="str">
        <f t="shared" si="430"/>
        <v>May!$B$1:$B$92</v>
      </c>
      <c r="D5464" s="159" t="str">
        <f t="shared" si="431"/>
        <v>May!$C$1:$C$92</v>
      </c>
      <c r="E5464" t="s">
        <v>10</v>
      </c>
      <c r="F5464" t="s">
        <v>124</v>
      </c>
      <c r="G5464" t="s">
        <v>13</v>
      </c>
      <c r="H5464" t="s">
        <v>22</v>
      </c>
      <c r="I5464" t="e">
        <f t="shared" ca="1" si="432"/>
        <v>#REF!</v>
      </c>
      <c r="J5464" t="str">
        <f>VLOOKUP($G5464,DefinitionArrays!$I$6:$J$12,2,FALSE)</f>
        <v>Workweek</v>
      </c>
    </row>
    <row r="5465" spans="1:10">
      <c r="A5465" s="159" t="str">
        <f t="shared" si="428"/>
        <v>$B$1:$B$92</v>
      </c>
      <c r="B5465" s="159" t="str">
        <f t="shared" si="429"/>
        <v>$C$1:$C$92</v>
      </c>
      <c r="C5465" s="159" t="str">
        <f t="shared" si="430"/>
        <v>May!$B$1:$B$92</v>
      </c>
      <c r="D5465" s="159" t="str">
        <f t="shared" si="431"/>
        <v>May!$C$1:$C$92</v>
      </c>
      <c r="E5465" t="s">
        <v>10</v>
      </c>
      <c r="F5465" t="s">
        <v>124</v>
      </c>
      <c r="G5465" t="s">
        <v>13</v>
      </c>
      <c r="H5465" t="s">
        <v>23</v>
      </c>
      <c r="I5465" t="e">
        <f t="shared" ca="1" si="432"/>
        <v>#REF!</v>
      </c>
      <c r="J5465" t="str">
        <f>VLOOKUP($G5465,DefinitionArrays!$I$6:$J$12,2,FALSE)</f>
        <v>Workweek</v>
      </c>
    </row>
    <row r="5466" spans="1:10">
      <c r="A5466" s="159" t="str">
        <f t="shared" si="428"/>
        <v>$B$1:$B$92</v>
      </c>
      <c r="B5466" s="159" t="str">
        <f t="shared" si="429"/>
        <v>$C$1:$C$92</v>
      </c>
      <c r="C5466" s="159" t="str">
        <f t="shared" si="430"/>
        <v>May!$B$1:$B$92</v>
      </c>
      <c r="D5466" s="159" t="str">
        <f t="shared" si="431"/>
        <v>May!$C$1:$C$92</v>
      </c>
      <c r="E5466" t="s">
        <v>10</v>
      </c>
      <c r="F5466" t="s">
        <v>124</v>
      </c>
      <c r="G5466" t="s">
        <v>13</v>
      </c>
      <c r="H5466" t="s">
        <v>24</v>
      </c>
      <c r="I5466" t="e">
        <f t="shared" ca="1" si="432"/>
        <v>#REF!</v>
      </c>
      <c r="J5466" t="str">
        <f>VLOOKUP($G5466,DefinitionArrays!$I$6:$J$12,2,FALSE)</f>
        <v>Workweek</v>
      </c>
    </row>
    <row r="5467" spans="1:10">
      <c r="A5467" s="159" t="str">
        <f t="shared" si="428"/>
        <v>$B$1:$B$92</v>
      </c>
      <c r="B5467" s="159" t="str">
        <f t="shared" si="429"/>
        <v>$C$1:$C$92</v>
      </c>
      <c r="C5467" s="159" t="str">
        <f t="shared" si="430"/>
        <v>May!$B$1:$B$92</v>
      </c>
      <c r="D5467" s="159" t="str">
        <f t="shared" si="431"/>
        <v>May!$C$1:$C$92</v>
      </c>
      <c r="E5467" t="s">
        <v>10</v>
      </c>
      <c r="F5467" t="s">
        <v>124</v>
      </c>
      <c r="G5467" t="s">
        <v>13</v>
      </c>
      <c r="H5467" t="s">
        <v>179</v>
      </c>
      <c r="I5467" t="e">
        <f t="shared" ca="1" si="432"/>
        <v>#REF!</v>
      </c>
      <c r="J5467" t="str">
        <f>VLOOKUP($G5467,DefinitionArrays!$I$6:$J$12,2,FALSE)</f>
        <v>Workweek</v>
      </c>
    </row>
    <row r="5468" spans="1:10">
      <c r="A5468" s="159" t="str">
        <f t="shared" si="428"/>
        <v>$B$1:$B$92</v>
      </c>
      <c r="B5468" s="159" t="str">
        <f t="shared" si="429"/>
        <v>$C$1:$C$92</v>
      </c>
      <c r="C5468" s="159" t="str">
        <f t="shared" si="430"/>
        <v>May!$B$1:$B$92</v>
      </c>
      <c r="D5468" s="159" t="str">
        <f t="shared" si="431"/>
        <v>May!$C$1:$C$92</v>
      </c>
      <c r="E5468" t="s">
        <v>10</v>
      </c>
      <c r="F5468" t="s">
        <v>124</v>
      </c>
      <c r="G5468" t="s">
        <v>13</v>
      </c>
      <c r="H5468" t="s">
        <v>180</v>
      </c>
      <c r="I5468" t="e">
        <f t="shared" ca="1" si="432"/>
        <v>#REF!</v>
      </c>
      <c r="J5468" t="str">
        <f>VLOOKUP($G5468,DefinitionArrays!$I$6:$J$12,2,FALSE)</f>
        <v>Workweek</v>
      </c>
    </row>
    <row r="5469" spans="1:10">
      <c r="A5469" s="159" t="str">
        <f t="shared" si="428"/>
        <v>$B$1:$B$92</v>
      </c>
      <c r="B5469" s="159" t="str">
        <f t="shared" si="429"/>
        <v>$C$1:$C$92</v>
      </c>
      <c r="C5469" s="159" t="str">
        <f t="shared" si="430"/>
        <v>May!$B$1:$B$92</v>
      </c>
      <c r="D5469" s="159" t="str">
        <f t="shared" si="431"/>
        <v>May!$C$1:$C$92</v>
      </c>
      <c r="E5469" t="s">
        <v>10</v>
      </c>
      <c r="F5469" t="s">
        <v>124</v>
      </c>
      <c r="G5469" t="s">
        <v>13</v>
      </c>
      <c r="H5469" t="s">
        <v>44</v>
      </c>
      <c r="I5469" t="e">
        <f t="shared" ca="1" si="432"/>
        <v>#REF!</v>
      </c>
      <c r="J5469" t="str">
        <f>VLOOKUP($G5469,DefinitionArrays!$I$6:$J$12,2,FALSE)</f>
        <v>Workweek</v>
      </c>
    </row>
    <row r="5470" spans="1:10">
      <c r="A5470" s="159" t="str">
        <f t="shared" si="428"/>
        <v>$E$1:$E$92</v>
      </c>
      <c r="B5470" s="159" t="str">
        <f t="shared" si="429"/>
        <v>$F$1:$F$92</v>
      </c>
      <c r="C5470" s="159" t="str">
        <f t="shared" si="430"/>
        <v>May!$E$1:$E$92</v>
      </c>
      <c r="D5470" s="159" t="str">
        <f t="shared" si="431"/>
        <v>May!$F$1:$F$92</v>
      </c>
      <c r="E5470" t="s">
        <v>10</v>
      </c>
      <c r="F5470" t="s">
        <v>124</v>
      </c>
      <c r="G5470" t="s">
        <v>142</v>
      </c>
      <c r="H5470" t="s">
        <v>159</v>
      </c>
      <c r="I5470" t="e">
        <f t="shared" ca="1" si="432"/>
        <v>#REF!</v>
      </c>
      <c r="J5470" t="str">
        <f>VLOOKUP($G5470,DefinitionArrays!$I$6:$J$12,2,FALSE)</f>
        <v>Workweek</v>
      </c>
    </row>
    <row r="5471" spans="1:10">
      <c r="A5471" s="159" t="str">
        <f t="shared" si="428"/>
        <v>$E$1:$E$92</v>
      </c>
      <c r="B5471" s="159" t="str">
        <f t="shared" si="429"/>
        <v>$F$1:$F$92</v>
      </c>
      <c r="C5471" s="159" t="str">
        <f t="shared" si="430"/>
        <v>May!$E$1:$E$92</v>
      </c>
      <c r="D5471" s="159" t="str">
        <f t="shared" si="431"/>
        <v>May!$F$1:$F$92</v>
      </c>
      <c r="E5471" t="s">
        <v>10</v>
      </c>
      <c r="F5471" t="s">
        <v>124</v>
      </c>
      <c r="G5471" t="s">
        <v>142</v>
      </c>
      <c r="H5471" t="s">
        <v>18</v>
      </c>
      <c r="I5471" t="e">
        <f t="shared" ca="1" si="432"/>
        <v>#REF!</v>
      </c>
      <c r="J5471" t="str">
        <f>VLOOKUP($G5471,DefinitionArrays!$I$6:$J$12,2,FALSE)</f>
        <v>Workweek</v>
      </c>
    </row>
    <row r="5472" spans="1:10">
      <c r="A5472" s="159" t="str">
        <f t="shared" si="428"/>
        <v>$E$1:$E$92</v>
      </c>
      <c r="B5472" s="159" t="str">
        <f t="shared" si="429"/>
        <v>$F$1:$F$92</v>
      </c>
      <c r="C5472" s="159" t="str">
        <f t="shared" si="430"/>
        <v>May!$E$1:$E$92</v>
      </c>
      <c r="D5472" s="159" t="str">
        <f t="shared" si="431"/>
        <v>May!$F$1:$F$92</v>
      </c>
      <c r="E5472" t="s">
        <v>10</v>
      </c>
      <c r="F5472" t="s">
        <v>124</v>
      </c>
      <c r="G5472" t="s">
        <v>142</v>
      </c>
      <c r="H5472" t="s">
        <v>153</v>
      </c>
      <c r="I5472" t="e">
        <f t="shared" ca="1" si="432"/>
        <v>#REF!</v>
      </c>
      <c r="J5472" t="str">
        <f>VLOOKUP($G5472,DefinitionArrays!$I$6:$J$12,2,FALSE)</f>
        <v>Workweek</v>
      </c>
    </row>
    <row r="5473" spans="1:10">
      <c r="A5473" s="159" t="str">
        <f t="shared" si="428"/>
        <v>$E$1:$E$92</v>
      </c>
      <c r="B5473" s="159" t="str">
        <f t="shared" si="429"/>
        <v>$F$1:$F$92</v>
      </c>
      <c r="C5473" s="159" t="str">
        <f t="shared" si="430"/>
        <v>May!$E$1:$E$92</v>
      </c>
      <c r="D5473" s="159" t="str">
        <f t="shared" si="431"/>
        <v>May!$F$1:$F$92</v>
      </c>
      <c r="E5473" t="s">
        <v>10</v>
      </c>
      <c r="F5473" t="s">
        <v>124</v>
      </c>
      <c r="G5473" t="s">
        <v>142</v>
      </c>
      <c r="H5473" t="s">
        <v>19</v>
      </c>
      <c r="I5473" t="e">
        <f t="shared" ca="1" si="432"/>
        <v>#REF!</v>
      </c>
      <c r="J5473" t="str">
        <f>VLOOKUP($G5473,DefinitionArrays!$I$6:$J$12,2,FALSE)</f>
        <v>Workweek</v>
      </c>
    </row>
    <row r="5474" spans="1:10">
      <c r="A5474" s="159" t="str">
        <f t="shared" si="428"/>
        <v>$E$1:$E$92</v>
      </c>
      <c r="B5474" s="159" t="str">
        <f t="shared" si="429"/>
        <v>$F$1:$F$92</v>
      </c>
      <c r="C5474" s="159" t="str">
        <f t="shared" si="430"/>
        <v>May!$E$1:$E$92</v>
      </c>
      <c r="D5474" s="159" t="str">
        <f t="shared" si="431"/>
        <v>May!$F$1:$F$92</v>
      </c>
      <c r="E5474" t="s">
        <v>10</v>
      </c>
      <c r="F5474" t="s">
        <v>124</v>
      </c>
      <c r="G5474" t="s">
        <v>142</v>
      </c>
      <c r="H5474" t="s">
        <v>20</v>
      </c>
      <c r="I5474" t="e">
        <f t="shared" ca="1" si="432"/>
        <v>#REF!</v>
      </c>
      <c r="J5474" t="str">
        <f>VLOOKUP($G5474,DefinitionArrays!$I$6:$J$12,2,FALSE)</f>
        <v>Workweek</v>
      </c>
    </row>
    <row r="5475" spans="1:10">
      <c r="A5475" s="159" t="str">
        <f t="shared" si="428"/>
        <v>$E$1:$E$92</v>
      </c>
      <c r="B5475" s="159" t="str">
        <f t="shared" si="429"/>
        <v>$F$1:$F$92</v>
      </c>
      <c r="C5475" s="159" t="str">
        <f t="shared" si="430"/>
        <v>May!$E$1:$E$92</v>
      </c>
      <c r="D5475" s="159" t="str">
        <f t="shared" si="431"/>
        <v>May!$F$1:$F$92</v>
      </c>
      <c r="E5475" t="s">
        <v>10</v>
      </c>
      <c r="F5475" t="s">
        <v>124</v>
      </c>
      <c r="G5475" t="s">
        <v>142</v>
      </c>
      <c r="H5475" t="s">
        <v>21</v>
      </c>
      <c r="I5475" t="e">
        <f t="shared" ca="1" si="432"/>
        <v>#REF!</v>
      </c>
      <c r="J5475" t="str">
        <f>VLOOKUP($G5475,DefinitionArrays!$I$6:$J$12,2,FALSE)</f>
        <v>Workweek</v>
      </c>
    </row>
    <row r="5476" spans="1:10">
      <c r="A5476" s="159" t="str">
        <f t="shared" si="428"/>
        <v>$E$1:$E$92</v>
      </c>
      <c r="B5476" s="159" t="str">
        <f t="shared" si="429"/>
        <v>$F$1:$F$92</v>
      </c>
      <c r="C5476" s="159" t="str">
        <f t="shared" si="430"/>
        <v>May!$E$1:$E$92</v>
      </c>
      <c r="D5476" s="159" t="str">
        <f t="shared" si="431"/>
        <v>May!$F$1:$F$92</v>
      </c>
      <c r="E5476" t="s">
        <v>10</v>
      </c>
      <c r="F5476" t="s">
        <v>124</v>
      </c>
      <c r="G5476" t="s">
        <v>142</v>
      </c>
      <c r="H5476" t="s">
        <v>22</v>
      </c>
      <c r="I5476" t="e">
        <f t="shared" ca="1" si="432"/>
        <v>#REF!</v>
      </c>
      <c r="J5476" t="str">
        <f>VLOOKUP($G5476,DefinitionArrays!$I$6:$J$12,2,FALSE)</f>
        <v>Workweek</v>
      </c>
    </row>
    <row r="5477" spans="1:10">
      <c r="A5477" s="159" t="str">
        <f t="shared" si="428"/>
        <v>$E$1:$E$92</v>
      </c>
      <c r="B5477" s="159" t="str">
        <f t="shared" si="429"/>
        <v>$F$1:$F$92</v>
      </c>
      <c r="C5477" s="159" t="str">
        <f t="shared" si="430"/>
        <v>May!$E$1:$E$92</v>
      </c>
      <c r="D5477" s="159" t="str">
        <f t="shared" si="431"/>
        <v>May!$F$1:$F$92</v>
      </c>
      <c r="E5477" t="s">
        <v>10</v>
      </c>
      <c r="F5477" t="s">
        <v>124</v>
      </c>
      <c r="G5477" t="s">
        <v>142</v>
      </c>
      <c r="H5477" t="s">
        <v>23</v>
      </c>
      <c r="I5477" t="e">
        <f t="shared" ca="1" si="432"/>
        <v>#REF!</v>
      </c>
      <c r="J5477" t="str">
        <f>VLOOKUP($G5477,DefinitionArrays!$I$6:$J$12,2,FALSE)</f>
        <v>Workweek</v>
      </c>
    </row>
    <row r="5478" spans="1:10">
      <c r="A5478" s="159" t="str">
        <f t="shared" si="428"/>
        <v>$E$1:$E$92</v>
      </c>
      <c r="B5478" s="159" t="str">
        <f t="shared" si="429"/>
        <v>$F$1:$F$92</v>
      </c>
      <c r="C5478" s="159" t="str">
        <f t="shared" si="430"/>
        <v>May!$E$1:$E$92</v>
      </c>
      <c r="D5478" s="159" t="str">
        <f t="shared" si="431"/>
        <v>May!$F$1:$F$92</v>
      </c>
      <c r="E5478" t="s">
        <v>10</v>
      </c>
      <c r="F5478" t="s">
        <v>124</v>
      </c>
      <c r="G5478" t="s">
        <v>142</v>
      </c>
      <c r="H5478" t="s">
        <v>24</v>
      </c>
      <c r="I5478" t="e">
        <f t="shared" ca="1" si="432"/>
        <v>#REF!</v>
      </c>
      <c r="J5478" t="str">
        <f>VLOOKUP($G5478,DefinitionArrays!$I$6:$J$12,2,FALSE)</f>
        <v>Workweek</v>
      </c>
    </row>
    <row r="5479" spans="1:10">
      <c r="A5479" s="159" t="str">
        <f t="shared" si="428"/>
        <v>$E$1:$E$92</v>
      </c>
      <c r="B5479" s="159" t="str">
        <f t="shared" si="429"/>
        <v>$F$1:$F$92</v>
      </c>
      <c r="C5479" s="159" t="str">
        <f t="shared" si="430"/>
        <v>May!$E$1:$E$92</v>
      </c>
      <c r="D5479" s="159" t="str">
        <f t="shared" si="431"/>
        <v>May!$F$1:$F$92</v>
      </c>
      <c r="E5479" t="s">
        <v>10</v>
      </c>
      <c r="F5479" t="s">
        <v>124</v>
      </c>
      <c r="G5479" t="s">
        <v>142</v>
      </c>
      <c r="H5479" t="s">
        <v>179</v>
      </c>
      <c r="I5479" t="e">
        <f t="shared" ca="1" si="432"/>
        <v>#REF!</v>
      </c>
      <c r="J5479" t="str">
        <f>VLOOKUP($G5479,DefinitionArrays!$I$6:$J$12,2,FALSE)</f>
        <v>Workweek</v>
      </c>
    </row>
    <row r="5480" spans="1:10">
      <c r="A5480" s="159" t="str">
        <f t="shared" si="428"/>
        <v>$E$1:$E$92</v>
      </c>
      <c r="B5480" s="159" t="str">
        <f t="shared" si="429"/>
        <v>$F$1:$F$92</v>
      </c>
      <c r="C5480" s="159" t="str">
        <f t="shared" si="430"/>
        <v>May!$E$1:$E$92</v>
      </c>
      <c r="D5480" s="159" t="str">
        <f t="shared" si="431"/>
        <v>May!$F$1:$F$92</v>
      </c>
      <c r="E5480" t="s">
        <v>10</v>
      </c>
      <c r="F5480" t="s">
        <v>124</v>
      </c>
      <c r="G5480" t="s">
        <v>142</v>
      </c>
      <c r="H5480" t="s">
        <v>180</v>
      </c>
      <c r="I5480" t="e">
        <f t="shared" ca="1" si="432"/>
        <v>#REF!</v>
      </c>
      <c r="J5480" t="str">
        <f>VLOOKUP($G5480,DefinitionArrays!$I$6:$J$12,2,FALSE)</f>
        <v>Workweek</v>
      </c>
    </row>
    <row r="5481" spans="1:10">
      <c r="A5481" s="159" t="str">
        <f t="shared" si="428"/>
        <v>$E$1:$E$92</v>
      </c>
      <c r="B5481" s="159" t="str">
        <f t="shared" si="429"/>
        <v>$F$1:$F$92</v>
      </c>
      <c r="C5481" s="159" t="str">
        <f t="shared" si="430"/>
        <v>May!$E$1:$E$92</v>
      </c>
      <c r="D5481" s="159" t="str">
        <f t="shared" si="431"/>
        <v>May!$F$1:$F$92</v>
      </c>
      <c r="E5481" t="s">
        <v>10</v>
      </c>
      <c r="F5481" t="s">
        <v>124</v>
      </c>
      <c r="G5481" t="s">
        <v>142</v>
      </c>
      <c r="H5481" t="s">
        <v>44</v>
      </c>
      <c r="I5481" t="e">
        <f t="shared" ca="1" si="432"/>
        <v>#REF!</v>
      </c>
      <c r="J5481" t="str">
        <f>VLOOKUP($G5481,DefinitionArrays!$I$6:$J$12,2,FALSE)</f>
        <v>Workweek</v>
      </c>
    </row>
    <row r="5482" spans="1:10">
      <c r="A5482" s="159" t="str">
        <f t="shared" si="428"/>
        <v>$H$1:$H$92</v>
      </c>
      <c r="B5482" s="159" t="str">
        <f t="shared" si="429"/>
        <v>$I$1:$I$92</v>
      </c>
      <c r="C5482" s="159" t="str">
        <f t="shared" si="430"/>
        <v>May!$H$1:$H$92</v>
      </c>
      <c r="D5482" s="159" t="str">
        <f t="shared" si="431"/>
        <v>May!$I$1:$I$92</v>
      </c>
      <c r="E5482" t="s">
        <v>10</v>
      </c>
      <c r="F5482" t="s">
        <v>124</v>
      </c>
      <c r="G5482" t="s">
        <v>143</v>
      </c>
      <c r="H5482" t="s">
        <v>159</v>
      </c>
      <c r="I5482" t="e">
        <f t="shared" ca="1" si="432"/>
        <v>#REF!</v>
      </c>
      <c r="J5482" t="str">
        <f>VLOOKUP($G5482,DefinitionArrays!$I$6:$J$12,2,FALSE)</f>
        <v>Workweek</v>
      </c>
    </row>
    <row r="5483" spans="1:10">
      <c r="A5483" s="159" t="str">
        <f t="shared" si="428"/>
        <v>$H$1:$H$92</v>
      </c>
      <c r="B5483" s="159" t="str">
        <f t="shared" si="429"/>
        <v>$I$1:$I$92</v>
      </c>
      <c r="C5483" s="159" t="str">
        <f t="shared" si="430"/>
        <v>May!$H$1:$H$92</v>
      </c>
      <c r="D5483" s="159" t="str">
        <f t="shared" si="431"/>
        <v>May!$I$1:$I$92</v>
      </c>
      <c r="E5483" t="s">
        <v>10</v>
      </c>
      <c r="F5483" t="s">
        <v>124</v>
      </c>
      <c r="G5483" t="s">
        <v>143</v>
      </c>
      <c r="H5483" t="s">
        <v>18</v>
      </c>
      <c r="I5483" t="e">
        <f t="shared" ca="1" si="432"/>
        <v>#REF!</v>
      </c>
      <c r="J5483" t="str">
        <f>VLOOKUP($G5483,DefinitionArrays!$I$6:$J$12,2,FALSE)</f>
        <v>Workweek</v>
      </c>
    </row>
    <row r="5484" spans="1:10">
      <c r="A5484" s="159" t="str">
        <f t="shared" si="428"/>
        <v>$H$1:$H$92</v>
      </c>
      <c r="B5484" s="159" t="str">
        <f t="shared" si="429"/>
        <v>$I$1:$I$92</v>
      </c>
      <c r="C5484" s="159" t="str">
        <f t="shared" si="430"/>
        <v>May!$H$1:$H$92</v>
      </c>
      <c r="D5484" s="159" t="str">
        <f t="shared" si="431"/>
        <v>May!$I$1:$I$92</v>
      </c>
      <c r="E5484" t="s">
        <v>10</v>
      </c>
      <c r="F5484" t="s">
        <v>124</v>
      </c>
      <c r="G5484" t="s">
        <v>143</v>
      </c>
      <c r="H5484" t="s">
        <v>153</v>
      </c>
      <c r="I5484" t="e">
        <f t="shared" ca="1" si="432"/>
        <v>#REF!</v>
      </c>
      <c r="J5484" t="str">
        <f>VLOOKUP($G5484,DefinitionArrays!$I$6:$J$12,2,FALSE)</f>
        <v>Workweek</v>
      </c>
    </row>
    <row r="5485" spans="1:10">
      <c r="A5485" s="159" t="str">
        <f t="shared" si="428"/>
        <v>$H$1:$H$92</v>
      </c>
      <c r="B5485" s="159" t="str">
        <f t="shared" si="429"/>
        <v>$I$1:$I$92</v>
      </c>
      <c r="C5485" s="159" t="str">
        <f t="shared" si="430"/>
        <v>May!$H$1:$H$92</v>
      </c>
      <c r="D5485" s="159" t="str">
        <f t="shared" si="431"/>
        <v>May!$I$1:$I$92</v>
      </c>
      <c r="E5485" t="s">
        <v>10</v>
      </c>
      <c r="F5485" t="s">
        <v>124</v>
      </c>
      <c r="G5485" t="s">
        <v>143</v>
      </c>
      <c r="H5485" t="s">
        <v>19</v>
      </c>
      <c r="I5485" t="e">
        <f t="shared" ca="1" si="432"/>
        <v>#REF!</v>
      </c>
      <c r="J5485" t="str">
        <f>VLOOKUP($G5485,DefinitionArrays!$I$6:$J$12,2,FALSE)</f>
        <v>Workweek</v>
      </c>
    </row>
    <row r="5486" spans="1:10">
      <c r="A5486" s="159" t="str">
        <f t="shared" si="428"/>
        <v>$H$1:$H$92</v>
      </c>
      <c r="B5486" s="159" t="str">
        <f t="shared" si="429"/>
        <v>$I$1:$I$92</v>
      </c>
      <c r="C5486" s="159" t="str">
        <f t="shared" si="430"/>
        <v>May!$H$1:$H$92</v>
      </c>
      <c r="D5486" s="159" t="str">
        <f t="shared" si="431"/>
        <v>May!$I$1:$I$92</v>
      </c>
      <c r="E5486" t="s">
        <v>10</v>
      </c>
      <c r="F5486" t="s">
        <v>124</v>
      </c>
      <c r="G5486" t="s">
        <v>143</v>
      </c>
      <c r="H5486" t="s">
        <v>20</v>
      </c>
      <c r="I5486" t="e">
        <f t="shared" ca="1" si="432"/>
        <v>#REF!</v>
      </c>
      <c r="J5486" t="str">
        <f>VLOOKUP($G5486,DefinitionArrays!$I$6:$J$12,2,FALSE)</f>
        <v>Workweek</v>
      </c>
    </row>
    <row r="5487" spans="1:10">
      <c r="A5487" s="159" t="str">
        <f t="shared" si="428"/>
        <v>$H$1:$H$92</v>
      </c>
      <c r="B5487" s="159" t="str">
        <f t="shared" si="429"/>
        <v>$I$1:$I$92</v>
      </c>
      <c r="C5487" s="159" t="str">
        <f t="shared" si="430"/>
        <v>May!$H$1:$H$92</v>
      </c>
      <c r="D5487" s="159" t="str">
        <f t="shared" si="431"/>
        <v>May!$I$1:$I$92</v>
      </c>
      <c r="E5487" t="s">
        <v>10</v>
      </c>
      <c r="F5487" t="s">
        <v>124</v>
      </c>
      <c r="G5487" t="s">
        <v>143</v>
      </c>
      <c r="H5487" t="s">
        <v>21</v>
      </c>
      <c r="I5487" t="e">
        <f t="shared" ca="1" si="432"/>
        <v>#REF!</v>
      </c>
      <c r="J5487" t="str">
        <f>VLOOKUP($G5487,DefinitionArrays!$I$6:$J$12,2,FALSE)</f>
        <v>Workweek</v>
      </c>
    </row>
    <row r="5488" spans="1:10">
      <c r="A5488" s="159" t="str">
        <f t="shared" si="428"/>
        <v>$H$1:$H$92</v>
      </c>
      <c r="B5488" s="159" t="str">
        <f t="shared" si="429"/>
        <v>$I$1:$I$92</v>
      </c>
      <c r="C5488" s="159" t="str">
        <f t="shared" si="430"/>
        <v>May!$H$1:$H$92</v>
      </c>
      <c r="D5488" s="159" t="str">
        <f t="shared" si="431"/>
        <v>May!$I$1:$I$92</v>
      </c>
      <c r="E5488" t="s">
        <v>10</v>
      </c>
      <c r="F5488" t="s">
        <v>124</v>
      </c>
      <c r="G5488" t="s">
        <v>143</v>
      </c>
      <c r="H5488" t="s">
        <v>22</v>
      </c>
      <c r="I5488" t="e">
        <f t="shared" ca="1" si="432"/>
        <v>#REF!</v>
      </c>
      <c r="J5488" t="str">
        <f>VLOOKUP($G5488,DefinitionArrays!$I$6:$J$12,2,FALSE)</f>
        <v>Workweek</v>
      </c>
    </row>
    <row r="5489" spans="1:10">
      <c r="A5489" s="159" t="str">
        <f t="shared" si="428"/>
        <v>$H$1:$H$92</v>
      </c>
      <c r="B5489" s="159" t="str">
        <f t="shared" si="429"/>
        <v>$I$1:$I$92</v>
      </c>
      <c r="C5489" s="159" t="str">
        <f t="shared" si="430"/>
        <v>May!$H$1:$H$92</v>
      </c>
      <c r="D5489" s="159" t="str">
        <f t="shared" si="431"/>
        <v>May!$I$1:$I$92</v>
      </c>
      <c r="E5489" t="s">
        <v>10</v>
      </c>
      <c r="F5489" t="s">
        <v>124</v>
      </c>
      <c r="G5489" t="s">
        <v>143</v>
      </c>
      <c r="H5489" t="s">
        <v>23</v>
      </c>
      <c r="I5489" t="e">
        <f t="shared" ca="1" si="432"/>
        <v>#REF!</v>
      </c>
      <c r="J5489" t="str">
        <f>VLOOKUP($G5489,DefinitionArrays!$I$6:$J$12,2,FALSE)</f>
        <v>Workweek</v>
      </c>
    </row>
    <row r="5490" spans="1:10">
      <c r="A5490" s="159" t="str">
        <f t="shared" si="428"/>
        <v>$H$1:$H$92</v>
      </c>
      <c r="B5490" s="159" t="str">
        <f t="shared" si="429"/>
        <v>$I$1:$I$92</v>
      </c>
      <c r="C5490" s="159" t="str">
        <f t="shared" si="430"/>
        <v>May!$H$1:$H$92</v>
      </c>
      <c r="D5490" s="159" t="str">
        <f t="shared" si="431"/>
        <v>May!$I$1:$I$92</v>
      </c>
      <c r="E5490" t="s">
        <v>10</v>
      </c>
      <c r="F5490" t="s">
        <v>124</v>
      </c>
      <c r="G5490" t="s">
        <v>143</v>
      </c>
      <c r="H5490" t="s">
        <v>24</v>
      </c>
      <c r="I5490" t="e">
        <f t="shared" ca="1" si="432"/>
        <v>#REF!</v>
      </c>
      <c r="J5490" t="str">
        <f>VLOOKUP($G5490,DefinitionArrays!$I$6:$J$12,2,FALSE)</f>
        <v>Workweek</v>
      </c>
    </row>
    <row r="5491" spans="1:10">
      <c r="A5491" s="159" t="str">
        <f t="shared" si="428"/>
        <v>$H$1:$H$92</v>
      </c>
      <c r="B5491" s="159" t="str">
        <f t="shared" si="429"/>
        <v>$I$1:$I$92</v>
      </c>
      <c r="C5491" s="159" t="str">
        <f t="shared" si="430"/>
        <v>May!$H$1:$H$92</v>
      </c>
      <c r="D5491" s="159" t="str">
        <f t="shared" si="431"/>
        <v>May!$I$1:$I$92</v>
      </c>
      <c r="E5491" t="s">
        <v>10</v>
      </c>
      <c r="F5491" t="s">
        <v>124</v>
      </c>
      <c r="G5491" t="s">
        <v>143</v>
      </c>
      <c r="H5491" t="s">
        <v>179</v>
      </c>
      <c r="I5491" t="e">
        <f t="shared" ca="1" si="432"/>
        <v>#REF!</v>
      </c>
      <c r="J5491" t="str">
        <f>VLOOKUP($G5491,DefinitionArrays!$I$6:$J$12,2,FALSE)</f>
        <v>Workweek</v>
      </c>
    </row>
    <row r="5492" spans="1:10">
      <c r="A5492" s="159" t="str">
        <f t="shared" si="428"/>
        <v>$H$1:$H$92</v>
      </c>
      <c r="B5492" s="159" t="str">
        <f t="shared" si="429"/>
        <v>$I$1:$I$92</v>
      </c>
      <c r="C5492" s="159" t="str">
        <f t="shared" si="430"/>
        <v>May!$H$1:$H$92</v>
      </c>
      <c r="D5492" s="159" t="str">
        <f t="shared" si="431"/>
        <v>May!$I$1:$I$92</v>
      </c>
      <c r="E5492" t="s">
        <v>10</v>
      </c>
      <c r="F5492" t="s">
        <v>124</v>
      </c>
      <c r="G5492" t="s">
        <v>143</v>
      </c>
      <c r="H5492" t="s">
        <v>180</v>
      </c>
      <c r="I5492" t="e">
        <f t="shared" ca="1" si="432"/>
        <v>#REF!</v>
      </c>
      <c r="J5492" t="str">
        <f>VLOOKUP($G5492,DefinitionArrays!$I$6:$J$12,2,FALSE)</f>
        <v>Workweek</v>
      </c>
    </row>
    <row r="5493" spans="1:10">
      <c r="A5493" s="159" t="str">
        <f t="shared" si="428"/>
        <v>$H$1:$H$92</v>
      </c>
      <c r="B5493" s="159" t="str">
        <f t="shared" si="429"/>
        <v>$I$1:$I$92</v>
      </c>
      <c r="C5493" s="159" t="str">
        <f t="shared" si="430"/>
        <v>May!$H$1:$H$92</v>
      </c>
      <c r="D5493" s="159" t="str">
        <f t="shared" si="431"/>
        <v>May!$I$1:$I$92</v>
      </c>
      <c r="E5493" t="s">
        <v>10</v>
      </c>
      <c r="F5493" t="s">
        <v>124</v>
      </c>
      <c r="G5493" t="s">
        <v>143</v>
      </c>
      <c r="H5493" t="s">
        <v>44</v>
      </c>
      <c r="I5493" t="e">
        <f t="shared" ca="1" si="432"/>
        <v>#REF!</v>
      </c>
      <c r="J5493" t="str">
        <f>VLOOKUP($G5493,DefinitionArrays!$I$6:$J$12,2,FALSE)</f>
        <v>Workweek</v>
      </c>
    </row>
    <row r="5494" spans="1:10">
      <c r="A5494" s="159" t="str">
        <f t="shared" si="428"/>
        <v>$K$1:$K$92</v>
      </c>
      <c r="B5494" s="159" t="str">
        <f t="shared" si="429"/>
        <v>$L$1:$L$92</v>
      </c>
      <c r="C5494" s="159" t="str">
        <f t="shared" si="430"/>
        <v>May!$K$1:$K$92</v>
      </c>
      <c r="D5494" s="159" t="str">
        <f t="shared" si="431"/>
        <v>May!$L$1:$L$92</v>
      </c>
      <c r="E5494" t="s">
        <v>10</v>
      </c>
      <c r="F5494" t="s">
        <v>124</v>
      </c>
      <c r="G5494" t="s">
        <v>144</v>
      </c>
      <c r="H5494" t="s">
        <v>159</v>
      </c>
      <c r="I5494" t="e">
        <f t="shared" ca="1" si="432"/>
        <v>#REF!</v>
      </c>
      <c r="J5494" t="str">
        <f>VLOOKUP($G5494,DefinitionArrays!$I$6:$J$12,2,FALSE)</f>
        <v>Workweek</v>
      </c>
    </row>
    <row r="5495" spans="1:10">
      <c r="A5495" s="159" t="str">
        <f t="shared" si="428"/>
        <v>$K$1:$K$92</v>
      </c>
      <c r="B5495" s="159" t="str">
        <f t="shared" si="429"/>
        <v>$L$1:$L$92</v>
      </c>
      <c r="C5495" s="159" t="str">
        <f t="shared" si="430"/>
        <v>May!$K$1:$K$92</v>
      </c>
      <c r="D5495" s="159" t="str">
        <f t="shared" si="431"/>
        <v>May!$L$1:$L$92</v>
      </c>
      <c r="E5495" t="s">
        <v>10</v>
      </c>
      <c r="F5495" t="s">
        <v>124</v>
      </c>
      <c r="G5495" t="s">
        <v>144</v>
      </c>
      <c r="H5495" t="s">
        <v>18</v>
      </c>
      <c r="I5495" t="e">
        <f t="shared" ca="1" si="432"/>
        <v>#REF!</v>
      </c>
      <c r="J5495" t="str">
        <f>VLOOKUP($G5495,DefinitionArrays!$I$6:$J$12,2,FALSE)</f>
        <v>Workweek</v>
      </c>
    </row>
    <row r="5496" spans="1:10">
      <c r="A5496" s="159" t="str">
        <f t="shared" si="428"/>
        <v>$K$1:$K$92</v>
      </c>
      <c r="B5496" s="159" t="str">
        <f t="shared" si="429"/>
        <v>$L$1:$L$92</v>
      </c>
      <c r="C5496" s="159" t="str">
        <f t="shared" si="430"/>
        <v>May!$K$1:$K$92</v>
      </c>
      <c r="D5496" s="159" t="str">
        <f t="shared" si="431"/>
        <v>May!$L$1:$L$92</v>
      </c>
      <c r="E5496" t="s">
        <v>10</v>
      </c>
      <c r="F5496" t="s">
        <v>124</v>
      </c>
      <c r="G5496" t="s">
        <v>144</v>
      </c>
      <c r="H5496" t="s">
        <v>153</v>
      </c>
      <c r="I5496" t="e">
        <f t="shared" ca="1" si="432"/>
        <v>#REF!</v>
      </c>
      <c r="J5496" t="str">
        <f>VLOOKUP($G5496,DefinitionArrays!$I$6:$J$12,2,FALSE)</f>
        <v>Workweek</v>
      </c>
    </row>
    <row r="5497" spans="1:10">
      <c r="A5497" s="159" t="str">
        <f t="shared" si="428"/>
        <v>$K$1:$K$92</v>
      </c>
      <c r="B5497" s="159" t="str">
        <f t="shared" si="429"/>
        <v>$L$1:$L$92</v>
      </c>
      <c r="C5497" s="159" t="str">
        <f t="shared" si="430"/>
        <v>May!$K$1:$K$92</v>
      </c>
      <c r="D5497" s="159" t="str">
        <f t="shared" si="431"/>
        <v>May!$L$1:$L$92</v>
      </c>
      <c r="E5497" t="s">
        <v>10</v>
      </c>
      <c r="F5497" t="s">
        <v>124</v>
      </c>
      <c r="G5497" t="s">
        <v>144</v>
      </c>
      <c r="H5497" t="s">
        <v>19</v>
      </c>
      <c r="I5497" t="e">
        <f t="shared" ca="1" si="432"/>
        <v>#REF!</v>
      </c>
      <c r="J5497" t="str">
        <f>VLOOKUP($G5497,DefinitionArrays!$I$6:$J$12,2,FALSE)</f>
        <v>Workweek</v>
      </c>
    </row>
    <row r="5498" spans="1:10">
      <c r="A5498" s="159" t="str">
        <f t="shared" si="428"/>
        <v>$K$1:$K$92</v>
      </c>
      <c r="B5498" s="159" t="str">
        <f t="shared" si="429"/>
        <v>$L$1:$L$92</v>
      </c>
      <c r="C5498" s="159" t="str">
        <f t="shared" si="430"/>
        <v>May!$K$1:$K$92</v>
      </c>
      <c r="D5498" s="159" t="str">
        <f t="shared" si="431"/>
        <v>May!$L$1:$L$92</v>
      </c>
      <c r="E5498" t="s">
        <v>10</v>
      </c>
      <c r="F5498" t="s">
        <v>124</v>
      </c>
      <c r="G5498" t="s">
        <v>144</v>
      </c>
      <c r="H5498" t="s">
        <v>20</v>
      </c>
      <c r="I5498" t="e">
        <f t="shared" ca="1" si="432"/>
        <v>#REF!</v>
      </c>
      <c r="J5498" t="str">
        <f>VLOOKUP($G5498,DefinitionArrays!$I$6:$J$12,2,FALSE)</f>
        <v>Workweek</v>
      </c>
    </row>
    <row r="5499" spans="1:10">
      <c r="A5499" s="159" t="str">
        <f t="shared" si="428"/>
        <v>$K$1:$K$92</v>
      </c>
      <c r="B5499" s="159" t="str">
        <f t="shared" si="429"/>
        <v>$L$1:$L$92</v>
      </c>
      <c r="C5499" s="159" t="str">
        <f t="shared" si="430"/>
        <v>May!$K$1:$K$92</v>
      </c>
      <c r="D5499" s="159" t="str">
        <f t="shared" si="431"/>
        <v>May!$L$1:$L$92</v>
      </c>
      <c r="E5499" t="s">
        <v>10</v>
      </c>
      <c r="F5499" t="s">
        <v>124</v>
      </c>
      <c r="G5499" t="s">
        <v>144</v>
      </c>
      <c r="H5499" t="s">
        <v>21</v>
      </c>
      <c r="I5499" t="e">
        <f t="shared" ca="1" si="432"/>
        <v>#REF!</v>
      </c>
      <c r="J5499" t="str">
        <f>VLOOKUP($G5499,DefinitionArrays!$I$6:$J$12,2,FALSE)</f>
        <v>Workweek</v>
      </c>
    </row>
    <row r="5500" spans="1:10">
      <c r="A5500" s="159" t="str">
        <f t="shared" si="428"/>
        <v>$K$1:$K$92</v>
      </c>
      <c r="B5500" s="159" t="str">
        <f t="shared" si="429"/>
        <v>$L$1:$L$92</v>
      </c>
      <c r="C5500" s="159" t="str">
        <f t="shared" si="430"/>
        <v>May!$K$1:$K$92</v>
      </c>
      <c r="D5500" s="159" t="str">
        <f t="shared" si="431"/>
        <v>May!$L$1:$L$92</v>
      </c>
      <c r="E5500" t="s">
        <v>10</v>
      </c>
      <c r="F5500" t="s">
        <v>124</v>
      </c>
      <c r="G5500" t="s">
        <v>144</v>
      </c>
      <c r="H5500" t="s">
        <v>22</v>
      </c>
      <c r="I5500" t="e">
        <f t="shared" ca="1" si="432"/>
        <v>#REF!</v>
      </c>
      <c r="J5500" t="str">
        <f>VLOOKUP($G5500,DefinitionArrays!$I$6:$J$12,2,FALSE)</f>
        <v>Workweek</v>
      </c>
    </row>
    <row r="5501" spans="1:10">
      <c r="A5501" s="159" t="str">
        <f t="shared" si="428"/>
        <v>$K$1:$K$92</v>
      </c>
      <c r="B5501" s="159" t="str">
        <f t="shared" si="429"/>
        <v>$L$1:$L$92</v>
      </c>
      <c r="C5501" s="159" t="str">
        <f t="shared" si="430"/>
        <v>May!$K$1:$K$92</v>
      </c>
      <c r="D5501" s="159" t="str">
        <f t="shared" si="431"/>
        <v>May!$L$1:$L$92</v>
      </c>
      <c r="E5501" t="s">
        <v>10</v>
      </c>
      <c r="F5501" t="s">
        <v>124</v>
      </c>
      <c r="G5501" t="s">
        <v>144</v>
      </c>
      <c r="H5501" t="s">
        <v>23</v>
      </c>
      <c r="I5501" t="e">
        <f t="shared" ca="1" si="432"/>
        <v>#REF!</v>
      </c>
      <c r="J5501" t="str">
        <f>VLOOKUP($G5501,DefinitionArrays!$I$6:$J$12,2,FALSE)</f>
        <v>Workweek</v>
      </c>
    </row>
    <row r="5502" spans="1:10">
      <c r="A5502" s="159" t="str">
        <f t="shared" si="428"/>
        <v>$K$1:$K$92</v>
      </c>
      <c r="B5502" s="159" t="str">
        <f t="shared" si="429"/>
        <v>$L$1:$L$92</v>
      </c>
      <c r="C5502" s="159" t="str">
        <f t="shared" si="430"/>
        <v>May!$K$1:$K$92</v>
      </c>
      <c r="D5502" s="159" t="str">
        <f t="shared" si="431"/>
        <v>May!$L$1:$L$92</v>
      </c>
      <c r="E5502" t="s">
        <v>10</v>
      </c>
      <c r="F5502" t="s">
        <v>124</v>
      </c>
      <c r="G5502" t="s">
        <v>144</v>
      </c>
      <c r="H5502" t="s">
        <v>24</v>
      </c>
      <c r="I5502" t="e">
        <f t="shared" ca="1" si="432"/>
        <v>#REF!</v>
      </c>
      <c r="J5502" t="str">
        <f>VLOOKUP($G5502,DefinitionArrays!$I$6:$J$12,2,FALSE)</f>
        <v>Workweek</v>
      </c>
    </row>
    <row r="5503" spans="1:10">
      <c r="A5503" s="159" t="str">
        <f t="shared" si="428"/>
        <v>$K$1:$K$92</v>
      </c>
      <c r="B5503" s="159" t="str">
        <f t="shared" si="429"/>
        <v>$L$1:$L$92</v>
      </c>
      <c r="C5503" s="159" t="str">
        <f t="shared" si="430"/>
        <v>May!$K$1:$K$92</v>
      </c>
      <c r="D5503" s="159" t="str">
        <f t="shared" si="431"/>
        <v>May!$L$1:$L$92</v>
      </c>
      <c r="E5503" t="s">
        <v>10</v>
      </c>
      <c r="F5503" t="s">
        <v>124</v>
      </c>
      <c r="G5503" t="s">
        <v>144</v>
      </c>
      <c r="H5503" t="s">
        <v>179</v>
      </c>
      <c r="I5503" t="e">
        <f t="shared" ca="1" si="432"/>
        <v>#REF!</v>
      </c>
      <c r="J5503" t="str">
        <f>VLOOKUP($G5503,DefinitionArrays!$I$6:$J$12,2,FALSE)</f>
        <v>Workweek</v>
      </c>
    </row>
    <row r="5504" spans="1:10">
      <c r="A5504" s="159" t="str">
        <f t="shared" si="428"/>
        <v>$K$1:$K$92</v>
      </c>
      <c r="B5504" s="159" t="str">
        <f t="shared" si="429"/>
        <v>$L$1:$L$92</v>
      </c>
      <c r="C5504" s="159" t="str">
        <f t="shared" si="430"/>
        <v>May!$K$1:$K$92</v>
      </c>
      <c r="D5504" s="159" t="str">
        <f t="shared" si="431"/>
        <v>May!$L$1:$L$92</v>
      </c>
      <c r="E5504" t="s">
        <v>10</v>
      </c>
      <c r="F5504" t="s">
        <v>124</v>
      </c>
      <c r="G5504" t="s">
        <v>144</v>
      </c>
      <c r="H5504" t="s">
        <v>180</v>
      </c>
      <c r="I5504" t="e">
        <f t="shared" ca="1" si="432"/>
        <v>#REF!</v>
      </c>
      <c r="J5504" t="str">
        <f>VLOOKUP($G5504,DefinitionArrays!$I$6:$J$12,2,FALSE)</f>
        <v>Workweek</v>
      </c>
    </row>
    <row r="5505" spans="1:10">
      <c r="A5505" s="159" t="str">
        <f t="shared" si="428"/>
        <v>$K$1:$K$92</v>
      </c>
      <c r="B5505" s="159" t="str">
        <f t="shared" si="429"/>
        <v>$L$1:$L$92</v>
      </c>
      <c r="C5505" s="159" t="str">
        <f t="shared" si="430"/>
        <v>May!$K$1:$K$92</v>
      </c>
      <c r="D5505" s="159" t="str">
        <f t="shared" si="431"/>
        <v>May!$L$1:$L$92</v>
      </c>
      <c r="E5505" t="s">
        <v>10</v>
      </c>
      <c r="F5505" t="s">
        <v>124</v>
      </c>
      <c r="G5505" t="s">
        <v>144</v>
      </c>
      <c r="H5505" t="s">
        <v>44</v>
      </c>
      <c r="I5505" t="e">
        <f t="shared" ca="1" si="432"/>
        <v>#REF!</v>
      </c>
      <c r="J5505" t="str">
        <f>VLOOKUP($G5505,DefinitionArrays!$I$6:$J$12,2,FALSE)</f>
        <v>Workweek</v>
      </c>
    </row>
    <row r="5506" spans="1:10">
      <c r="A5506" s="159" t="str">
        <f t="shared" ref="A5506:A5569" si="433">VLOOKUP($G5506,Fx_Code,2,FALSE)</f>
        <v>$N$1:$N$92</v>
      </c>
      <c r="B5506" s="159" t="str">
        <f t="shared" ref="B5506:B5569" si="434">VLOOKUP($G5506,Fx_Code,3,FALSE)</f>
        <v>$O$1:$O$92</v>
      </c>
      <c r="C5506" s="159" t="str">
        <f t="shared" ref="C5506:C5569" si="435">CONCATENATE($F5506,$K$1,A5506)</f>
        <v>May!$N$1:$N$92</v>
      </c>
      <c r="D5506" s="159" t="str">
        <f t="shared" ref="D5506:D5569" si="436">CONCATENATE($F5506,$K$1,B5506)</f>
        <v>May!$O$1:$O$92</v>
      </c>
      <c r="E5506" t="s">
        <v>10</v>
      </c>
      <c r="F5506" t="s">
        <v>124</v>
      </c>
      <c r="G5506" t="s">
        <v>145</v>
      </c>
      <c r="H5506" t="s">
        <v>159</v>
      </c>
      <c r="I5506" t="e">
        <f t="shared" ca="1" si="432"/>
        <v>#REF!</v>
      </c>
      <c r="J5506" t="str">
        <f>VLOOKUP($G5506,DefinitionArrays!$I$6:$J$12,2,FALSE)</f>
        <v>Weekend</v>
      </c>
    </row>
    <row r="5507" spans="1:10">
      <c r="A5507" s="159" t="str">
        <f t="shared" si="433"/>
        <v>$N$1:$N$92</v>
      </c>
      <c r="B5507" s="159" t="str">
        <f t="shared" si="434"/>
        <v>$O$1:$O$92</v>
      </c>
      <c r="C5507" s="159" t="str">
        <f t="shared" si="435"/>
        <v>May!$N$1:$N$92</v>
      </c>
      <c r="D5507" s="159" t="str">
        <f t="shared" si="436"/>
        <v>May!$O$1:$O$92</v>
      </c>
      <c r="E5507" t="s">
        <v>10</v>
      </c>
      <c r="F5507" t="s">
        <v>124</v>
      </c>
      <c r="G5507" t="s">
        <v>145</v>
      </c>
      <c r="H5507" t="s">
        <v>18</v>
      </c>
      <c r="I5507" t="e">
        <f t="shared" ca="1" si="432"/>
        <v>#REF!</v>
      </c>
      <c r="J5507" t="str">
        <f>VLOOKUP($G5507,DefinitionArrays!$I$6:$J$12,2,FALSE)</f>
        <v>Weekend</v>
      </c>
    </row>
    <row r="5508" spans="1:10">
      <c r="A5508" s="159" t="str">
        <f t="shared" si="433"/>
        <v>$N$1:$N$92</v>
      </c>
      <c r="B5508" s="159" t="str">
        <f t="shared" si="434"/>
        <v>$O$1:$O$92</v>
      </c>
      <c r="C5508" s="159" t="str">
        <f t="shared" si="435"/>
        <v>May!$N$1:$N$92</v>
      </c>
      <c r="D5508" s="159" t="str">
        <f t="shared" si="436"/>
        <v>May!$O$1:$O$92</v>
      </c>
      <c r="E5508" t="s">
        <v>10</v>
      </c>
      <c r="F5508" t="s">
        <v>124</v>
      </c>
      <c r="G5508" t="s">
        <v>145</v>
      </c>
      <c r="H5508" t="s">
        <v>153</v>
      </c>
      <c r="I5508" t="e">
        <f t="shared" ca="1" si="432"/>
        <v>#REF!</v>
      </c>
      <c r="J5508" t="str">
        <f>VLOOKUP($G5508,DefinitionArrays!$I$6:$J$12,2,FALSE)</f>
        <v>Weekend</v>
      </c>
    </row>
    <row r="5509" spans="1:10">
      <c r="A5509" s="159" t="str">
        <f t="shared" si="433"/>
        <v>$N$1:$N$92</v>
      </c>
      <c r="B5509" s="159" t="str">
        <f t="shared" si="434"/>
        <v>$O$1:$O$92</v>
      </c>
      <c r="C5509" s="159" t="str">
        <f t="shared" si="435"/>
        <v>May!$N$1:$N$92</v>
      </c>
      <c r="D5509" s="159" t="str">
        <f t="shared" si="436"/>
        <v>May!$O$1:$O$92</v>
      </c>
      <c r="E5509" t="s">
        <v>10</v>
      </c>
      <c r="F5509" t="s">
        <v>124</v>
      </c>
      <c r="G5509" t="s">
        <v>145</v>
      </c>
      <c r="H5509" t="s">
        <v>19</v>
      </c>
      <c r="I5509" t="e">
        <f t="shared" ca="1" si="432"/>
        <v>#REF!</v>
      </c>
      <c r="J5509" t="str">
        <f>VLOOKUP($G5509,DefinitionArrays!$I$6:$J$12,2,FALSE)</f>
        <v>Weekend</v>
      </c>
    </row>
    <row r="5510" spans="1:10">
      <c r="A5510" s="159" t="str">
        <f t="shared" si="433"/>
        <v>$N$1:$N$92</v>
      </c>
      <c r="B5510" s="159" t="str">
        <f t="shared" si="434"/>
        <v>$O$1:$O$92</v>
      </c>
      <c r="C5510" s="159" t="str">
        <f t="shared" si="435"/>
        <v>May!$N$1:$N$92</v>
      </c>
      <c r="D5510" s="159" t="str">
        <f t="shared" si="436"/>
        <v>May!$O$1:$O$92</v>
      </c>
      <c r="E5510" t="s">
        <v>10</v>
      </c>
      <c r="F5510" t="s">
        <v>124</v>
      </c>
      <c r="G5510" t="s">
        <v>145</v>
      </c>
      <c r="H5510" t="s">
        <v>20</v>
      </c>
      <c r="I5510" t="e">
        <f t="shared" ca="1" si="432"/>
        <v>#REF!</v>
      </c>
      <c r="J5510" t="str">
        <f>VLOOKUP($G5510,DefinitionArrays!$I$6:$J$12,2,FALSE)</f>
        <v>Weekend</v>
      </c>
    </row>
    <row r="5511" spans="1:10">
      <c r="A5511" s="159" t="str">
        <f t="shared" si="433"/>
        <v>$N$1:$N$92</v>
      </c>
      <c r="B5511" s="159" t="str">
        <f t="shared" si="434"/>
        <v>$O$1:$O$92</v>
      </c>
      <c r="C5511" s="159" t="str">
        <f t="shared" si="435"/>
        <v>May!$N$1:$N$92</v>
      </c>
      <c r="D5511" s="159" t="str">
        <f t="shared" si="436"/>
        <v>May!$O$1:$O$92</v>
      </c>
      <c r="E5511" t="s">
        <v>10</v>
      </c>
      <c r="F5511" t="s">
        <v>124</v>
      </c>
      <c r="G5511" t="s">
        <v>145</v>
      </c>
      <c r="H5511" t="s">
        <v>21</v>
      </c>
      <c r="I5511" t="e">
        <f t="shared" ca="1" si="432"/>
        <v>#REF!</v>
      </c>
      <c r="J5511" t="str">
        <f>VLOOKUP($G5511,DefinitionArrays!$I$6:$J$12,2,FALSE)</f>
        <v>Weekend</v>
      </c>
    </row>
    <row r="5512" spans="1:10">
      <c r="A5512" s="159" t="str">
        <f t="shared" si="433"/>
        <v>$N$1:$N$92</v>
      </c>
      <c r="B5512" s="159" t="str">
        <f t="shared" si="434"/>
        <v>$O$1:$O$92</v>
      </c>
      <c r="C5512" s="159" t="str">
        <f t="shared" si="435"/>
        <v>May!$N$1:$N$92</v>
      </c>
      <c r="D5512" s="159" t="str">
        <f t="shared" si="436"/>
        <v>May!$O$1:$O$92</v>
      </c>
      <c r="E5512" t="s">
        <v>10</v>
      </c>
      <c r="F5512" t="s">
        <v>124</v>
      </c>
      <c r="G5512" t="s">
        <v>145</v>
      </c>
      <c r="H5512" t="s">
        <v>22</v>
      </c>
      <c r="I5512" t="e">
        <f t="shared" ca="1" si="432"/>
        <v>#REF!</v>
      </c>
      <c r="J5512" t="str">
        <f>VLOOKUP($G5512,DefinitionArrays!$I$6:$J$12,2,FALSE)</f>
        <v>Weekend</v>
      </c>
    </row>
    <row r="5513" spans="1:10">
      <c r="A5513" s="159" t="str">
        <f t="shared" si="433"/>
        <v>$N$1:$N$92</v>
      </c>
      <c r="B5513" s="159" t="str">
        <f t="shared" si="434"/>
        <v>$O$1:$O$92</v>
      </c>
      <c r="C5513" s="159" t="str">
        <f t="shared" si="435"/>
        <v>May!$N$1:$N$92</v>
      </c>
      <c r="D5513" s="159" t="str">
        <f t="shared" si="436"/>
        <v>May!$O$1:$O$92</v>
      </c>
      <c r="E5513" t="s">
        <v>10</v>
      </c>
      <c r="F5513" t="s">
        <v>124</v>
      </c>
      <c r="G5513" t="s">
        <v>145</v>
      </c>
      <c r="H5513" t="s">
        <v>23</v>
      </c>
      <c r="I5513" t="e">
        <f t="shared" ca="1" si="432"/>
        <v>#REF!</v>
      </c>
      <c r="J5513" t="str">
        <f>VLOOKUP($G5513,DefinitionArrays!$I$6:$J$12,2,FALSE)</f>
        <v>Weekend</v>
      </c>
    </row>
    <row r="5514" spans="1:10">
      <c r="A5514" s="159" t="str">
        <f t="shared" si="433"/>
        <v>$N$1:$N$92</v>
      </c>
      <c r="B5514" s="159" t="str">
        <f t="shared" si="434"/>
        <v>$O$1:$O$92</v>
      </c>
      <c r="C5514" s="159" t="str">
        <f t="shared" si="435"/>
        <v>May!$N$1:$N$92</v>
      </c>
      <c r="D5514" s="159" t="str">
        <f t="shared" si="436"/>
        <v>May!$O$1:$O$92</v>
      </c>
      <c r="E5514" t="s">
        <v>10</v>
      </c>
      <c r="F5514" t="s">
        <v>124</v>
      </c>
      <c r="G5514" t="s">
        <v>145</v>
      </c>
      <c r="H5514" t="s">
        <v>24</v>
      </c>
      <c r="I5514" t="e">
        <f t="shared" ca="1" si="432"/>
        <v>#REF!</v>
      </c>
      <c r="J5514" t="str">
        <f>VLOOKUP($G5514,DefinitionArrays!$I$6:$J$12,2,FALSE)</f>
        <v>Weekend</v>
      </c>
    </row>
    <row r="5515" spans="1:10">
      <c r="A5515" s="159" t="str">
        <f t="shared" si="433"/>
        <v>$N$1:$N$92</v>
      </c>
      <c r="B5515" s="159" t="str">
        <f t="shared" si="434"/>
        <v>$O$1:$O$92</v>
      </c>
      <c r="C5515" s="159" t="str">
        <f t="shared" si="435"/>
        <v>May!$N$1:$N$92</v>
      </c>
      <c r="D5515" s="159" t="str">
        <f t="shared" si="436"/>
        <v>May!$O$1:$O$92</v>
      </c>
      <c r="E5515" t="s">
        <v>10</v>
      </c>
      <c r="F5515" t="s">
        <v>124</v>
      </c>
      <c r="G5515" t="s">
        <v>145</v>
      </c>
      <c r="H5515" t="s">
        <v>179</v>
      </c>
      <c r="I5515" t="e">
        <f t="shared" ca="1" si="432"/>
        <v>#REF!</v>
      </c>
      <c r="J5515" t="str">
        <f>VLOOKUP($G5515,DefinitionArrays!$I$6:$J$12,2,FALSE)</f>
        <v>Weekend</v>
      </c>
    </row>
    <row r="5516" spans="1:10">
      <c r="A5516" s="159" t="str">
        <f t="shared" si="433"/>
        <v>$N$1:$N$92</v>
      </c>
      <c r="B5516" s="159" t="str">
        <f t="shared" si="434"/>
        <v>$O$1:$O$92</v>
      </c>
      <c r="C5516" s="159" t="str">
        <f t="shared" si="435"/>
        <v>May!$N$1:$N$92</v>
      </c>
      <c r="D5516" s="159" t="str">
        <f t="shared" si="436"/>
        <v>May!$O$1:$O$92</v>
      </c>
      <c r="E5516" t="s">
        <v>10</v>
      </c>
      <c r="F5516" t="s">
        <v>124</v>
      </c>
      <c r="G5516" t="s">
        <v>145</v>
      </c>
      <c r="H5516" t="s">
        <v>180</v>
      </c>
      <c r="I5516" t="e">
        <f t="shared" ca="1" si="432"/>
        <v>#REF!</v>
      </c>
      <c r="J5516" t="str">
        <f>VLOOKUP($G5516,DefinitionArrays!$I$6:$J$12,2,FALSE)</f>
        <v>Weekend</v>
      </c>
    </row>
    <row r="5517" spans="1:10">
      <c r="A5517" s="159" t="str">
        <f t="shared" si="433"/>
        <v>$N$1:$N$92</v>
      </c>
      <c r="B5517" s="159" t="str">
        <f t="shared" si="434"/>
        <v>$O$1:$O$92</v>
      </c>
      <c r="C5517" s="159" t="str">
        <f t="shared" si="435"/>
        <v>May!$N$1:$N$92</v>
      </c>
      <c r="D5517" s="159" t="str">
        <f t="shared" si="436"/>
        <v>May!$O$1:$O$92</v>
      </c>
      <c r="E5517" t="s">
        <v>10</v>
      </c>
      <c r="F5517" t="s">
        <v>124</v>
      </c>
      <c r="G5517" t="s">
        <v>145</v>
      </c>
      <c r="H5517" t="s">
        <v>44</v>
      </c>
      <c r="I5517" t="e">
        <f t="shared" ca="1" si="432"/>
        <v>#REF!</v>
      </c>
      <c r="J5517" t="str">
        <f>VLOOKUP($G5517,DefinitionArrays!$I$6:$J$12,2,FALSE)</f>
        <v>Weekend</v>
      </c>
    </row>
    <row r="5518" spans="1:10">
      <c r="A5518" s="159" t="str">
        <f t="shared" si="433"/>
        <v>$Q$1:$Q$92</v>
      </c>
      <c r="B5518" s="159" t="str">
        <f t="shared" si="434"/>
        <v>$R$1:$R$92</v>
      </c>
      <c r="C5518" s="159" t="str">
        <f t="shared" si="435"/>
        <v>May!$Q$1:$Q$92</v>
      </c>
      <c r="D5518" s="159" t="str">
        <f t="shared" si="436"/>
        <v>May!$R$1:$R$92</v>
      </c>
      <c r="E5518" t="s">
        <v>10</v>
      </c>
      <c r="F5518" t="s">
        <v>124</v>
      </c>
      <c r="G5518" t="s">
        <v>146</v>
      </c>
      <c r="H5518" t="s">
        <v>159</v>
      </c>
      <c r="I5518" t="e">
        <f t="shared" ca="1" si="432"/>
        <v>#REF!</v>
      </c>
      <c r="J5518" t="str">
        <f>VLOOKUP($G5518,DefinitionArrays!$I$6:$J$12,2,FALSE)</f>
        <v>Weekend</v>
      </c>
    </row>
    <row r="5519" spans="1:10">
      <c r="A5519" s="159" t="str">
        <f t="shared" si="433"/>
        <v>$T$1:$T$92</v>
      </c>
      <c r="B5519" s="159" t="str">
        <f t="shared" si="434"/>
        <v>$U$1:$U$92</v>
      </c>
      <c r="C5519" s="159" t="str">
        <f t="shared" si="435"/>
        <v>May!$T$1:$T$92</v>
      </c>
      <c r="D5519" s="159" t="str">
        <f t="shared" si="436"/>
        <v>May!$U$1:$U$92</v>
      </c>
      <c r="E5519" t="s">
        <v>10</v>
      </c>
      <c r="F5519" t="s">
        <v>124</v>
      </c>
      <c r="G5519" t="s">
        <v>141</v>
      </c>
      <c r="H5519" t="s">
        <v>159</v>
      </c>
      <c r="I5519" t="e">
        <f t="shared" ca="1" si="432"/>
        <v>#REF!</v>
      </c>
      <c r="J5519" t="str">
        <f>VLOOKUP($G5519,DefinitionArrays!$I$6:$J$12,2,FALSE)</f>
        <v>Weekend</v>
      </c>
    </row>
    <row r="5520" spans="1:10">
      <c r="A5520" s="159" t="str">
        <f t="shared" si="433"/>
        <v>$B$1:$B$92</v>
      </c>
      <c r="B5520" s="159" t="str">
        <f t="shared" si="434"/>
        <v>$C$1:$C$92</v>
      </c>
      <c r="C5520" s="159" t="str">
        <f t="shared" si="435"/>
        <v>June!$B$1:$B$92</v>
      </c>
      <c r="D5520" s="159" t="str">
        <f t="shared" si="436"/>
        <v>June!$C$1:$C$92</v>
      </c>
      <c r="E5520" t="s">
        <v>10</v>
      </c>
      <c r="F5520" t="s">
        <v>125</v>
      </c>
      <c r="G5520" t="s">
        <v>13</v>
      </c>
      <c r="H5520" t="s">
        <v>159</v>
      </c>
      <c r="I5520" t="e">
        <f ca="1">COUNTIFS(INDIRECT($C5520),$E5520,INDIRECT($D5520),$H5520)</f>
        <v>#REF!</v>
      </c>
      <c r="J5520" t="str">
        <f>VLOOKUP($G5520,DefinitionArrays!$I$6:$J$12,2,FALSE)</f>
        <v>Workweek</v>
      </c>
    </row>
    <row r="5521" spans="1:10">
      <c r="A5521" s="159" t="str">
        <f t="shared" si="433"/>
        <v>$B$1:$B$92</v>
      </c>
      <c r="B5521" s="159" t="str">
        <f t="shared" si="434"/>
        <v>$C$1:$C$92</v>
      </c>
      <c r="C5521" s="159" t="str">
        <f t="shared" si="435"/>
        <v>June!$B$1:$B$92</v>
      </c>
      <c r="D5521" s="159" t="str">
        <f t="shared" si="436"/>
        <v>June!$C$1:$C$92</v>
      </c>
      <c r="E5521" t="s">
        <v>10</v>
      </c>
      <c r="F5521" t="s">
        <v>125</v>
      </c>
      <c r="G5521" t="s">
        <v>13</v>
      </c>
      <c r="H5521" t="s">
        <v>18</v>
      </c>
      <c r="I5521" t="e">
        <f t="shared" ref="I5521:I5581" ca="1" si="437">COUNTIFS(INDIRECT($C5521),$E5521,INDIRECT($D5521),$H5521)</f>
        <v>#REF!</v>
      </c>
      <c r="J5521" t="str">
        <f>VLOOKUP($G5521,DefinitionArrays!$I$6:$J$12,2,FALSE)</f>
        <v>Workweek</v>
      </c>
    </row>
    <row r="5522" spans="1:10">
      <c r="A5522" s="159" t="str">
        <f t="shared" si="433"/>
        <v>$B$1:$B$92</v>
      </c>
      <c r="B5522" s="159" t="str">
        <f t="shared" si="434"/>
        <v>$C$1:$C$92</v>
      </c>
      <c r="C5522" s="159" t="str">
        <f t="shared" si="435"/>
        <v>June!$B$1:$B$92</v>
      </c>
      <c r="D5522" s="159" t="str">
        <f t="shared" si="436"/>
        <v>June!$C$1:$C$92</v>
      </c>
      <c r="E5522" t="s">
        <v>10</v>
      </c>
      <c r="F5522" t="s">
        <v>125</v>
      </c>
      <c r="G5522" t="s">
        <v>13</v>
      </c>
      <c r="H5522" t="s">
        <v>153</v>
      </c>
      <c r="I5522" t="e">
        <f t="shared" ca="1" si="437"/>
        <v>#REF!</v>
      </c>
      <c r="J5522" t="str">
        <f>VLOOKUP($G5522,DefinitionArrays!$I$6:$J$12,2,FALSE)</f>
        <v>Workweek</v>
      </c>
    </row>
    <row r="5523" spans="1:10">
      <c r="A5523" s="159" t="str">
        <f t="shared" si="433"/>
        <v>$B$1:$B$92</v>
      </c>
      <c r="B5523" s="159" t="str">
        <f t="shared" si="434"/>
        <v>$C$1:$C$92</v>
      </c>
      <c r="C5523" s="159" t="str">
        <f t="shared" si="435"/>
        <v>June!$B$1:$B$92</v>
      </c>
      <c r="D5523" s="159" t="str">
        <f t="shared" si="436"/>
        <v>June!$C$1:$C$92</v>
      </c>
      <c r="E5523" t="s">
        <v>10</v>
      </c>
      <c r="F5523" t="s">
        <v>125</v>
      </c>
      <c r="G5523" t="s">
        <v>13</v>
      </c>
      <c r="H5523" t="s">
        <v>19</v>
      </c>
      <c r="I5523" t="e">
        <f t="shared" ca="1" si="437"/>
        <v>#REF!</v>
      </c>
      <c r="J5523" t="str">
        <f>VLOOKUP($G5523,DefinitionArrays!$I$6:$J$12,2,FALSE)</f>
        <v>Workweek</v>
      </c>
    </row>
    <row r="5524" spans="1:10">
      <c r="A5524" s="159" t="str">
        <f t="shared" si="433"/>
        <v>$B$1:$B$92</v>
      </c>
      <c r="B5524" s="159" t="str">
        <f t="shared" si="434"/>
        <v>$C$1:$C$92</v>
      </c>
      <c r="C5524" s="159" t="str">
        <f t="shared" si="435"/>
        <v>June!$B$1:$B$92</v>
      </c>
      <c r="D5524" s="159" t="str">
        <f t="shared" si="436"/>
        <v>June!$C$1:$C$92</v>
      </c>
      <c r="E5524" t="s">
        <v>10</v>
      </c>
      <c r="F5524" t="s">
        <v>125</v>
      </c>
      <c r="G5524" t="s">
        <v>13</v>
      </c>
      <c r="H5524" t="s">
        <v>20</v>
      </c>
      <c r="I5524" t="e">
        <f t="shared" ca="1" si="437"/>
        <v>#REF!</v>
      </c>
      <c r="J5524" t="str">
        <f>VLOOKUP($G5524,DefinitionArrays!$I$6:$J$12,2,FALSE)</f>
        <v>Workweek</v>
      </c>
    </row>
    <row r="5525" spans="1:10">
      <c r="A5525" s="159" t="str">
        <f t="shared" si="433"/>
        <v>$B$1:$B$92</v>
      </c>
      <c r="B5525" s="159" t="str">
        <f t="shared" si="434"/>
        <v>$C$1:$C$92</v>
      </c>
      <c r="C5525" s="159" t="str">
        <f t="shared" si="435"/>
        <v>June!$B$1:$B$92</v>
      </c>
      <c r="D5525" s="159" t="str">
        <f t="shared" si="436"/>
        <v>June!$C$1:$C$92</v>
      </c>
      <c r="E5525" t="s">
        <v>10</v>
      </c>
      <c r="F5525" t="s">
        <v>125</v>
      </c>
      <c r="G5525" t="s">
        <v>13</v>
      </c>
      <c r="H5525" t="s">
        <v>21</v>
      </c>
      <c r="I5525" t="e">
        <f t="shared" ca="1" si="437"/>
        <v>#REF!</v>
      </c>
      <c r="J5525" t="str">
        <f>VLOOKUP($G5525,DefinitionArrays!$I$6:$J$12,2,FALSE)</f>
        <v>Workweek</v>
      </c>
    </row>
    <row r="5526" spans="1:10">
      <c r="A5526" s="159" t="str">
        <f t="shared" si="433"/>
        <v>$B$1:$B$92</v>
      </c>
      <c r="B5526" s="159" t="str">
        <f t="shared" si="434"/>
        <v>$C$1:$C$92</v>
      </c>
      <c r="C5526" s="159" t="str">
        <f t="shared" si="435"/>
        <v>June!$B$1:$B$92</v>
      </c>
      <c r="D5526" s="159" t="str">
        <f t="shared" si="436"/>
        <v>June!$C$1:$C$92</v>
      </c>
      <c r="E5526" t="s">
        <v>10</v>
      </c>
      <c r="F5526" t="s">
        <v>125</v>
      </c>
      <c r="G5526" t="s">
        <v>13</v>
      </c>
      <c r="H5526" t="s">
        <v>22</v>
      </c>
      <c r="I5526" t="e">
        <f t="shared" ca="1" si="437"/>
        <v>#REF!</v>
      </c>
      <c r="J5526" t="str">
        <f>VLOOKUP($G5526,DefinitionArrays!$I$6:$J$12,2,FALSE)</f>
        <v>Workweek</v>
      </c>
    </row>
    <row r="5527" spans="1:10">
      <c r="A5527" s="159" t="str">
        <f t="shared" si="433"/>
        <v>$B$1:$B$92</v>
      </c>
      <c r="B5527" s="159" t="str">
        <f t="shared" si="434"/>
        <v>$C$1:$C$92</v>
      </c>
      <c r="C5527" s="159" t="str">
        <f t="shared" si="435"/>
        <v>June!$B$1:$B$92</v>
      </c>
      <c r="D5527" s="159" t="str">
        <f t="shared" si="436"/>
        <v>June!$C$1:$C$92</v>
      </c>
      <c r="E5527" t="s">
        <v>10</v>
      </c>
      <c r="F5527" t="s">
        <v>125</v>
      </c>
      <c r="G5527" t="s">
        <v>13</v>
      </c>
      <c r="H5527" t="s">
        <v>23</v>
      </c>
      <c r="I5527" t="e">
        <f t="shared" ca="1" si="437"/>
        <v>#REF!</v>
      </c>
      <c r="J5527" t="str">
        <f>VLOOKUP($G5527,DefinitionArrays!$I$6:$J$12,2,FALSE)</f>
        <v>Workweek</v>
      </c>
    </row>
    <row r="5528" spans="1:10">
      <c r="A5528" s="159" t="str">
        <f t="shared" si="433"/>
        <v>$B$1:$B$92</v>
      </c>
      <c r="B5528" s="159" t="str">
        <f t="shared" si="434"/>
        <v>$C$1:$C$92</v>
      </c>
      <c r="C5528" s="159" t="str">
        <f t="shared" si="435"/>
        <v>June!$B$1:$B$92</v>
      </c>
      <c r="D5528" s="159" t="str">
        <f t="shared" si="436"/>
        <v>June!$C$1:$C$92</v>
      </c>
      <c r="E5528" t="s">
        <v>10</v>
      </c>
      <c r="F5528" t="s">
        <v>125</v>
      </c>
      <c r="G5528" t="s">
        <v>13</v>
      </c>
      <c r="H5528" t="s">
        <v>24</v>
      </c>
      <c r="I5528" t="e">
        <f t="shared" ca="1" si="437"/>
        <v>#REF!</v>
      </c>
      <c r="J5528" t="str">
        <f>VLOOKUP($G5528,DefinitionArrays!$I$6:$J$12,2,FALSE)</f>
        <v>Workweek</v>
      </c>
    </row>
    <row r="5529" spans="1:10">
      <c r="A5529" s="159" t="str">
        <f t="shared" si="433"/>
        <v>$B$1:$B$92</v>
      </c>
      <c r="B5529" s="159" t="str">
        <f t="shared" si="434"/>
        <v>$C$1:$C$92</v>
      </c>
      <c r="C5529" s="159" t="str">
        <f t="shared" si="435"/>
        <v>June!$B$1:$B$92</v>
      </c>
      <c r="D5529" s="159" t="str">
        <f t="shared" si="436"/>
        <v>June!$C$1:$C$92</v>
      </c>
      <c r="E5529" t="s">
        <v>10</v>
      </c>
      <c r="F5529" t="s">
        <v>125</v>
      </c>
      <c r="G5529" t="s">
        <v>13</v>
      </c>
      <c r="H5529" t="s">
        <v>179</v>
      </c>
      <c r="I5529" t="e">
        <f t="shared" ca="1" si="437"/>
        <v>#REF!</v>
      </c>
      <c r="J5529" t="str">
        <f>VLOOKUP($G5529,DefinitionArrays!$I$6:$J$12,2,FALSE)</f>
        <v>Workweek</v>
      </c>
    </row>
    <row r="5530" spans="1:10">
      <c r="A5530" s="159" t="str">
        <f t="shared" si="433"/>
        <v>$B$1:$B$92</v>
      </c>
      <c r="B5530" s="159" t="str">
        <f t="shared" si="434"/>
        <v>$C$1:$C$92</v>
      </c>
      <c r="C5530" s="159" t="str">
        <f t="shared" si="435"/>
        <v>June!$B$1:$B$92</v>
      </c>
      <c r="D5530" s="159" t="str">
        <f t="shared" si="436"/>
        <v>June!$C$1:$C$92</v>
      </c>
      <c r="E5530" t="s">
        <v>10</v>
      </c>
      <c r="F5530" t="s">
        <v>125</v>
      </c>
      <c r="G5530" t="s">
        <v>13</v>
      </c>
      <c r="H5530" t="s">
        <v>180</v>
      </c>
      <c r="I5530" t="e">
        <f t="shared" ca="1" si="437"/>
        <v>#REF!</v>
      </c>
      <c r="J5530" t="str">
        <f>VLOOKUP($G5530,DefinitionArrays!$I$6:$J$12,2,FALSE)</f>
        <v>Workweek</v>
      </c>
    </row>
    <row r="5531" spans="1:10">
      <c r="A5531" s="159" t="str">
        <f t="shared" si="433"/>
        <v>$B$1:$B$92</v>
      </c>
      <c r="B5531" s="159" t="str">
        <f t="shared" si="434"/>
        <v>$C$1:$C$92</v>
      </c>
      <c r="C5531" s="159" t="str">
        <f t="shared" si="435"/>
        <v>June!$B$1:$B$92</v>
      </c>
      <c r="D5531" s="159" t="str">
        <f t="shared" si="436"/>
        <v>June!$C$1:$C$92</v>
      </c>
      <c r="E5531" t="s">
        <v>10</v>
      </c>
      <c r="F5531" t="s">
        <v>125</v>
      </c>
      <c r="G5531" t="s">
        <v>13</v>
      </c>
      <c r="H5531" t="s">
        <v>44</v>
      </c>
      <c r="I5531" t="e">
        <f t="shared" ca="1" si="437"/>
        <v>#REF!</v>
      </c>
      <c r="J5531" t="str">
        <f>VLOOKUP($G5531,DefinitionArrays!$I$6:$J$12,2,FALSE)</f>
        <v>Workweek</v>
      </c>
    </row>
    <row r="5532" spans="1:10">
      <c r="A5532" s="159" t="str">
        <f t="shared" si="433"/>
        <v>$E$1:$E$92</v>
      </c>
      <c r="B5532" s="159" t="str">
        <f t="shared" si="434"/>
        <v>$F$1:$F$92</v>
      </c>
      <c r="C5532" s="159" t="str">
        <f t="shared" si="435"/>
        <v>June!$E$1:$E$92</v>
      </c>
      <c r="D5532" s="159" t="str">
        <f t="shared" si="436"/>
        <v>June!$F$1:$F$92</v>
      </c>
      <c r="E5532" t="s">
        <v>10</v>
      </c>
      <c r="F5532" t="s">
        <v>125</v>
      </c>
      <c r="G5532" t="s">
        <v>142</v>
      </c>
      <c r="H5532" t="s">
        <v>159</v>
      </c>
      <c r="I5532" t="e">
        <f t="shared" ca="1" si="437"/>
        <v>#REF!</v>
      </c>
      <c r="J5532" t="str">
        <f>VLOOKUP($G5532,DefinitionArrays!$I$6:$J$12,2,FALSE)</f>
        <v>Workweek</v>
      </c>
    </row>
    <row r="5533" spans="1:10">
      <c r="A5533" s="159" t="str">
        <f t="shared" si="433"/>
        <v>$E$1:$E$92</v>
      </c>
      <c r="B5533" s="159" t="str">
        <f t="shared" si="434"/>
        <v>$F$1:$F$92</v>
      </c>
      <c r="C5533" s="159" t="str">
        <f t="shared" si="435"/>
        <v>June!$E$1:$E$92</v>
      </c>
      <c r="D5533" s="159" t="str">
        <f t="shared" si="436"/>
        <v>June!$F$1:$F$92</v>
      </c>
      <c r="E5533" t="s">
        <v>10</v>
      </c>
      <c r="F5533" t="s">
        <v>125</v>
      </c>
      <c r="G5533" t="s">
        <v>142</v>
      </c>
      <c r="H5533" t="s">
        <v>18</v>
      </c>
      <c r="I5533" t="e">
        <f t="shared" ca="1" si="437"/>
        <v>#REF!</v>
      </c>
      <c r="J5533" t="str">
        <f>VLOOKUP($G5533,DefinitionArrays!$I$6:$J$12,2,FALSE)</f>
        <v>Workweek</v>
      </c>
    </row>
    <row r="5534" spans="1:10">
      <c r="A5534" s="159" t="str">
        <f t="shared" si="433"/>
        <v>$E$1:$E$92</v>
      </c>
      <c r="B5534" s="159" t="str">
        <f t="shared" si="434"/>
        <v>$F$1:$F$92</v>
      </c>
      <c r="C5534" s="159" t="str">
        <f t="shared" si="435"/>
        <v>June!$E$1:$E$92</v>
      </c>
      <c r="D5534" s="159" t="str">
        <f t="shared" si="436"/>
        <v>June!$F$1:$F$92</v>
      </c>
      <c r="E5534" t="s">
        <v>10</v>
      </c>
      <c r="F5534" t="s">
        <v>125</v>
      </c>
      <c r="G5534" t="s">
        <v>142</v>
      </c>
      <c r="H5534" t="s">
        <v>153</v>
      </c>
      <c r="I5534" t="e">
        <f t="shared" ca="1" si="437"/>
        <v>#REF!</v>
      </c>
      <c r="J5534" t="str">
        <f>VLOOKUP($G5534,DefinitionArrays!$I$6:$J$12,2,FALSE)</f>
        <v>Workweek</v>
      </c>
    </row>
    <row r="5535" spans="1:10">
      <c r="A5535" s="159" t="str">
        <f t="shared" si="433"/>
        <v>$E$1:$E$92</v>
      </c>
      <c r="B5535" s="159" t="str">
        <f t="shared" si="434"/>
        <v>$F$1:$F$92</v>
      </c>
      <c r="C5535" s="159" t="str">
        <f t="shared" si="435"/>
        <v>June!$E$1:$E$92</v>
      </c>
      <c r="D5535" s="159" t="str">
        <f t="shared" si="436"/>
        <v>June!$F$1:$F$92</v>
      </c>
      <c r="E5535" t="s">
        <v>10</v>
      </c>
      <c r="F5535" t="s">
        <v>125</v>
      </c>
      <c r="G5535" t="s">
        <v>142</v>
      </c>
      <c r="H5535" t="s">
        <v>19</v>
      </c>
      <c r="I5535" t="e">
        <f t="shared" ca="1" si="437"/>
        <v>#REF!</v>
      </c>
      <c r="J5535" t="str">
        <f>VLOOKUP($G5535,DefinitionArrays!$I$6:$J$12,2,FALSE)</f>
        <v>Workweek</v>
      </c>
    </row>
    <row r="5536" spans="1:10">
      <c r="A5536" s="159" t="str">
        <f t="shared" si="433"/>
        <v>$E$1:$E$92</v>
      </c>
      <c r="B5536" s="159" t="str">
        <f t="shared" si="434"/>
        <v>$F$1:$F$92</v>
      </c>
      <c r="C5536" s="159" t="str">
        <f t="shared" si="435"/>
        <v>June!$E$1:$E$92</v>
      </c>
      <c r="D5536" s="159" t="str">
        <f t="shared" si="436"/>
        <v>June!$F$1:$F$92</v>
      </c>
      <c r="E5536" t="s">
        <v>10</v>
      </c>
      <c r="F5536" t="s">
        <v>125</v>
      </c>
      <c r="G5536" t="s">
        <v>142</v>
      </c>
      <c r="H5536" t="s">
        <v>20</v>
      </c>
      <c r="I5536" t="e">
        <f t="shared" ca="1" si="437"/>
        <v>#REF!</v>
      </c>
      <c r="J5536" t="str">
        <f>VLOOKUP($G5536,DefinitionArrays!$I$6:$J$12,2,FALSE)</f>
        <v>Workweek</v>
      </c>
    </row>
    <row r="5537" spans="1:10">
      <c r="A5537" s="159" t="str">
        <f t="shared" si="433"/>
        <v>$E$1:$E$92</v>
      </c>
      <c r="B5537" s="159" t="str">
        <f t="shared" si="434"/>
        <v>$F$1:$F$92</v>
      </c>
      <c r="C5537" s="159" t="str">
        <f t="shared" si="435"/>
        <v>June!$E$1:$E$92</v>
      </c>
      <c r="D5537" s="159" t="str">
        <f t="shared" si="436"/>
        <v>June!$F$1:$F$92</v>
      </c>
      <c r="E5537" t="s">
        <v>10</v>
      </c>
      <c r="F5537" t="s">
        <v>125</v>
      </c>
      <c r="G5537" t="s">
        <v>142</v>
      </c>
      <c r="H5537" t="s">
        <v>21</v>
      </c>
      <c r="I5537" t="e">
        <f t="shared" ca="1" si="437"/>
        <v>#REF!</v>
      </c>
      <c r="J5537" t="str">
        <f>VLOOKUP($G5537,DefinitionArrays!$I$6:$J$12,2,FALSE)</f>
        <v>Workweek</v>
      </c>
    </row>
    <row r="5538" spans="1:10">
      <c r="A5538" s="159" t="str">
        <f t="shared" si="433"/>
        <v>$E$1:$E$92</v>
      </c>
      <c r="B5538" s="159" t="str">
        <f t="shared" si="434"/>
        <v>$F$1:$F$92</v>
      </c>
      <c r="C5538" s="159" t="str">
        <f t="shared" si="435"/>
        <v>June!$E$1:$E$92</v>
      </c>
      <c r="D5538" s="159" t="str">
        <f t="shared" si="436"/>
        <v>June!$F$1:$F$92</v>
      </c>
      <c r="E5538" t="s">
        <v>10</v>
      </c>
      <c r="F5538" t="s">
        <v>125</v>
      </c>
      <c r="G5538" t="s">
        <v>142</v>
      </c>
      <c r="H5538" t="s">
        <v>22</v>
      </c>
      <c r="I5538" t="e">
        <f t="shared" ca="1" si="437"/>
        <v>#REF!</v>
      </c>
      <c r="J5538" t="str">
        <f>VLOOKUP($G5538,DefinitionArrays!$I$6:$J$12,2,FALSE)</f>
        <v>Workweek</v>
      </c>
    </row>
    <row r="5539" spans="1:10">
      <c r="A5539" s="159" t="str">
        <f t="shared" si="433"/>
        <v>$E$1:$E$92</v>
      </c>
      <c r="B5539" s="159" t="str">
        <f t="shared" si="434"/>
        <v>$F$1:$F$92</v>
      </c>
      <c r="C5539" s="159" t="str">
        <f t="shared" si="435"/>
        <v>June!$E$1:$E$92</v>
      </c>
      <c r="D5539" s="159" t="str">
        <f t="shared" si="436"/>
        <v>June!$F$1:$F$92</v>
      </c>
      <c r="E5539" t="s">
        <v>10</v>
      </c>
      <c r="F5539" t="s">
        <v>125</v>
      </c>
      <c r="G5539" t="s">
        <v>142</v>
      </c>
      <c r="H5539" t="s">
        <v>23</v>
      </c>
      <c r="I5539" t="e">
        <f t="shared" ca="1" si="437"/>
        <v>#REF!</v>
      </c>
      <c r="J5539" t="str">
        <f>VLOOKUP($G5539,DefinitionArrays!$I$6:$J$12,2,FALSE)</f>
        <v>Workweek</v>
      </c>
    </row>
    <row r="5540" spans="1:10">
      <c r="A5540" s="159" t="str">
        <f t="shared" si="433"/>
        <v>$E$1:$E$92</v>
      </c>
      <c r="B5540" s="159" t="str">
        <f t="shared" si="434"/>
        <v>$F$1:$F$92</v>
      </c>
      <c r="C5540" s="159" t="str">
        <f t="shared" si="435"/>
        <v>June!$E$1:$E$92</v>
      </c>
      <c r="D5540" s="159" t="str">
        <f t="shared" si="436"/>
        <v>June!$F$1:$F$92</v>
      </c>
      <c r="E5540" t="s">
        <v>10</v>
      </c>
      <c r="F5540" t="s">
        <v>125</v>
      </c>
      <c r="G5540" t="s">
        <v>142</v>
      </c>
      <c r="H5540" t="s">
        <v>24</v>
      </c>
      <c r="I5540" t="e">
        <f t="shared" ca="1" si="437"/>
        <v>#REF!</v>
      </c>
      <c r="J5540" t="str">
        <f>VLOOKUP($G5540,DefinitionArrays!$I$6:$J$12,2,FALSE)</f>
        <v>Workweek</v>
      </c>
    </row>
    <row r="5541" spans="1:10">
      <c r="A5541" s="159" t="str">
        <f t="shared" si="433"/>
        <v>$E$1:$E$92</v>
      </c>
      <c r="B5541" s="159" t="str">
        <f t="shared" si="434"/>
        <v>$F$1:$F$92</v>
      </c>
      <c r="C5541" s="159" t="str">
        <f t="shared" si="435"/>
        <v>June!$E$1:$E$92</v>
      </c>
      <c r="D5541" s="159" t="str">
        <f t="shared" si="436"/>
        <v>June!$F$1:$F$92</v>
      </c>
      <c r="E5541" t="s">
        <v>10</v>
      </c>
      <c r="F5541" t="s">
        <v>125</v>
      </c>
      <c r="G5541" t="s">
        <v>142</v>
      </c>
      <c r="H5541" t="s">
        <v>179</v>
      </c>
      <c r="I5541" t="e">
        <f t="shared" ca="1" si="437"/>
        <v>#REF!</v>
      </c>
      <c r="J5541" t="str">
        <f>VLOOKUP($G5541,DefinitionArrays!$I$6:$J$12,2,FALSE)</f>
        <v>Workweek</v>
      </c>
    </row>
    <row r="5542" spans="1:10">
      <c r="A5542" s="159" t="str">
        <f t="shared" si="433"/>
        <v>$E$1:$E$92</v>
      </c>
      <c r="B5542" s="159" t="str">
        <f t="shared" si="434"/>
        <v>$F$1:$F$92</v>
      </c>
      <c r="C5542" s="159" t="str">
        <f t="shared" si="435"/>
        <v>June!$E$1:$E$92</v>
      </c>
      <c r="D5542" s="159" t="str">
        <f t="shared" si="436"/>
        <v>June!$F$1:$F$92</v>
      </c>
      <c r="E5542" t="s">
        <v>10</v>
      </c>
      <c r="F5542" t="s">
        <v>125</v>
      </c>
      <c r="G5542" t="s">
        <v>142</v>
      </c>
      <c r="H5542" t="s">
        <v>180</v>
      </c>
      <c r="I5542" t="e">
        <f t="shared" ca="1" si="437"/>
        <v>#REF!</v>
      </c>
      <c r="J5542" t="str">
        <f>VLOOKUP($G5542,DefinitionArrays!$I$6:$J$12,2,FALSE)</f>
        <v>Workweek</v>
      </c>
    </row>
    <row r="5543" spans="1:10">
      <c r="A5543" s="159" t="str">
        <f t="shared" si="433"/>
        <v>$E$1:$E$92</v>
      </c>
      <c r="B5543" s="159" t="str">
        <f t="shared" si="434"/>
        <v>$F$1:$F$92</v>
      </c>
      <c r="C5543" s="159" t="str">
        <f t="shared" si="435"/>
        <v>June!$E$1:$E$92</v>
      </c>
      <c r="D5543" s="159" t="str">
        <f t="shared" si="436"/>
        <v>June!$F$1:$F$92</v>
      </c>
      <c r="E5543" t="s">
        <v>10</v>
      </c>
      <c r="F5543" t="s">
        <v>125</v>
      </c>
      <c r="G5543" t="s">
        <v>142</v>
      </c>
      <c r="H5543" t="s">
        <v>44</v>
      </c>
      <c r="I5543" t="e">
        <f t="shared" ca="1" si="437"/>
        <v>#REF!</v>
      </c>
      <c r="J5543" t="str">
        <f>VLOOKUP($G5543,DefinitionArrays!$I$6:$J$12,2,FALSE)</f>
        <v>Workweek</v>
      </c>
    </row>
    <row r="5544" spans="1:10">
      <c r="A5544" s="159" t="str">
        <f t="shared" si="433"/>
        <v>$H$1:$H$92</v>
      </c>
      <c r="B5544" s="159" t="str">
        <f t="shared" si="434"/>
        <v>$I$1:$I$92</v>
      </c>
      <c r="C5544" s="159" t="str">
        <f t="shared" si="435"/>
        <v>June!$H$1:$H$92</v>
      </c>
      <c r="D5544" s="159" t="str">
        <f t="shared" si="436"/>
        <v>June!$I$1:$I$92</v>
      </c>
      <c r="E5544" t="s">
        <v>10</v>
      </c>
      <c r="F5544" t="s">
        <v>125</v>
      </c>
      <c r="G5544" t="s">
        <v>143</v>
      </c>
      <c r="H5544" t="s">
        <v>159</v>
      </c>
      <c r="I5544" t="e">
        <f t="shared" ca="1" si="437"/>
        <v>#REF!</v>
      </c>
      <c r="J5544" t="str">
        <f>VLOOKUP($G5544,DefinitionArrays!$I$6:$J$12,2,FALSE)</f>
        <v>Workweek</v>
      </c>
    </row>
    <row r="5545" spans="1:10">
      <c r="A5545" s="159" t="str">
        <f t="shared" si="433"/>
        <v>$H$1:$H$92</v>
      </c>
      <c r="B5545" s="159" t="str">
        <f t="shared" si="434"/>
        <v>$I$1:$I$92</v>
      </c>
      <c r="C5545" s="159" t="str">
        <f t="shared" si="435"/>
        <v>June!$H$1:$H$92</v>
      </c>
      <c r="D5545" s="159" t="str">
        <f t="shared" si="436"/>
        <v>June!$I$1:$I$92</v>
      </c>
      <c r="E5545" t="s">
        <v>10</v>
      </c>
      <c r="F5545" t="s">
        <v>125</v>
      </c>
      <c r="G5545" t="s">
        <v>143</v>
      </c>
      <c r="H5545" t="s">
        <v>18</v>
      </c>
      <c r="I5545" t="e">
        <f t="shared" ca="1" si="437"/>
        <v>#REF!</v>
      </c>
      <c r="J5545" t="str">
        <f>VLOOKUP($G5545,DefinitionArrays!$I$6:$J$12,2,FALSE)</f>
        <v>Workweek</v>
      </c>
    </row>
    <row r="5546" spans="1:10">
      <c r="A5546" s="159" t="str">
        <f t="shared" si="433"/>
        <v>$H$1:$H$92</v>
      </c>
      <c r="B5546" s="159" t="str">
        <f t="shared" si="434"/>
        <v>$I$1:$I$92</v>
      </c>
      <c r="C5546" s="159" t="str">
        <f t="shared" si="435"/>
        <v>June!$H$1:$H$92</v>
      </c>
      <c r="D5546" s="159" t="str">
        <f t="shared" si="436"/>
        <v>June!$I$1:$I$92</v>
      </c>
      <c r="E5546" t="s">
        <v>10</v>
      </c>
      <c r="F5546" t="s">
        <v>125</v>
      </c>
      <c r="G5546" t="s">
        <v>143</v>
      </c>
      <c r="H5546" t="s">
        <v>153</v>
      </c>
      <c r="I5546" t="e">
        <f t="shared" ca="1" si="437"/>
        <v>#REF!</v>
      </c>
      <c r="J5546" t="str">
        <f>VLOOKUP($G5546,DefinitionArrays!$I$6:$J$12,2,FALSE)</f>
        <v>Workweek</v>
      </c>
    </row>
    <row r="5547" spans="1:10">
      <c r="A5547" s="159" t="str">
        <f t="shared" si="433"/>
        <v>$H$1:$H$92</v>
      </c>
      <c r="B5547" s="159" t="str">
        <f t="shared" si="434"/>
        <v>$I$1:$I$92</v>
      </c>
      <c r="C5547" s="159" t="str">
        <f t="shared" si="435"/>
        <v>June!$H$1:$H$92</v>
      </c>
      <c r="D5547" s="159" t="str">
        <f t="shared" si="436"/>
        <v>June!$I$1:$I$92</v>
      </c>
      <c r="E5547" t="s">
        <v>10</v>
      </c>
      <c r="F5547" t="s">
        <v>125</v>
      </c>
      <c r="G5547" t="s">
        <v>143</v>
      </c>
      <c r="H5547" t="s">
        <v>19</v>
      </c>
      <c r="I5547" t="e">
        <f t="shared" ca="1" si="437"/>
        <v>#REF!</v>
      </c>
      <c r="J5547" t="str">
        <f>VLOOKUP($G5547,DefinitionArrays!$I$6:$J$12,2,FALSE)</f>
        <v>Workweek</v>
      </c>
    </row>
    <row r="5548" spans="1:10">
      <c r="A5548" s="159" t="str">
        <f t="shared" si="433"/>
        <v>$H$1:$H$92</v>
      </c>
      <c r="B5548" s="159" t="str">
        <f t="shared" si="434"/>
        <v>$I$1:$I$92</v>
      </c>
      <c r="C5548" s="159" t="str">
        <f t="shared" si="435"/>
        <v>June!$H$1:$H$92</v>
      </c>
      <c r="D5548" s="159" t="str">
        <f t="shared" si="436"/>
        <v>June!$I$1:$I$92</v>
      </c>
      <c r="E5548" t="s">
        <v>10</v>
      </c>
      <c r="F5548" t="s">
        <v>125</v>
      </c>
      <c r="G5548" t="s">
        <v>143</v>
      </c>
      <c r="H5548" t="s">
        <v>20</v>
      </c>
      <c r="I5548" t="e">
        <f t="shared" ca="1" si="437"/>
        <v>#REF!</v>
      </c>
      <c r="J5548" t="str">
        <f>VLOOKUP($G5548,DefinitionArrays!$I$6:$J$12,2,FALSE)</f>
        <v>Workweek</v>
      </c>
    </row>
    <row r="5549" spans="1:10">
      <c r="A5549" s="159" t="str">
        <f t="shared" si="433"/>
        <v>$H$1:$H$92</v>
      </c>
      <c r="B5549" s="159" t="str">
        <f t="shared" si="434"/>
        <v>$I$1:$I$92</v>
      </c>
      <c r="C5549" s="159" t="str">
        <f t="shared" si="435"/>
        <v>June!$H$1:$H$92</v>
      </c>
      <c r="D5549" s="159" t="str">
        <f t="shared" si="436"/>
        <v>June!$I$1:$I$92</v>
      </c>
      <c r="E5549" t="s">
        <v>10</v>
      </c>
      <c r="F5549" t="s">
        <v>125</v>
      </c>
      <c r="G5549" t="s">
        <v>143</v>
      </c>
      <c r="H5549" t="s">
        <v>21</v>
      </c>
      <c r="I5549" t="e">
        <f t="shared" ca="1" si="437"/>
        <v>#REF!</v>
      </c>
      <c r="J5549" t="str">
        <f>VLOOKUP($G5549,DefinitionArrays!$I$6:$J$12,2,FALSE)</f>
        <v>Workweek</v>
      </c>
    </row>
    <row r="5550" spans="1:10">
      <c r="A5550" s="159" t="str">
        <f t="shared" si="433"/>
        <v>$H$1:$H$92</v>
      </c>
      <c r="B5550" s="159" t="str">
        <f t="shared" si="434"/>
        <v>$I$1:$I$92</v>
      </c>
      <c r="C5550" s="159" t="str">
        <f t="shared" si="435"/>
        <v>June!$H$1:$H$92</v>
      </c>
      <c r="D5550" s="159" t="str">
        <f t="shared" si="436"/>
        <v>June!$I$1:$I$92</v>
      </c>
      <c r="E5550" t="s">
        <v>10</v>
      </c>
      <c r="F5550" t="s">
        <v>125</v>
      </c>
      <c r="G5550" t="s">
        <v>143</v>
      </c>
      <c r="H5550" t="s">
        <v>22</v>
      </c>
      <c r="I5550" t="e">
        <f t="shared" ca="1" si="437"/>
        <v>#REF!</v>
      </c>
      <c r="J5550" t="str">
        <f>VLOOKUP($G5550,DefinitionArrays!$I$6:$J$12,2,FALSE)</f>
        <v>Workweek</v>
      </c>
    </row>
    <row r="5551" spans="1:10">
      <c r="A5551" s="159" t="str">
        <f t="shared" si="433"/>
        <v>$H$1:$H$92</v>
      </c>
      <c r="B5551" s="159" t="str">
        <f t="shared" si="434"/>
        <v>$I$1:$I$92</v>
      </c>
      <c r="C5551" s="159" t="str">
        <f t="shared" si="435"/>
        <v>June!$H$1:$H$92</v>
      </c>
      <c r="D5551" s="159" t="str">
        <f t="shared" si="436"/>
        <v>June!$I$1:$I$92</v>
      </c>
      <c r="E5551" t="s">
        <v>10</v>
      </c>
      <c r="F5551" t="s">
        <v>125</v>
      </c>
      <c r="G5551" t="s">
        <v>143</v>
      </c>
      <c r="H5551" t="s">
        <v>23</v>
      </c>
      <c r="I5551" t="e">
        <f t="shared" ca="1" si="437"/>
        <v>#REF!</v>
      </c>
      <c r="J5551" t="str">
        <f>VLOOKUP($G5551,DefinitionArrays!$I$6:$J$12,2,FALSE)</f>
        <v>Workweek</v>
      </c>
    </row>
    <row r="5552" spans="1:10">
      <c r="A5552" s="159" t="str">
        <f t="shared" si="433"/>
        <v>$H$1:$H$92</v>
      </c>
      <c r="B5552" s="159" t="str">
        <f t="shared" si="434"/>
        <v>$I$1:$I$92</v>
      </c>
      <c r="C5552" s="159" t="str">
        <f t="shared" si="435"/>
        <v>June!$H$1:$H$92</v>
      </c>
      <c r="D5552" s="159" t="str">
        <f t="shared" si="436"/>
        <v>June!$I$1:$I$92</v>
      </c>
      <c r="E5552" t="s">
        <v>10</v>
      </c>
      <c r="F5552" t="s">
        <v>125</v>
      </c>
      <c r="G5552" t="s">
        <v>143</v>
      </c>
      <c r="H5552" t="s">
        <v>24</v>
      </c>
      <c r="I5552" t="e">
        <f t="shared" ca="1" si="437"/>
        <v>#REF!</v>
      </c>
      <c r="J5552" t="str">
        <f>VLOOKUP($G5552,DefinitionArrays!$I$6:$J$12,2,FALSE)</f>
        <v>Workweek</v>
      </c>
    </row>
    <row r="5553" spans="1:10">
      <c r="A5553" s="159" t="str">
        <f t="shared" si="433"/>
        <v>$H$1:$H$92</v>
      </c>
      <c r="B5553" s="159" t="str">
        <f t="shared" si="434"/>
        <v>$I$1:$I$92</v>
      </c>
      <c r="C5553" s="159" t="str">
        <f t="shared" si="435"/>
        <v>June!$H$1:$H$92</v>
      </c>
      <c r="D5553" s="159" t="str">
        <f t="shared" si="436"/>
        <v>June!$I$1:$I$92</v>
      </c>
      <c r="E5553" t="s">
        <v>10</v>
      </c>
      <c r="F5553" t="s">
        <v>125</v>
      </c>
      <c r="G5553" t="s">
        <v>143</v>
      </c>
      <c r="H5553" t="s">
        <v>179</v>
      </c>
      <c r="I5553" t="e">
        <f t="shared" ca="1" si="437"/>
        <v>#REF!</v>
      </c>
      <c r="J5553" t="str">
        <f>VLOOKUP($G5553,DefinitionArrays!$I$6:$J$12,2,FALSE)</f>
        <v>Workweek</v>
      </c>
    </row>
    <row r="5554" spans="1:10">
      <c r="A5554" s="159" t="str">
        <f t="shared" si="433"/>
        <v>$H$1:$H$92</v>
      </c>
      <c r="B5554" s="159" t="str">
        <f t="shared" si="434"/>
        <v>$I$1:$I$92</v>
      </c>
      <c r="C5554" s="159" t="str">
        <f t="shared" si="435"/>
        <v>June!$H$1:$H$92</v>
      </c>
      <c r="D5554" s="159" t="str">
        <f t="shared" si="436"/>
        <v>June!$I$1:$I$92</v>
      </c>
      <c r="E5554" t="s">
        <v>10</v>
      </c>
      <c r="F5554" t="s">
        <v>125</v>
      </c>
      <c r="G5554" t="s">
        <v>143</v>
      </c>
      <c r="H5554" t="s">
        <v>180</v>
      </c>
      <c r="I5554" t="e">
        <f t="shared" ca="1" si="437"/>
        <v>#REF!</v>
      </c>
      <c r="J5554" t="str">
        <f>VLOOKUP($G5554,DefinitionArrays!$I$6:$J$12,2,FALSE)</f>
        <v>Workweek</v>
      </c>
    </row>
    <row r="5555" spans="1:10">
      <c r="A5555" s="159" t="str">
        <f t="shared" si="433"/>
        <v>$H$1:$H$92</v>
      </c>
      <c r="B5555" s="159" t="str">
        <f t="shared" si="434"/>
        <v>$I$1:$I$92</v>
      </c>
      <c r="C5555" s="159" t="str">
        <f t="shared" si="435"/>
        <v>June!$H$1:$H$92</v>
      </c>
      <c r="D5555" s="159" t="str">
        <f t="shared" si="436"/>
        <v>June!$I$1:$I$92</v>
      </c>
      <c r="E5555" t="s">
        <v>10</v>
      </c>
      <c r="F5555" t="s">
        <v>125</v>
      </c>
      <c r="G5555" t="s">
        <v>143</v>
      </c>
      <c r="H5555" t="s">
        <v>44</v>
      </c>
      <c r="I5555" t="e">
        <f t="shared" ca="1" si="437"/>
        <v>#REF!</v>
      </c>
      <c r="J5555" t="str">
        <f>VLOOKUP($G5555,DefinitionArrays!$I$6:$J$12,2,FALSE)</f>
        <v>Workweek</v>
      </c>
    </row>
    <row r="5556" spans="1:10">
      <c r="A5556" s="159" t="str">
        <f t="shared" si="433"/>
        <v>$K$1:$K$92</v>
      </c>
      <c r="B5556" s="159" t="str">
        <f t="shared" si="434"/>
        <v>$L$1:$L$92</v>
      </c>
      <c r="C5556" s="159" t="str">
        <f t="shared" si="435"/>
        <v>June!$K$1:$K$92</v>
      </c>
      <c r="D5556" s="159" t="str">
        <f t="shared" si="436"/>
        <v>June!$L$1:$L$92</v>
      </c>
      <c r="E5556" t="s">
        <v>10</v>
      </c>
      <c r="F5556" t="s">
        <v>125</v>
      </c>
      <c r="G5556" t="s">
        <v>144</v>
      </c>
      <c r="H5556" t="s">
        <v>159</v>
      </c>
      <c r="I5556" t="e">
        <f t="shared" ca="1" si="437"/>
        <v>#REF!</v>
      </c>
      <c r="J5556" t="str">
        <f>VLOOKUP($G5556,DefinitionArrays!$I$6:$J$12,2,FALSE)</f>
        <v>Workweek</v>
      </c>
    </row>
    <row r="5557" spans="1:10">
      <c r="A5557" s="159" t="str">
        <f t="shared" si="433"/>
        <v>$K$1:$K$92</v>
      </c>
      <c r="B5557" s="159" t="str">
        <f t="shared" si="434"/>
        <v>$L$1:$L$92</v>
      </c>
      <c r="C5557" s="159" t="str">
        <f t="shared" si="435"/>
        <v>June!$K$1:$K$92</v>
      </c>
      <c r="D5557" s="159" t="str">
        <f t="shared" si="436"/>
        <v>June!$L$1:$L$92</v>
      </c>
      <c r="E5557" t="s">
        <v>10</v>
      </c>
      <c r="F5557" t="s">
        <v>125</v>
      </c>
      <c r="G5557" t="s">
        <v>144</v>
      </c>
      <c r="H5557" t="s">
        <v>18</v>
      </c>
      <c r="I5557" t="e">
        <f t="shared" ca="1" si="437"/>
        <v>#REF!</v>
      </c>
      <c r="J5557" t="str">
        <f>VLOOKUP($G5557,DefinitionArrays!$I$6:$J$12,2,FALSE)</f>
        <v>Workweek</v>
      </c>
    </row>
    <row r="5558" spans="1:10">
      <c r="A5558" s="159" t="str">
        <f t="shared" si="433"/>
        <v>$K$1:$K$92</v>
      </c>
      <c r="B5558" s="159" t="str">
        <f t="shared" si="434"/>
        <v>$L$1:$L$92</v>
      </c>
      <c r="C5558" s="159" t="str">
        <f t="shared" si="435"/>
        <v>June!$K$1:$K$92</v>
      </c>
      <c r="D5558" s="159" t="str">
        <f t="shared" si="436"/>
        <v>June!$L$1:$L$92</v>
      </c>
      <c r="E5558" t="s">
        <v>10</v>
      </c>
      <c r="F5558" t="s">
        <v>125</v>
      </c>
      <c r="G5558" t="s">
        <v>144</v>
      </c>
      <c r="H5558" t="s">
        <v>153</v>
      </c>
      <c r="I5558" t="e">
        <f t="shared" ca="1" si="437"/>
        <v>#REF!</v>
      </c>
      <c r="J5558" t="str">
        <f>VLOOKUP($G5558,DefinitionArrays!$I$6:$J$12,2,FALSE)</f>
        <v>Workweek</v>
      </c>
    </row>
    <row r="5559" spans="1:10">
      <c r="A5559" s="159" t="str">
        <f t="shared" si="433"/>
        <v>$K$1:$K$92</v>
      </c>
      <c r="B5559" s="159" t="str">
        <f t="shared" si="434"/>
        <v>$L$1:$L$92</v>
      </c>
      <c r="C5559" s="159" t="str">
        <f t="shared" si="435"/>
        <v>June!$K$1:$K$92</v>
      </c>
      <c r="D5559" s="159" t="str">
        <f t="shared" si="436"/>
        <v>June!$L$1:$L$92</v>
      </c>
      <c r="E5559" t="s">
        <v>10</v>
      </c>
      <c r="F5559" t="s">
        <v>125</v>
      </c>
      <c r="G5559" t="s">
        <v>144</v>
      </c>
      <c r="H5559" t="s">
        <v>19</v>
      </c>
      <c r="I5559" t="e">
        <f t="shared" ca="1" si="437"/>
        <v>#REF!</v>
      </c>
      <c r="J5559" t="str">
        <f>VLOOKUP($G5559,DefinitionArrays!$I$6:$J$12,2,FALSE)</f>
        <v>Workweek</v>
      </c>
    </row>
    <row r="5560" spans="1:10">
      <c r="A5560" s="159" t="str">
        <f t="shared" si="433"/>
        <v>$K$1:$K$92</v>
      </c>
      <c r="B5560" s="159" t="str">
        <f t="shared" si="434"/>
        <v>$L$1:$L$92</v>
      </c>
      <c r="C5560" s="159" t="str">
        <f t="shared" si="435"/>
        <v>June!$K$1:$K$92</v>
      </c>
      <c r="D5560" s="159" t="str">
        <f t="shared" si="436"/>
        <v>June!$L$1:$L$92</v>
      </c>
      <c r="E5560" t="s">
        <v>10</v>
      </c>
      <c r="F5560" t="s">
        <v>125</v>
      </c>
      <c r="G5560" t="s">
        <v>144</v>
      </c>
      <c r="H5560" t="s">
        <v>20</v>
      </c>
      <c r="I5560" t="e">
        <f t="shared" ca="1" si="437"/>
        <v>#REF!</v>
      </c>
      <c r="J5560" t="str">
        <f>VLOOKUP($G5560,DefinitionArrays!$I$6:$J$12,2,FALSE)</f>
        <v>Workweek</v>
      </c>
    </row>
    <row r="5561" spans="1:10">
      <c r="A5561" s="159" t="str">
        <f t="shared" si="433"/>
        <v>$K$1:$K$92</v>
      </c>
      <c r="B5561" s="159" t="str">
        <f t="shared" si="434"/>
        <v>$L$1:$L$92</v>
      </c>
      <c r="C5561" s="159" t="str">
        <f t="shared" si="435"/>
        <v>June!$K$1:$K$92</v>
      </c>
      <c r="D5561" s="159" t="str">
        <f t="shared" si="436"/>
        <v>June!$L$1:$L$92</v>
      </c>
      <c r="E5561" t="s">
        <v>10</v>
      </c>
      <c r="F5561" t="s">
        <v>125</v>
      </c>
      <c r="G5561" t="s">
        <v>144</v>
      </c>
      <c r="H5561" t="s">
        <v>21</v>
      </c>
      <c r="I5561" t="e">
        <f t="shared" ca="1" si="437"/>
        <v>#REF!</v>
      </c>
      <c r="J5561" t="str">
        <f>VLOOKUP($G5561,DefinitionArrays!$I$6:$J$12,2,FALSE)</f>
        <v>Workweek</v>
      </c>
    </row>
    <row r="5562" spans="1:10">
      <c r="A5562" s="159" t="str">
        <f t="shared" si="433"/>
        <v>$K$1:$K$92</v>
      </c>
      <c r="B5562" s="159" t="str">
        <f t="shared" si="434"/>
        <v>$L$1:$L$92</v>
      </c>
      <c r="C5562" s="159" t="str">
        <f t="shared" si="435"/>
        <v>June!$K$1:$K$92</v>
      </c>
      <c r="D5562" s="159" t="str">
        <f t="shared" si="436"/>
        <v>June!$L$1:$L$92</v>
      </c>
      <c r="E5562" t="s">
        <v>10</v>
      </c>
      <c r="F5562" t="s">
        <v>125</v>
      </c>
      <c r="G5562" t="s">
        <v>144</v>
      </c>
      <c r="H5562" t="s">
        <v>22</v>
      </c>
      <c r="I5562" t="e">
        <f t="shared" ca="1" si="437"/>
        <v>#REF!</v>
      </c>
      <c r="J5562" t="str">
        <f>VLOOKUP($G5562,DefinitionArrays!$I$6:$J$12,2,FALSE)</f>
        <v>Workweek</v>
      </c>
    </row>
    <row r="5563" spans="1:10">
      <c r="A5563" s="159" t="str">
        <f t="shared" si="433"/>
        <v>$K$1:$K$92</v>
      </c>
      <c r="B5563" s="159" t="str">
        <f t="shared" si="434"/>
        <v>$L$1:$L$92</v>
      </c>
      <c r="C5563" s="159" t="str">
        <f t="shared" si="435"/>
        <v>June!$K$1:$K$92</v>
      </c>
      <c r="D5563" s="159" t="str">
        <f t="shared" si="436"/>
        <v>June!$L$1:$L$92</v>
      </c>
      <c r="E5563" t="s">
        <v>10</v>
      </c>
      <c r="F5563" t="s">
        <v>125</v>
      </c>
      <c r="G5563" t="s">
        <v>144</v>
      </c>
      <c r="H5563" t="s">
        <v>23</v>
      </c>
      <c r="I5563" t="e">
        <f t="shared" ca="1" si="437"/>
        <v>#REF!</v>
      </c>
      <c r="J5563" t="str">
        <f>VLOOKUP($G5563,DefinitionArrays!$I$6:$J$12,2,FALSE)</f>
        <v>Workweek</v>
      </c>
    </row>
    <row r="5564" spans="1:10">
      <c r="A5564" s="159" t="str">
        <f t="shared" si="433"/>
        <v>$K$1:$K$92</v>
      </c>
      <c r="B5564" s="159" t="str">
        <f t="shared" si="434"/>
        <v>$L$1:$L$92</v>
      </c>
      <c r="C5564" s="159" t="str">
        <f t="shared" si="435"/>
        <v>June!$K$1:$K$92</v>
      </c>
      <c r="D5564" s="159" t="str">
        <f t="shared" si="436"/>
        <v>June!$L$1:$L$92</v>
      </c>
      <c r="E5564" t="s">
        <v>10</v>
      </c>
      <c r="F5564" t="s">
        <v>125</v>
      </c>
      <c r="G5564" t="s">
        <v>144</v>
      </c>
      <c r="H5564" t="s">
        <v>24</v>
      </c>
      <c r="I5564" t="e">
        <f t="shared" ca="1" si="437"/>
        <v>#REF!</v>
      </c>
      <c r="J5564" t="str">
        <f>VLOOKUP($G5564,DefinitionArrays!$I$6:$J$12,2,FALSE)</f>
        <v>Workweek</v>
      </c>
    </row>
    <row r="5565" spans="1:10">
      <c r="A5565" s="159" t="str">
        <f t="shared" si="433"/>
        <v>$K$1:$K$92</v>
      </c>
      <c r="B5565" s="159" t="str">
        <f t="shared" si="434"/>
        <v>$L$1:$L$92</v>
      </c>
      <c r="C5565" s="159" t="str">
        <f t="shared" si="435"/>
        <v>June!$K$1:$K$92</v>
      </c>
      <c r="D5565" s="159" t="str">
        <f t="shared" si="436"/>
        <v>June!$L$1:$L$92</v>
      </c>
      <c r="E5565" t="s">
        <v>10</v>
      </c>
      <c r="F5565" t="s">
        <v>125</v>
      </c>
      <c r="G5565" t="s">
        <v>144</v>
      </c>
      <c r="H5565" t="s">
        <v>179</v>
      </c>
      <c r="I5565" t="e">
        <f t="shared" ca="1" si="437"/>
        <v>#REF!</v>
      </c>
      <c r="J5565" t="str">
        <f>VLOOKUP($G5565,DefinitionArrays!$I$6:$J$12,2,FALSE)</f>
        <v>Workweek</v>
      </c>
    </row>
    <row r="5566" spans="1:10">
      <c r="A5566" s="159" t="str">
        <f t="shared" si="433"/>
        <v>$K$1:$K$92</v>
      </c>
      <c r="B5566" s="159" t="str">
        <f t="shared" si="434"/>
        <v>$L$1:$L$92</v>
      </c>
      <c r="C5566" s="159" t="str">
        <f t="shared" si="435"/>
        <v>June!$K$1:$K$92</v>
      </c>
      <c r="D5566" s="159" t="str">
        <f t="shared" si="436"/>
        <v>June!$L$1:$L$92</v>
      </c>
      <c r="E5566" t="s">
        <v>10</v>
      </c>
      <c r="F5566" t="s">
        <v>125</v>
      </c>
      <c r="G5566" t="s">
        <v>144</v>
      </c>
      <c r="H5566" t="s">
        <v>180</v>
      </c>
      <c r="I5566" t="e">
        <f t="shared" ca="1" si="437"/>
        <v>#REF!</v>
      </c>
      <c r="J5566" t="str">
        <f>VLOOKUP($G5566,DefinitionArrays!$I$6:$J$12,2,FALSE)</f>
        <v>Workweek</v>
      </c>
    </row>
    <row r="5567" spans="1:10">
      <c r="A5567" s="159" t="str">
        <f t="shared" si="433"/>
        <v>$K$1:$K$92</v>
      </c>
      <c r="B5567" s="159" t="str">
        <f t="shared" si="434"/>
        <v>$L$1:$L$92</v>
      </c>
      <c r="C5567" s="159" t="str">
        <f t="shared" si="435"/>
        <v>June!$K$1:$K$92</v>
      </c>
      <c r="D5567" s="159" t="str">
        <f t="shared" si="436"/>
        <v>June!$L$1:$L$92</v>
      </c>
      <c r="E5567" t="s">
        <v>10</v>
      </c>
      <c r="F5567" t="s">
        <v>125</v>
      </c>
      <c r="G5567" t="s">
        <v>144</v>
      </c>
      <c r="H5567" t="s">
        <v>44</v>
      </c>
      <c r="I5567" t="e">
        <f t="shared" ca="1" si="437"/>
        <v>#REF!</v>
      </c>
      <c r="J5567" t="str">
        <f>VLOOKUP($G5567,DefinitionArrays!$I$6:$J$12,2,FALSE)</f>
        <v>Workweek</v>
      </c>
    </row>
    <row r="5568" spans="1:10">
      <c r="A5568" s="159" t="str">
        <f t="shared" si="433"/>
        <v>$N$1:$N$92</v>
      </c>
      <c r="B5568" s="159" t="str">
        <f t="shared" si="434"/>
        <v>$O$1:$O$92</v>
      </c>
      <c r="C5568" s="159" t="str">
        <f t="shared" si="435"/>
        <v>June!$N$1:$N$92</v>
      </c>
      <c r="D5568" s="159" t="str">
        <f t="shared" si="436"/>
        <v>June!$O$1:$O$92</v>
      </c>
      <c r="E5568" t="s">
        <v>10</v>
      </c>
      <c r="F5568" t="s">
        <v>125</v>
      </c>
      <c r="G5568" t="s">
        <v>145</v>
      </c>
      <c r="H5568" t="s">
        <v>159</v>
      </c>
      <c r="I5568" t="e">
        <f t="shared" ca="1" si="437"/>
        <v>#REF!</v>
      </c>
      <c r="J5568" t="str">
        <f>VLOOKUP($G5568,DefinitionArrays!$I$6:$J$12,2,FALSE)</f>
        <v>Weekend</v>
      </c>
    </row>
    <row r="5569" spans="1:10">
      <c r="A5569" s="159" t="str">
        <f t="shared" si="433"/>
        <v>$N$1:$N$92</v>
      </c>
      <c r="B5569" s="159" t="str">
        <f t="shared" si="434"/>
        <v>$O$1:$O$92</v>
      </c>
      <c r="C5569" s="159" t="str">
        <f t="shared" si="435"/>
        <v>June!$N$1:$N$92</v>
      </c>
      <c r="D5569" s="159" t="str">
        <f t="shared" si="436"/>
        <v>June!$O$1:$O$92</v>
      </c>
      <c r="E5569" t="s">
        <v>10</v>
      </c>
      <c r="F5569" t="s">
        <v>125</v>
      </c>
      <c r="G5569" t="s">
        <v>145</v>
      </c>
      <c r="H5569" t="s">
        <v>18</v>
      </c>
      <c r="I5569" t="e">
        <f t="shared" ca="1" si="437"/>
        <v>#REF!</v>
      </c>
      <c r="J5569" t="str">
        <f>VLOOKUP($G5569,DefinitionArrays!$I$6:$J$12,2,FALSE)</f>
        <v>Weekend</v>
      </c>
    </row>
    <row r="5570" spans="1:10">
      <c r="A5570" s="159" t="str">
        <f t="shared" ref="A5570:A5633" si="438">VLOOKUP($G5570,Fx_Code,2,FALSE)</f>
        <v>$N$1:$N$92</v>
      </c>
      <c r="B5570" s="159" t="str">
        <f t="shared" ref="B5570:B5633" si="439">VLOOKUP($G5570,Fx_Code,3,FALSE)</f>
        <v>$O$1:$O$92</v>
      </c>
      <c r="C5570" s="159" t="str">
        <f t="shared" ref="C5570:C5633" si="440">CONCATENATE($F5570,$K$1,A5570)</f>
        <v>June!$N$1:$N$92</v>
      </c>
      <c r="D5570" s="159" t="str">
        <f t="shared" ref="D5570:D5633" si="441">CONCATENATE($F5570,$K$1,B5570)</f>
        <v>June!$O$1:$O$92</v>
      </c>
      <c r="E5570" t="s">
        <v>10</v>
      </c>
      <c r="F5570" t="s">
        <v>125</v>
      </c>
      <c r="G5570" t="s">
        <v>145</v>
      </c>
      <c r="H5570" t="s">
        <v>153</v>
      </c>
      <c r="I5570" t="e">
        <f t="shared" ca="1" si="437"/>
        <v>#REF!</v>
      </c>
      <c r="J5570" t="str">
        <f>VLOOKUP($G5570,DefinitionArrays!$I$6:$J$12,2,FALSE)</f>
        <v>Weekend</v>
      </c>
    </row>
    <row r="5571" spans="1:10">
      <c r="A5571" s="159" t="str">
        <f t="shared" si="438"/>
        <v>$N$1:$N$92</v>
      </c>
      <c r="B5571" s="159" t="str">
        <f t="shared" si="439"/>
        <v>$O$1:$O$92</v>
      </c>
      <c r="C5571" s="159" t="str">
        <f t="shared" si="440"/>
        <v>June!$N$1:$N$92</v>
      </c>
      <c r="D5571" s="159" t="str">
        <f t="shared" si="441"/>
        <v>June!$O$1:$O$92</v>
      </c>
      <c r="E5571" t="s">
        <v>10</v>
      </c>
      <c r="F5571" t="s">
        <v>125</v>
      </c>
      <c r="G5571" t="s">
        <v>145</v>
      </c>
      <c r="H5571" t="s">
        <v>19</v>
      </c>
      <c r="I5571" t="e">
        <f t="shared" ca="1" si="437"/>
        <v>#REF!</v>
      </c>
      <c r="J5571" t="str">
        <f>VLOOKUP($G5571,DefinitionArrays!$I$6:$J$12,2,FALSE)</f>
        <v>Weekend</v>
      </c>
    </row>
    <row r="5572" spans="1:10">
      <c r="A5572" s="159" t="str">
        <f t="shared" si="438"/>
        <v>$N$1:$N$92</v>
      </c>
      <c r="B5572" s="159" t="str">
        <f t="shared" si="439"/>
        <v>$O$1:$O$92</v>
      </c>
      <c r="C5572" s="159" t="str">
        <f t="shared" si="440"/>
        <v>June!$N$1:$N$92</v>
      </c>
      <c r="D5572" s="159" t="str">
        <f t="shared" si="441"/>
        <v>June!$O$1:$O$92</v>
      </c>
      <c r="E5572" t="s">
        <v>10</v>
      </c>
      <c r="F5572" t="s">
        <v>125</v>
      </c>
      <c r="G5572" t="s">
        <v>145</v>
      </c>
      <c r="H5572" t="s">
        <v>20</v>
      </c>
      <c r="I5572" t="e">
        <f t="shared" ca="1" si="437"/>
        <v>#REF!</v>
      </c>
      <c r="J5572" t="str">
        <f>VLOOKUP($G5572,DefinitionArrays!$I$6:$J$12,2,FALSE)</f>
        <v>Weekend</v>
      </c>
    </row>
    <row r="5573" spans="1:10">
      <c r="A5573" s="159" t="str">
        <f t="shared" si="438"/>
        <v>$N$1:$N$92</v>
      </c>
      <c r="B5573" s="159" t="str">
        <f t="shared" si="439"/>
        <v>$O$1:$O$92</v>
      </c>
      <c r="C5573" s="159" t="str">
        <f t="shared" si="440"/>
        <v>June!$N$1:$N$92</v>
      </c>
      <c r="D5573" s="159" t="str">
        <f t="shared" si="441"/>
        <v>June!$O$1:$O$92</v>
      </c>
      <c r="E5573" t="s">
        <v>10</v>
      </c>
      <c r="F5573" t="s">
        <v>125</v>
      </c>
      <c r="G5573" t="s">
        <v>145</v>
      </c>
      <c r="H5573" t="s">
        <v>21</v>
      </c>
      <c r="I5573" t="e">
        <f t="shared" ca="1" si="437"/>
        <v>#REF!</v>
      </c>
      <c r="J5573" t="str">
        <f>VLOOKUP($G5573,DefinitionArrays!$I$6:$J$12,2,FALSE)</f>
        <v>Weekend</v>
      </c>
    </row>
    <row r="5574" spans="1:10">
      <c r="A5574" s="159" t="str">
        <f t="shared" si="438"/>
        <v>$N$1:$N$92</v>
      </c>
      <c r="B5574" s="159" t="str">
        <f t="shared" si="439"/>
        <v>$O$1:$O$92</v>
      </c>
      <c r="C5574" s="159" t="str">
        <f t="shared" si="440"/>
        <v>June!$N$1:$N$92</v>
      </c>
      <c r="D5574" s="159" t="str">
        <f t="shared" si="441"/>
        <v>June!$O$1:$O$92</v>
      </c>
      <c r="E5574" t="s">
        <v>10</v>
      </c>
      <c r="F5574" t="s">
        <v>125</v>
      </c>
      <c r="G5574" t="s">
        <v>145</v>
      </c>
      <c r="H5574" t="s">
        <v>22</v>
      </c>
      <c r="I5574" t="e">
        <f t="shared" ca="1" si="437"/>
        <v>#REF!</v>
      </c>
      <c r="J5574" t="str">
        <f>VLOOKUP($G5574,DefinitionArrays!$I$6:$J$12,2,FALSE)</f>
        <v>Weekend</v>
      </c>
    </row>
    <row r="5575" spans="1:10">
      <c r="A5575" s="159" t="str">
        <f t="shared" si="438"/>
        <v>$N$1:$N$92</v>
      </c>
      <c r="B5575" s="159" t="str">
        <f t="shared" si="439"/>
        <v>$O$1:$O$92</v>
      </c>
      <c r="C5575" s="159" t="str">
        <f t="shared" si="440"/>
        <v>June!$N$1:$N$92</v>
      </c>
      <c r="D5575" s="159" t="str">
        <f t="shared" si="441"/>
        <v>June!$O$1:$O$92</v>
      </c>
      <c r="E5575" t="s">
        <v>10</v>
      </c>
      <c r="F5575" t="s">
        <v>125</v>
      </c>
      <c r="G5575" t="s">
        <v>145</v>
      </c>
      <c r="H5575" t="s">
        <v>23</v>
      </c>
      <c r="I5575" t="e">
        <f t="shared" ca="1" si="437"/>
        <v>#REF!</v>
      </c>
      <c r="J5575" t="str">
        <f>VLOOKUP($G5575,DefinitionArrays!$I$6:$J$12,2,FALSE)</f>
        <v>Weekend</v>
      </c>
    </row>
    <row r="5576" spans="1:10">
      <c r="A5576" s="159" t="str">
        <f t="shared" si="438"/>
        <v>$N$1:$N$92</v>
      </c>
      <c r="B5576" s="159" t="str">
        <f t="shared" si="439"/>
        <v>$O$1:$O$92</v>
      </c>
      <c r="C5576" s="159" t="str">
        <f t="shared" si="440"/>
        <v>June!$N$1:$N$92</v>
      </c>
      <c r="D5576" s="159" t="str">
        <f t="shared" si="441"/>
        <v>June!$O$1:$O$92</v>
      </c>
      <c r="E5576" t="s">
        <v>10</v>
      </c>
      <c r="F5576" t="s">
        <v>125</v>
      </c>
      <c r="G5576" t="s">
        <v>145</v>
      </c>
      <c r="H5576" t="s">
        <v>24</v>
      </c>
      <c r="I5576" t="e">
        <f t="shared" ca="1" si="437"/>
        <v>#REF!</v>
      </c>
      <c r="J5576" t="str">
        <f>VLOOKUP($G5576,DefinitionArrays!$I$6:$J$12,2,FALSE)</f>
        <v>Weekend</v>
      </c>
    </row>
    <row r="5577" spans="1:10">
      <c r="A5577" s="159" t="str">
        <f t="shared" si="438"/>
        <v>$N$1:$N$92</v>
      </c>
      <c r="B5577" s="159" t="str">
        <f t="shared" si="439"/>
        <v>$O$1:$O$92</v>
      </c>
      <c r="C5577" s="159" t="str">
        <f t="shared" si="440"/>
        <v>June!$N$1:$N$92</v>
      </c>
      <c r="D5577" s="159" t="str">
        <f t="shared" si="441"/>
        <v>June!$O$1:$O$92</v>
      </c>
      <c r="E5577" t="s">
        <v>10</v>
      </c>
      <c r="F5577" t="s">
        <v>125</v>
      </c>
      <c r="G5577" t="s">
        <v>145</v>
      </c>
      <c r="H5577" t="s">
        <v>179</v>
      </c>
      <c r="I5577" t="e">
        <f t="shared" ca="1" si="437"/>
        <v>#REF!</v>
      </c>
      <c r="J5577" t="str">
        <f>VLOOKUP($G5577,DefinitionArrays!$I$6:$J$12,2,FALSE)</f>
        <v>Weekend</v>
      </c>
    </row>
    <row r="5578" spans="1:10">
      <c r="A5578" s="159" t="str">
        <f t="shared" si="438"/>
        <v>$N$1:$N$92</v>
      </c>
      <c r="B5578" s="159" t="str">
        <f t="shared" si="439"/>
        <v>$O$1:$O$92</v>
      </c>
      <c r="C5578" s="159" t="str">
        <f t="shared" si="440"/>
        <v>June!$N$1:$N$92</v>
      </c>
      <c r="D5578" s="159" t="str">
        <f t="shared" si="441"/>
        <v>June!$O$1:$O$92</v>
      </c>
      <c r="E5578" t="s">
        <v>10</v>
      </c>
      <c r="F5578" t="s">
        <v>125</v>
      </c>
      <c r="G5578" t="s">
        <v>145</v>
      </c>
      <c r="H5578" t="s">
        <v>180</v>
      </c>
      <c r="I5578" t="e">
        <f t="shared" ca="1" si="437"/>
        <v>#REF!</v>
      </c>
      <c r="J5578" t="str">
        <f>VLOOKUP($G5578,DefinitionArrays!$I$6:$J$12,2,FALSE)</f>
        <v>Weekend</v>
      </c>
    </row>
    <row r="5579" spans="1:10">
      <c r="A5579" s="159" t="str">
        <f t="shared" si="438"/>
        <v>$N$1:$N$92</v>
      </c>
      <c r="B5579" s="159" t="str">
        <f t="shared" si="439"/>
        <v>$O$1:$O$92</v>
      </c>
      <c r="C5579" s="159" t="str">
        <f t="shared" si="440"/>
        <v>June!$N$1:$N$92</v>
      </c>
      <c r="D5579" s="159" t="str">
        <f t="shared" si="441"/>
        <v>June!$O$1:$O$92</v>
      </c>
      <c r="E5579" t="s">
        <v>10</v>
      </c>
      <c r="F5579" t="s">
        <v>125</v>
      </c>
      <c r="G5579" t="s">
        <v>145</v>
      </c>
      <c r="H5579" t="s">
        <v>44</v>
      </c>
      <c r="I5579" t="e">
        <f t="shared" ca="1" si="437"/>
        <v>#REF!</v>
      </c>
      <c r="J5579" t="str">
        <f>VLOOKUP($G5579,DefinitionArrays!$I$6:$J$12,2,FALSE)</f>
        <v>Weekend</v>
      </c>
    </row>
    <row r="5580" spans="1:10">
      <c r="A5580" s="159" t="str">
        <f t="shared" si="438"/>
        <v>$Q$1:$Q$92</v>
      </c>
      <c r="B5580" s="159" t="str">
        <f t="shared" si="439"/>
        <v>$R$1:$R$92</v>
      </c>
      <c r="C5580" s="159" t="str">
        <f t="shared" si="440"/>
        <v>June!$Q$1:$Q$92</v>
      </c>
      <c r="D5580" s="159" t="str">
        <f t="shared" si="441"/>
        <v>June!$R$1:$R$92</v>
      </c>
      <c r="E5580" t="s">
        <v>10</v>
      </c>
      <c r="F5580" t="s">
        <v>125</v>
      </c>
      <c r="G5580" t="s">
        <v>146</v>
      </c>
      <c r="H5580" t="s">
        <v>159</v>
      </c>
      <c r="I5580" t="e">
        <f t="shared" ca="1" si="437"/>
        <v>#REF!</v>
      </c>
      <c r="J5580" t="str">
        <f>VLOOKUP($G5580,DefinitionArrays!$I$6:$J$12,2,FALSE)</f>
        <v>Weekend</v>
      </c>
    </row>
    <row r="5581" spans="1:10">
      <c r="A5581" s="159" t="str">
        <f t="shared" si="438"/>
        <v>$T$1:$T$92</v>
      </c>
      <c r="B5581" s="159" t="str">
        <f t="shared" si="439"/>
        <v>$U$1:$U$92</v>
      </c>
      <c r="C5581" s="159" t="str">
        <f t="shared" si="440"/>
        <v>June!$T$1:$T$92</v>
      </c>
      <c r="D5581" s="159" t="str">
        <f t="shared" si="441"/>
        <v>June!$U$1:$U$92</v>
      </c>
      <c r="E5581" t="s">
        <v>10</v>
      </c>
      <c r="F5581" t="s">
        <v>125</v>
      </c>
      <c r="G5581" t="s">
        <v>141</v>
      </c>
      <c r="H5581" t="s">
        <v>159</v>
      </c>
      <c r="I5581" t="e">
        <f t="shared" ca="1" si="437"/>
        <v>#REF!</v>
      </c>
      <c r="J5581" t="str">
        <f>VLOOKUP($G5581,DefinitionArrays!$I$6:$J$12,2,FALSE)</f>
        <v>Weekend</v>
      </c>
    </row>
    <row r="5582" spans="1:10">
      <c r="A5582" s="159" t="str">
        <f t="shared" si="438"/>
        <v>$B$1:$B$92</v>
      </c>
      <c r="B5582" s="159" t="str">
        <f t="shared" si="439"/>
        <v>$C$1:$C$92</v>
      </c>
      <c r="C5582" s="159" t="str">
        <f t="shared" si="440"/>
        <v>July!$B$1:$B$92</v>
      </c>
      <c r="D5582" s="159" t="str">
        <f t="shared" si="441"/>
        <v>July!$C$1:$C$92</v>
      </c>
      <c r="E5582" t="s">
        <v>10</v>
      </c>
      <c r="F5582" t="s">
        <v>126</v>
      </c>
      <c r="G5582" t="s">
        <v>13</v>
      </c>
      <c r="H5582" t="s">
        <v>159</v>
      </c>
      <c r="I5582" t="e">
        <f ca="1">COUNTIFS(INDIRECT($C5582),$E5582,INDIRECT($D5582),$H5582)</f>
        <v>#REF!</v>
      </c>
      <c r="J5582" t="str">
        <f>VLOOKUP($G5582,DefinitionArrays!$I$6:$J$12,2,FALSE)</f>
        <v>Workweek</v>
      </c>
    </row>
    <row r="5583" spans="1:10">
      <c r="A5583" s="159" t="str">
        <f t="shared" si="438"/>
        <v>$B$1:$B$92</v>
      </c>
      <c r="B5583" s="159" t="str">
        <f t="shared" si="439"/>
        <v>$C$1:$C$92</v>
      </c>
      <c r="C5583" s="159" t="str">
        <f t="shared" si="440"/>
        <v>July!$B$1:$B$92</v>
      </c>
      <c r="D5583" s="159" t="str">
        <f t="shared" si="441"/>
        <v>July!$C$1:$C$92</v>
      </c>
      <c r="E5583" t="s">
        <v>10</v>
      </c>
      <c r="F5583" t="s">
        <v>126</v>
      </c>
      <c r="G5583" t="s">
        <v>13</v>
      </c>
      <c r="H5583" t="s">
        <v>18</v>
      </c>
      <c r="I5583" t="e">
        <f t="shared" ref="I5583:I5643" ca="1" si="442">COUNTIFS(INDIRECT($C5583),$E5583,INDIRECT($D5583),$H5583)</f>
        <v>#REF!</v>
      </c>
      <c r="J5583" t="str">
        <f>VLOOKUP($G5583,DefinitionArrays!$I$6:$J$12,2,FALSE)</f>
        <v>Workweek</v>
      </c>
    </row>
    <row r="5584" spans="1:10">
      <c r="A5584" s="159" t="str">
        <f t="shared" si="438"/>
        <v>$B$1:$B$92</v>
      </c>
      <c r="B5584" s="159" t="str">
        <f t="shared" si="439"/>
        <v>$C$1:$C$92</v>
      </c>
      <c r="C5584" s="159" t="str">
        <f t="shared" si="440"/>
        <v>July!$B$1:$B$92</v>
      </c>
      <c r="D5584" s="159" t="str">
        <f t="shared" si="441"/>
        <v>July!$C$1:$C$92</v>
      </c>
      <c r="E5584" t="s">
        <v>10</v>
      </c>
      <c r="F5584" t="s">
        <v>126</v>
      </c>
      <c r="G5584" t="s">
        <v>13</v>
      </c>
      <c r="H5584" t="s">
        <v>153</v>
      </c>
      <c r="I5584" t="e">
        <f t="shared" ca="1" si="442"/>
        <v>#REF!</v>
      </c>
      <c r="J5584" t="str">
        <f>VLOOKUP($G5584,DefinitionArrays!$I$6:$J$12,2,FALSE)</f>
        <v>Workweek</v>
      </c>
    </row>
    <row r="5585" spans="1:10">
      <c r="A5585" s="159" t="str">
        <f t="shared" si="438"/>
        <v>$B$1:$B$92</v>
      </c>
      <c r="B5585" s="159" t="str">
        <f t="shared" si="439"/>
        <v>$C$1:$C$92</v>
      </c>
      <c r="C5585" s="159" t="str">
        <f t="shared" si="440"/>
        <v>July!$B$1:$B$92</v>
      </c>
      <c r="D5585" s="159" t="str">
        <f t="shared" si="441"/>
        <v>July!$C$1:$C$92</v>
      </c>
      <c r="E5585" t="s">
        <v>10</v>
      </c>
      <c r="F5585" t="s">
        <v>126</v>
      </c>
      <c r="G5585" t="s">
        <v>13</v>
      </c>
      <c r="H5585" t="s">
        <v>19</v>
      </c>
      <c r="I5585" t="e">
        <f t="shared" ca="1" si="442"/>
        <v>#REF!</v>
      </c>
      <c r="J5585" t="str">
        <f>VLOOKUP($G5585,DefinitionArrays!$I$6:$J$12,2,FALSE)</f>
        <v>Workweek</v>
      </c>
    </row>
    <row r="5586" spans="1:10">
      <c r="A5586" s="159" t="str">
        <f t="shared" si="438"/>
        <v>$B$1:$B$92</v>
      </c>
      <c r="B5586" s="159" t="str">
        <f t="shared" si="439"/>
        <v>$C$1:$C$92</v>
      </c>
      <c r="C5586" s="159" t="str">
        <f t="shared" si="440"/>
        <v>July!$B$1:$B$92</v>
      </c>
      <c r="D5586" s="159" t="str">
        <f t="shared" si="441"/>
        <v>July!$C$1:$C$92</v>
      </c>
      <c r="E5586" t="s">
        <v>10</v>
      </c>
      <c r="F5586" t="s">
        <v>126</v>
      </c>
      <c r="G5586" t="s">
        <v>13</v>
      </c>
      <c r="H5586" t="s">
        <v>20</v>
      </c>
      <c r="I5586" t="e">
        <f t="shared" ca="1" si="442"/>
        <v>#REF!</v>
      </c>
      <c r="J5586" t="str">
        <f>VLOOKUP($G5586,DefinitionArrays!$I$6:$J$12,2,FALSE)</f>
        <v>Workweek</v>
      </c>
    </row>
    <row r="5587" spans="1:10">
      <c r="A5587" s="159" t="str">
        <f t="shared" si="438"/>
        <v>$B$1:$B$92</v>
      </c>
      <c r="B5587" s="159" t="str">
        <f t="shared" si="439"/>
        <v>$C$1:$C$92</v>
      </c>
      <c r="C5587" s="159" t="str">
        <f t="shared" si="440"/>
        <v>July!$B$1:$B$92</v>
      </c>
      <c r="D5587" s="159" t="str">
        <f t="shared" si="441"/>
        <v>July!$C$1:$C$92</v>
      </c>
      <c r="E5587" t="s">
        <v>10</v>
      </c>
      <c r="F5587" t="s">
        <v>126</v>
      </c>
      <c r="G5587" t="s">
        <v>13</v>
      </c>
      <c r="H5587" t="s">
        <v>21</v>
      </c>
      <c r="I5587" t="e">
        <f t="shared" ca="1" si="442"/>
        <v>#REF!</v>
      </c>
      <c r="J5587" t="str">
        <f>VLOOKUP($G5587,DefinitionArrays!$I$6:$J$12,2,FALSE)</f>
        <v>Workweek</v>
      </c>
    </row>
    <row r="5588" spans="1:10">
      <c r="A5588" s="159" t="str">
        <f t="shared" si="438"/>
        <v>$B$1:$B$92</v>
      </c>
      <c r="B5588" s="159" t="str">
        <f t="shared" si="439"/>
        <v>$C$1:$C$92</v>
      </c>
      <c r="C5588" s="159" t="str">
        <f t="shared" si="440"/>
        <v>July!$B$1:$B$92</v>
      </c>
      <c r="D5588" s="159" t="str">
        <f t="shared" si="441"/>
        <v>July!$C$1:$C$92</v>
      </c>
      <c r="E5588" t="s">
        <v>10</v>
      </c>
      <c r="F5588" t="s">
        <v>126</v>
      </c>
      <c r="G5588" t="s">
        <v>13</v>
      </c>
      <c r="H5588" t="s">
        <v>22</v>
      </c>
      <c r="I5588" t="e">
        <f t="shared" ca="1" si="442"/>
        <v>#REF!</v>
      </c>
      <c r="J5588" t="str">
        <f>VLOOKUP($G5588,DefinitionArrays!$I$6:$J$12,2,FALSE)</f>
        <v>Workweek</v>
      </c>
    </row>
    <row r="5589" spans="1:10">
      <c r="A5589" s="159" t="str">
        <f t="shared" si="438"/>
        <v>$B$1:$B$92</v>
      </c>
      <c r="B5589" s="159" t="str">
        <f t="shared" si="439"/>
        <v>$C$1:$C$92</v>
      </c>
      <c r="C5589" s="159" t="str">
        <f t="shared" si="440"/>
        <v>July!$B$1:$B$92</v>
      </c>
      <c r="D5589" s="159" t="str">
        <f t="shared" si="441"/>
        <v>July!$C$1:$C$92</v>
      </c>
      <c r="E5589" t="s">
        <v>10</v>
      </c>
      <c r="F5589" t="s">
        <v>126</v>
      </c>
      <c r="G5589" t="s">
        <v>13</v>
      </c>
      <c r="H5589" t="s">
        <v>23</v>
      </c>
      <c r="I5589" t="e">
        <f t="shared" ca="1" si="442"/>
        <v>#REF!</v>
      </c>
      <c r="J5589" t="str">
        <f>VLOOKUP($G5589,DefinitionArrays!$I$6:$J$12,2,FALSE)</f>
        <v>Workweek</v>
      </c>
    </row>
    <row r="5590" spans="1:10">
      <c r="A5590" s="159" t="str">
        <f t="shared" si="438"/>
        <v>$B$1:$B$92</v>
      </c>
      <c r="B5590" s="159" t="str">
        <f t="shared" si="439"/>
        <v>$C$1:$C$92</v>
      </c>
      <c r="C5590" s="159" t="str">
        <f t="shared" si="440"/>
        <v>July!$B$1:$B$92</v>
      </c>
      <c r="D5590" s="159" t="str">
        <f t="shared" si="441"/>
        <v>July!$C$1:$C$92</v>
      </c>
      <c r="E5590" t="s">
        <v>10</v>
      </c>
      <c r="F5590" t="s">
        <v>126</v>
      </c>
      <c r="G5590" t="s">
        <v>13</v>
      </c>
      <c r="H5590" t="s">
        <v>24</v>
      </c>
      <c r="I5590" t="e">
        <f t="shared" ca="1" si="442"/>
        <v>#REF!</v>
      </c>
      <c r="J5590" t="str">
        <f>VLOOKUP($G5590,DefinitionArrays!$I$6:$J$12,2,FALSE)</f>
        <v>Workweek</v>
      </c>
    </row>
    <row r="5591" spans="1:10">
      <c r="A5591" s="159" t="str">
        <f t="shared" si="438"/>
        <v>$B$1:$B$92</v>
      </c>
      <c r="B5591" s="159" t="str">
        <f t="shared" si="439"/>
        <v>$C$1:$C$92</v>
      </c>
      <c r="C5591" s="159" t="str">
        <f t="shared" si="440"/>
        <v>July!$B$1:$B$92</v>
      </c>
      <c r="D5591" s="159" t="str">
        <f t="shared" si="441"/>
        <v>July!$C$1:$C$92</v>
      </c>
      <c r="E5591" t="s">
        <v>10</v>
      </c>
      <c r="F5591" t="s">
        <v>126</v>
      </c>
      <c r="G5591" t="s">
        <v>13</v>
      </c>
      <c r="H5591" t="s">
        <v>179</v>
      </c>
      <c r="I5591" t="e">
        <f t="shared" ca="1" si="442"/>
        <v>#REF!</v>
      </c>
      <c r="J5591" t="str">
        <f>VLOOKUP($G5591,DefinitionArrays!$I$6:$J$12,2,FALSE)</f>
        <v>Workweek</v>
      </c>
    </row>
    <row r="5592" spans="1:10">
      <c r="A5592" s="159" t="str">
        <f t="shared" si="438"/>
        <v>$B$1:$B$92</v>
      </c>
      <c r="B5592" s="159" t="str">
        <f t="shared" si="439"/>
        <v>$C$1:$C$92</v>
      </c>
      <c r="C5592" s="159" t="str">
        <f t="shared" si="440"/>
        <v>July!$B$1:$B$92</v>
      </c>
      <c r="D5592" s="159" t="str">
        <f t="shared" si="441"/>
        <v>July!$C$1:$C$92</v>
      </c>
      <c r="E5592" t="s">
        <v>10</v>
      </c>
      <c r="F5592" t="s">
        <v>126</v>
      </c>
      <c r="G5592" t="s">
        <v>13</v>
      </c>
      <c r="H5592" t="s">
        <v>180</v>
      </c>
      <c r="I5592" t="e">
        <f t="shared" ca="1" si="442"/>
        <v>#REF!</v>
      </c>
      <c r="J5592" t="str">
        <f>VLOOKUP($G5592,DefinitionArrays!$I$6:$J$12,2,FALSE)</f>
        <v>Workweek</v>
      </c>
    </row>
    <row r="5593" spans="1:10">
      <c r="A5593" s="159" t="str">
        <f t="shared" si="438"/>
        <v>$B$1:$B$92</v>
      </c>
      <c r="B5593" s="159" t="str">
        <f t="shared" si="439"/>
        <v>$C$1:$C$92</v>
      </c>
      <c r="C5593" s="159" t="str">
        <f t="shared" si="440"/>
        <v>July!$B$1:$B$92</v>
      </c>
      <c r="D5593" s="159" t="str">
        <f t="shared" si="441"/>
        <v>July!$C$1:$C$92</v>
      </c>
      <c r="E5593" t="s">
        <v>10</v>
      </c>
      <c r="F5593" t="s">
        <v>126</v>
      </c>
      <c r="G5593" t="s">
        <v>13</v>
      </c>
      <c r="H5593" t="s">
        <v>44</v>
      </c>
      <c r="I5593" t="e">
        <f t="shared" ca="1" si="442"/>
        <v>#REF!</v>
      </c>
      <c r="J5593" t="str">
        <f>VLOOKUP($G5593,DefinitionArrays!$I$6:$J$12,2,FALSE)</f>
        <v>Workweek</v>
      </c>
    </row>
    <row r="5594" spans="1:10">
      <c r="A5594" s="159" t="str">
        <f t="shared" si="438"/>
        <v>$E$1:$E$92</v>
      </c>
      <c r="B5594" s="159" t="str">
        <f t="shared" si="439"/>
        <v>$F$1:$F$92</v>
      </c>
      <c r="C5594" s="159" t="str">
        <f t="shared" si="440"/>
        <v>July!$E$1:$E$92</v>
      </c>
      <c r="D5594" s="159" t="str">
        <f t="shared" si="441"/>
        <v>July!$F$1:$F$92</v>
      </c>
      <c r="E5594" t="s">
        <v>10</v>
      </c>
      <c r="F5594" t="s">
        <v>126</v>
      </c>
      <c r="G5594" t="s">
        <v>142</v>
      </c>
      <c r="H5594" t="s">
        <v>159</v>
      </c>
      <c r="I5594" t="e">
        <f t="shared" ca="1" si="442"/>
        <v>#REF!</v>
      </c>
      <c r="J5594" t="str">
        <f>VLOOKUP($G5594,DefinitionArrays!$I$6:$J$12,2,FALSE)</f>
        <v>Workweek</v>
      </c>
    </row>
    <row r="5595" spans="1:10">
      <c r="A5595" s="159" t="str">
        <f t="shared" si="438"/>
        <v>$E$1:$E$92</v>
      </c>
      <c r="B5595" s="159" t="str">
        <f t="shared" si="439"/>
        <v>$F$1:$F$92</v>
      </c>
      <c r="C5595" s="159" t="str">
        <f t="shared" si="440"/>
        <v>July!$E$1:$E$92</v>
      </c>
      <c r="D5595" s="159" t="str">
        <f t="shared" si="441"/>
        <v>July!$F$1:$F$92</v>
      </c>
      <c r="E5595" t="s">
        <v>10</v>
      </c>
      <c r="F5595" t="s">
        <v>126</v>
      </c>
      <c r="G5595" t="s">
        <v>142</v>
      </c>
      <c r="H5595" t="s">
        <v>18</v>
      </c>
      <c r="I5595" t="e">
        <f t="shared" ca="1" si="442"/>
        <v>#REF!</v>
      </c>
      <c r="J5595" t="str">
        <f>VLOOKUP($G5595,DefinitionArrays!$I$6:$J$12,2,FALSE)</f>
        <v>Workweek</v>
      </c>
    </row>
    <row r="5596" spans="1:10">
      <c r="A5596" s="159" t="str">
        <f t="shared" si="438"/>
        <v>$E$1:$E$92</v>
      </c>
      <c r="B5596" s="159" t="str">
        <f t="shared" si="439"/>
        <v>$F$1:$F$92</v>
      </c>
      <c r="C5596" s="159" t="str">
        <f t="shared" si="440"/>
        <v>July!$E$1:$E$92</v>
      </c>
      <c r="D5596" s="159" t="str">
        <f t="shared" si="441"/>
        <v>July!$F$1:$F$92</v>
      </c>
      <c r="E5596" t="s">
        <v>10</v>
      </c>
      <c r="F5596" t="s">
        <v>126</v>
      </c>
      <c r="G5596" t="s">
        <v>142</v>
      </c>
      <c r="H5596" t="s">
        <v>153</v>
      </c>
      <c r="I5596" t="e">
        <f t="shared" ca="1" si="442"/>
        <v>#REF!</v>
      </c>
      <c r="J5596" t="str">
        <f>VLOOKUP($G5596,DefinitionArrays!$I$6:$J$12,2,FALSE)</f>
        <v>Workweek</v>
      </c>
    </row>
    <row r="5597" spans="1:10">
      <c r="A5597" s="159" t="str">
        <f t="shared" si="438"/>
        <v>$E$1:$E$92</v>
      </c>
      <c r="B5597" s="159" t="str">
        <f t="shared" si="439"/>
        <v>$F$1:$F$92</v>
      </c>
      <c r="C5597" s="159" t="str">
        <f t="shared" si="440"/>
        <v>July!$E$1:$E$92</v>
      </c>
      <c r="D5597" s="159" t="str">
        <f t="shared" si="441"/>
        <v>July!$F$1:$F$92</v>
      </c>
      <c r="E5597" t="s">
        <v>10</v>
      </c>
      <c r="F5597" t="s">
        <v>126</v>
      </c>
      <c r="G5597" t="s">
        <v>142</v>
      </c>
      <c r="H5597" t="s">
        <v>19</v>
      </c>
      <c r="I5597" t="e">
        <f t="shared" ca="1" si="442"/>
        <v>#REF!</v>
      </c>
      <c r="J5597" t="str">
        <f>VLOOKUP($G5597,DefinitionArrays!$I$6:$J$12,2,FALSE)</f>
        <v>Workweek</v>
      </c>
    </row>
    <row r="5598" spans="1:10">
      <c r="A5598" s="159" t="str">
        <f t="shared" si="438"/>
        <v>$E$1:$E$92</v>
      </c>
      <c r="B5598" s="159" t="str">
        <f t="shared" si="439"/>
        <v>$F$1:$F$92</v>
      </c>
      <c r="C5598" s="159" t="str">
        <f t="shared" si="440"/>
        <v>July!$E$1:$E$92</v>
      </c>
      <c r="D5598" s="159" t="str">
        <f t="shared" si="441"/>
        <v>July!$F$1:$F$92</v>
      </c>
      <c r="E5598" t="s">
        <v>10</v>
      </c>
      <c r="F5598" t="s">
        <v>126</v>
      </c>
      <c r="G5598" t="s">
        <v>142</v>
      </c>
      <c r="H5598" t="s">
        <v>20</v>
      </c>
      <c r="I5598" t="e">
        <f t="shared" ca="1" si="442"/>
        <v>#REF!</v>
      </c>
      <c r="J5598" t="str">
        <f>VLOOKUP($G5598,DefinitionArrays!$I$6:$J$12,2,FALSE)</f>
        <v>Workweek</v>
      </c>
    </row>
    <row r="5599" spans="1:10">
      <c r="A5599" s="159" t="str">
        <f t="shared" si="438"/>
        <v>$E$1:$E$92</v>
      </c>
      <c r="B5599" s="159" t="str">
        <f t="shared" si="439"/>
        <v>$F$1:$F$92</v>
      </c>
      <c r="C5599" s="159" t="str">
        <f t="shared" si="440"/>
        <v>July!$E$1:$E$92</v>
      </c>
      <c r="D5599" s="159" t="str">
        <f t="shared" si="441"/>
        <v>July!$F$1:$F$92</v>
      </c>
      <c r="E5599" t="s">
        <v>10</v>
      </c>
      <c r="F5599" t="s">
        <v>126</v>
      </c>
      <c r="G5599" t="s">
        <v>142</v>
      </c>
      <c r="H5599" t="s">
        <v>21</v>
      </c>
      <c r="I5599" t="e">
        <f t="shared" ca="1" si="442"/>
        <v>#REF!</v>
      </c>
      <c r="J5599" t="str">
        <f>VLOOKUP($G5599,DefinitionArrays!$I$6:$J$12,2,FALSE)</f>
        <v>Workweek</v>
      </c>
    </row>
    <row r="5600" spans="1:10">
      <c r="A5600" s="159" t="str">
        <f t="shared" si="438"/>
        <v>$E$1:$E$92</v>
      </c>
      <c r="B5600" s="159" t="str">
        <f t="shared" si="439"/>
        <v>$F$1:$F$92</v>
      </c>
      <c r="C5600" s="159" t="str">
        <f t="shared" si="440"/>
        <v>July!$E$1:$E$92</v>
      </c>
      <c r="D5600" s="159" t="str">
        <f t="shared" si="441"/>
        <v>July!$F$1:$F$92</v>
      </c>
      <c r="E5600" t="s">
        <v>10</v>
      </c>
      <c r="F5600" t="s">
        <v>126</v>
      </c>
      <c r="G5600" t="s">
        <v>142</v>
      </c>
      <c r="H5600" t="s">
        <v>22</v>
      </c>
      <c r="I5600" t="e">
        <f t="shared" ca="1" si="442"/>
        <v>#REF!</v>
      </c>
      <c r="J5600" t="str">
        <f>VLOOKUP($G5600,DefinitionArrays!$I$6:$J$12,2,FALSE)</f>
        <v>Workweek</v>
      </c>
    </row>
    <row r="5601" spans="1:10">
      <c r="A5601" s="159" t="str">
        <f t="shared" si="438"/>
        <v>$E$1:$E$92</v>
      </c>
      <c r="B5601" s="159" t="str">
        <f t="shared" si="439"/>
        <v>$F$1:$F$92</v>
      </c>
      <c r="C5601" s="159" t="str">
        <f t="shared" si="440"/>
        <v>July!$E$1:$E$92</v>
      </c>
      <c r="D5601" s="159" t="str">
        <f t="shared" si="441"/>
        <v>July!$F$1:$F$92</v>
      </c>
      <c r="E5601" t="s">
        <v>10</v>
      </c>
      <c r="F5601" t="s">
        <v>126</v>
      </c>
      <c r="G5601" t="s">
        <v>142</v>
      </c>
      <c r="H5601" t="s">
        <v>23</v>
      </c>
      <c r="I5601" t="e">
        <f t="shared" ca="1" si="442"/>
        <v>#REF!</v>
      </c>
      <c r="J5601" t="str">
        <f>VLOOKUP($G5601,DefinitionArrays!$I$6:$J$12,2,FALSE)</f>
        <v>Workweek</v>
      </c>
    </row>
    <row r="5602" spans="1:10">
      <c r="A5602" s="159" t="str">
        <f t="shared" si="438"/>
        <v>$E$1:$E$92</v>
      </c>
      <c r="B5602" s="159" t="str">
        <f t="shared" si="439"/>
        <v>$F$1:$F$92</v>
      </c>
      <c r="C5602" s="159" t="str">
        <f t="shared" si="440"/>
        <v>July!$E$1:$E$92</v>
      </c>
      <c r="D5602" s="159" t="str">
        <f t="shared" si="441"/>
        <v>July!$F$1:$F$92</v>
      </c>
      <c r="E5602" t="s">
        <v>10</v>
      </c>
      <c r="F5602" t="s">
        <v>126</v>
      </c>
      <c r="G5602" t="s">
        <v>142</v>
      </c>
      <c r="H5602" t="s">
        <v>24</v>
      </c>
      <c r="I5602" t="e">
        <f t="shared" ca="1" si="442"/>
        <v>#REF!</v>
      </c>
      <c r="J5602" t="str">
        <f>VLOOKUP($G5602,DefinitionArrays!$I$6:$J$12,2,FALSE)</f>
        <v>Workweek</v>
      </c>
    </row>
    <row r="5603" spans="1:10">
      <c r="A5603" s="159" t="str">
        <f t="shared" si="438"/>
        <v>$E$1:$E$92</v>
      </c>
      <c r="B5603" s="159" t="str">
        <f t="shared" si="439"/>
        <v>$F$1:$F$92</v>
      </c>
      <c r="C5603" s="159" t="str">
        <f t="shared" si="440"/>
        <v>July!$E$1:$E$92</v>
      </c>
      <c r="D5603" s="159" t="str">
        <f t="shared" si="441"/>
        <v>July!$F$1:$F$92</v>
      </c>
      <c r="E5603" t="s">
        <v>10</v>
      </c>
      <c r="F5603" t="s">
        <v>126</v>
      </c>
      <c r="G5603" t="s">
        <v>142</v>
      </c>
      <c r="H5603" t="s">
        <v>179</v>
      </c>
      <c r="I5603" t="e">
        <f t="shared" ca="1" si="442"/>
        <v>#REF!</v>
      </c>
      <c r="J5603" t="str">
        <f>VLOOKUP($G5603,DefinitionArrays!$I$6:$J$12,2,FALSE)</f>
        <v>Workweek</v>
      </c>
    </row>
    <row r="5604" spans="1:10">
      <c r="A5604" s="159" t="str">
        <f t="shared" si="438"/>
        <v>$E$1:$E$92</v>
      </c>
      <c r="B5604" s="159" t="str">
        <f t="shared" si="439"/>
        <v>$F$1:$F$92</v>
      </c>
      <c r="C5604" s="159" t="str">
        <f t="shared" si="440"/>
        <v>July!$E$1:$E$92</v>
      </c>
      <c r="D5604" s="159" t="str">
        <f t="shared" si="441"/>
        <v>July!$F$1:$F$92</v>
      </c>
      <c r="E5604" t="s">
        <v>10</v>
      </c>
      <c r="F5604" t="s">
        <v>126</v>
      </c>
      <c r="G5604" t="s">
        <v>142</v>
      </c>
      <c r="H5604" t="s">
        <v>180</v>
      </c>
      <c r="I5604" t="e">
        <f t="shared" ca="1" si="442"/>
        <v>#REF!</v>
      </c>
      <c r="J5604" t="str">
        <f>VLOOKUP($G5604,DefinitionArrays!$I$6:$J$12,2,FALSE)</f>
        <v>Workweek</v>
      </c>
    </row>
    <row r="5605" spans="1:10">
      <c r="A5605" s="159" t="str">
        <f t="shared" si="438"/>
        <v>$E$1:$E$92</v>
      </c>
      <c r="B5605" s="159" t="str">
        <f t="shared" si="439"/>
        <v>$F$1:$F$92</v>
      </c>
      <c r="C5605" s="159" t="str">
        <f t="shared" si="440"/>
        <v>July!$E$1:$E$92</v>
      </c>
      <c r="D5605" s="159" t="str">
        <f t="shared" si="441"/>
        <v>July!$F$1:$F$92</v>
      </c>
      <c r="E5605" t="s">
        <v>10</v>
      </c>
      <c r="F5605" t="s">
        <v>126</v>
      </c>
      <c r="G5605" t="s">
        <v>142</v>
      </c>
      <c r="H5605" t="s">
        <v>44</v>
      </c>
      <c r="I5605" t="e">
        <f t="shared" ca="1" si="442"/>
        <v>#REF!</v>
      </c>
      <c r="J5605" t="str">
        <f>VLOOKUP($G5605,DefinitionArrays!$I$6:$J$12,2,FALSE)</f>
        <v>Workweek</v>
      </c>
    </row>
    <row r="5606" spans="1:10">
      <c r="A5606" s="159" t="str">
        <f t="shared" si="438"/>
        <v>$H$1:$H$92</v>
      </c>
      <c r="B5606" s="159" t="str">
        <f t="shared" si="439"/>
        <v>$I$1:$I$92</v>
      </c>
      <c r="C5606" s="159" t="str">
        <f t="shared" si="440"/>
        <v>July!$H$1:$H$92</v>
      </c>
      <c r="D5606" s="159" t="str">
        <f t="shared" si="441"/>
        <v>July!$I$1:$I$92</v>
      </c>
      <c r="E5606" t="s">
        <v>10</v>
      </c>
      <c r="F5606" t="s">
        <v>126</v>
      </c>
      <c r="G5606" t="s">
        <v>143</v>
      </c>
      <c r="H5606" t="s">
        <v>159</v>
      </c>
      <c r="I5606" t="e">
        <f t="shared" ca="1" si="442"/>
        <v>#REF!</v>
      </c>
      <c r="J5606" t="str">
        <f>VLOOKUP($G5606,DefinitionArrays!$I$6:$J$12,2,FALSE)</f>
        <v>Workweek</v>
      </c>
    </row>
    <row r="5607" spans="1:10">
      <c r="A5607" s="159" t="str">
        <f t="shared" si="438"/>
        <v>$H$1:$H$92</v>
      </c>
      <c r="B5607" s="159" t="str">
        <f t="shared" si="439"/>
        <v>$I$1:$I$92</v>
      </c>
      <c r="C5607" s="159" t="str">
        <f t="shared" si="440"/>
        <v>July!$H$1:$H$92</v>
      </c>
      <c r="D5607" s="159" t="str">
        <f t="shared" si="441"/>
        <v>July!$I$1:$I$92</v>
      </c>
      <c r="E5607" t="s">
        <v>10</v>
      </c>
      <c r="F5607" t="s">
        <v>126</v>
      </c>
      <c r="G5607" t="s">
        <v>143</v>
      </c>
      <c r="H5607" t="s">
        <v>18</v>
      </c>
      <c r="I5607" t="e">
        <f t="shared" ca="1" si="442"/>
        <v>#REF!</v>
      </c>
      <c r="J5607" t="str">
        <f>VLOOKUP($G5607,DefinitionArrays!$I$6:$J$12,2,FALSE)</f>
        <v>Workweek</v>
      </c>
    </row>
    <row r="5608" spans="1:10">
      <c r="A5608" s="159" t="str">
        <f t="shared" si="438"/>
        <v>$H$1:$H$92</v>
      </c>
      <c r="B5608" s="159" t="str">
        <f t="shared" si="439"/>
        <v>$I$1:$I$92</v>
      </c>
      <c r="C5608" s="159" t="str">
        <f t="shared" si="440"/>
        <v>July!$H$1:$H$92</v>
      </c>
      <c r="D5608" s="159" t="str">
        <f t="shared" si="441"/>
        <v>July!$I$1:$I$92</v>
      </c>
      <c r="E5608" t="s">
        <v>10</v>
      </c>
      <c r="F5608" t="s">
        <v>126</v>
      </c>
      <c r="G5608" t="s">
        <v>143</v>
      </c>
      <c r="H5608" t="s">
        <v>153</v>
      </c>
      <c r="I5608" t="e">
        <f t="shared" ca="1" si="442"/>
        <v>#REF!</v>
      </c>
      <c r="J5608" t="str">
        <f>VLOOKUP($G5608,DefinitionArrays!$I$6:$J$12,2,FALSE)</f>
        <v>Workweek</v>
      </c>
    </row>
    <row r="5609" spans="1:10">
      <c r="A5609" s="159" t="str">
        <f t="shared" si="438"/>
        <v>$H$1:$H$92</v>
      </c>
      <c r="B5609" s="159" t="str">
        <f t="shared" si="439"/>
        <v>$I$1:$I$92</v>
      </c>
      <c r="C5609" s="159" t="str">
        <f t="shared" si="440"/>
        <v>July!$H$1:$H$92</v>
      </c>
      <c r="D5609" s="159" t="str">
        <f t="shared" si="441"/>
        <v>July!$I$1:$I$92</v>
      </c>
      <c r="E5609" t="s">
        <v>10</v>
      </c>
      <c r="F5609" t="s">
        <v>126</v>
      </c>
      <c r="G5609" t="s">
        <v>143</v>
      </c>
      <c r="H5609" t="s">
        <v>19</v>
      </c>
      <c r="I5609" t="e">
        <f t="shared" ca="1" si="442"/>
        <v>#REF!</v>
      </c>
      <c r="J5609" t="str">
        <f>VLOOKUP($G5609,DefinitionArrays!$I$6:$J$12,2,FALSE)</f>
        <v>Workweek</v>
      </c>
    </row>
    <row r="5610" spans="1:10">
      <c r="A5610" s="159" t="str">
        <f t="shared" si="438"/>
        <v>$H$1:$H$92</v>
      </c>
      <c r="B5610" s="159" t="str">
        <f t="shared" si="439"/>
        <v>$I$1:$I$92</v>
      </c>
      <c r="C5610" s="159" t="str">
        <f t="shared" si="440"/>
        <v>July!$H$1:$H$92</v>
      </c>
      <c r="D5610" s="159" t="str">
        <f t="shared" si="441"/>
        <v>July!$I$1:$I$92</v>
      </c>
      <c r="E5610" t="s">
        <v>10</v>
      </c>
      <c r="F5610" t="s">
        <v>126</v>
      </c>
      <c r="G5610" t="s">
        <v>143</v>
      </c>
      <c r="H5610" t="s">
        <v>20</v>
      </c>
      <c r="I5610" t="e">
        <f t="shared" ca="1" si="442"/>
        <v>#REF!</v>
      </c>
      <c r="J5610" t="str">
        <f>VLOOKUP($G5610,DefinitionArrays!$I$6:$J$12,2,FALSE)</f>
        <v>Workweek</v>
      </c>
    </row>
    <row r="5611" spans="1:10">
      <c r="A5611" s="159" t="str">
        <f t="shared" si="438"/>
        <v>$H$1:$H$92</v>
      </c>
      <c r="B5611" s="159" t="str">
        <f t="shared" si="439"/>
        <v>$I$1:$I$92</v>
      </c>
      <c r="C5611" s="159" t="str">
        <f t="shared" si="440"/>
        <v>July!$H$1:$H$92</v>
      </c>
      <c r="D5611" s="159" t="str">
        <f t="shared" si="441"/>
        <v>July!$I$1:$I$92</v>
      </c>
      <c r="E5611" t="s">
        <v>10</v>
      </c>
      <c r="F5611" t="s">
        <v>126</v>
      </c>
      <c r="G5611" t="s">
        <v>143</v>
      </c>
      <c r="H5611" t="s">
        <v>21</v>
      </c>
      <c r="I5611" t="e">
        <f t="shared" ca="1" si="442"/>
        <v>#REF!</v>
      </c>
      <c r="J5611" t="str">
        <f>VLOOKUP($G5611,DefinitionArrays!$I$6:$J$12,2,FALSE)</f>
        <v>Workweek</v>
      </c>
    </row>
    <row r="5612" spans="1:10">
      <c r="A5612" s="159" t="str">
        <f t="shared" si="438"/>
        <v>$H$1:$H$92</v>
      </c>
      <c r="B5612" s="159" t="str">
        <f t="shared" si="439"/>
        <v>$I$1:$I$92</v>
      </c>
      <c r="C5612" s="159" t="str">
        <f t="shared" si="440"/>
        <v>July!$H$1:$H$92</v>
      </c>
      <c r="D5612" s="159" t="str">
        <f t="shared" si="441"/>
        <v>July!$I$1:$I$92</v>
      </c>
      <c r="E5612" t="s">
        <v>10</v>
      </c>
      <c r="F5612" t="s">
        <v>126</v>
      </c>
      <c r="G5612" t="s">
        <v>143</v>
      </c>
      <c r="H5612" t="s">
        <v>22</v>
      </c>
      <c r="I5612" t="e">
        <f t="shared" ca="1" si="442"/>
        <v>#REF!</v>
      </c>
      <c r="J5612" t="str">
        <f>VLOOKUP($G5612,DefinitionArrays!$I$6:$J$12,2,FALSE)</f>
        <v>Workweek</v>
      </c>
    </row>
    <row r="5613" spans="1:10">
      <c r="A5613" s="159" t="str">
        <f t="shared" si="438"/>
        <v>$H$1:$H$92</v>
      </c>
      <c r="B5613" s="159" t="str">
        <f t="shared" si="439"/>
        <v>$I$1:$I$92</v>
      </c>
      <c r="C5613" s="159" t="str">
        <f t="shared" si="440"/>
        <v>July!$H$1:$H$92</v>
      </c>
      <c r="D5613" s="159" t="str">
        <f t="shared" si="441"/>
        <v>July!$I$1:$I$92</v>
      </c>
      <c r="E5613" t="s">
        <v>10</v>
      </c>
      <c r="F5613" t="s">
        <v>126</v>
      </c>
      <c r="G5613" t="s">
        <v>143</v>
      </c>
      <c r="H5613" t="s">
        <v>23</v>
      </c>
      <c r="I5613" t="e">
        <f t="shared" ca="1" si="442"/>
        <v>#REF!</v>
      </c>
      <c r="J5613" t="str">
        <f>VLOOKUP($G5613,DefinitionArrays!$I$6:$J$12,2,FALSE)</f>
        <v>Workweek</v>
      </c>
    </row>
    <row r="5614" spans="1:10">
      <c r="A5614" s="159" t="str">
        <f t="shared" si="438"/>
        <v>$H$1:$H$92</v>
      </c>
      <c r="B5614" s="159" t="str">
        <f t="shared" si="439"/>
        <v>$I$1:$I$92</v>
      </c>
      <c r="C5614" s="159" t="str">
        <f t="shared" si="440"/>
        <v>July!$H$1:$H$92</v>
      </c>
      <c r="D5614" s="159" t="str">
        <f t="shared" si="441"/>
        <v>July!$I$1:$I$92</v>
      </c>
      <c r="E5614" t="s">
        <v>10</v>
      </c>
      <c r="F5614" t="s">
        <v>126</v>
      </c>
      <c r="G5614" t="s">
        <v>143</v>
      </c>
      <c r="H5614" t="s">
        <v>24</v>
      </c>
      <c r="I5614" t="e">
        <f t="shared" ca="1" si="442"/>
        <v>#REF!</v>
      </c>
      <c r="J5614" t="str">
        <f>VLOOKUP($G5614,DefinitionArrays!$I$6:$J$12,2,FALSE)</f>
        <v>Workweek</v>
      </c>
    </row>
    <row r="5615" spans="1:10">
      <c r="A5615" s="159" t="str">
        <f t="shared" si="438"/>
        <v>$H$1:$H$92</v>
      </c>
      <c r="B5615" s="159" t="str">
        <f t="shared" si="439"/>
        <v>$I$1:$I$92</v>
      </c>
      <c r="C5615" s="159" t="str">
        <f t="shared" si="440"/>
        <v>July!$H$1:$H$92</v>
      </c>
      <c r="D5615" s="159" t="str">
        <f t="shared" si="441"/>
        <v>July!$I$1:$I$92</v>
      </c>
      <c r="E5615" t="s">
        <v>10</v>
      </c>
      <c r="F5615" t="s">
        <v>126</v>
      </c>
      <c r="G5615" t="s">
        <v>143</v>
      </c>
      <c r="H5615" t="s">
        <v>179</v>
      </c>
      <c r="I5615" t="e">
        <f t="shared" ca="1" si="442"/>
        <v>#REF!</v>
      </c>
      <c r="J5615" t="str">
        <f>VLOOKUP($G5615,DefinitionArrays!$I$6:$J$12,2,FALSE)</f>
        <v>Workweek</v>
      </c>
    </row>
    <row r="5616" spans="1:10">
      <c r="A5616" s="159" t="str">
        <f t="shared" si="438"/>
        <v>$H$1:$H$92</v>
      </c>
      <c r="B5616" s="159" t="str">
        <f t="shared" si="439"/>
        <v>$I$1:$I$92</v>
      </c>
      <c r="C5616" s="159" t="str">
        <f t="shared" si="440"/>
        <v>July!$H$1:$H$92</v>
      </c>
      <c r="D5616" s="159" t="str">
        <f t="shared" si="441"/>
        <v>July!$I$1:$I$92</v>
      </c>
      <c r="E5616" t="s">
        <v>10</v>
      </c>
      <c r="F5616" t="s">
        <v>126</v>
      </c>
      <c r="G5616" t="s">
        <v>143</v>
      </c>
      <c r="H5616" t="s">
        <v>180</v>
      </c>
      <c r="I5616" t="e">
        <f t="shared" ca="1" si="442"/>
        <v>#REF!</v>
      </c>
      <c r="J5616" t="str">
        <f>VLOOKUP($G5616,DefinitionArrays!$I$6:$J$12,2,FALSE)</f>
        <v>Workweek</v>
      </c>
    </row>
    <row r="5617" spans="1:10">
      <c r="A5617" s="159" t="str">
        <f t="shared" si="438"/>
        <v>$H$1:$H$92</v>
      </c>
      <c r="B5617" s="159" t="str">
        <f t="shared" si="439"/>
        <v>$I$1:$I$92</v>
      </c>
      <c r="C5617" s="159" t="str">
        <f t="shared" si="440"/>
        <v>July!$H$1:$H$92</v>
      </c>
      <c r="D5617" s="159" t="str">
        <f t="shared" si="441"/>
        <v>July!$I$1:$I$92</v>
      </c>
      <c r="E5617" t="s">
        <v>10</v>
      </c>
      <c r="F5617" t="s">
        <v>126</v>
      </c>
      <c r="G5617" t="s">
        <v>143</v>
      </c>
      <c r="H5617" t="s">
        <v>44</v>
      </c>
      <c r="I5617" t="e">
        <f t="shared" ca="1" si="442"/>
        <v>#REF!</v>
      </c>
      <c r="J5617" t="str">
        <f>VLOOKUP($G5617,DefinitionArrays!$I$6:$J$12,2,FALSE)</f>
        <v>Workweek</v>
      </c>
    </row>
    <row r="5618" spans="1:10">
      <c r="A5618" s="159" t="str">
        <f t="shared" si="438"/>
        <v>$K$1:$K$92</v>
      </c>
      <c r="B5618" s="159" t="str">
        <f t="shared" si="439"/>
        <v>$L$1:$L$92</v>
      </c>
      <c r="C5618" s="159" t="str">
        <f t="shared" si="440"/>
        <v>July!$K$1:$K$92</v>
      </c>
      <c r="D5618" s="159" t="str">
        <f t="shared" si="441"/>
        <v>July!$L$1:$L$92</v>
      </c>
      <c r="E5618" t="s">
        <v>10</v>
      </c>
      <c r="F5618" t="s">
        <v>126</v>
      </c>
      <c r="G5618" t="s">
        <v>144</v>
      </c>
      <c r="H5618" t="s">
        <v>159</v>
      </c>
      <c r="I5618" t="e">
        <f t="shared" ca="1" si="442"/>
        <v>#REF!</v>
      </c>
      <c r="J5618" t="str">
        <f>VLOOKUP($G5618,DefinitionArrays!$I$6:$J$12,2,FALSE)</f>
        <v>Workweek</v>
      </c>
    </row>
    <row r="5619" spans="1:10">
      <c r="A5619" s="159" t="str">
        <f t="shared" si="438"/>
        <v>$K$1:$K$92</v>
      </c>
      <c r="B5619" s="159" t="str">
        <f t="shared" si="439"/>
        <v>$L$1:$L$92</v>
      </c>
      <c r="C5619" s="159" t="str">
        <f t="shared" si="440"/>
        <v>July!$K$1:$K$92</v>
      </c>
      <c r="D5619" s="159" t="str">
        <f t="shared" si="441"/>
        <v>July!$L$1:$L$92</v>
      </c>
      <c r="E5619" t="s">
        <v>10</v>
      </c>
      <c r="F5619" t="s">
        <v>126</v>
      </c>
      <c r="G5619" t="s">
        <v>144</v>
      </c>
      <c r="H5619" t="s">
        <v>18</v>
      </c>
      <c r="I5619" t="e">
        <f t="shared" ca="1" si="442"/>
        <v>#REF!</v>
      </c>
      <c r="J5619" t="str">
        <f>VLOOKUP($G5619,DefinitionArrays!$I$6:$J$12,2,FALSE)</f>
        <v>Workweek</v>
      </c>
    </row>
    <row r="5620" spans="1:10">
      <c r="A5620" s="159" t="str">
        <f t="shared" si="438"/>
        <v>$K$1:$K$92</v>
      </c>
      <c r="B5620" s="159" t="str">
        <f t="shared" si="439"/>
        <v>$L$1:$L$92</v>
      </c>
      <c r="C5620" s="159" t="str">
        <f t="shared" si="440"/>
        <v>July!$K$1:$K$92</v>
      </c>
      <c r="D5620" s="159" t="str">
        <f t="shared" si="441"/>
        <v>July!$L$1:$L$92</v>
      </c>
      <c r="E5620" t="s">
        <v>10</v>
      </c>
      <c r="F5620" t="s">
        <v>126</v>
      </c>
      <c r="G5620" t="s">
        <v>144</v>
      </c>
      <c r="H5620" t="s">
        <v>153</v>
      </c>
      <c r="I5620" t="e">
        <f t="shared" ca="1" si="442"/>
        <v>#REF!</v>
      </c>
      <c r="J5620" t="str">
        <f>VLOOKUP($G5620,DefinitionArrays!$I$6:$J$12,2,FALSE)</f>
        <v>Workweek</v>
      </c>
    </row>
    <row r="5621" spans="1:10">
      <c r="A5621" s="159" t="str">
        <f t="shared" si="438"/>
        <v>$K$1:$K$92</v>
      </c>
      <c r="B5621" s="159" t="str">
        <f t="shared" si="439"/>
        <v>$L$1:$L$92</v>
      </c>
      <c r="C5621" s="159" t="str">
        <f t="shared" si="440"/>
        <v>July!$K$1:$K$92</v>
      </c>
      <c r="D5621" s="159" t="str">
        <f t="shared" si="441"/>
        <v>July!$L$1:$L$92</v>
      </c>
      <c r="E5621" t="s">
        <v>10</v>
      </c>
      <c r="F5621" t="s">
        <v>126</v>
      </c>
      <c r="G5621" t="s">
        <v>144</v>
      </c>
      <c r="H5621" t="s">
        <v>19</v>
      </c>
      <c r="I5621" t="e">
        <f t="shared" ca="1" si="442"/>
        <v>#REF!</v>
      </c>
      <c r="J5621" t="str">
        <f>VLOOKUP($G5621,DefinitionArrays!$I$6:$J$12,2,FALSE)</f>
        <v>Workweek</v>
      </c>
    </row>
    <row r="5622" spans="1:10">
      <c r="A5622" s="159" t="str">
        <f t="shared" si="438"/>
        <v>$K$1:$K$92</v>
      </c>
      <c r="B5622" s="159" t="str">
        <f t="shared" si="439"/>
        <v>$L$1:$L$92</v>
      </c>
      <c r="C5622" s="159" t="str">
        <f t="shared" si="440"/>
        <v>July!$K$1:$K$92</v>
      </c>
      <c r="D5622" s="159" t="str">
        <f t="shared" si="441"/>
        <v>July!$L$1:$L$92</v>
      </c>
      <c r="E5622" t="s">
        <v>10</v>
      </c>
      <c r="F5622" t="s">
        <v>126</v>
      </c>
      <c r="G5622" t="s">
        <v>144</v>
      </c>
      <c r="H5622" t="s">
        <v>20</v>
      </c>
      <c r="I5622" t="e">
        <f t="shared" ca="1" si="442"/>
        <v>#REF!</v>
      </c>
      <c r="J5622" t="str">
        <f>VLOOKUP($G5622,DefinitionArrays!$I$6:$J$12,2,FALSE)</f>
        <v>Workweek</v>
      </c>
    </row>
    <row r="5623" spans="1:10">
      <c r="A5623" s="159" t="str">
        <f t="shared" si="438"/>
        <v>$K$1:$K$92</v>
      </c>
      <c r="B5623" s="159" t="str">
        <f t="shared" si="439"/>
        <v>$L$1:$L$92</v>
      </c>
      <c r="C5623" s="159" t="str">
        <f t="shared" si="440"/>
        <v>July!$K$1:$K$92</v>
      </c>
      <c r="D5623" s="159" t="str">
        <f t="shared" si="441"/>
        <v>July!$L$1:$L$92</v>
      </c>
      <c r="E5623" t="s">
        <v>10</v>
      </c>
      <c r="F5623" t="s">
        <v>126</v>
      </c>
      <c r="G5623" t="s">
        <v>144</v>
      </c>
      <c r="H5623" t="s">
        <v>21</v>
      </c>
      <c r="I5623" t="e">
        <f t="shared" ca="1" si="442"/>
        <v>#REF!</v>
      </c>
      <c r="J5623" t="str">
        <f>VLOOKUP($G5623,DefinitionArrays!$I$6:$J$12,2,FALSE)</f>
        <v>Workweek</v>
      </c>
    </row>
    <row r="5624" spans="1:10">
      <c r="A5624" s="159" t="str">
        <f t="shared" si="438"/>
        <v>$K$1:$K$92</v>
      </c>
      <c r="B5624" s="159" t="str">
        <f t="shared" si="439"/>
        <v>$L$1:$L$92</v>
      </c>
      <c r="C5624" s="159" t="str">
        <f t="shared" si="440"/>
        <v>July!$K$1:$K$92</v>
      </c>
      <c r="D5624" s="159" t="str">
        <f t="shared" si="441"/>
        <v>July!$L$1:$L$92</v>
      </c>
      <c r="E5624" t="s">
        <v>10</v>
      </c>
      <c r="F5624" t="s">
        <v>126</v>
      </c>
      <c r="G5624" t="s">
        <v>144</v>
      </c>
      <c r="H5624" t="s">
        <v>22</v>
      </c>
      <c r="I5624" t="e">
        <f t="shared" ca="1" si="442"/>
        <v>#REF!</v>
      </c>
      <c r="J5624" t="str">
        <f>VLOOKUP($G5624,DefinitionArrays!$I$6:$J$12,2,FALSE)</f>
        <v>Workweek</v>
      </c>
    </row>
    <row r="5625" spans="1:10">
      <c r="A5625" s="159" t="str">
        <f t="shared" si="438"/>
        <v>$K$1:$K$92</v>
      </c>
      <c r="B5625" s="159" t="str">
        <f t="shared" si="439"/>
        <v>$L$1:$L$92</v>
      </c>
      <c r="C5625" s="159" t="str">
        <f t="shared" si="440"/>
        <v>July!$K$1:$K$92</v>
      </c>
      <c r="D5625" s="159" t="str">
        <f t="shared" si="441"/>
        <v>July!$L$1:$L$92</v>
      </c>
      <c r="E5625" t="s">
        <v>10</v>
      </c>
      <c r="F5625" t="s">
        <v>126</v>
      </c>
      <c r="G5625" t="s">
        <v>144</v>
      </c>
      <c r="H5625" t="s">
        <v>23</v>
      </c>
      <c r="I5625" t="e">
        <f t="shared" ca="1" si="442"/>
        <v>#REF!</v>
      </c>
      <c r="J5625" t="str">
        <f>VLOOKUP($G5625,DefinitionArrays!$I$6:$J$12,2,FALSE)</f>
        <v>Workweek</v>
      </c>
    </row>
    <row r="5626" spans="1:10">
      <c r="A5626" s="159" t="str">
        <f t="shared" si="438"/>
        <v>$K$1:$K$92</v>
      </c>
      <c r="B5626" s="159" t="str">
        <f t="shared" si="439"/>
        <v>$L$1:$L$92</v>
      </c>
      <c r="C5626" s="159" t="str">
        <f t="shared" si="440"/>
        <v>July!$K$1:$K$92</v>
      </c>
      <c r="D5626" s="159" t="str">
        <f t="shared" si="441"/>
        <v>July!$L$1:$L$92</v>
      </c>
      <c r="E5626" t="s">
        <v>10</v>
      </c>
      <c r="F5626" t="s">
        <v>126</v>
      </c>
      <c r="G5626" t="s">
        <v>144</v>
      </c>
      <c r="H5626" t="s">
        <v>24</v>
      </c>
      <c r="I5626" t="e">
        <f t="shared" ca="1" si="442"/>
        <v>#REF!</v>
      </c>
      <c r="J5626" t="str">
        <f>VLOOKUP($G5626,DefinitionArrays!$I$6:$J$12,2,FALSE)</f>
        <v>Workweek</v>
      </c>
    </row>
    <row r="5627" spans="1:10">
      <c r="A5627" s="159" t="str">
        <f t="shared" si="438"/>
        <v>$K$1:$K$92</v>
      </c>
      <c r="B5627" s="159" t="str">
        <f t="shared" si="439"/>
        <v>$L$1:$L$92</v>
      </c>
      <c r="C5627" s="159" t="str">
        <f t="shared" si="440"/>
        <v>July!$K$1:$K$92</v>
      </c>
      <c r="D5627" s="159" t="str">
        <f t="shared" si="441"/>
        <v>July!$L$1:$L$92</v>
      </c>
      <c r="E5627" t="s">
        <v>10</v>
      </c>
      <c r="F5627" t="s">
        <v>126</v>
      </c>
      <c r="G5627" t="s">
        <v>144</v>
      </c>
      <c r="H5627" t="s">
        <v>179</v>
      </c>
      <c r="I5627" t="e">
        <f t="shared" ca="1" si="442"/>
        <v>#REF!</v>
      </c>
      <c r="J5627" t="str">
        <f>VLOOKUP($G5627,DefinitionArrays!$I$6:$J$12,2,FALSE)</f>
        <v>Workweek</v>
      </c>
    </row>
    <row r="5628" spans="1:10">
      <c r="A5628" s="159" t="str">
        <f t="shared" si="438"/>
        <v>$K$1:$K$92</v>
      </c>
      <c r="B5628" s="159" t="str">
        <f t="shared" si="439"/>
        <v>$L$1:$L$92</v>
      </c>
      <c r="C5628" s="159" t="str">
        <f t="shared" si="440"/>
        <v>July!$K$1:$K$92</v>
      </c>
      <c r="D5628" s="159" t="str">
        <f t="shared" si="441"/>
        <v>July!$L$1:$L$92</v>
      </c>
      <c r="E5628" t="s">
        <v>10</v>
      </c>
      <c r="F5628" t="s">
        <v>126</v>
      </c>
      <c r="G5628" t="s">
        <v>144</v>
      </c>
      <c r="H5628" t="s">
        <v>180</v>
      </c>
      <c r="I5628" t="e">
        <f t="shared" ca="1" si="442"/>
        <v>#REF!</v>
      </c>
      <c r="J5628" t="str">
        <f>VLOOKUP($G5628,DefinitionArrays!$I$6:$J$12,2,FALSE)</f>
        <v>Workweek</v>
      </c>
    </row>
    <row r="5629" spans="1:10">
      <c r="A5629" s="159" t="str">
        <f t="shared" si="438"/>
        <v>$K$1:$K$92</v>
      </c>
      <c r="B5629" s="159" t="str">
        <f t="shared" si="439"/>
        <v>$L$1:$L$92</v>
      </c>
      <c r="C5629" s="159" t="str">
        <f t="shared" si="440"/>
        <v>July!$K$1:$K$92</v>
      </c>
      <c r="D5629" s="159" t="str">
        <f t="shared" si="441"/>
        <v>July!$L$1:$L$92</v>
      </c>
      <c r="E5629" t="s">
        <v>10</v>
      </c>
      <c r="F5629" t="s">
        <v>126</v>
      </c>
      <c r="G5629" t="s">
        <v>144</v>
      </c>
      <c r="H5629" t="s">
        <v>44</v>
      </c>
      <c r="I5629" t="e">
        <f t="shared" ca="1" si="442"/>
        <v>#REF!</v>
      </c>
      <c r="J5629" t="str">
        <f>VLOOKUP($G5629,DefinitionArrays!$I$6:$J$12,2,FALSE)</f>
        <v>Workweek</v>
      </c>
    </row>
    <row r="5630" spans="1:10">
      <c r="A5630" s="159" t="str">
        <f t="shared" si="438"/>
        <v>$N$1:$N$92</v>
      </c>
      <c r="B5630" s="159" t="str">
        <f t="shared" si="439"/>
        <v>$O$1:$O$92</v>
      </c>
      <c r="C5630" s="159" t="str">
        <f t="shared" si="440"/>
        <v>July!$N$1:$N$92</v>
      </c>
      <c r="D5630" s="159" t="str">
        <f t="shared" si="441"/>
        <v>July!$O$1:$O$92</v>
      </c>
      <c r="E5630" t="s">
        <v>10</v>
      </c>
      <c r="F5630" t="s">
        <v>126</v>
      </c>
      <c r="G5630" t="s">
        <v>145</v>
      </c>
      <c r="H5630" t="s">
        <v>159</v>
      </c>
      <c r="I5630" t="e">
        <f t="shared" ca="1" si="442"/>
        <v>#REF!</v>
      </c>
      <c r="J5630" t="str">
        <f>VLOOKUP($G5630,DefinitionArrays!$I$6:$J$12,2,FALSE)</f>
        <v>Weekend</v>
      </c>
    </row>
    <row r="5631" spans="1:10">
      <c r="A5631" s="159" t="str">
        <f t="shared" si="438"/>
        <v>$N$1:$N$92</v>
      </c>
      <c r="B5631" s="159" t="str">
        <f t="shared" si="439"/>
        <v>$O$1:$O$92</v>
      </c>
      <c r="C5631" s="159" t="str">
        <f t="shared" si="440"/>
        <v>July!$N$1:$N$92</v>
      </c>
      <c r="D5631" s="159" t="str">
        <f t="shared" si="441"/>
        <v>July!$O$1:$O$92</v>
      </c>
      <c r="E5631" t="s">
        <v>10</v>
      </c>
      <c r="F5631" t="s">
        <v>126</v>
      </c>
      <c r="G5631" t="s">
        <v>145</v>
      </c>
      <c r="H5631" t="s">
        <v>18</v>
      </c>
      <c r="I5631" t="e">
        <f t="shared" ca="1" si="442"/>
        <v>#REF!</v>
      </c>
      <c r="J5631" t="str">
        <f>VLOOKUP($G5631,DefinitionArrays!$I$6:$J$12,2,FALSE)</f>
        <v>Weekend</v>
      </c>
    </row>
    <row r="5632" spans="1:10">
      <c r="A5632" s="159" t="str">
        <f t="shared" si="438"/>
        <v>$N$1:$N$92</v>
      </c>
      <c r="B5632" s="159" t="str">
        <f t="shared" si="439"/>
        <v>$O$1:$O$92</v>
      </c>
      <c r="C5632" s="159" t="str">
        <f t="shared" si="440"/>
        <v>July!$N$1:$N$92</v>
      </c>
      <c r="D5632" s="159" t="str">
        <f t="shared" si="441"/>
        <v>July!$O$1:$O$92</v>
      </c>
      <c r="E5632" t="s">
        <v>10</v>
      </c>
      <c r="F5632" t="s">
        <v>126</v>
      </c>
      <c r="G5632" t="s">
        <v>145</v>
      </c>
      <c r="H5632" t="s">
        <v>153</v>
      </c>
      <c r="I5632" t="e">
        <f t="shared" ca="1" si="442"/>
        <v>#REF!</v>
      </c>
      <c r="J5632" t="str">
        <f>VLOOKUP($G5632,DefinitionArrays!$I$6:$J$12,2,FALSE)</f>
        <v>Weekend</v>
      </c>
    </row>
    <row r="5633" spans="1:10">
      <c r="A5633" s="159" t="str">
        <f t="shared" si="438"/>
        <v>$N$1:$N$92</v>
      </c>
      <c r="B5633" s="159" t="str">
        <f t="shared" si="439"/>
        <v>$O$1:$O$92</v>
      </c>
      <c r="C5633" s="159" t="str">
        <f t="shared" si="440"/>
        <v>July!$N$1:$N$92</v>
      </c>
      <c r="D5633" s="159" t="str">
        <f t="shared" si="441"/>
        <v>July!$O$1:$O$92</v>
      </c>
      <c r="E5633" t="s">
        <v>10</v>
      </c>
      <c r="F5633" t="s">
        <v>126</v>
      </c>
      <c r="G5633" t="s">
        <v>145</v>
      </c>
      <c r="H5633" t="s">
        <v>19</v>
      </c>
      <c r="I5633" t="e">
        <f t="shared" ca="1" si="442"/>
        <v>#REF!</v>
      </c>
      <c r="J5633" t="str">
        <f>VLOOKUP($G5633,DefinitionArrays!$I$6:$J$12,2,FALSE)</f>
        <v>Weekend</v>
      </c>
    </row>
    <row r="5634" spans="1:10">
      <c r="A5634" s="159" t="str">
        <f t="shared" ref="A5634:A5697" si="443">VLOOKUP($G5634,Fx_Code,2,FALSE)</f>
        <v>$N$1:$N$92</v>
      </c>
      <c r="B5634" s="159" t="str">
        <f t="shared" ref="B5634:B5697" si="444">VLOOKUP($G5634,Fx_Code,3,FALSE)</f>
        <v>$O$1:$O$92</v>
      </c>
      <c r="C5634" s="159" t="str">
        <f t="shared" ref="C5634:C5697" si="445">CONCATENATE($F5634,$K$1,A5634)</f>
        <v>July!$N$1:$N$92</v>
      </c>
      <c r="D5634" s="159" t="str">
        <f t="shared" ref="D5634:D5697" si="446">CONCATENATE($F5634,$K$1,B5634)</f>
        <v>July!$O$1:$O$92</v>
      </c>
      <c r="E5634" t="s">
        <v>10</v>
      </c>
      <c r="F5634" t="s">
        <v>126</v>
      </c>
      <c r="G5634" t="s">
        <v>145</v>
      </c>
      <c r="H5634" t="s">
        <v>20</v>
      </c>
      <c r="I5634" t="e">
        <f t="shared" ca="1" si="442"/>
        <v>#REF!</v>
      </c>
      <c r="J5634" t="str">
        <f>VLOOKUP($G5634,DefinitionArrays!$I$6:$J$12,2,FALSE)</f>
        <v>Weekend</v>
      </c>
    </row>
    <row r="5635" spans="1:10">
      <c r="A5635" s="159" t="str">
        <f t="shared" si="443"/>
        <v>$N$1:$N$92</v>
      </c>
      <c r="B5635" s="159" t="str">
        <f t="shared" si="444"/>
        <v>$O$1:$O$92</v>
      </c>
      <c r="C5635" s="159" t="str">
        <f t="shared" si="445"/>
        <v>July!$N$1:$N$92</v>
      </c>
      <c r="D5635" s="159" t="str">
        <f t="shared" si="446"/>
        <v>July!$O$1:$O$92</v>
      </c>
      <c r="E5635" t="s">
        <v>10</v>
      </c>
      <c r="F5635" t="s">
        <v>126</v>
      </c>
      <c r="G5635" t="s">
        <v>145</v>
      </c>
      <c r="H5635" t="s">
        <v>21</v>
      </c>
      <c r="I5635" t="e">
        <f t="shared" ca="1" si="442"/>
        <v>#REF!</v>
      </c>
      <c r="J5635" t="str">
        <f>VLOOKUP($G5635,DefinitionArrays!$I$6:$J$12,2,FALSE)</f>
        <v>Weekend</v>
      </c>
    </row>
    <row r="5636" spans="1:10">
      <c r="A5636" s="159" t="str">
        <f t="shared" si="443"/>
        <v>$N$1:$N$92</v>
      </c>
      <c r="B5636" s="159" t="str">
        <f t="shared" si="444"/>
        <v>$O$1:$O$92</v>
      </c>
      <c r="C5636" s="159" t="str">
        <f t="shared" si="445"/>
        <v>July!$N$1:$N$92</v>
      </c>
      <c r="D5636" s="159" t="str">
        <f t="shared" si="446"/>
        <v>July!$O$1:$O$92</v>
      </c>
      <c r="E5636" t="s">
        <v>10</v>
      </c>
      <c r="F5636" t="s">
        <v>126</v>
      </c>
      <c r="G5636" t="s">
        <v>145</v>
      </c>
      <c r="H5636" t="s">
        <v>22</v>
      </c>
      <c r="I5636" t="e">
        <f t="shared" ca="1" si="442"/>
        <v>#REF!</v>
      </c>
      <c r="J5636" t="str">
        <f>VLOOKUP($G5636,DefinitionArrays!$I$6:$J$12,2,FALSE)</f>
        <v>Weekend</v>
      </c>
    </row>
    <row r="5637" spans="1:10">
      <c r="A5637" s="159" t="str">
        <f t="shared" si="443"/>
        <v>$N$1:$N$92</v>
      </c>
      <c r="B5637" s="159" t="str">
        <f t="shared" si="444"/>
        <v>$O$1:$O$92</v>
      </c>
      <c r="C5637" s="159" t="str">
        <f t="shared" si="445"/>
        <v>July!$N$1:$N$92</v>
      </c>
      <c r="D5637" s="159" t="str">
        <f t="shared" si="446"/>
        <v>July!$O$1:$O$92</v>
      </c>
      <c r="E5637" t="s">
        <v>10</v>
      </c>
      <c r="F5637" t="s">
        <v>126</v>
      </c>
      <c r="G5637" t="s">
        <v>145</v>
      </c>
      <c r="H5637" t="s">
        <v>23</v>
      </c>
      <c r="I5637" t="e">
        <f t="shared" ca="1" si="442"/>
        <v>#REF!</v>
      </c>
      <c r="J5637" t="str">
        <f>VLOOKUP($G5637,DefinitionArrays!$I$6:$J$12,2,FALSE)</f>
        <v>Weekend</v>
      </c>
    </row>
    <row r="5638" spans="1:10">
      <c r="A5638" s="159" t="str">
        <f t="shared" si="443"/>
        <v>$N$1:$N$92</v>
      </c>
      <c r="B5638" s="159" t="str">
        <f t="shared" si="444"/>
        <v>$O$1:$O$92</v>
      </c>
      <c r="C5638" s="159" t="str">
        <f t="shared" si="445"/>
        <v>July!$N$1:$N$92</v>
      </c>
      <c r="D5638" s="159" t="str">
        <f t="shared" si="446"/>
        <v>July!$O$1:$O$92</v>
      </c>
      <c r="E5638" t="s">
        <v>10</v>
      </c>
      <c r="F5638" t="s">
        <v>126</v>
      </c>
      <c r="G5638" t="s">
        <v>145</v>
      </c>
      <c r="H5638" t="s">
        <v>24</v>
      </c>
      <c r="I5638" t="e">
        <f t="shared" ca="1" si="442"/>
        <v>#REF!</v>
      </c>
      <c r="J5638" t="str">
        <f>VLOOKUP($G5638,DefinitionArrays!$I$6:$J$12,2,FALSE)</f>
        <v>Weekend</v>
      </c>
    </row>
    <row r="5639" spans="1:10">
      <c r="A5639" s="159" t="str">
        <f t="shared" si="443"/>
        <v>$N$1:$N$92</v>
      </c>
      <c r="B5639" s="159" t="str">
        <f t="shared" si="444"/>
        <v>$O$1:$O$92</v>
      </c>
      <c r="C5639" s="159" t="str">
        <f t="shared" si="445"/>
        <v>July!$N$1:$N$92</v>
      </c>
      <c r="D5639" s="159" t="str">
        <f t="shared" si="446"/>
        <v>July!$O$1:$O$92</v>
      </c>
      <c r="E5639" t="s">
        <v>10</v>
      </c>
      <c r="F5639" t="s">
        <v>126</v>
      </c>
      <c r="G5639" t="s">
        <v>145</v>
      </c>
      <c r="H5639" t="s">
        <v>179</v>
      </c>
      <c r="I5639" t="e">
        <f t="shared" ca="1" si="442"/>
        <v>#REF!</v>
      </c>
      <c r="J5639" t="str">
        <f>VLOOKUP($G5639,DefinitionArrays!$I$6:$J$12,2,FALSE)</f>
        <v>Weekend</v>
      </c>
    </row>
    <row r="5640" spans="1:10">
      <c r="A5640" s="159" t="str">
        <f t="shared" si="443"/>
        <v>$N$1:$N$92</v>
      </c>
      <c r="B5640" s="159" t="str">
        <f t="shared" si="444"/>
        <v>$O$1:$O$92</v>
      </c>
      <c r="C5640" s="159" t="str">
        <f t="shared" si="445"/>
        <v>July!$N$1:$N$92</v>
      </c>
      <c r="D5640" s="159" t="str">
        <f t="shared" si="446"/>
        <v>July!$O$1:$O$92</v>
      </c>
      <c r="E5640" t="s">
        <v>10</v>
      </c>
      <c r="F5640" t="s">
        <v>126</v>
      </c>
      <c r="G5640" t="s">
        <v>145</v>
      </c>
      <c r="H5640" t="s">
        <v>180</v>
      </c>
      <c r="I5640" t="e">
        <f t="shared" ca="1" si="442"/>
        <v>#REF!</v>
      </c>
      <c r="J5640" t="str">
        <f>VLOOKUP($G5640,DefinitionArrays!$I$6:$J$12,2,FALSE)</f>
        <v>Weekend</v>
      </c>
    </row>
    <row r="5641" spans="1:10">
      <c r="A5641" s="159" t="str">
        <f t="shared" si="443"/>
        <v>$N$1:$N$92</v>
      </c>
      <c r="B5641" s="159" t="str">
        <f t="shared" si="444"/>
        <v>$O$1:$O$92</v>
      </c>
      <c r="C5641" s="159" t="str">
        <f t="shared" si="445"/>
        <v>July!$N$1:$N$92</v>
      </c>
      <c r="D5641" s="159" t="str">
        <f t="shared" si="446"/>
        <v>July!$O$1:$O$92</v>
      </c>
      <c r="E5641" t="s">
        <v>10</v>
      </c>
      <c r="F5641" t="s">
        <v>126</v>
      </c>
      <c r="G5641" t="s">
        <v>145</v>
      </c>
      <c r="H5641" t="s">
        <v>44</v>
      </c>
      <c r="I5641" t="e">
        <f t="shared" ca="1" si="442"/>
        <v>#REF!</v>
      </c>
      <c r="J5641" t="str">
        <f>VLOOKUP($G5641,DefinitionArrays!$I$6:$J$12,2,FALSE)</f>
        <v>Weekend</v>
      </c>
    </row>
    <row r="5642" spans="1:10">
      <c r="A5642" s="159" t="str">
        <f t="shared" si="443"/>
        <v>$Q$1:$Q$92</v>
      </c>
      <c r="B5642" s="159" t="str">
        <f t="shared" si="444"/>
        <v>$R$1:$R$92</v>
      </c>
      <c r="C5642" s="159" t="str">
        <f t="shared" si="445"/>
        <v>July!$Q$1:$Q$92</v>
      </c>
      <c r="D5642" s="159" t="str">
        <f t="shared" si="446"/>
        <v>July!$R$1:$R$92</v>
      </c>
      <c r="E5642" t="s">
        <v>10</v>
      </c>
      <c r="F5642" t="s">
        <v>126</v>
      </c>
      <c r="G5642" t="s">
        <v>146</v>
      </c>
      <c r="H5642" t="s">
        <v>159</v>
      </c>
      <c r="I5642" t="e">
        <f t="shared" ca="1" si="442"/>
        <v>#REF!</v>
      </c>
      <c r="J5642" t="str">
        <f>VLOOKUP($G5642,DefinitionArrays!$I$6:$J$12,2,FALSE)</f>
        <v>Weekend</v>
      </c>
    </row>
    <row r="5643" spans="1:10">
      <c r="A5643" s="159" t="str">
        <f t="shared" si="443"/>
        <v>$T$1:$T$92</v>
      </c>
      <c r="B5643" s="159" t="str">
        <f t="shared" si="444"/>
        <v>$U$1:$U$92</v>
      </c>
      <c r="C5643" s="159" t="str">
        <f t="shared" si="445"/>
        <v>July!$T$1:$T$92</v>
      </c>
      <c r="D5643" s="159" t="str">
        <f t="shared" si="446"/>
        <v>July!$U$1:$U$92</v>
      </c>
      <c r="E5643" t="s">
        <v>10</v>
      </c>
      <c r="F5643" t="s">
        <v>126</v>
      </c>
      <c r="G5643" t="s">
        <v>141</v>
      </c>
      <c r="H5643" t="s">
        <v>159</v>
      </c>
      <c r="I5643" t="e">
        <f t="shared" ca="1" si="442"/>
        <v>#REF!</v>
      </c>
      <c r="J5643" t="str">
        <f>VLOOKUP($G5643,DefinitionArrays!$I$6:$J$12,2,FALSE)</f>
        <v>Weekend</v>
      </c>
    </row>
    <row r="5644" spans="1:10">
      <c r="A5644" s="159" t="str">
        <f t="shared" si="443"/>
        <v>$B$1:$B$92</v>
      </c>
      <c r="B5644" s="159" t="str">
        <f t="shared" si="444"/>
        <v>$C$1:$C$92</v>
      </c>
      <c r="C5644" s="159" t="str">
        <f t="shared" si="445"/>
        <v>August!$B$1:$B$92</v>
      </c>
      <c r="D5644" s="159" t="str">
        <f t="shared" si="446"/>
        <v>August!$C$1:$C$92</v>
      </c>
      <c r="E5644" t="s">
        <v>10</v>
      </c>
      <c r="F5644" t="s">
        <v>127</v>
      </c>
      <c r="G5644" t="s">
        <v>13</v>
      </c>
      <c r="H5644" t="s">
        <v>159</v>
      </c>
      <c r="I5644" t="e">
        <f ca="1">COUNTIFS(INDIRECT($C5644),$E5644,INDIRECT($D5644),$H5644)</f>
        <v>#REF!</v>
      </c>
      <c r="J5644" t="str">
        <f>VLOOKUP($G5644,DefinitionArrays!$I$6:$J$12,2,FALSE)</f>
        <v>Workweek</v>
      </c>
    </row>
    <row r="5645" spans="1:10">
      <c r="A5645" s="159" t="str">
        <f t="shared" si="443"/>
        <v>$B$1:$B$92</v>
      </c>
      <c r="B5645" s="159" t="str">
        <f t="shared" si="444"/>
        <v>$C$1:$C$92</v>
      </c>
      <c r="C5645" s="159" t="str">
        <f t="shared" si="445"/>
        <v>August!$B$1:$B$92</v>
      </c>
      <c r="D5645" s="159" t="str">
        <f t="shared" si="446"/>
        <v>August!$C$1:$C$92</v>
      </c>
      <c r="E5645" t="s">
        <v>10</v>
      </c>
      <c r="F5645" t="s">
        <v>127</v>
      </c>
      <c r="G5645" t="s">
        <v>13</v>
      </c>
      <c r="H5645" t="s">
        <v>18</v>
      </c>
      <c r="I5645" t="e">
        <f t="shared" ref="I5645:I5705" ca="1" si="447">COUNTIFS(INDIRECT($C5645),$E5645,INDIRECT($D5645),$H5645)</f>
        <v>#REF!</v>
      </c>
      <c r="J5645" t="str">
        <f>VLOOKUP($G5645,DefinitionArrays!$I$6:$J$12,2,FALSE)</f>
        <v>Workweek</v>
      </c>
    </row>
    <row r="5646" spans="1:10">
      <c r="A5646" s="159" t="str">
        <f t="shared" si="443"/>
        <v>$B$1:$B$92</v>
      </c>
      <c r="B5646" s="159" t="str">
        <f t="shared" si="444"/>
        <v>$C$1:$C$92</v>
      </c>
      <c r="C5646" s="159" t="str">
        <f t="shared" si="445"/>
        <v>August!$B$1:$B$92</v>
      </c>
      <c r="D5646" s="159" t="str">
        <f t="shared" si="446"/>
        <v>August!$C$1:$C$92</v>
      </c>
      <c r="E5646" t="s">
        <v>10</v>
      </c>
      <c r="F5646" t="s">
        <v>127</v>
      </c>
      <c r="G5646" t="s">
        <v>13</v>
      </c>
      <c r="H5646" t="s">
        <v>153</v>
      </c>
      <c r="I5646" t="e">
        <f t="shared" ca="1" si="447"/>
        <v>#REF!</v>
      </c>
      <c r="J5646" t="str">
        <f>VLOOKUP($G5646,DefinitionArrays!$I$6:$J$12,2,FALSE)</f>
        <v>Workweek</v>
      </c>
    </row>
    <row r="5647" spans="1:10">
      <c r="A5647" s="159" t="str">
        <f t="shared" si="443"/>
        <v>$B$1:$B$92</v>
      </c>
      <c r="B5647" s="159" t="str">
        <f t="shared" si="444"/>
        <v>$C$1:$C$92</v>
      </c>
      <c r="C5647" s="159" t="str">
        <f t="shared" si="445"/>
        <v>August!$B$1:$B$92</v>
      </c>
      <c r="D5647" s="159" t="str">
        <f t="shared" si="446"/>
        <v>August!$C$1:$C$92</v>
      </c>
      <c r="E5647" t="s">
        <v>10</v>
      </c>
      <c r="F5647" t="s">
        <v>127</v>
      </c>
      <c r="G5647" t="s">
        <v>13</v>
      </c>
      <c r="H5647" t="s">
        <v>19</v>
      </c>
      <c r="I5647" t="e">
        <f t="shared" ca="1" si="447"/>
        <v>#REF!</v>
      </c>
      <c r="J5647" t="str">
        <f>VLOOKUP($G5647,DefinitionArrays!$I$6:$J$12,2,FALSE)</f>
        <v>Workweek</v>
      </c>
    </row>
    <row r="5648" spans="1:10">
      <c r="A5648" s="159" t="str">
        <f t="shared" si="443"/>
        <v>$B$1:$B$92</v>
      </c>
      <c r="B5648" s="159" t="str">
        <f t="shared" si="444"/>
        <v>$C$1:$C$92</v>
      </c>
      <c r="C5648" s="159" t="str">
        <f t="shared" si="445"/>
        <v>August!$B$1:$B$92</v>
      </c>
      <c r="D5648" s="159" t="str">
        <f t="shared" si="446"/>
        <v>August!$C$1:$C$92</v>
      </c>
      <c r="E5648" t="s">
        <v>10</v>
      </c>
      <c r="F5648" t="s">
        <v>127</v>
      </c>
      <c r="G5648" t="s">
        <v>13</v>
      </c>
      <c r="H5648" t="s">
        <v>20</v>
      </c>
      <c r="I5648" t="e">
        <f t="shared" ca="1" si="447"/>
        <v>#REF!</v>
      </c>
      <c r="J5648" t="str">
        <f>VLOOKUP($G5648,DefinitionArrays!$I$6:$J$12,2,FALSE)</f>
        <v>Workweek</v>
      </c>
    </row>
    <row r="5649" spans="1:10">
      <c r="A5649" s="159" t="str">
        <f t="shared" si="443"/>
        <v>$B$1:$B$92</v>
      </c>
      <c r="B5649" s="159" t="str">
        <f t="shared" si="444"/>
        <v>$C$1:$C$92</v>
      </c>
      <c r="C5649" s="159" t="str">
        <f t="shared" si="445"/>
        <v>August!$B$1:$B$92</v>
      </c>
      <c r="D5649" s="159" t="str">
        <f t="shared" si="446"/>
        <v>August!$C$1:$C$92</v>
      </c>
      <c r="E5649" t="s">
        <v>10</v>
      </c>
      <c r="F5649" t="s">
        <v>127</v>
      </c>
      <c r="G5649" t="s">
        <v>13</v>
      </c>
      <c r="H5649" t="s">
        <v>21</v>
      </c>
      <c r="I5649" t="e">
        <f t="shared" ca="1" si="447"/>
        <v>#REF!</v>
      </c>
      <c r="J5649" t="str">
        <f>VLOOKUP($G5649,DefinitionArrays!$I$6:$J$12,2,FALSE)</f>
        <v>Workweek</v>
      </c>
    </row>
    <row r="5650" spans="1:10">
      <c r="A5650" s="159" t="str">
        <f t="shared" si="443"/>
        <v>$B$1:$B$92</v>
      </c>
      <c r="B5650" s="159" t="str">
        <f t="shared" si="444"/>
        <v>$C$1:$C$92</v>
      </c>
      <c r="C5650" s="159" t="str">
        <f t="shared" si="445"/>
        <v>August!$B$1:$B$92</v>
      </c>
      <c r="D5650" s="159" t="str">
        <f t="shared" si="446"/>
        <v>August!$C$1:$C$92</v>
      </c>
      <c r="E5650" t="s">
        <v>10</v>
      </c>
      <c r="F5650" t="s">
        <v>127</v>
      </c>
      <c r="G5650" t="s">
        <v>13</v>
      </c>
      <c r="H5650" t="s">
        <v>22</v>
      </c>
      <c r="I5650" t="e">
        <f t="shared" ca="1" si="447"/>
        <v>#REF!</v>
      </c>
      <c r="J5650" t="str">
        <f>VLOOKUP($G5650,DefinitionArrays!$I$6:$J$12,2,FALSE)</f>
        <v>Workweek</v>
      </c>
    </row>
    <row r="5651" spans="1:10">
      <c r="A5651" s="159" t="str">
        <f t="shared" si="443"/>
        <v>$B$1:$B$92</v>
      </c>
      <c r="B5651" s="159" t="str">
        <f t="shared" si="444"/>
        <v>$C$1:$C$92</v>
      </c>
      <c r="C5651" s="159" t="str">
        <f t="shared" si="445"/>
        <v>August!$B$1:$B$92</v>
      </c>
      <c r="D5651" s="159" t="str">
        <f t="shared" si="446"/>
        <v>August!$C$1:$C$92</v>
      </c>
      <c r="E5651" t="s">
        <v>10</v>
      </c>
      <c r="F5651" t="s">
        <v>127</v>
      </c>
      <c r="G5651" t="s">
        <v>13</v>
      </c>
      <c r="H5651" t="s">
        <v>23</v>
      </c>
      <c r="I5651" t="e">
        <f t="shared" ca="1" si="447"/>
        <v>#REF!</v>
      </c>
      <c r="J5651" t="str">
        <f>VLOOKUP($G5651,DefinitionArrays!$I$6:$J$12,2,FALSE)</f>
        <v>Workweek</v>
      </c>
    </row>
    <row r="5652" spans="1:10">
      <c r="A5652" s="159" t="str">
        <f t="shared" si="443"/>
        <v>$B$1:$B$92</v>
      </c>
      <c r="B5652" s="159" t="str">
        <f t="shared" si="444"/>
        <v>$C$1:$C$92</v>
      </c>
      <c r="C5652" s="159" t="str">
        <f t="shared" si="445"/>
        <v>August!$B$1:$B$92</v>
      </c>
      <c r="D5652" s="159" t="str">
        <f t="shared" si="446"/>
        <v>August!$C$1:$C$92</v>
      </c>
      <c r="E5652" t="s">
        <v>10</v>
      </c>
      <c r="F5652" t="s">
        <v>127</v>
      </c>
      <c r="G5652" t="s">
        <v>13</v>
      </c>
      <c r="H5652" t="s">
        <v>24</v>
      </c>
      <c r="I5652" t="e">
        <f t="shared" ca="1" si="447"/>
        <v>#REF!</v>
      </c>
      <c r="J5652" t="str">
        <f>VLOOKUP($G5652,DefinitionArrays!$I$6:$J$12,2,FALSE)</f>
        <v>Workweek</v>
      </c>
    </row>
    <row r="5653" spans="1:10">
      <c r="A5653" s="159" t="str">
        <f t="shared" si="443"/>
        <v>$B$1:$B$92</v>
      </c>
      <c r="B5653" s="159" t="str">
        <f t="shared" si="444"/>
        <v>$C$1:$C$92</v>
      </c>
      <c r="C5653" s="159" t="str">
        <f t="shared" si="445"/>
        <v>August!$B$1:$B$92</v>
      </c>
      <c r="D5653" s="159" t="str">
        <f t="shared" si="446"/>
        <v>August!$C$1:$C$92</v>
      </c>
      <c r="E5653" t="s">
        <v>10</v>
      </c>
      <c r="F5653" t="s">
        <v>127</v>
      </c>
      <c r="G5653" t="s">
        <v>13</v>
      </c>
      <c r="H5653" t="s">
        <v>179</v>
      </c>
      <c r="I5653" t="e">
        <f t="shared" ca="1" si="447"/>
        <v>#REF!</v>
      </c>
      <c r="J5653" t="str">
        <f>VLOOKUP($G5653,DefinitionArrays!$I$6:$J$12,2,FALSE)</f>
        <v>Workweek</v>
      </c>
    </row>
    <row r="5654" spans="1:10">
      <c r="A5654" s="159" t="str">
        <f t="shared" si="443"/>
        <v>$B$1:$B$92</v>
      </c>
      <c r="B5654" s="159" t="str">
        <f t="shared" si="444"/>
        <v>$C$1:$C$92</v>
      </c>
      <c r="C5654" s="159" t="str">
        <f t="shared" si="445"/>
        <v>August!$B$1:$B$92</v>
      </c>
      <c r="D5654" s="159" t="str">
        <f t="shared" si="446"/>
        <v>August!$C$1:$C$92</v>
      </c>
      <c r="E5654" t="s">
        <v>10</v>
      </c>
      <c r="F5654" t="s">
        <v>127</v>
      </c>
      <c r="G5654" t="s">
        <v>13</v>
      </c>
      <c r="H5654" t="s">
        <v>180</v>
      </c>
      <c r="I5654" t="e">
        <f t="shared" ca="1" si="447"/>
        <v>#REF!</v>
      </c>
      <c r="J5654" t="str">
        <f>VLOOKUP($G5654,DefinitionArrays!$I$6:$J$12,2,FALSE)</f>
        <v>Workweek</v>
      </c>
    </row>
    <row r="5655" spans="1:10">
      <c r="A5655" s="159" t="str">
        <f t="shared" si="443"/>
        <v>$B$1:$B$92</v>
      </c>
      <c r="B5655" s="159" t="str">
        <f t="shared" si="444"/>
        <v>$C$1:$C$92</v>
      </c>
      <c r="C5655" s="159" t="str">
        <f t="shared" si="445"/>
        <v>August!$B$1:$B$92</v>
      </c>
      <c r="D5655" s="159" t="str">
        <f t="shared" si="446"/>
        <v>August!$C$1:$C$92</v>
      </c>
      <c r="E5655" t="s">
        <v>10</v>
      </c>
      <c r="F5655" t="s">
        <v>127</v>
      </c>
      <c r="G5655" t="s">
        <v>13</v>
      </c>
      <c r="H5655" t="s">
        <v>44</v>
      </c>
      <c r="I5655" t="e">
        <f t="shared" ca="1" si="447"/>
        <v>#REF!</v>
      </c>
      <c r="J5655" t="str">
        <f>VLOOKUP($G5655,DefinitionArrays!$I$6:$J$12,2,FALSE)</f>
        <v>Workweek</v>
      </c>
    </row>
    <row r="5656" spans="1:10">
      <c r="A5656" s="159" t="str">
        <f t="shared" si="443"/>
        <v>$E$1:$E$92</v>
      </c>
      <c r="B5656" s="159" t="str">
        <f t="shared" si="444"/>
        <v>$F$1:$F$92</v>
      </c>
      <c r="C5656" s="159" t="str">
        <f t="shared" si="445"/>
        <v>August!$E$1:$E$92</v>
      </c>
      <c r="D5656" s="159" t="str">
        <f t="shared" si="446"/>
        <v>August!$F$1:$F$92</v>
      </c>
      <c r="E5656" t="s">
        <v>10</v>
      </c>
      <c r="F5656" t="s">
        <v>127</v>
      </c>
      <c r="G5656" t="s">
        <v>142</v>
      </c>
      <c r="H5656" t="s">
        <v>159</v>
      </c>
      <c r="I5656" t="e">
        <f t="shared" ca="1" si="447"/>
        <v>#REF!</v>
      </c>
      <c r="J5656" t="str">
        <f>VLOOKUP($G5656,DefinitionArrays!$I$6:$J$12,2,FALSE)</f>
        <v>Workweek</v>
      </c>
    </row>
    <row r="5657" spans="1:10">
      <c r="A5657" s="159" t="str">
        <f t="shared" si="443"/>
        <v>$E$1:$E$92</v>
      </c>
      <c r="B5657" s="159" t="str">
        <f t="shared" si="444"/>
        <v>$F$1:$F$92</v>
      </c>
      <c r="C5657" s="159" t="str">
        <f t="shared" si="445"/>
        <v>August!$E$1:$E$92</v>
      </c>
      <c r="D5657" s="159" t="str">
        <f t="shared" si="446"/>
        <v>August!$F$1:$F$92</v>
      </c>
      <c r="E5657" t="s">
        <v>10</v>
      </c>
      <c r="F5657" t="s">
        <v>127</v>
      </c>
      <c r="G5657" t="s">
        <v>142</v>
      </c>
      <c r="H5657" t="s">
        <v>18</v>
      </c>
      <c r="I5657" t="e">
        <f t="shared" ca="1" si="447"/>
        <v>#REF!</v>
      </c>
      <c r="J5657" t="str">
        <f>VLOOKUP($G5657,DefinitionArrays!$I$6:$J$12,2,FALSE)</f>
        <v>Workweek</v>
      </c>
    </row>
    <row r="5658" spans="1:10">
      <c r="A5658" s="159" t="str">
        <f t="shared" si="443"/>
        <v>$E$1:$E$92</v>
      </c>
      <c r="B5658" s="159" t="str">
        <f t="shared" si="444"/>
        <v>$F$1:$F$92</v>
      </c>
      <c r="C5658" s="159" t="str">
        <f t="shared" si="445"/>
        <v>August!$E$1:$E$92</v>
      </c>
      <c r="D5658" s="159" t="str">
        <f t="shared" si="446"/>
        <v>August!$F$1:$F$92</v>
      </c>
      <c r="E5658" t="s">
        <v>10</v>
      </c>
      <c r="F5658" t="s">
        <v>127</v>
      </c>
      <c r="G5658" t="s">
        <v>142</v>
      </c>
      <c r="H5658" t="s">
        <v>153</v>
      </c>
      <c r="I5658" t="e">
        <f t="shared" ca="1" si="447"/>
        <v>#REF!</v>
      </c>
      <c r="J5658" t="str">
        <f>VLOOKUP($G5658,DefinitionArrays!$I$6:$J$12,2,FALSE)</f>
        <v>Workweek</v>
      </c>
    </row>
    <row r="5659" spans="1:10">
      <c r="A5659" s="159" t="str">
        <f t="shared" si="443"/>
        <v>$E$1:$E$92</v>
      </c>
      <c r="B5659" s="159" t="str">
        <f t="shared" si="444"/>
        <v>$F$1:$F$92</v>
      </c>
      <c r="C5659" s="159" t="str">
        <f t="shared" si="445"/>
        <v>August!$E$1:$E$92</v>
      </c>
      <c r="D5659" s="159" t="str">
        <f t="shared" si="446"/>
        <v>August!$F$1:$F$92</v>
      </c>
      <c r="E5659" t="s">
        <v>10</v>
      </c>
      <c r="F5659" t="s">
        <v>127</v>
      </c>
      <c r="G5659" t="s">
        <v>142</v>
      </c>
      <c r="H5659" t="s">
        <v>19</v>
      </c>
      <c r="I5659" t="e">
        <f t="shared" ca="1" si="447"/>
        <v>#REF!</v>
      </c>
      <c r="J5659" t="str">
        <f>VLOOKUP($G5659,DefinitionArrays!$I$6:$J$12,2,FALSE)</f>
        <v>Workweek</v>
      </c>
    </row>
    <row r="5660" spans="1:10">
      <c r="A5660" s="159" t="str">
        <f t="shared" si="443"/>
        <v>$E$1:$E$92</v>
      </c>
      <c r="B5660" s="159" t="str">
        <f t="shared" si="444"/>
        <v>$F$1:$F$92</v>
      </c>
      <c r="C5660" s="159" t="str">
        <f t="shared" si="445"/>
        <v>August!$E$1:$E$92</v>
      </c>
      <c r="D5660" s="159" t="str">
        <f t="shared" si="446"/>
        <v>August!$F$1:$F$92</v>
      </c>
      <c r="E5660" t="s">
        <v>10</v>
      </c>
      <c r="F5660" t="s">
        <v>127</v>
      </c>
      <c r="G5660" t="s">
        <v>142</v>
      </c>
      <c r="H5660" t="s">
        <v>20</v>
      </c>
      <c r="I5660" t="e">
        <f t="shared" ca="1" si="447"/>
        <v>#REF!</v>
      </c>
      <c r="J5660" t="str">
        <f>VLOOKUP($G5660,DefinitionArrays!$I$6:$J$12,2,FALSE)</f>
        <v>Workweek</v>
      </c>
    </row>
    <row r="5661" spans="1:10">
      <c r="A5661" s="159" t="str">
        <f t="shared" si="443"/>
        <v>$E$1:$E$92</v>
      </c>
      <c r="B5661" s="159" t="str">
        <f t="shared" si="444"/>
        <v>$F$1:$F$92</v>
      </c>
      <c r="C5661" s="159" t="str">
        <f t="shared" si="445"/>
        <v>August!$E$1:$E$92</v>
      </c>
      <c r="D5661" s="159" t="str">
        <f t="shared" si="446"/>
        <v>August!$F$1:$F$92</v>
      </c>
      <c r="E5661" t="s">
        <v>10</v>
      </c>
      <c r="F5661" t="s">
        <v>127</v>
      </c>
      <c r="G5661" t="s">
        <v>142</v>
      </c>
      <c r="H5661" t="s">
        <v>21</v>
      </c>
      <c r="I5661" t="e">
        <f t="shared" ca="1" si="447"/>
        <v>#REF!</v>
      </c>
      <c r="J5661" t="str">
        <f>VLOOKUP($G5661,DefinitionArrays!$I$6:$J$12,2,FALSE)</f>
        <v>Workweek</v>
      </c>
    </row>
    <row r="5662" spans="1:10">
      <c r="A5662" s="159" t="str">
        <f t="shared" si="443"/>
        <v>$E$1:$E$92</v>
      </c>
      <c r="B5662" s="159" t="str">
        <f t="shared" si="444"/>
        <v>$F$1:$F$92</v>
      </c>
      <c r="C5662" s="159" t="str">
        <f t="shared" si="445"/>
        <v>August!$E$1:$E$92</v>
      </c>
      <c r="D5662" s="159" t="str">
        <f t="shared" si="446"/>
        <v>August!$F$1:$F$92</v>
      </c>
      <c r="E5662" t="s">
        <v>10</v>
      </c>
      <c r="F5662" t="s">
        <v>127</v>
      </c>
      <c r="G5662" t="s">
        <v>142</v>
      </c>
      <c r="H5662" t="s">
        <v>22</v>
      </c>
      <c r="I5662" t="e">
        <f t="shared" ca="1" si="447"/>
        <v>#REF!</v>
      </c>
      <c r="J5662" t="str">
        <f>VLOOKUP($G5662,DefinitionArrays!$I$6:$J$12,2,FALSE)</f>
        <v>Workweek</v>
      </c>
    </row>
    <row r="5663" spans="1:10">
      <c r="A5663" s="159" t="str">
        <f t="shared" si="443"/>
        <v>$E$1:$E$92</v>
      </c>
      <c r="B5663" s="159" t="str">
        <f t="shared" si="444"/>
        <v>$F$1:$F$92</v>
      </c>
      <c r="C5663" s="159" t="str">
        <f t="shared" si="445"/>
        <v>August!$E$1:$E$92</v>
      </c>
      <c r="D5663" s="159" t="str">
        <f t="shared" si="446"/>
        <v>August!$F$1:$F$92</v>
      </c>
      <c r="E5663" t="s">
        <v>10</v>
      </c>
      <c r="F5663" t="s">
        <v>127</v>
      </c>
      <c r="G5663" t="s">
        <v>142</v>
      </c>
      <c r="H5663" t="s">
        <v>23</v>
      </c>
      <c r="I5663" t="e">
        <f t="shared" ca="1" si="447"/>
        <v>#REF!</v>
      </c>
      <c r="J5663" t="str">
        <f>VLOOKUP($G5663,DefinitionArrays!$I$6:$J$12,2,FALSE)</f>
        <v>Workweek</v>
      </c>
    </row>
    <row r="5664" spans="1:10">
      <c r="A5664" s="159" t="str">
        <f t="shared" si="443"/>
        <v>$E$1:$E$92</v>
      </c>
      <c r="B5664" s="159" t="str">
        <f t="shared" si="444"/>
        <v>$F$1:$F$92</v>
      </c>
      <c r="C5664" s="159" t="str">
        <f t="shared" si="445"/>
        <v>August!$E$1:$E$92</v>
      </c>
      <c r="D5664" s="159" t="str">
        <f t="shared" si="446"/>
        <v>August!$F$1:$F$92</v>
      </c>
      <c r="E5664" t="s">
        <v>10</v>
      </c>
      <c r="F5664" t="s">
        <v>127</v>
      </c>
      <c r="G5664" t="s">
        <v>142</v>
      </c>
      <c r="H5664" t="s">
        <v>24</v>
      </c>
      <c r="I5664" t="e">
        <f t="shared" ca="1" si="447"/>
        <v>#REF!</v>
      </c>
      <c r="J5664" t="str">
        <f>VLOOKUP($G5664,DefinitionArrays!$I$6:$J$12,2,FALSE)</f>
        <v>Workweek</v>
      </c>
    </row>
    <row r="5665" spans="1:10">
      <c r="A5665" s="159" t="str">
        <f t="shared" si="443"/>
        <v>$E$1:$E$92</v>
      </c>
      <c r="B5665" s="159" t="str">
        <f t="shared" si="444"/>
        <v>$F$1:$F$92</v>
      </c>
      <c r="C5665" s="159" t="str">
        <f t="shared" si="445"/>
        <v>August!$E$1:$E$92</v>
      </c>
      <c r="D5665" s="159" t="str">
        <f t="shared" si="446"/>
        <v>August!$F$1:$F$92</v>
      </c>
      <c r="E5665" t="s">
        <v>10</v>
      </c>
      <c r="F5665" t="s">
        <v>127</v>
      </c>
      <c r="G5665" t="s">
        <v>142</v>
      </c>
      <c r="H5665" t="s">
        <v>179</v>
      </c>
      <c r="I5665" t="e">
        <f t="shared" ca="1" si="447"/>
        <v>#REF!</v>
      </c>
      <c r="J5665" t="str">
        <f>VLOOKUP($G5665,DefinitionArrays!$I$6:$J$12,2,FALSE)</f>
        <v>Workweek</v>
      </c>
    </row>
    <row r="5666" spans="1:10">
      <c r="A5666" s="159" t="str">
        <f t="shared" si="443"/>
        <v>$E$1:$E$92</v>
      </c>
      <c r="B5666" s="159" t="str">
        <f t="shared" si="444"/>
        <v>$F$1:$F$92</v>
      </c>
      <c r="C5666" s="159" t="str">
        <f t="shared" si="445"/>
        <v>August!$E$1:$E$92</v>
      </c>
      <c r="D5666" s="159" t="str">
        <f t="shared" si="446"/>
        <v>August!$F$1:$F$92</v>
      </c>
      <c r="E5666" t="s">
        <v>10</v>
      </c>
      <c r="F5666" t="s">
        <v>127</v>
      </c>
      <c r="G5666" t="s">
        <v>142</v>
      </c>
      <c r="H5666" t="s">
        <v>180</v>
      </c>
      <c r="I5666" t="e">
        <f t="shared" ca="1" si="447"/>
        <v>#REF!</v>
      </c>
      <c r="J5666" t="str">
        <f>VLOOKUP($G5666,DefinitionArrays!$I$6:$J$12,2,FALSE)</f>
        <v>Workweek</v>
      </c>
    </row>
    <row r="5667" spans="1:10">
      <c r="A5667" s="159" t="str">
        <f t="shared" si="443"/>
        <v>$E$1:$E$92</v>
      </c>
      <c r="B5667" s="159" t="str">
        <f t="shared" si="444"/>
        <v>$F$1:$F$92</v>
      </c>
      <c r="C5667" s="159" t="str">
        <f t="shared" si="445"/>
        <v>August!$E$1:$E$92</v>
      </c>
      <c r="D5667" s="159" t="str">
        <f t="shared" si="446"/>
        <v>August!$F$1:$F$92</v>
      </c>
      <c r="E5667" t="s">
        <v>10</v>
      </c>
      <c r="F5667" t="s">
        <v>127</v>
      </c>
      <c r="G5667" t="s">
        <v>142</v>
      </c>
      <c r="H5667" t="s">
        <v>44</v>
      </c>
      <c r="I5667" t="e">
        <f t="shared" ca="1" si="447"/>
        <v>#REF!</v>
      </c>
      <c r="J5667" t="str">
        <f>VLOOKUP($G5667,DefinitionArrays!$I$6:$J$12,2,FALSE)</f>
        <v>Workweek</v>
      </c>
    </row>
    <row r="5668" spans="1:10">
      <c r="A5668" s="159" t="str">
        <f t="shared" si="443"/>
        <v>$H$1:$H$92</v>
      </c>
      <c r="B5668" s="159" t="str">
        <f t="shared" si="444"/>
        <v>$I$1:$I$92</v>
      </c>
      <c r="C5668" s="159" t="str">
        <f t="shared" si="445"/>
        <v>August!$H$1:$H$92</v>
      </c>
      <c r="D5668" s="159" t="str">
        <f t="shared" si="446"/>
        <v>August!$I$1:$I$92</v>
      </c>
      <c r="E5668" t="s">
        <v>10</v>
      </c>
      <c r="F5668" t="s">
        <v>127</v>
      </c>
      <c r="G5668" t="s">
        <v>143</v>
      </c>
      <c r="H5668" t="s">
        <v>159</v>
      </c>
      <c r="I5668" t="e">
        <f t="shared" ca="1" si="447"/>
        <v>#REF!</v>
      </c>
      <c r="J5668" t="str">
        <f>VLOOKUP($G5668,DefinitionArrays!$I$6:$J$12,2,FALSE)</f>
        <v>Workweek</v>
      </c>
    </row>
    <row r="5669" spans="1:10">
      <c r="A5669" s="159" t="str">
        <f t="shared" si="443"/>
        <v>$H$1:$H$92</v>
      </c>
      <c r="B5669" s="159" t="str">
        <f t="shared" si="444"/>
        <v>$I$1:$I$92</v>
      </c>
      <c r="C5669" s="159" t="str">
        <f t="shared" si="445"/>
        <v>August!$H$1:$H$92</v>
      </c>
      <c r="D5669" s="159" t="str">
        <f t="shared" si="446"/>
        <v>August!$I$1:$I$92</v>
      </c>
      <c r="E5669" t="s">
        <v>10</v>
      </c>
      <c r="F5669" t="s">
        <v>127</v>
      </c>
      <c r="G5669" t="s">
        <v>143</v>
      </c>
      <c r="H5669" t="s">
        <v>18</v>
      </c>
      <c r="I5669" t="e">
        <f t="shared" ca="1" si="447"/>
        <v>#REF!</v>
      </c>
      <c r="J5669" t="str">
        <f>VLOOKUP($G5669,DefinitionArrays!$I$6:$J$12,2,FALSE)</f>
        <v>Workweek</v>
      </c>
    </row>
    <row r="5670" spans="1:10">
      <c r="A5670" s="159" t="str">
        <f t="shared" si="443"/>
        <v>$H$1:$H$92</v>
      </c>
      <c r="B5670" s="159" t="str">
        <f t="shared" si="444"/>
        <v>$I$1:$I$92</v>
      </c>
      <c r="C5670" s="159" t="str">
        <f t="shared" si="445"/>
        <v>August!$H$1:$H$92</v>
      </c>
      <c r="D5670" s="159" t="str">
        <f t="shared" si="446"/>
        <v>August!$I$1:$I$92</v>
      </c>
      <c r="E5670" t="s">
        <v>10</v>
      </c>
      <c r="F5670" t="s">
        <v>127</v>
      </c>
      <c r="G5670" t="s">
        <v>143</v>
      </c>
      <c r="H5670" t="s">
        <v>153</v>
      </c>
      <c r="I5670" t="e">
        <f t="shared" ca="1" si="447"/>
        <v>#REF!</v>
      </c>
      <c r="J5670" t="str">
        <f>VLOOKUP($G5670,DefinitionArrays!$I$6:$J$12,2,FALSE)</f>
        <v>Workweek</v>
      </c>
    </row>
    <row r="5671" spans="1:10">
      <c r="A5671" s="159" t="str">
        <f t="shared" si="443"/>
        <v>$H$1:$H$92</v>
      </c>
      <c r="B5671" s="159" t="str">
        <f t="shared" si="444"/>
        <v>$I$1:$I$92</v>
      </c>
      <c r="C5671" s="159" t="str">
        <f t="shared" si="445"/>
        <v>August!$H$1:$H$92</v>
      </c>
      <c r="D5671" s="159" t="str">
        <f t="shared" si="446"/>
        <v>August!$I$1:$I$92</v>
      </c>
      <c r="E5671" t="s">
        <v>10</v>
      </c>
      <c r="F5671" t="s">
        <v>127</v>
      </c>
      <c r="G5671" t="s">
        <v>143</v>
      </c>
      <c r="H5671" t="s">
        <v>19</v>
      </c>
      <c r="I5671" t="e">
        <f t="shared" ca="1" si="447"/>
        <v>#REF!</v>
      </c>
      <c r="J5671" t="str">
        <f>VLOOKUP($G5671,DefinitionArrays!$I$6:$J$12,2,FALSE)</f>
        <v>Workweek</v>
      </c>
    </row>
    <row r="5672" spans="1:10">
      <c r="A5672" s="159" t="str">
        <f t="shared" si="443"/>
        <v>$H$1:$H$92</v>
      </c>
      <c r="B5672" s="159" t="str">
        <f t="shared" si="444"/>
        <v>$I$1:$I$92</v>
      </c>
      <c r="C5672" s="159" t="str">
        <f t="shared" si="445"/>
        <v>August!$H$1:$H$92</v>
      </c>
      <c r="D5672" s="159" t="str">
        <f t="shared" si="446"/>
        <v>August!$I$1:$I$92</v>
      </c>
      <c r="E5672" t="s">
        <v>10</v>
      </c>
      <c r="F5672" t="s">
        <v>127</v>
      </c>
      <c r="G5672" t="s">
        <v>143</v>
      </c>
      <c r="H5672" t="s">
        <v>20</v>
      </c>
      <c r="I5672" t="e">
        <f t="shared" ca="1" si="447"/>
        <v>#REF!</v>
      </c>
      <c r="J5672" t="str">
        <f>VLOOKUP($G5672,DefinitionArrays!$I$6:$J$12,2,FALSE)</f>
        <v>Workweek</v>
      </c>
    </row>
    <row r="5673" spans="1:10">
      <c r="A5673" s="159" t="str">
        <f t="shared" si="443"/>
        <v>$H$1:$H$92</v>
      </c>
      <c r="B5673" s="159" t="str">
        <f t="shared" si="444"/>
        <v>$I$1:$I$92</v>
      </c>
      <c r="C5673" s="159" t="str">
        <f t="shared" si="445"/>
        <v>August!$H$1:$H$92</v>
      </c>
      <c r="D5673" s="159" t="str">
        <f t="shared" si="446"/>
        <v>August!$I$1:$I$92</v>
      </c>
      <c r="E5673" t="s">
        <v>10</v>
      </c>
      <c r="F5673" t="s">
        <v>127</v>
      </c>
      <c r="G5673" t="s">
        <v>143</v>
      </c>
      <c r="H5673" t="s">
        <v>21</v>
      </c>
      <c r="I5673" t="e">
        <f t="shared" ca="1" si="447"/>
        <v>#REF!</v>
      </c>
      <c r="J5673" t="str">
        <f>VLOOKUP($G5673,DefinitionArrays!$I$6:$J$12,2,FALSE)</f>
        <v>Workweek</v>
      </c>
    </row>
    <row r="5674" spans="1:10">
      <c r="A5674" s="159" t="str">
        <f t="shared" si="443"/>
        <v>$H$1:$H$92</v>
      </c>
      <c r="B5674" s="159" t="str">
        <f t="shared" si="444"/>
        <v>$I$1:$I$92</v>
      </c>
      <c r="C5674" s="159" t="str">
        <f t="shared" si="445"/>
        <v>August!$H$1:$H$92</v>
      </c>
      <c r="D5674" s="159" t="str">
        <f t="shared" si="446"/>
        <v>August!$I$1:$I$92</v>
      </c>
      <c r="E5674" t="s">
        <v>10</v>
      </c>
      <c r="F5674" t="s">
        <v>127</v>
      </c>
      <c r="G5674" t="s">
        <v>143</v>
      </c>
      <c r="H5674" t="s">
        <v>22</v>
      </c>
      <c r="I5674" t="e">
        <f t="shared" ca="1" si="447"/>
        <v>#REF!</v>
      </c>
      <c r="J5674" t="str">
        <f>VLOOKUP($G5674,DefinitionArrays!$I$6:$J$12,2,FALSE)</f>
        <v>Workweek</v>
      </c>
    </row>
    <row r="5675" spans="1:10">
      <c r="A5675" s="159" t="str">
        <f t="shared" si="443"/>
        <v>$H$1:$H$92</v>
      </c>
      <c r="B5675" s="159" t="str">
        <f t="shared" si="444"/>
        <v>$I$1:$I$92</v>
      </c>
      <c r="C5675" s="159" t="str">
        <f t="shared" si="445"/>
        <v>August!$H$1:$H$92</v>
      </c>
      <c r="D5675" s="159" t="str">
        <f t="shared" si="446"/>
        <v>August!$I$1:$I$92</v>
      </c>
      <c r="E5675" t="s">
        <v>10</v>
      </c>
      <c r="F5675" t="s">
        <v>127</v>
      </c>
      <c r="G5675" t="s">
        <v>143</v>
      </c>
      <c r="H5675" t="s">
        <v>23</v>
      </c>
      <c r="I5675" t="e">
        <f t="shared" ca="1" si="447"/>
        <v>#REF!</v>
      </c>
      <c r="J5675" t="str">
        <f>VLOOKUP($G5675,DefinitionArrays!$I$6:$J$12,2,FALSE)</f>
        <v>Workweek</v>
      </c>
    </row>
    <row r="5676" spans="1:10">
      <c r="A5676" s="159" t="str">
        <f t="shared" si="443"/>
        <v>$H$1:$H$92</v>
      </c>
      <c r="B5676" s="159" t="str">
        <f t="shared" si="444"/>
        <v>$I$1:$I$92</v>
      </c>
      <c r="C5676" s="159" t="str">
        <f t="shared" si="445"/>
        <v>August!$H$1:$H$92</v>
      </c>
      <c r="D5676" s="159" t="str">
        <f t="shared" si="446"/>
        <v>August!$I$1:$I$92</v>
      </c>
      <c r="E5676" t="s">
        <v>10</v>
      </c>
      <c r="F5676" t="s">
        <v>127</v>
      </c>
      <c r="G5676" t="s">
        <v>143</v>
      </c>
      <c r="H5676" t="s">
        <v>24</v>
      </c>
      <c r="I5676" t="e">
        <f t="shared" ca="1" si="447"/>
        <v>#REF!</v>
      </c>
      <c r="J5676" t="str">
        <f>VLOOKUP($G5676,DefinitionArrays!$I$6:$J$12,2,FALSE)</f>
        <v>Workweek</v>
      </c>
    </row>
    <row r="5677" spans="1:10">
      <c r="A5677" s="159" t="str">
        <f t="shared" si="443"/>
        <v>$H$1:$H$92</v>
      </c>
      <c r="B5677" s="159" t="str">
        <f t="shared" si="444"/>
        <v>$I$1:$I$92</v>
      </c>
      <c r="C5677" s="159" t="str">
        <f t="shared" si="445"/>
        <v>August!$H$1:$H$92</v>
      </c>
      <c r="D5677" s="159" t="str">
        <f t="shared" si="446"/>
        <v>August!$I$1:$I$92</v>
      </c>
      <c r="E5677" t="s">
        <v>10</v>
      </c>
      <c r="F5677" t="s">
        <v>127</v>
      </c>
      <c r="G5677" t="s">
        <v>143</v>
      </c>
      <c r="H5677" t="s">
        <v>179</v>
      </c>
      <c r="I5677" t="e">
        <f t="shared" ca="1" si="447"/>
        <v>#REF!</v>
      </c>
      <c r="J5677" t="str">
        <f>VLOOKUP($G5677,DefinitionArrays!$I$6:$J$12,2,FALSE)</f>
        <v>Workweek</v>
      </c>
    </row>
    <row r="5678" spans="1:10">
      <c r="A5678" s="159" t="str">
        <f t="shared" si="443"/>
        <v>$H$1:$H$92</v>
      </c>
      <c r="B5678" s="159" t="str">
        <f t="shared" si="444"/>
        <v>$I$1:$I$92</v>
      </c>
      <c r="C5678" s="159" t="str">
        <f t="shared" si="445"/>
        <v>August!$H$1:$H$92</v>
      </c>
      <c r="D5678" s="159" t="str">
        <f t="shared" si="446"/>
        <v>August!$I$1:$I$92</v>
      </c>
      <c r="E5678" t="s">
        <v>10</v>
      </c>
      <c r="F5678" t="s">
        <v>127</v>
      </c>
      <c r="G5678" t="s">
        <v>143</v>
      </c>
      <c r="H5678" t="s">
        <v>180</v>
      </c>
      <c r="I5678" t="e">
        <f t="shared" ca="1" si="447"/>
        <v>#REF!</v>
      </c>
      <c r="J5678" t="str">
        <f>VLOOKUP($G5678,DefinitionArrays!$I$6:$J$12,2,FALSE)</f>
        <v>Workweek</v>
      </c>
    </row>
    <row r="5679" spans="1:10">
      <c r="A5679" s="159" t="str">
        <f t="shared" si="443"/>
        <v>$H$1:$H$92</v>
      </c>
      <c r="B5679" s="159" t="str">
        <f t="shared" si="444"/>
        <v>$I$1:$I$92</v>
      </c>
      <c r="C5679" s="159" t="str">
        <f t="shared" si="445"/>
        <v>August!$H$1:$H$92</v>
      </c>
      <c r="D5679" s="159" t="str">
        <f t="shared" si="446"/>
        <v>August!$I$1:$I$92</v>
      </c>
      <c r="E5679" t="s">
        <v>10</v>
      </c>
      <c r="F5679" t="s">
        <v>127</v>
      </c>
      <c r="G5679" t="s">
        <v>143</v>
      </c>
      <c r="H5679" t="s">
        <v>44</v>
      </c>
      <c r="I5679" t="e">
        <f t="shared" ca="1" si="447"/>
        <v>#REF!</v>
      </c>
      <c r="J5679" t="str">
        <f>VLOOKUP($G5679,DefinitionArrays!$I$6:$J$12,2,FALSE)</f>
        <v>Workweek</v>
      </c>
    </row>
    <row r="5680" spans="1:10">
      <c r="A5680" s="159" t="str">
        <f t="shared" si="443"/>
        <v>$K$1:$K$92</v>
      </c>
      <c r="B5680" s="159" t="str">
        <f t="shared" si="444"/>
        <v>$L$1:$L$92</v>
      </c>
      <c r="C5680" s="159" t="str">
        <f t="shared" si="445"/>
        <v>August!$K$1:$K$92</v>
      </c>
      <c r="D5680" s="159" t="str">
        <f t="shared" si="446"/>
        <v>August!$L$1:$L$92</v>
      </c>
      <c r="E5680" t="s">
        <v>10</v>
      </c>
      <c r="F5680" t="s">
        <v>127</v>
      </c>
      <c r="G5680" t="s">
        <v>144</v>
      </c>
      <c r="H5680" t="s">
        <v>159</v>
      </c>
      <c r="I5680" t="e">
        <f t="shared" ca="1" si="447"/>
        <v>#REF!</v>
      </c>
      <c r="J5680" t="str">
        <f>VLOOKUP($G5680,DefinitionArrays!$I$6:$J$12,2,FALSE)</f>
        <v>Workweek</v>
      </c>
    </row>
    <row r="5681" spans="1:10">
      <c r="A5681" s="159" t="str">
        <f t="shared" si="443"/>
        <v>$K$1:$K$92</v>
      </c>
      <c r="B5681" s="159" t="str">
        <f t="shared" si="444"/>
        <v>$L$1:$L$92</v>
      </c>
      <c r="C5681" s="159" t="str">
        <f t="shared" si="445"/>
        <v>August!$K$1:$K$92</v>
      </c>
      <c r="D5681" s="159" t="str">
        <f t="shared" si="446"/>
        <v>August!$L$1:$L$92</v>
      </c>
      <c r="E5681" t="s">
        <v>10</v>
      </c>
      <c r="F5681" t="s">
        <v>127</v>
      </c>
      <c r="G5681" t="s">
        <v>144</v>
      </c>
      <c r="H5681" t="s">
        <v>18</v>
      </c>
      <c r="I5681" t="e">
        <f t="shared" ca="1" si="447"/>
        <v>#REF!</v>
      </c>
      <c r="J5681" t="str">
        <f>VLOOKUP($G5681,DefinitionArrays!$I$6:$J$12,2,FALSE)</f>
        <v>Workweek</v>
      </c>
    </row>
    <row r="5682" spans="1:10">
      <c r="A5682" s="159" t="str">
        <f t="shared" si="443"/>
        <v>$K$1:$K$92</v>
      </c>
      <c r="B5682" s="159" t="str">
        <f t="shared" si="444"/>
        <v>$L$1:$L$92</v>
      </c>
      <c r="C5682" s="159" t="str">
        <f t="shared" si="445"/>
        <v>August!$K$1:$K$92</v>
      </c>
      <c r="D5682" s="159" t="str">
        <f t="shared" si="446"/>
        <v>August!$L$1:$L$92</v>
      </c>
      <c r="E5682" t="s">
        <v>10</v>
      </c>
      <c r="F5682" t="s">
        <v>127</v>
      </c>
      <c r="G5682" t="s">
        <v>144</v>
      </c>
      <c r="H5682" t="s">
        <v>153</v>
      </c>
      <c r="I5682" t="e">
        <f t="shared" ca="1" si="447"/>
        <v>#REF!</v>
      </c>
      <c r="J5682" t="str">
        <f>VLOOKUP($G5682,DefinitionArrays!$I$6:$J$12,2,FALSE)</f>
        <v>Workweek</v>
      </c>
    </row>
    <row r="5683" spans="1:10">
      <c r="A5683" s="159" t="str">
        <f t="shared" si="443"/>
        <v>$K$1:$K$92</v>
      </c>
      <c r="B5683" s="159" t="str">
        <f t="shared" si="444"/>
        <v>$L$1:$L$92</v>
      </c>
      <c r="C5683" s="159" t="str">
        <f t="shared" si="445"/>
        <v>August!$K$1:$K$92</v>
      </c>
      <c r="D5683" s="159" t="str">
        <f t="shared" si="446"/>
        <v>August!$L$1:$L$92</v>
      </c>
      <c r="E5683" t="s">
        <v>10</v>
      </c>
      <c r="F5683" t="s">
        <v>127</v>
      </c>
      <c r="G5683" t="s">
        <v>144</v>
      </c>
      <c r="H5683" t="s">
        <v>19</v>
      </c>
      <c r="I5683" t="e">
        <f t="shared" ca="1" si="447"/>
        <v>#REF!</v>
      </c>
      <c r="J5683" t="str">
        <f>VLOOKUP($G5683,DefinitionArrays!$I$6:$J$12,2,FALSE)</f>
        <v>Workweek</v>
      </c>
    </row>
    <row r="5684" spans="1:10">
      <c r="A5684" s="159" t="str">
        <f t="shared" si="443"/>
        <v>$K$1:$K$92</v>
      </c>
      <c r="B5684" s="159" t="str">
        <f t="shared" si="444"/>
        <v>$L$1:$L$92</v>
      </c>
      <c r="C5684" s="159" t="str">
        <f t="shared" si="445"/>
        <v>August!$K$1:$K$92</v>
      </c>
      <c r="D5684" s="159" t="str">
        <f t="shared" si="446"/>
        <v>August!$L$1:$L$92</v>
      </c>
      <c r="E5684" t="s">
        <v>10</v>
      </c>
      <c r="F5684" t="s">
        <v>127</v>
      </c>
      <c r="G5684" t="s">
        <v>144</v>
      </c>
      <c r="H5684" t="s">
        <v>20</v>
      </c>
      <c r="I5684" t="e">
        <f t="shared" ca="1" si="447"/>
        <v>#REF!</v>
      </c>
      <c r="J5684" t="str">
        <f>VLOOKUP($G5684,DefinitionArrays!$I$6:$J$12,2,FALSE)</f>
        <v>Workweek</v>
      </c>
    </row>
    <row r="5685" spans="1:10">
      <c r="A5685" s="159" t="str">
        <f t="shared" si="443"/>
        <v>$K$1:$K$92</v>
      </c>
      <c r="B5685" s="159" t="str">
        <f t="shared" si="444"/>
        <v>$L$1:$L$92</v>
      </c>
      <c r="C5685" s="159" t="str">
        <f t="shared" si="445"/>
        <v>August!$K$1:$K$92</v>
      </c>
      <c r="D5685" s="159" t="str">
        <f t="shared" si="446"/>
        <v>August!$L$1:$L$92</v>
      </c>
      <c r="E5685" t="s">
        <v>10</v>
      </c>
      <c r="F5685" t="s">
        <v>127</v>
      </c>
      <c r="G5685" t="s">
        <v>144</v>
      </c>
      <c r="H5685" t="s">
        <v>21</v>
      </c>
      <c r="I5685" t="e">
        <f t="shared" ca="1" si="447"/>
        <v>#REF!</v>
      </c>
      <c r="J5685" t="str">
        <f>VLOOKUP($G5685,DefinitionArrays!$I$6:$J$12,2,FALSE)</f>
        <v>Workweek</v>
      </c>
    </row>
    <row r="5686" spans="1:10">
      <c r="A5686" s="159" t="str">
        <f t="shared" si="443"/>
        <v>$K$1:$K$92</v>
      </c>
      <c r="B5686" s="159" t="str">
        <f t="shared" si="444"/>
        <v>$L$1:$L$92</v>
      </c>
      <c r="C5686" s="159" t="str">
        <f t="shared" si="445"/>
        <v>August!$K$1:$K$92</v>
      </c>
      <c r="D5686" s="159" t="str">
        <f t="shared" si="446"/>
        <v>August!$L$1:$L$92</v>
      </c>
      <c r="E5686" t="s">
        <v>10</v>
      </c>
      <c r="F5686" t="s">
        <v>127</v>
      </c>
      <c r="G5686" t="s">
        <v>144</v>
      </c>
      <c r="H5686" t="s">
        <v>22</v>
      </c>
      <c r="I5686" t="e">
        <f t="shared" ca="1" si="447"/>
        <v>#REF!</v>
      </c>
      <c r="J5686" t="str">
        <f>VLOOKUP($G5686,DefinitionArrays!$I$6:$J$12,2,FALSE)</f>
        <v>Workweek</v>
      </c>
    </row>
    <row r="5687" spans="1:10">
      <c r="A5687" s="159" t="str">
        <f t="shared" si="443"/>
        <v>$K$1:$K$92</v>
      </c>
      <c r="B5687" s="159" t="str">
        <f t="shared" si="444"/>
        <v>$L$1:$L$92</v>
      </c>
      <c r="C5687" s="159" t="str">
        <f t="shared" si="445"/>
        <v>August!$K$1:$K$92</v>
      </c>
      <c r="D5687" s="159" t="str">
        <f t="shared" si="446"/>
        <v>August!$L$1:$L$92</v>
      </c>
      <c r="E5687" t="s">
        <v>10</v>
      </c>
      <c r="F5687" t="s">
        <v>127</v>
      </c>
      <c r="G5687" t="s">
        <v>144</v>
      </c>
      <c r="H5687" t="s">
        <v>23</v>
      </c>
      <c r="I5687" t="e">
        <f t="shared" ca="1" si="447"/>
        <v>#REF!</v>
      </c>
      <c r="J5687" t="str">
        <f>VLOOKUP($G5687,DefinitionArrays!$I$6:$J$12,2,FALSE)</f>
        <v>Workweek</v>
      </c>
    </row>
    <row r="5688" spans="1:10">
      <c r="A5688" s="159" t="str">
        <f t="shared" si="443"/>
        <v>$K$1:$K$92</v>
      </c>
      <c r="B5688" s="159" t="str">
        <f t="shared" si="444"/>
        <v>$L$1:$L$92</v>
      </c>
      <c r="C5688" s="159" t="str">
        <f t="shared" si="445"/>
        <v>August!$K$1:$K$92</v>
      </c>
      <c r="D5688" s="159" t="str">
        <f t="shared" si="446"/>
        <v>August!$L$1:$L$92</v>
      </c>
      <c r="E5688" t="s">
        <v>10</v>
      </c>
      <c r="F5688" t="s">
        <v>127</v>
      </c>
      <c r="G5688" t="s">
        <v>144</v>
      </c>
      <c r="H5688" t="s">
        <v>24</v>
      </c>
      <c r="I5688" t="e">
        <f t="shared" ca="1" si="447"/>
        <v>#REF!</v>
      </c>
      <c r="J5688" t="str">
        <f>VLOOKUP($G5688,DefinitionArrays!$I$6:$J$12,2,FALSE)</f>
        <v>Workweek</v>
      </c>
    </row>
    <row r="5689" spans="1:10">
      <c r="A5689" s="159" t="str">
        <f t="shared" si="443"/>
        <v>$K$1:$K$92</v>
      </c>
      <c r="B5689" s="159" t="str">
        <f t="shared" si="444"/>
        <v>$L$1:$L$92</v>
      </c>
      <c r="C5689" s="159" t="str">
        <f t="shared" si="445"/>
        <v>August!$K$1:$K$92</v>
      </c>
      <c r="D5689" s="159" t="str">
        <f t="shared" si="446"/>
        <v>August!$L$1:$L$92</v>
      </c>
      <c r="E5689" t="s">
        <v>10</v>
      </c>
      <c r="F5689" t="s">
        <v>127</v>
      </c>
      <c r="G5689" t="s">
        <v>144</v>
      </c>
      <c r="H5689" t="s">
        <v>179</v>
      </c>
      <c r="I5689" t="e">
        <f t="shared" ca="1" si="447"/>
        <v>#REF!</v>
      </c>
      <c r="J5689" t="str">
        <f>VLOOKUP($G5689,DefinitionArrays!$I$6:$J$12,2,FALSE)</f>
        <v>Workweek</v>
      </c>
    </row>
    <row r="5690" spans="1:10">
      <c r="A5690" s="159" t="str">
        <f t="shared" si="443"/>
        <v>$K$1:$K$92</v>
      </c>
      <c r="B5690" s="159" t="str">
        <f t="shared" si="444"/>
        <v>$L$1:$L$92</v>
      </c>
      <c r="C5690" s="159" t="str">
        <f t="shared" si="445"/>
        <v>August!$K$1:$K$92</v>
      </c>
      <c r="D5690" s="159" t="str">
        <f t="shared" si="446"/>
        <v>August!$L$1:$L$92</v>
      </c>
      <c r="E5690" t="s">
        <v>10</v>
      </c>
      <c r="F5690" t="s">
        <v>127</v>
      </c>
      <c r="G5690" t="s">
        <v>144</v>
      </c>
      <c r="H5690" t="s">
        <v>180</v>
      </c>
      <c r="I5690" t="e">
        <f t="shared" ca="1" si="447"/>
        <v>#REF!</v>
      </c>
      <c r="J5690" t="str">
        <f>VLOOKUP($G5690,DefinitionArrays!$I$6:$J$12,2,FALSE)</f>
        <v>Workweek</v>
      </c>
    </row>
    <row r="5691" spans="1:10">
      <c r="A5691" s="159" t="str">
        <f t="shared" si="443"/>
        <v>$K$1:$K$92</v>
      </c>
      <c r="B5691" s="159" t="str">
        <f t="shared" si="444"/>
        <v>$L$1:$L$92</v>
      </c>
      <c r="C5691" s="159" t="str">
        <f t="shared" si="445"/>
        <v>August!$K$1:$K$92</v>
      </c>
      <c r="D5691" s="159" t="str">
        <f t="shared" si="446"/>
        <v>August!$L$1:$L$92</v>
      </c>
      <c r="E5691" t="s">
        <v>10</v>
      </c>
      <c r="F5691" t="s">
        <v>127</v>
      </c>
      <c r="G5691" t="s">
        <v>144</v>
      </c>
      <c r="H5691" t="s">
        <v>44</v>
      </c>
      <c r="I5691" t="e">
        <f t="shared" ca="1" si="447"/>
        <v>#REF!</v>
      </c>
      <c r="J5691" t="str">
        <f>VLOOKUP($G5691,DefinitionArrays!$I$6:$J$12,2,FALSE)</f>
        <v>Workweek</v>
      </c>
    </row>
    <row r="5692" spans="1:10">
      <c r="A5692" s="159" t="str">
        <f t="shared" si="443"/>
        <v>$N$1:$N$92</v>
      </c>
      <c r="B5692" s="159" t="str">
        <f t="shared" si="444"/>
        <v>$O$1:$O$92</v>
      </c>
      <c r="C5692" s="159" t="str">
        <f t="shared" si="445"/>
        <v>August!$N$1:$N$92</v>
      </c>
      <c r="D5692" s="159" t="str">
        <f t="shared" si="446"/>
        <v>August!$O$1:$O$92</v>
      </c>
      <c r="E5692" t="s">
        <v>10</v>
      </c>
      <c r="F5692" t="s">
        <v>127</v>
      </c>
      <c r="G5692" t="s">
        <v>145</v>
      </c>
      <c r="H5692" t="s">
        <v>159</v>
      </c>
      <c r="I5692" t="e">
        <f t="shared" ca="1" si="447"/>
        <v>#REF!</v>
      </c>
      <c r="J5692" t="str">
        <f>VLOOKUP($G5692,DefinitionArrays!$I$6:$J$12,2,FALSE)</f>
        <v>Weekend</v>
      </c>
    </row>
    <row r="5693" spans="1:10">
      <c r="A5693" s="159" t="str">
        <f t="shared" si="443"/>
        <v>$N$1:$N$92</v>
      </c>
      <c r="B5693" s="159" t="str">
        <f t="shared" si="444"/>
        <v>$O$1:$O$92</v>
      </c>
      <c r="C5693" s="159" t="str">
        <f t="shared" si="445"/>
        <v>August!$N$1:$N$92</v>
      </c>
      <c r="D5693" s="159" t="str">
        <f t="shared" si="446"/>
        <v>August!$O$1:$O$92</v>
      </c>
      <c r="E5693" t="s">
        <v>10</v>
      </c>
      <c r="F5693" t="s">
        <v>127</v>
      </c>
      <c r="G5693" t="s">
        <v>145</v>
      </c>
      <c r="H5693" t="s">
        <v>18</v>
      </c>
      <c r="I5693" t="e">
        <f t="shared" ca="1" si="447"/>
        <v>#REF!</v>
      </c>
      <c r="J5693" t="str">
        <f>VLOOKUP($G5693,DefinitionArrays!$I$6:$J$12,2,FALSE)</f>
        <v>Weekend</v>
      </c>
    </row>
    <row r="5694" spans="1:10">
      <c r="A5694" s="159" t="str">
        <f t="shared" si="443"/>
        <v>$N$1:$N$92</v>
      </c>
      <c r="B5694" s="159" t="str">
        <f t="shared" si="444"/>
        <v>$O$1:$O$92</v>
      </c>
      <c r="C5694" s="159" t="str">
        <f t="shared" si="445"/>
        <v>August!$N$1:$N$92</v>
      </c>
      <c r="D5694" s="159" t="str">
        <f t="shared" si="446"/>
        <v>August!$O$1:$O$92</v>
      </c>
      <c r="E5694" t="s">
        <v>10</v>
      </c>
      <c r="F5694" t="s">
        <v>127</v>
      </c>
      <c r="G5694" t="s">
        <v>145</v>
      </c>
      <c r="H5694" t="s">
        <v>153</v>
      </c>
      <c r="I5694" t="e">
        <f t="shared" ca="1" si="447"/>
        <v>#REF!</v>
      </c>
      <c r="J5694" t="str">
        <f>VLOOKUP($G5694,DefinitionArrays!$I$6:$J$12,2,FALSE)</f>
        <v>Weekend</v>
      </c>
    </row>
    <row r="5695" spans="1:10">
      <c r="A5695" s="159" t="str">
        <f t="shared" si="443"/>
        <v>$N$1:$N$92</v>
      </c>
      <c r="B5695" s="159" t="str">
        <f t="shared" si="444"/>
        <v>$O$1:$O$92</v>
      </c>
      <c r="C5695" s="159" t="str">
        <f t="shared" si="445"/>
        <v>August!$N$1:$N$92</v>
      </c>
      <c r="D5695" s="159" t="str">
        <f t="shared" si="446"/>
        <v>August!$O$1:$O$92</v>
      </c>
      <c r="E5695" t="s">
        <v>10</v>
      </c>
      <c r="F5695" t="s">
        <v>127</v>
      </c>
      <c r="G5695" t="s">
        <v>145</v>
      </c>
      <c r="H5695" t="s">
        <v>19</v>
      </c>
      <c r="I5695" t="e">
        <f t="shared" ca="1" si="447"/>
        <v>#REF!</v>
      </c>
      <c r="J5695" t="str">
        <f>VLOOKUP($G5695,DefinitionArrays!$I$6:$J$12,2,FALSE)</f>
        <v>Weekend</v>
      </c>
    </row>
    <row r="5696" spans="1:10">
      <c r="A5696" s="159" t="str">
        <f t="shared" si="443"/>
        <v>$N$1:$N$92</v>
      </c>
      <c r="B5696" s="159" t="str">
        <f t="shared" si="444"/>
        <v>$O$1:$O$92</v>
      </c>
      <c r="C5696" s="159" t="str">
        <f t="shared" si="445"/>
        <v>August!$N$1:$N$92</v>
      </c>
      <c r="D5696" s="159" t="str">
        <f t="shared" si="446"/>
        <v>August!$O$1:$O$92</v>
      </c>
      <c r="E5696" t="s">
        <v>10</v>
      </c>
      <c r="F5696" t="s">
        <v>127</v>
      </c>
      <c r="G5696" t="s">
        <v>145</v>
      </c>
      <c r="H5696" t="s">
        <v>20</v>
      </c>
      <c r="I5696" t="e">
        <f t="shared" ca="1" si="447"/>
        <v>#REF!</v>
      </c>
      <c r="J5696" t="str">
        <f>VLOOKUP($G5696,DefinitionArrays!$I$6:$J$12,2,FALSE)</f>
        <v>Weekend</v>
      </c>
    </row>
    <row r="5697" spans="1:10">
      <c r="A5697" s="159" t="str">
        <f t="shared" si="443"/>
        <v>$N$1:$N$92</v>
      </c>
      <c r="B5697" s="159" t="str">
        <f t="shared" si="444"/>
        <v>$O$1:$O$92</v>
      </c>
      <c r="C5697" s="159" t="str">
        <f t="shared" si="445"/>
        <v>August!$N$1:$N$92</v>
      </c>
      <c r="D5697" s="159" t="str">
        <f t="shared" si="446"/>
        <v>August!$O$1:$O$92</v>
      </c>
      <c r="E5697" t="s">
        <v>10</v>
      </c>
      <c r="F5697" t="s">
        <v>127</v>
      </c>
      <c r="G5697" t="s">
        <v>145</v>
      </c>
      <c r="H5697" t="s">
        <v>21</v>
      </c>
      <c r="I5697" t="e">
        <f t="shared" ca="1" si="447"/>
        <v>#REF!</v>
      </c>
      <c r="J5697" t="str">
        <f>VLOOKUP($G5697,DefinitionArrays!$I$6:$J$12,2,FALSE)</f>
        <v>Weekend</v>
      </c>
    </row>
    <row r="5698" spans="1:10">
      <c r="A5698" s="159" t="str">
        <f t="shared" ref="A5698:A5761" si="448">VLOOKUP($G5698,Fx_Code,2,FALSE)</f>
        <v>$N$1:$N$92</v>
      </c>
      <c r="B5698" s="159" t="str">
        <f t="shared" ref="B5698:B5761" si="449">VLOOKUP($G5698,Fx_Code,3,FALSE)</f>
        <v>$O$1:$O$92</v>
      </c>
      <c r="C5698" s="159" t="str">
        <f t="shared" ref="C5698:C5761" si="450">CONCATENATE($F5698,$K$1,A5698)</f>
        <v>August!$N$1:$N$92</v>
      </c>
      <c r="D5698" s="159" t="str">
        <f t="shared" ref="D5698:D5761" si="451">CONCATENATE($F5698,$K$1,B5698)</f>
        <v>August!$O$1:$O$92</v>
      </c>
      <c r="E5698" t="s">
        <v>10</v>
      </c>
      <c r="F5698" t="s">
        <v>127</v>
      </c>
      <c r="G5698" t="s">
        <v>145</v>
      </c>
      <c r="H5698" t="s">
        <v>22</v>
      </c>
      <c r="I5698" t="e">
        <f t="shared" ca="1" si="447"/>
        <v>#REF!</v>
      </c>
      <c r="J5698" t="str">
        <f>VLOOKUP($G5698,DefinitionArrays!$I$6:$J$12,2,FALSE)</f>
        <v>Weekend</v>
      </c>
    </row>
    <row r="5699" spans="1:10">
      <c r="A5699" s="159" t="str">
        <f t="shared" si="448"/>
        <v>$N$1:$N$92</v>
      </c>
      <c r="B5699" s="159" t="str">
        <f t="shared" si="449"/>
        <v>$O$1:$O$92</v>
      </c>
      <c r="C5699" s="159" t="str">
        <f t="shared" si="450"/>
        <v>August!$N$1:$N$92</v>
      </c>
      <c r="D5699" s="159" t="str">
        <f t="shared" si="451"/>
        <v>August!$O$1:$O$92</v>
      </c>
      <c r="E5699" t="s">
        <v>10</v>
      </c>
      <c r="F5699" t="s">
        <v>127</v>
      </c>
      <c r="G5699" t="s">
        <v>145</v>
      </c>
      <c r="H5699" t="s">
        <v>23</v>
      </c>
      <c r="I5699" t="e">
        <f t="shared" ca="1" si="447"/>
        <v>#REF!</v>
      </c>
      <c r="J5699" t="str">
        <f>VLOOKUP($G5699,DefinitionArrays!$I$6:$J$12,2,FALSE)</f>
        <v>Weekend</v>
      </c>
    </row>
    <row r="5700" spans="1:10">
      <c r="A5700" s="159" t="str">
        <f t="shared" si="448"/>
        <v>$N$1:$N$92</v>
      </c>
      <c r="B5700" s="159" t="str">
        <f t="shared" si="449"/>
        <v>$O$1:$O$92</v>
      </c>
      <c r="C5700" s="159" t="str">
        <f t="shared" si="450"/>
        <v>August!$N$1:$N$92</v>
      </c>
      <c r="D5700" s="159" t="str">
        <f t="shared" si="451"/>
        <v>August!$O$1:$O$92</v>
      </c>
      <c r="E5700" t="s">
        <v>10</v>
      </c>
      <c r="F5700" t="s">
        <v>127</v>
      </c>
      <c r="G5700" t="s">
        <v>145</v>
      </c>
      <c r="H5700" t="s">
        <v>24</v>
      </c>
      <c r="I5700" t="e">
        <f t="shared" ca="1" si="447"/>
        <v>#REF!</v>
      </c>
      <c r="J5700" t="str">
        <f>VLOOKUP($G5700,DefinitionArrays!$I$6:$J$12,2,FALSE)</f>
        <v>Weekend</v>
      </c>
    </row>
    <row r="5701" spans="1:10">
      <c r="A5701" s="159" t="str">
        <f t="shared" si="448"/>
        <v>$N$1:$N$92</v>
      </c>
      <c r="B5701" s="159" t="str">
        <f t="shared" si="449"/>
        <v>$O$1:$O$92</v>
      </c>
      <c r="C5701" s="159" t="str">
        <f t="shared" si="450"/>
        <v>August!$N$1:$N$92</v>
      </c>
      <c r="D5701" s="159" t="str">
        <f t="shared" si="451"/>
        <v>August!$O$1:$O$92</v>
      </c>
      <c r="E5701" t="s">
        <v>10</v>
      </c>
      <c r="F5701" t="s">
        <v>127</v>
      </c>
      <c r="G5701" t="s">
        <v>145</v>
      </c>
      <c r="H5701" t="s">
        <v>179</v>
      </c>
      <c r="I5701" t="e">
        <f t="shared" ca="1" si="447"/>
        <v>#REF!</v>
      </c>
      <c r="J5701" t="str">
        <f>VLOOKUP($G5701,DefinitionArrays!$I$6:$J$12,2,FALSE)</f>
        <v>Weekend</v>
      </c>
    </row>
    <row r="5702" spans="1:10">
      <c r="A5702" s="159" t="str">
        <f t="shared" si="448"/>
        <v>$N$1:$N$92</v>
      </c>
      <c r="B5702" s="159" t="str">
        <f t="shared" si="449"/>
        <v>$O$1:$O$92</v>
      </c>
      <c r="C5702" s="159" t="str">
        <f t="shared" si="450"/>
        <v>August!$N$1:$N$92</v>
      </c>
      <c r="D5702" s="159" t="str">
        <f t="shared" si="451"/>
        <v>August!$O$1:$O$92</v>
      </c>
      <c r="E5702" t="s">
        <v>10</v>
      </c>
      <c r="F5702" t="s">
        <v>127</v>
      </c>
      <c r="G5702" t="s">
        <v>145</v>
      </c>
      <c r="H5702" t="s">
        <v>180</v>
      </c>
      <c r="I5702" t="e">
        <f t="shared" ca="1" si="447"/>
        <v>#REF!</v>
      </c>
      <c r="J5702" t="str">
        <f>VLOOKUP($G5702,DefinitionArrays!$I$6:$J$12,2,FALSE)</f>
        <v>Weekend</v>
      </c>
    </row>
    <row r="5703" spans="1:10">
      <c r="A5703" s="159" t="str">
        <f t="shared" si="448"/>
        <v>$N$1:$N$92</v>
      </c>
      <c r="B5703" s="159" t="str">
        <f t="shared" si="449"/>
        <v>$O$1:$O$92</v>
      </c>
      <c r="C5703" s="159" t="str">
        <f t="shared" si="450"/>
        <v>August!$N$1:$N$92</v>
      </c>
      <c r="D5703" s="159" t="str">
        <f t="shared" si="451"/>
        <v>August!$O$1:$O$92</v>
      </c>
      <c r="E5703" t="s">
        <v>10</v>
      </c>
      <c r="F5703" t="s">
        <v>127</v>
      </c>
      <c r="G5703" t="s">
        <v>145</v>
      </c>
      <c r="H5703" t="s">
        <v>44</v>
      </c>
      <c r="I5703" t="e">
        <f t="shared" ca="1" si="447"/>
        <v>#REF!</v>
      </c>
      <c r="J5703" t="str">
        <f>VLOOKUP($G5703,DefinitionArrays!$I$6:$J$12,2,FALSE)</f>
        <v>Weekend</v>
      </c>
    </row>
    <row r="5704" spans="1:10">
      <c r="A5704" s="159" t="str">
        <f t="shared" si="448"/>
        <v>$Q$1:$Q$92</v>
      </c>
      <c r="B5704" s="159" t="str">
        <f t="shared" si="449"/>
        <v>$R$1:$R$92</v>
      </c>
      <c r="C5704" s="159" t="str">
        <f t="shared" si="450"/>
        <v>August!$Q$1:$Q$92</v>
      </c>
      <c r="D5704" s="159" t="str">
        <f t="shared" si="451"/>
        <v>August!$R$1:$R$92</v>
      </c>
      <c r="E5704" t="s">
        <v>10</v>
      </c>
      <c r="F5704" t="s">
        <v>127</v>
      </c>
      <c r="G5704" t="s">
        <v>146</v>
      </c>
      <c r="H5704" t="s">
        <v>159</v>
      </c>
      <c r="I5704" t="e">
        <f t="shared" ca="1" si="447"/>
        <v>#REF!</v>
      </c>
      <c r="J5704" t="str">
        <f>VLOOKUP($G5704,DefinitionArrays!$I$6:$J$12,2,FALSE)</f>
        <v>Weekend</v>
      </c>
    </row>
    <row r="5705" spans="1:10">
      <c r="A5705" s="159" t="str">
        <f t="shared" si="448"/>
        <v>$T$1:$T$92</v>
      </c>
      <c r="B5705" s="159" t="str">
        <f t="shared" si="449"/>
        <v>$U$1:$U$92</v>
      </c>
      <c r="C5705" s="159" t="str">
        <f t="shared" si="450"/>
        <v>August!$T$1:$T$92</v>
      </c>
      <c r="D5705" s="159" t="str">
        <f t="shared" si="451"/>
        <v>August!$U$1:$U$92</v>
      </c>
      <c r="E5705" t="s">
        <v>10</v>
      </c>
      <c r="F5705" t="s">
        <v>127</v>
      </c>
      <c r="G5705" t="s">
        <v>141</v>
      </c>
      <c r="H5705" t="s">
        <v>159</v>
      </c>
      <c r="I5705" t="e">
        <f t="shared" ca="1" si="447"/>
        <v>#REF!</v>
      </c>
      <c r="J5705" t="str">
        <f>VLOOKUP($G5705,DefinitionArrays!$I$6:$J$12,2,FALSE)</f>
        <v>Weekend</v>
      </c>
    </row>
    <row r="5706" spans="1:10">
      <c r="A5706" s="159" t="str">
        <f t="shared" si="448"/>
        <v>$B$1:$B$92</v>
      </c>
      <c r="B5706" s="159" t="str">
        <f t="shared" si="449"/>
        <v>$C$1:$C$92</v>
      </c>
      <c r="C5706" s="159" t="str">
        <f t="shared" si="450"/>
        <v>September!$B$1:$B$92</v>
      </c>
      <c r="D5706" s="159" t="str">
        <f t="shared" si="451"/>
        <v>September!$C$1:$C$92</v>
      </c>
      <c r="E5706" t="s">
        <v>10</v>
      </c>
      <c r="F5706" t="s">
        <v>128</v>
      </c>
      <c r="G5706" t="s">
        <v>13</v>
      </c>
      <c r="H5706" t="s">
        <v>159</v>
      </c>
      <c r="I5706" t="e">
        <f ca="1">COUNTIFS(INDIRECT($C5706),$E5706,INDIRECT($D5706),$H5706)</f>
        <v>#REF!</v>
      </c>
      <c r="J5706" t="str">
        <f>VLOOKUP($G5706,DefinitionArrays!$I$6:$J$12,2,FALSE)</f>
        <v>Workweek</v>
      </c>
    </row>
    <row r="5707" spans="1:10">
      <c r="A5707" s="159" t="str">
        <f t="shared" si="448"/>
        <v>$B$1:$B$92</v>
      </c>
      <c r="B5707" s="159" t="str">
        <f t="shared" si="449"/>
        <v>$C$1:$C$92</v>
      </c>
      <c r="C5707" s="159" t="str">
        <f t="shared" si="450"/>
        <v>September!$B$1:$B$92</v>
      </c>
      <c r="D5707" s="159" t="str">
        <f t="shared" si="451"/>
        <v>September!$C$1:$C$92</v>
      </c>
      <c r="E5707" t="s">
        <v>10</v>
      </c>
      <c r="F5707" t="s">
        <v>128</v>
      </c>
      <c r="G5707" t="s">
        <v>13</v>
      </c>
      <c r="H5707" t="s">
        <v>18</v>
      </c>
      <c r="I5707" t="e">
        <f t="shared" ref="I5707:I5767" ca="1" si="452">COUNTIFS(INDIRECT($C5707),$E5707,INDIRECT($D5707),$H5707)</f>
        <v>#REF!</v>
      </c>
      <c r="J5707" t="str">
        <f>VLOOKUP($G5707,DefinitionArrays!$I$6:$J$12,2,FALSE)</f>
        <v>Workweek</v>
      </c>
    </row>
    <row r="5708" spans="1:10">
      <c r="A5708" s="159" t="str">
        <f t="shared" si="448"/>
        <v>$B$1:$B$92</v>
      </c>
      <c r="B5708" s="159" t="str">
        <f t="shared" si="449"/>
        <v>$C$1:$C$92</v>
      </c>
      <c r="C5708" s="159" t="str">
        <f t="shared" si="450"/>
        <v>September!$B$1:$B$92</v>
      </c>
      <c r="D5708" s="159" t="str">
        <f t="shared" si="451"/>
        <v>September!$C$1:$C$92</v>
      </c>
      <c r="E5708" t="s">
        <v>10</v>
      </c>
      <c r="F5708" t="s">
        <v>128</v>
      </c>
      <c r="G5708" t="s">
        <v>13</v>
      </c>
      <c r="H5708" t="s">
        <v>153</v>
      </c>
      <c r="I5708" t="e">
        <f t="shared" ca="1" si="452"/>
        <v>#REF!</v>
      </c>
      <c r="J5708" t="str">
        <f>VLOOKUP($G5708,DefinitionArrays!$I$6:$J$12,2,FALSE)</f>
        <v>Workweek</v>
      </c>
    </row>
    <row r="5709" spans="1:10">
      <c r="A5709" s="159" t="str">
        <f t="shared" si="448"/>
        <v>$B$1:$B$92</v>
      </c>
      <c r="B5709" s="159" t="str">
        <f t="shared" si="449"/>
        <v>$C$1:$C$92</v>
      </c>
      <c r="C5709" s="159" t="str">
        <f t="shared" si="450"/>
        <v>September!$B$1:$B$92</v>
      </c>
      <c r="D5709" s="159" t="str">
        <f t="shared" si="451"/>
        <v>September!$C$1:$C$92</v>
      </c>
      <c r="E5709" t="s">
        <v>10</v>
      </c>
      <c r="F5709" t="s">
        <v>128</v>
      </c>
      <c r="G5709" t="s">
        <v>13</v>
      </c>
      <c r="H5709" t="s">
        <v>19</v>
      </c>
      <c r="I5709" t="e">
        <f t="shared" ca="1" si="452"/>
        <v>#REF!</v>
      </c>
      <c r="J5709" t="str">
        <f>VLOOKUP($G5709,DefinitionArrays!$I$6:$J$12,2,FALSE)</f>
        <v>Workweek</v>
      </c>
    </row>
    <row r="5710" spans="1:10">
      <c r="A5710" s="159" t="str">
        <f t="shared" si="448"/>
        <v>$B$1:$B$92</v>
      </c>
      <c r="B5710" s="159" t="str">
        <f t="shared" si="449"/>
        <v>$C$1:$C$92</v>
      </c>
      <c r="C5710" s="159" t="str">
        <f t="shared" si="450"/>
        <v>September!$B$1:$B$92</v>
      </c>
      <c r="D5710" s="159" t="str">
        <f t="shared" si="451"/>
        <v>September!$C$1:$C$92</v>
      </c>
      <c r="E5710" t="s">
        <v>10</v>
      </c>
      <c r="F5710" t="s">
        <v>128</v>
      </c>
      <c r="G5710" t="s">
        <v>13</v>
      </c>
      <c r="H5710" t="s">
        <v>20</v>
      </c>
      <c r="I5710" t="e">
        <f t="shared" ca="1" si="452"/>
        <v>#REF!</v>
      </c>
      <c r="J5710" t="str">
        <f>VLOOKUP($G5710,DefinitionArrays!$I$6:$J$12,2,FALSE)</f>
        <v>Workweek</v>
      </c>
    </row>
    <row r="5711" spans="1:10">
      <c r="A5711" s="159" t="str">
        <f t="shared" si="448"/>
        <v>$B$1:$B$92</v>
      </c>
      <c r="B5711" s="159" t="str">
        <f t="shared" si="449"/>
        <v>$C$1:$C$92</v>
      </c>
      <c r="C5711" s="159" t="str">
        <f t="shared" si="450"/>
        <v>September!$B$1:$B$92</v>
      </c>
      <c r="D5711" s="159" t="str">
        <f t="shared" si="451"/>
        <v>September!$C$1:$C$92</v>
      </c>
      <c r="E5711" t="s">
        <v>10</v>
      </c>
      <c r="F5711" t="s">
        <v>128</v>
      </c>
      <c r="G5711" t="s">
        <v>13</v>
      </c>
      <c r="H5711" t="s">
        <v>21</v>
      </c>
      <c r="I5711" t="e">
        <f t="shared" ca="1" si="452"/>
        <v>#REF!</v>
      </c>
      <c r="J5711" t="str">
        <f>VLOOKUP($G5711,DefinitionArrays!$I$6:$J$12,2,FALSE)</f>
        <v>Workweek</v>
      </c>
    </row>
    <row r="5712" spans="1:10">
      <c r="A5712" s="159" t="str">
        <f t="shared" si="448"/>
        <v>$B$1:$B$92</v>
      </c>
      <c r="B5712" s="159" t="str">
        <f t="shared" si="449"/>
        <v>$C$1:$C$92</v>
      </c>
      <c r="C5712" s="159" t="str">
        <f t="shared" si="450"/>
        <v>September!$B$1:$B$92</v>
      </c>
      <c r="D5712" s="159" t="str">
        <f t="shared" si="451"/>
        <v>September!$C$1:$C$92</v>
      </c>
      <c r="E5712" t="s">
        <v>10</v>
      </c>
      <c r="F5712" t="s">
        <v>128</v>
      </c>
      <c r="G5712" t="s">
        <v>13</v>
      </c>
      <c r="H5712" t="s">
        <v>22</v>
      </c>
      <c r="I5712" t="e">
        <f t="shared" ca="1" si="452"/>
        <v>#REF!</v>
      </c>
      <c r="J5712" t="str">
        <f>VLOOKUP($G5712,DefinitionArrays!$I$6:$J$12,2,FALSE)</f>
        <v>Workweek</v>
      </c>
    </row>
    <row r="5713" spans="1:10">
      <c r="A5713" s="159" t="str">
        <f t="shared" si="448"/>
        <v>$B$1:$B$92</v>
      </c>
      <c r="B5713" s="159" t="str">
        <f t="shared" si="449"/>
        <v>$C$1:$C$92</v>
      </c>
      <c r="C5713" s="159" t="str">
        <f t="shared" si="450"/>
        <v>September!$B$1:$B$92</v>
      </c>
      <c r="D5713" s="159" t="str">
        <f t="shared" si="451"/>
        <v>September!$C$1:$C$92</v>
      </c>
      <c r="E5713" t="s">
        <v>10</v>
      </c>
      <c r="F5713" t="s">
        <v>128</v>
      </c>
      <c r="G5713" t="s">
        <v>13</v>
      </c>
      <c r="H5713" t="s">
        <v>23</v>
      </c>
      <c r="I5713" t="e">
        <f t="shared" ca="1" si="452"/>
        <v>#REF!</v>
      </c>
      <c r="J5713" t="str">
        <f>VLOOKUP($G5713,DefinitionArrays!$I$6:$J$12,2,FALSE)</f>
        <v>Workweek</v>
      </c>
    </row>
    <row r="5714" spans="1:10">
      <c r="A5714" s="159" t="str">
        <f t="shared" si="448"/>
        <v>$B$1:$B$92</v>
      </c>
      <c r="B5714" s="159" t="str">
        <f t="shared" si="449"/>
        <v>$C$1:$C$92</v>
      </c>
      <c r="C5714" s="159" t="str">
        <f t="shared" si="450"/>
        <v>September!$B$1:$B$92</v>
      </c>
      <c r="D5714" s="159" t="str">
        <f t="shared" si="451"/>
        <v>September!$C$1:$C$92</v>
      </c>
      <c r="E5714" t="s">
        <v>10</v>
      </c>
      <c r="F5714" t="s">
        <v>128</v>
      </c>
      <c r="G5714" t="s">
        <v>13</v>
      </c>
      <c r="H5714" t="s">
        <v>24</v>
      </c>
      <c r="I5714" t="e">
        <f t="shared" ca="1" si="452"/>
        <v>#REF!</v>
      </c>
      <c r="J5714" t="str">
        <f>VLOOKUP($G5714,DefinitionArrays!$I$6:$J$12,2,FALSE)</f>
        <v>Workweek</v>
      </c>
    </row>
    <row r="5715" spans="1:10">
      <c r="A5715" s="159" t="str">
        <f t="shared" si="448"/>
        <v>$B$1:$B$92</v>
      </c>
      <c r="B5715" s="159" t="str">
        <f t="shared" si="449"/>
        <v>$C$1:$C$92</v>
      </c>
      <c r="C5715" s="159" t="str">
        <f t="shared" si="450"/>
        <v>September!$B$1:$B$92</v>
      </c>
      <c r="D5715" s="159" t="str">
        <f t="shared" si="451"/>
        <v>September!$C$1:$C$92</v>
      </c>
      <c r="E5715" t="s">
        <v>10</v>
      </c>
      <c r="F5715" t="s">
        <v>128</v>
      </c>
      <c r="G5715" t="s">
        <v>13</v>
      </c>
      <c r="H5715" t="s">
        <v>179</v>
      </c>
      <c r="I5715" t="e">
        <f t="shared" ca="1" si="452"/>
        <v>#REF!</v>
      </c>
      <c r="J5715" t="str">
        <f>VLOOKUP($G5715,DefinitionArrays!$I$6:$J$12,2,FALSE)</f>
        <v>Workweek</v>
      </c>
    </row>
    <row r="5716" spans="1:10">
      <c r="A5716" s="159" t="str">
        <f t="shared" si="448"/>
        <v>$B$1:$B$92</v>
      </c>
      <c r="B5716" s="159" t="str">
        <f t="shared" si="449"/>
        <v>$C$1:$C$92</v>
      </c>
      <c r="C5716" s="159" t="str">
        <f t="shared" si="450"/>
        <v>September!$B$1:$B$92</v>
      </c>
      <c r="D5716" s="159" t="str">
        <f t="shared" si="451"/>
        <v>September!$C$1:$C$92</v>
      </c>
      <c r="E5716" t="s">
        <v>10</v>
      </c>
      <c r="F5716" t="s">
        <v>128</v>
      </c>
      <c r="G5716" t="s">
        <v>13</v>
      </c>
      <c r="H5716" t="s">
        <v>180</v>
      </c>
      <c r="I5716" t="e">
        <f t="shared" ca="1" si="452"/>
        <v>#REF!</v>
      </c>
      <c r="J5716" t="str">
        <f>VLOOKUP($G5716,DefinitionArrays!$I$6:$J$12,2,FALSE)</f>
        <v>Workweek</v>
      </c>
    </row>
    <row r="5717" spans="1:10">
      <c r="A5717" s="159" t="str">
        <f t="shared" si="448"/>
        <v>$B$1:$B$92</v>
      </c>
      <c r="B5717" s="159" t="str">
        <f t="shared" si="449"/>
        <v>$C$1:$C$92</v>
      </c>
      <c r="C5717" s="159" t="str">
        <f t="shared" si="450"/>
        <v>September!$B$1:$B$92</v>
      </c>
      <c r="D5717" s="159" t="str">
        <f t="shared" si="451"/>
        <v>September!$C$1:$C$92</v>
      </c>
      <c r="E5717" t="s">
        <v>10</v>
      </c>
      <c r="F5717" t="s">
        <v>128</v>
      </c>
      <c r="G5717" t="s">
        <v>13</v>
      </c>
      <c r="H5717" t="s">
        <v>44</v>
      </c>
      <c r="I5717" t="e">
        <f t="shared" ca="1" si="452"/>
        <v>#REF!</v>
      </c>
      <c r="J5717" t="str">
        <f>VLOOKUP($G5717,DefinitionArrays!$I$6:$J$12,2,FALSE)</f>
        <v>Workweek</v>
      </c>
    </row>
    <row r="5718" spans="1:10">
      <c r="A5718" s="159" t="str">
        <f t="shared" si="448"/>
        <v>$E$1:$E$92</v>
      </c>
      <c r="B5718" s="159" t="str">
        <f t="shared" si="449"/>
        <v>$F$1:$F$92</v>
      </c>
      <c r="C5718" s="159" t="str">
        <f t="shared" si="450"/>
        <v>September!$E$1:$E$92</v>
      </c>
      <c r="D5718" s="159" t="str">
        <f t="shared" si="451"/>
        <v>September!$F$1:$F$92</v>
      </c>
      <c r="E5718" t="s">
        <v>10</v>
      </c>
      <c r="F5718" t="s">
        <v>128</v>
      </c>
      <c r="G5718" t="s">
        <v>142</v>
      </c>
      <c r="H5718" t="s">
        <v>159</v>
      </c>
      <c r="I5718" t="e">
        <f t="shared" ca="1" si="452"/>
        <v>#REF!</v>
      </c>
      <c r="J5718" t="str">
        <f>VLOOKUP($G5718,DefinitionArrays!$I$6:$J$12,2,FALSE)</f>
        <v>Workweek</v>
      </c>
    </row>
    <row r="5719" spans="1:10">
      <c r="A5719" s="159" t="str">
        <f t="shared" si="448"/>
        <v>$E$1:$E$92</v>
      </c>
      <c r="B5719" s="159" t="str">
        <f t="shared" si="449"/>
        <v>$F$1:$F$92</v>
      </c>
      <c r="C5719" s="159" t="str">
        <f t="shared" si="450"/>
        <v>September!$E$1:$E$92</v>
      </c>
      <c r="D5719" s="159" t="str">
        <f t="shared" si="451"/>
        <v>September!$F$1:$F$92</v>
      </c>
      <c r="E5719" t="s">
        <v>10</v>
      </c>
      <c r="F5719" t="s">
        <v>128</v>
      </c>
      <c r="G5719" t="s">
        <v>142</v>
      </c>
      <c r="H5719" t="s">
        <v>18</v>
      </c>
      <c r="I5719" t="e">
        <f t="shared" ca="1" si="452"/>
        <v>#REF!</v>
      </c>
      <c r="J5719" t="str">
        <f>VLOOKUP($G5719,DefinitionArrays!$I$6:$J$12,2,FALSE)</f>
        <v>Workweek</v>
      </c>
    </row>
    <row r="5720" spans="1:10">
      <c r="A5720" s="159" t="str">
        <f t="shared" si="448"/>
        <v>$E$1:$E$92</v>
      </c>
      <c r="B5720" s="159" t="str">
        <f t="shared" si="449"/>
        <v>$F$1:$F$92</v>
      </c>
      <c r="C5720" s="159" t="str">
        <f t="shared" si="450"/>
        <v>September!$E$1:$E$92</v>
      </c>
      <c r="D5720" s="159" t="str">
        <f t="shared" si="451"/>
        <v>September!$F$1:$F$92</v>
      </c>
      <c r="E5720" t="s">
        <v>10</v>
      </c>
      <c r="F5720" t="s">
        <v>128</v>
      </c>
      <c r="G5720" t="s">
        <v>142</v>
      </c>
      <c r="H5720" t="s">
        <v>153</v>
      </c>
      <c r="I5720" t="e">
        <f t="shared" ca="1" si="452"/>
        <v>#REF!</v>
      </c>
      <c r="J5720" t="str">
        <f>VLOOKUP($G5720,DefinitionArrays!$I$6:$J$12,2,FALSE)</f>
        <v>Workweek</v>
      </c>
    </row>
    <row r="5721" spans="1:10">
      <c r="A5721" s="159" t="str">
        <f t="shared" si="448"/>
        <v>$E$1:$E$92</v>
      </c>
      <c r="B5721" s="159" t="str">
        <f t="shared" si="449"/>
        <v>$F$1:$F$92</v>
      </c>
      <c r="C5721" s="159" t="str">
        <f t="shared" si="450"/>
        <v>September!$E$1:$E$92</v>
      </c>
      <c r="D5721" s="159" t="str">
        <f t="shared" si="451"/>
        <v>September!$F$1:$F$92</v>
      </c>
      <c r="E5721" t="s">
        <v>10</v>
      </c>
      <c r="F5721" t="s">
        <v>128</v>
      </c>
      <c r="G5721" t="s">
        <v>142</v>
      </c>
      <c r="H5721" t="s">
        <v>19</v>
      </c>
      <c r="I5721" t="e">
        <f t="shared" ca="1" si="452"/>
        <v>#REF!</v>
      </c>
      <c r="J5721" t="str">
        <f>VLOOKUP($G5721,DefinitionArrays!$I$6:$J$12,2,FALSE)</f>
        <v>Workweek</v>
      </c>
    </row>
    <row r="5722" spans="1:10">
      <c r="A5722" s="159" t="str">
        <f t="shared" si="448"/>
        <v>$E$1:$E$92</v>
      </c>
      <c r="B5722" s="159" t="str">
        <f t="shared" si="449"/>
        <v>$F$1:$F$92</v>
      </c>
      <c r="C5722" s="159" t="str">
        <f t="shared" si="450"/>
        <v>September!$E$1:$E$92</v>
      </c>
      <c r="D5722" s="159" t="str">
        <f t="shared" si="451"/>
        <v>September!$F$1:$F$92</v>
      </c>
      <c r="E5722" t="s">
        <v>10</v>
      </c>
      <c r="F5722" t="s">
        <v>128</v>
      </c>
      <c r="G5722" t="s">
        <v>142</v>
      </c>
      <c r="H5722" t="s">
        <v>20</v>
      </c>
      <c r="I5722" t="e">
        <f t="shared" ca="1" si="452"/>
        <v>#REF!</v>
      </c>
      <c r="J5722" t="str">
        <f>VLOOKUP($G5722,DefinitionArrays!$I$6:$J$12,2,FALSE)</f>
        <v>Workweek</v>
      </c>
    </row>
    <row r="5723" spans="1:10">
      <c r="A5723" s="159" t="str">
        <f t="shared" si="448"/>
        <v>$E$1:$E$92</v>
      </c>
      <c r="B5723" s="159" t="str">
        <f t="shared" si="449"/>
        <v>$F$1:$F$92</v>
      </c>
      <c r="C5723" s="159" t="str">
        <f t="shared" si="450"/>
        <v>September!$E$1:$E$92</v>
      </c>
      <c r="D5723" s="159" t="str">
        <f t="shared" si="451"/>
        <v>September!$F$1:$F$92</v>
      </c>
      <c r="E5723" t="s">
        <v>10</v>
      </c>
      <c r="F5723" t="s">
        <v>128</v>
      </c>
      <c r="G5723" t="s">
        <v>142</v>
      </c>
      <c r="H5723" t="s">
        <v>21</v>
      </c>
      <c r="I5723" t="e">
        <f t="shared" ca="1" si="452"/>
        <v>#REF!</v>
      </c>
      <c r="J5723" t="str">
        <f>VLOOKUP($G5723,DefinitionArrays!$I$6:$J$12,2,FALSE)</f>
        <v>Workweek</v>
      </c>
    </row>
    <row r="5724" spans="1:10">
      <c r="A5724" s="159" t="str">
        <f t="shared" si="448"/>
        <v>$E$1:$E$92</v>
      </c>
      <c r="B5724" s="159" t="str">
        <f t="shared" si="449"/>
        <v>$F$1:$F$92</v>
      </c>
      <c r="C5724" s="159" t="str">
        <f t="shared" si="450"/>
        <v>September!$E$1:$E$92</v>
      </c>
      <c r="D5724" s="159" t="str">
        <f t="shared" si="451"/>
        <v>September!$F$1:$F$92</v>
      </c>
      <c r="E5724" t="s">
        <v>10</v>
      </c>
      <c r="F5724" t="s">
        <v>128</v>
      </c>
      <c r="G5724" t="s">
        <v>142</v>
      </c>
      <c r="H5724" t="s">
        <v>22</v>
      </c>
      <c r="I5724" t="e">
        <f t="shared" ca="1" si="452"/>
        <v>#REF!</v>
      </c>
      <c r="J5724" t="str">
        <f>VLOOKUP($G5724,DefinitionArrays!$I$6:$J$12,2,FALSE)</f>
        <v>Workweek</v>
      </c>
    </row>
    <row r="5725" spans="1:10">
      <c r="A5725" s="159" t="str">
        <f t="shared" si="448"/>
        <v>$E$1:$E$92</v>
      </c>
      <c r="B5725" s="159" t="str">
        <f t="shared" si="449"/>
        <v>$F$1:$F$92</v>
      </c>
      <c r="C5725" s="159" t="str">
        <f t="shared" si="450"/>
        <v>September!$E$1:$E$92</v>
      </c>
      <c r="D5725" s="159" t="str">
        <f t="shared" si="451"/>
        <v>September!$F$1:$F$92</v>
      </c>
      <c r="E5725" t="s">
        <v>10</v>
      </c>
      <c r="F5725" t="s">
        <v>128</v>
      </c>
      <c r="G5725" t="s">
        <v>142</v>
      </c>
      <c r="H5725" t="s">
        <v>23</v>
      </c>
      <c r="I5725" t="e">
        <f t="shared" ca="1" si="452"/>
        <v>#REF!</v>
      </c>
      <c r="J5725" t="str">
        <f>VLOOKUP($G5725,DefinitionArrays!$I$6:$J$12,2,FALSE)</f>
        <v>Workweek</v>
      </c>
    </row>
    <row r="5726" spans="1:10">
      <c r="A5726" s="159" t="str">
        <f t="shared" si="448"/>
        <v>$E$1:$E$92</v>
      </c>
      <c r="B5726" s="159" t="str">
        <f t="shared" si="449"/>
        <v>$F$1:$F$92</v>
      </c>
      <c r="C5726" s="159" t="str">
        <f t="shared" si="450"/>
        <v>September!$E$1:$E$92</v>
      </c>
      <c r="D5726" s="159" t="str">
        <f t="shared" si="451"/>
        <v>September!$F$1:$F$92</v>
      </c>
      <c r="E5726" t="s">
        <v>10</v>
      </c>
      <c r="F5726" t="s">
        <v>128</v>
      </c>
      <c r="G5726" t="s">
        <v>142</v>
      </c>
      <c r="H5726" t="s">
        <v>24</v>
      </c>
      <c r="I5726" t="e">
        <f t="shared" ca="1" si="452"/>
        <v>#REF!</v>
      </c>
      <c r="J5726" t="str">
        <f>VLOOKUP($G5726,DefinitionArrays!$I$6:$J$12,2,FALSE)</f>
        <v>Workweek</v>
      </c>
    </row>
    <row r="5727" spans="1:10">
      <c r="A5727" s="159" t="str">
        <f t="shared" si="448"/>
        <v>$E$1:$E$92</v>
      </c>
      <c r="B5727" s="159" t="str">
        <f t="shared" si="449"/>
        <v>$F$1:$F$92</v>
      </c>
      <c r="C5727" s="159" t="str">
        <f t="shared" si="450"/>
        <v>September!$E$1:$E$92</v>
      </c>
      <c r="D5727" s="159" t="str">
        <f t="shared" si="451"/>
        <v>September!$F$1:$F$92</v>
      </c>
      <c r="E5727" t="s">
        <v>10</v>
      </c>
      <c r="F5727" t="s">
        <v>128</v>
      </c>
      <c r="G5727" t="s">
        <v>142</v>
      </c>
      <c r="H5727" t="s">
        <v>179</v>
      </c>
      <c r="I5727" t="e">
        <f t="shared" ca="1" si="452"/>
        <v>#REF!</v>
      </c>
      <c r="J5727" t="str">
        <f>VLOOKUP($G5727,DefinitionArrays!$I$6:$J$12,2,FALSE)</f>
        <v>Workweek</v>
      </c>
    </row>
    <row r="5728" spans="1:10">
      <c r="A5728" s="159" t="str">
        <f t="shared" si="448"/>
        <v>$E$1:$E$92</v>
      </c>
      <c r="B5728" s="159" t="str">
        <f t="shared" si="449"/>
        <v>$F$1:$F$92</v>
      </c>
      <c r="C5728" s="159" t="str">
        <f t="shared" si="450"/>
        <v>September!$E$1:$E$92</v>
      </c>
      <c r="D5728" s="159" t="str">
        <f t="shared" si="451"/>
        <v>September!$F$1:$F$92</v>
      </c>
      <c r="E5728" t="s">
        <v>10</v>
      </c>
      <c r="F5728" t="s">
        <v>128</v>
      </c>
      <c r="G5728" t="s">
        <v>142</v>
      </c>
      <c r="H5728" t="s">
        <v>180</v>
      </c>
      <c r="I5728" t="e">
        <f t="shared" ca="1" si="452"/>
        <v>#REF!</v>
      </c>
      <c r="J5728" t="str">
        <f>VLOOKUP($G5728,DefinitionArrays!$I$6:$J$12,2,FALSE)</f>
        <v>Workweek</v>
      </c>
    </row>
    <row r="5729" spans="1:10">
      <c r="A5729" s="159" t="str">
        <f t="shared" si="448"/>
        <v>$E$1:$E$92</v>
      </c>
      <c r="B5729" s="159" t="str">
        <f t="shared" si="449"/>
        <v>$F$1:$F$92</v>
      </c>
      <c r="C5729" s="159" t="str">
        <f t="shared" si="450"/>
        <v>September!$E$1:$E$92</v>
      </c>
      <c r="D5729" s="159" t="str">
        <f t="shared" si="451"/>
        <v>September!$F$1:$F$92</v>
      </c>
      <c r="E5729" t="s">
        <v>10</v>
      </c>
      <c r="F5729" t="s">
        <v>128</v>
      </c>
      <c r="G5729" t="s">
        <v>142</v>
      </c>
      <c r="H5729" t="s">
        <v>44</v>
      </c>
      <c r="I5729" t="e">
        <f t="shared" ca="1" si="452"/>
        <v>#REF!</v>
      </c>
      <c r="J5729" t="str">
        <f>VLOOKUP($G5729,DefinitionArrays!$I$6:$J$12,2,FALSE)</f>
        <v>Workweek</v>
      </c>
    </row>
    <row r="5730" spans="1:10">
      <c r="A5730" s="159" t="str">
        <f t="shared" si="448"/>
        <v>$H$1:$H$92</v>
      </c>
      <c r="B5730" s="159" t="str">
        <f t="shared" si="449"/>
        <v>$I$1:$I$92</v>
      </c>
      <c r="C5730" s="159" t="str">
        <f t="shared" si="450"/>
        <v>September!$H$1:$H$92</v>
      </c>
      <c r="D5730" s="159" t="str">
        <f t="shared" si="451"/>
        <v>September!$I$1:$I$92</v>
      </c>
      <c r="E5730" t="s">
        <v>10</v>
      </c>
      <c r="F5730" t="s">
        <v>128</v>
      </c>
      <c r="G5730" t="s">
        <v>143</v>
      </c>
      <c r="H5730" t="s">
        <v>159</v>
      </c>
      <c r="I5730" t="e">
        <f t="shared" ca="1" si="452"/>
        <v>#REF!</v>
      </c>
      <c r="J5730" t="str">
        <f>VLOOKUP($G5730,DefinitionArrays!$I$6:$J$12,2,FALSE)</f>
        <v>Workweek</v>
      </c>
    </row>
    <row r="5731" spans="1:10">
      <c r="A5731" s="159" t="str">
        <f t="shared" si="448"/>
        <v>$H$1:$H$92</v>
      </c>
      <c r="B5731" s="159" t="str">
        <f t="shared" si="449"/>
        <v>$I$1:$I$92</v>
      </c>
      <c r="C5731" s="159" t="str">
        <f t="shared" si="450"/>
        <v>September!$H$1:$H$92</v>
      </c>
      <c r="D5731" s="159" t="str">
        <f t="shared" si="451"/>
        <v>September!$I$1:$I$92</v>
      </c>
      <c r="E5731" t="s">
        <v>10</v>
      </c>
      <c r="F5731" t="s">
        <v>128</v>
      </c>
      <c r="G5731" t="s">
        <v>143</v>
      </c>
      <c r="H5731" t="s">
        <v>18</v>
      </c>
      <c r="I5731" t="e">
        <f t="shared" ca="1" si="452"/>
        <v>#REF!</v>
      </c>
      <c r="J5731" t="str">
        <f>VLOOKUP($G5731,DefinitionArrays!$I$6:$J$12,2,FALSE)</f>
        <v>Workweek</v>
      </c>
    </row>
    <row r="5732" spans="1:10">
      <c r="A5732" s="159" t="str">
        <f t="shared" si="448"/>
        <v>$H$1:$H$92</v>
      </c>
      <c r="B5732" s="159" t="str">
        <f t="shared" si="449"/>
        <v>$I$1:$I$92</v>
      </c>
      <c r="C5732" s="159" t="str">
        <f t="shared" si="450"/>
        <v>September!$H$1:$H$92</v>
      </c>
      <c r="D5732" s="159" t="str">
        <f t="shared" si="451"/>
        <v>September!$I$1:$I$92</v>
      </c>
      <c r="E5732" t="s">
        <v>10</v>
      </c>
      <c r="F5732" t="s">
        <v>128</v>
      </c>
      <c r="G5732" t="s">
        <v>143</v>
      </c>
      <c r="H5732" t="s">
        <v>153</v>
      </c>
      <c r="I5732" t="e">
        <f t="shared" ca="1" si="452"/>
        <v>#REF!</v>
      </c>
      <c r="J5732" t="str">
        <f>VLOOKUP($G5732,DefinitionArrays!$I$6:$J$12,2,FALSE)</f>
        <v>Workweek</v>
      </c>
    </row>
    <row r="5733" spans="1:10">
      <c r="A5733" s="159" t="str">
        <f t="shared" si="448"/>
        <v>$H$1:$H$92</v>
      </c>
      <c r="B5733" s="159" t="str">
        <f t="shared" si="449"/>
        <v>$I$1:$I$92</v>
      </c>
      <c r="C5733" s="159" t="str">
        <f t="shared" si="450"/>
        <v>September!$H$1:$H$92</v>
      </c>
      <c r="D5733" s="159" t="str">
        <f t="shared" si="451"/>
        <v>September!$I$1:$I$92</v>
      </c>
      <c r="E5733" t="s">
        <v>10</v>
      </c>
      <c r="F5733" t="s">
        <v>128</v>
      </c>
      <c r="G5733" t="s">
        <v>143</v>
      </c>
      <c r="H5733" t="s">
        <v>19</v>
      </c>
      <c r="I5733" t="e">
        <f t="shared" ca="1" si="452"/>
        <v>#REF!</v>
      </c>
      <c r="J5733" t="str">
        <f>VLOOKUP($G5733,DefinitionArrays!$I$6:$J$12,2,FALSE)</f>
        <v>Workweek</v>
      </c>
    </row>
    <row r="5734" spans="1:10">
      <c r="A5734" s="159" t="str">
        <f t="shared" si="448"/>
        <v>$H$1:$H$92</v>
      </c>
      <c r="B5734" s="159" t="str">
        <f t="shared" si="449"/>
        <v>$I$1:$I$92</v>
      </c>
      <c r="C5734" s="159" t="str">
        <f t="shared" si="450"/>
        <v>September!$H$1:$H$92</v>
      </c>
      <c r="D5734" s="159" t="str">
        <f t="shared" si="451"/>
        <v>September!$I$1:$I$92</v>
      </c>
      <c r="E5734" t="s">
        <v>10</v>
      </c>
      <c r="F5734" t="s">
        <v>128</v>
      </c>
      <c r="G5734" t="s">
        <v>143</v>
      </c>
      <c r="H5734" t="s">
        <v>20</v>
      </c>
      <c r="I5734" t="e">
        <f t="shared" ca="1" si="452"/>
        <v>#REF!</v>
      </c>
      <c r="J5734" t="str">
        <f>VLOOKUP($G5734,DefinitionArrays!$I$6:$J$12,2,FALSE)</f>
        <v>Workweek</v>
      </c>
    </row>
    <row r="5735" spans="1:10">
      <c r="A5735" s="159" t="str">
        <f t="shared" si="448"/>
        <v>$H$1:$H$92</v>
      </c>
      <c r="B5735" s="159" t="str">
        <f t="shared" si="449"/>
        <v>$I$1:$I$92</v>
      </c>
      <c r="C5735" s="159" t="str">
        <f t="shared" si="450"/>
        <v>September!$H$1:$H$92</v>
      </c>
      <c r="D5735" s="159" t="str">
        <f t="shared" si="451"/>
        <v>September!$I$1:$I$92</v>
      </c>
      <c r="E5735" t="s">
        <v>10</v>
      </c>
      <c r="F5735" t="s">
        <v>128</v>
      </c>
      <c r="G5735" t="s">
        <v>143</v>
      </c>
      <c r="H5735" t="s">
        <v>21</v>
      </c>
      <c r="I5735" t="e">
        <f t="shared" ca="1" si="452"/>
        <v>#REF!</v>
      </c>
      <c r="J5735" t="str">
        <f>VLOOKUP($G5735,DefinitionArrays!$I$6:$J$12,2,FALSE)</f>
        <v>Workweek</v>
      </c>
    </row>
    <row r="5736" spans="1:10">
      <c r="A5736" s="159" t="str">
        <f t="shared" si="448"/>
        <v>$H$1:$H$92</v>
      </c>
      <c r="B5736" s="159" t="str">
        <f t="shared" si="449"/>
        <v>$I$1:$I$92</v>
      </c>
      <c r="C5736" s="159" t="str">
        <f t="shared" si="450"/>
        <v>September!$H$1:$H$92</v>
      </c>
      <c r="D5736" s="159" t="str">
        <f t="shared" si="451"/>
        <v>September!$I$1:$I$92</v>
      </c>
      <c r="E5736" t="s">
        <v>10</v>
      </c>
      <c r="F5736" t="s">
        <v>128</v>
      </c>
      <c r="G5736" t="s">
        <v>143</v>
      </c>
      <c r="H5736" t="s">
        <v>22</v>
      </c>
      <c r="I5736" t="e">
        <f t="shared" ca="1" si="452"/>
        <v>#REF!</v>
      </c>
      <c r="J5736" t="str">
        <f>VLOOKUP($G5736,DefinitionArrays!$I$6:$J$12,2,FALSE)</f>
        <v>Workweek</v>
      </c>
    </row>
    <row r="5737" spans="1:10">
      <c r="A5737" s="159" t="str">
        <f t="shared" si="448"/>
        <v>$H$1:$H$92</v>
      </c>
      <c r="B5737" s="159" t="str">
        <f t="shared" si="449"/>
        <v>$I$1:$I$92</v>
      </c>
      <c r="C5737" s="159" t="str">
        <f t="shared" si="450"/>
        <v>September!$H$1:$H$92</v>
      </c>
      <c r="D5737" s="159" t="str">
        <f t="shared" si="451"/>
        <v>September!$I$1:$I$92</v>
      </c>
      <c r="E5737" t="s">
        <v>10</v>
      </c>
      <c r="F5737" t="s">
        <v>128</v>
      </c>
      <c r="G5737" t="s">
        <v>143</v>
      </c>
      <c r="H5737" t="s">
        <v>23</v>
      </c>
      <c r="I5737" t="e">
        <f t="shared" ca="1" si="452"/>
        <v>#REF!</v>
      </c>
      <c r="J5737" t="str">
        <f>VLOOKUP($G5737,DefinitionArrays!$I$6:$J$12,2,FALSE)</f>
        <v>Workweek</v>
      </c>
    </row>
    <row r="5738" spans="1:10">
      <c r="A5738" s="159" t="str">
        <f t="shared" si="448"/>
        <v>$H$1:$H$92</v>
      </c>
      <c r="B5738" s="159" t="str">
        <f t="shared" si="449"/>
        <v>$I$1:$I$92</v>
      </c>
      <c r="C5738" s="159" t="str">
        <f t="shared" si="450"/>
        <v>September!$H$1:$H$92</v>
      </c>
      <c r="D5738" s="159" t="str">
        <f t="shared" si="451"/>
        <v>September!$I$1:$I$92</v>
      </c>
      <c r="E5738" t="s">
        <v>10</v>
      </c>
      <c r="F5738" t="s">
        <v>128</v>
      </c>
      <c r="G5738" t="s">
        <v>143</v>
      </c>
      <c r="H5738" t="s">
        <v>24</v>
      </c>
      <c r="I5738" t="e">
        <f t="shared" ca="1" si="452"/>
        <v>#REF!</v>
      </c>
      <c r="J5738" t="str">
        <f>VLOOKUP($G5738,DefinitionArrays!$I$6:$J$12,2,FALSE)</f>
        <v>Workweek</v>
      </c>
    </row>
    <row r="5739" spans="1:10">
      <c r="A5739" s="159" t="str">
        <f t="shared" si="448"/>
        <v>$H$1:$H$92</v>
      </c>
      <c r="B5739" s="159" t="str">
        <f t="shared" si="449"/>
        <v>$I$1:$I$92</v>
      </c>
      <c r="C5739" s="159" t="str">
        <f t="shared" si="450"/>
        <v>September!$H$1:$H$92</v>
      </c>
      <c r="D5739" s="159" t="str">
        <f t="shared" si="451"/>
        <v>September!$I$1:$I$92</v>
      </c>
      <c r="E5739" t="s">
        <v>10</v>
      </c>
      <c r="F5739" t="s">
        <v>128</v>
      </c>
      <c r="G5739" t="s">
        <v>143</v>
      </c>
      <c r="H5739" t="s">
        <v>179</v>
      </c>
      <c r="I5739" t="e">
        <f t="shared" ca="1" si="452"/>
        <v>#REF!</v>
      </c>
      <c r="J5739" t="str">
        <f>VLOOKUP($G5739,DefinitionArrays!$I$6:$J$12,2,FALSE)</f>
        <v>Workweek</v>
      </c>
    </row>
    <row r="5740" spans="1:10">
      <c r="A5740" s="159" t="str">
        <f t="shared" si="448"/>
        <v>$H$1:$H$92</v>
      </c>
      <c r="B5740" s="159" t="str">
        <f t="shared" si="449"/>
        <v>$I$1:$I$92</v>
      </c>
      <c r="C5740" s="159" t="str">
        <f t="shared" si="450"/>
        <v>September!$H$1:$H$92</v>
      </c>
      <c r="D5740" s="159" t="str">
        <f t="shared" si="451"/>
        <v>September!$I$1:$I$92</v>
      </c>
      <c r="E5740" t="s">
        <v>10</v>
      </c>
      <c r="F5740" t="s">
        <v>128</v>
      </c>
      <c r="G5740" t="s">
        <v>143</v>
      </c>
      <c r="H5740" t="s">
        <v>180</v>
      </c>
      <c r="I5740" t="e">
        <f t="shared" ca="1" si="452"/>
        <v>#REF!</v>
      </c>
      <c r="J5740" t="str">
        <f>VLOOKUP($G5740,DefinitionArrays!$I$6:$J$12,2,FALSE)</f>
        <v>Workweek</v>
      </c>
    </row>
    <row r="5741" spans="1:10">
      <c r="A5741" s="159" t="str">
        <f t="shared" si="448"/>
        <v>$H$1:$H$92</v>
      </c>
      <c r="B5741" s="159" t="str">
        <f t="shared" si="449"/>
        <v>$I$1:$I$92</v>
      </c>
      <c r="C5741" s="159" t="str">
        <f t="shared" si="450"/>
        <v>September!$H$1:$H$92</v>
      </c>
      <c r="D5741" s="159" t="str">
        <f t="shared" si="451"/>
        <v>September!$I$1:$I$92</v>
      </c>
      <c r="E5741" t="s">
        <v>10</v>
      </c>
      <c r="F5741" t="s">
        <v>128</v>
      </c>
      <c r="G5741" t="s">
        <v>143</v>
      </c>
      <c r="H5741" t="s">
        <v>44</v>
      </c>
      <c r="I5741" t="e">
        <f t="shared" ca="1" si="452"/>
        <v>#REF!</v>
      </c>
      <c r="J5741" t="str">
        <f>VLOOKUP($G5741,DefinitionArrays!$I$6:$J$12,2,FALSE)</f>
        <v>Workweek</v>
      </c>
    </row>
    <row r="5742" spans="1:10">
      <c r="A5742" s="159" t="str">
        <f t="shared" si="448"/>
        <v>$K$1:$K$92</v>
      </c>
      <c r="B5742" s="159" t="str">
        <f t="shared" si="449"/>
        <v>$L$1:$L$92</v>
      </c>
      <c r="C5742" s="159" t="str">
        <f t="shared" si="450"/>
        <v>September!$K$1:$K$92</v>
      </c>
      <c r="D5742" s="159" t="str">
        <f t="shared" si="451"/>
        <v>September!$L$1:$L$92</v>
      </c>
      <c r="E5742" t="s">
        <v>10</v>
      </c>
      <c r="F5742" t="s">
        <v>128</v>
      </c>
      <c r="G5742" t="s">
        <v>144</v>
      </c>
      <c r="H5742" t="s">
        <v>159</v>
      </c>
      <c r="I5742" t="e">
        <f t="shared" ca="1" si="452"/>
        <v>#REF!</v>
      </c>
      <c r="J5742" t="str">
        <f>VLOOKUP($G5742,DefinitionArrays!$I$6:$J$12,2,FALSE)</f>
        <v>Workweek</v>
      </c>
    </row>
    <row r="5743" spans="1:10">
      <c r="A5743" s="159" t="str">
        <f t="shared" si="448"/>
        <v>$K$1:$K$92</v>
      </c>
      <c r="B5743" s="159" t="str">
        <f t="shared" si="449"/>
        <v>$L$1:$L$92</v>
      </c>
      <c r="C5743" s="159" t="str">
        <f t="shared" si="450"/>
        <v>September!$K$1:$K$92</v>
      </c>
      <c r="D5743" s="159" t="str">
        <f t="shared" si="451"/>
        <v>September!$L$1:$L$92</v>
      </c>
      <c r="E5743" t="s">
        <v>10</v>
      </c>
      <c r="F5743" t="s">
        <v>128</v>
      </c>
      <c r="G5743" t="s">
        <v>144</v>
      </c>
      <c r="H5743" t="s">
        <v>18</v>
      </c>
      <c r="I5743" t="e">
        <f t="shared" ca="1" si="452"/>
        <v>#REF!</v>
      </c>
      <c r="J5743" t="str">
        <f>VLOOKUP($G5743,DefinitionArrays!$I$6:$J$12,2,FALSE)</f>
        <v>Workweek</v>
      </c>
    </row>
    <row r="5744" spans="1:10">
      <c r="A5744" s="159" t="str">
        <f t="shared" si="448"/>
        <v>$K$1:$K$92</v>
      </c>
      <c r="B5744" s="159" t="str">
        <f t="shared" si="449"/>
        <v>$L$1:$L$92</v>
      </c>
      <c r="C5744" s="159" t="str">
        <f t="shared" si="450"/>
        <v>September!$K$1:$K$92</v>
      </c>
      <c r="D5744" s="159" t="str">
        <f t="shared" si="451"/>
        <v>September!$L$1:$L$92</v>
      </c>
      <c r="E5744" t="s">
        <v>10</v>
      </c>
      <c r="F5744" t="s">
        <v>128</v>
      </c>
      <c r="G5744" t="s">
        <v>144</v>
      </c>
      <c r="H5744" t="s">
        <v>153</v>
      </c>
      <c r="I5744" t="e">
        <f t="shared" ca="1" si="452"/>
        <v>#REF!</v>
      </c>
      <c r="J5744" t="str">
        <f>VLOOKUP($G5744,DefinitionArrays!$I$6:$J$12,2,FALSE)</f>
        <v>Workweek</v>
      </c>
    </row>
    <row r="5745" spans="1:10">
      <c r="A5745" s="159" t="str">
        <f t="shared" si="448"/>
        <v>$K$1:$K$92</v>
      </c>
      <c r="B5745" s="159" t="str">
        <f t="shared" si="449"/>
        <v>$L$1:$L$92</v>
      </c>
      <c r="C5745" s="159" t="str">
        <f t="shared" si="450"/>
        <v>September!$K$1:$K$92</v>
      </c>
      <c r="D5745" s="159" t="str">
        <f t="shared" si="451"/>
        <v>September!$L$1:$L$92</v>
      </c>
      <c r="E5745" t="s">
        <v>10</v>
      </c>
      <c r="F5745" t="s">
        <v>128</v>
      </c>
      <c r="G5745" t="s">
        <v>144</v>
      </c>
      <c r="H5745" t="s">
        <v>19</v>
      </c>
      <c r="I5745" t="e">
        <f t="shared" ca="1" si="452"/>
        <v>#REF!</v>
      </c>
      <c r="J5745" t="str">
        <f>VLOOKUP($G5745,DefinitionArrays!$I$6:$J$12,2,FALSE)</f>
        <v>Workweek</v>
      </c>
    </row>
    <row r="5746" spans="1:10">
      <c r="A5746" s="159" t="str">
        <f t="shared" si="448"/>
        <v>$K$1:$K$92</v>
      </c>
      <c r="B5746" s="159" t="str">
        <f t="shared" si="449"/>
        <v>$L$1:$L$92</v>
      </c>
      <c r="C5746" s="159" t="str">
        <f t="shared" si="450"/>
        <v>September!$K$1:$K$92</v>
      </c>
      <c r="D5746" s="159" t="str">
        <f t="shared" si="451"/>
        <v>September!$L$1:$L$92</v>
      </c>
      <c r="E5746" t="s">
        <v>10</v>
      </c>
      <c r="F5746" t="s">
        <v>128</v>
      </c>
      <c r="G5746" t="s">
        <v>144</v>
      </c>
      <c r="H5746" t="s">
        <v>20</v>
      </c>
      <c r="I5746" t="e">
        <f t="shared" ca="1" si="452"/>
        <v>#REF!</v>
      </c>
      <c r="J5746" t="str">
        <f>VLOOKUP($G5746,DefinitionArrays!$I$6:$J$12,2,FALSE)</f>
        <v>Workweek</v>
      </c>
    </row>
    <row r="5747" spans="1:10">
      <c r="A5747" s="159" t="str">
        <f t="shared" si="448"/>
        <v>$K$1:$K$92</v>
      </c>
      <c r="B5747" s="159" t="str">
        <f t="shared" si="449"/>
        <v>$L$1:$L$92</v>
      </c>
      <c r="C5747" s="159" t="str">
        <f t="shared" si="450"/>
        <v>September!$K$1:$K$92</v>
      </c>
      <c r="D5747" s="159" t="str">
        <f t="shared" si="451"/>
        <v>September!$L$1:$L$92</v>
      </c>
      <c r="E5747" t="s">
        <v>10</v>
      </c>
      <c r="F5747" t="s">
        <v>128</v>
      </c>
      <c r="G5747" t="s">
        <v>144</v>
      </c>
      <c r="H5747" t="s">
        <v>21</v>
      </c>
      <c r="I5747" t="e">
        <f t="shared" ca="1" si="452"/>
        <v>#REF!</v>
      </c>
      <c r="J5747" t="str">
        <f>VLOOKUP($G5747,DefinitionArrays!$I$6:$J$12,2,FALSE)</f>
        <v>Workweek</v>
      </c>
    </row>
    <row r="5748" spans="1:10">
      <c r="A5748" s="159" t="str">
        <f t="shared" si="448"/>
        <v>$K$1:$K$92</v>
      </c>
      <c r="B5748" s="159" t="str">
        <f t="shared" si="449"/>
        <v>$L$1:$L$92</v>
      </c>
      <c r="C5748" s="159" t="str">
        <f t="shared" si="450"/>
        <v>September!$K$1:$K$92</v>
      </c>
      <c r="D5748" s="159" t="str">
        <f t="shared" si="451"/>
        <v>September!$L$1:$L$92</v>
      </c>
      <c r="E5748" t="s">
        <v>10</v>
      </c>
      <c r="F5748" t="s">
        <v>128</v>
      </c>
      <c r="G5748" t="s">
        <v>144</v>
      </c>
      <c r="H5748" t="s">
        <v>22</v>
      </c>
      <c r="I5748" t="e">
        <f t="shared" ca="1" si="452"/>
        <v>#REF!</v>
      </c>
      <c r="J5748" t="str">
        <f>VLOOKUP($G5748,DefinitionArrays!$I$6:$J$12,2,FALSE)</f>
        <v>Workweek</v>
      </c>
    </row>
    <row r="5749" spans="1:10">
      <c r="A5749" s="159" t="str">
        <f t="shared" si="448"/>
        <v>$K$1:$K$92</v>
      </c>
      <c r="B5749" s="159" t="str">
        <f t="shared" si="449"/>
        <v>$L$1:$L$92</v>
      </c>
      <c r="C5749" s="159" t="str">
        <f t="shared" si="450"/>
        <v>September!$K$1:$K$92</v>
      </c>
      <c r="D5749" s="159" t="str">
        <f t="shared" si="451"/>
        <v>September!$L$1:$L$92</v>
      </c>
      <c r="E5749" t="s">
        <v>10</v>
      </c>
      <c r="F5749" t="s">
        <v>128</v>
      </c>
      <c r="G5749" t="s">
        <v>144</v>
      </c>
      <c r="H5749" t="s">
        <v>23</v>
      </c>
      <c r="I5749" t="e">
        <f t="shared" ca="1" si="452"/>
        <v>#REF!</v>
      </c>
      <c r="J5749" t="str">
        <f>VLOOKUP($G5749,DefinitionArrays!$I$6:$J$12,2,FALSE)</f>
        <v>Workweek</v>
      </c>
    </row>
    <row r="5750" spans="1:10">
      <c r="A5750" s="159" t="str">
        <f t="shared" si="448"/>
        <v>$K$1:$K$92</v>
      </c>
      <c r="B5750" s="159" t="str">
        <f t="shared" si="449"/>
        <v>$L$1:$L$92</v>
      </c>
      <c r="C5750" s="159" t="str">
        <f t="shared" si="450"/>
        <v>September!$K$1:$K$92</v>
      </c>
      <c r="D5750" s="159" t="str">
        <f t="shared" si="451"/>
        <v>September!$L$1:$L$92</v>
      </c>
      <c r="E5750" t="s">
        <v>10</v>
      </c>
      <c r="F5750" t="s">
        <v>128</v>
      </c>
      <c r="G5750" t="s">
        <v>144</v>
      </c>
      <c r="H5750" t="s">
        <v>24</v>
      </c>
      <c r="I5750" t="e">
        <f t="shared" ca="1" si="452"/>
        <v>#REF!</v>
      </c>
      <c r="J5750" t="str">
        <f>VLOOKUP($G5750,DefinitionArrays!$I$6:$J$12,2,FALSE)</f>
        <v>Workweek</v>
      </c>
    </row>
    <row r="5751" spans="1:10">
      <c r="A5751" s="159" t="str">
        <f t="shared" si="448"/>
        <v>$K$1:$K$92</v>
      </c>
      <c r="B5751" s="159" t="str">
        <f t="shared" si="449"/>
        <v>$L$1:$L$92</v>
      </c>
      <c r="C5751" s="159" t="str">
        <f t="shared" si="450"/>
        <v>September!$K$1:$K$92</v>
      </c>
      <c r="D5751" s="159" t="str">
        <f t="shared" si="451"/>
        <v>September!$L$1:$L$92</v>
      </c>
      <c r="E5751" t="s">
        <v>10</v>
      </c>
      <c r="F5751" t="s">
        <v>128</v>
      </c>
      <c r="G5751" t="s">
        <v>144</v>
      </c>
      <c r="H5751" t="s">
        <v>179</v>
      </c>
      <c r="I5751" t="e">
        <f t="shared" ca="1" si="452"/>
        <v>#REF!</v>
      </c>
      <c r="J5751" t="str">
        <f>VLOOKUP($G5751,DefinitionArrays!$I$6:$J$12,2,FALSE)</f>
        <v>Workweek</v>
      </c>
    </row>
    <row r="5752" spans="1:10">
      <c r="A5752" s="159" t="str">
        <f t="shared" si="448"/>
        <v>$K$1:$K$92</v>
      </c>
      <c r="B5752" s="159" t="str">
        <f t="shared" si="449"/>
        <v>$L$1:$L$92</v>
      </c>
      <c r="C5752" s="159" t="str">
        <f t="shared" si="450"/>
        <v>September!$K$1:$K$92</v>
      </c>
      <c r="D5752" s="159" t="str">
        <f t="shared" si="451"/>
        <v>September!$L$1:$L$92</v>
      </c>
      <c r="E5752" t="s">
        <v>10</v>
      </c>
      <c r="F5752" t="s">
        <v>128</v>
      </c>
      <c r="G5752" t="s">
        <v>144</v>
      </c>
      <c r="H5752" t="s">
        <v>180</v>
      </c>
      <c r="I5752" t="e">
        <f t="shared" ca="1" si="452"/>
        <v>#REF!</v>
      </c>
      <c r="J5752" t="str">
        <f>VLOOKUP($G5752,DefinitionArrays!$I$6:$J$12,2,FALSE)</f>
        <v>Workweek</v>
      </c>
    </row>
    <row r="5753" spans="1:10">
      <c r="A5753" s="159" t="str">
        <f t="shared" si="448"/>
        <v>$K$1:$K$92</v>
      </c>
      <c r="B5753" s="159" t="str">
        <f t="shared" si="449"/>
        <v>$L$1:$L$92</v>
      </c>
      <c r="C5753" s="159" t="str">
        <f t="shared" si="450"/>
        <v>September!$K$1:$K$92</v>
      </c>
      <c r="D5753" s="159" t="str">
        <f t="shared" si="451"/>
        <v>September!$L$1:$L$92</v>
      </c>
      <c r="E5753" t="s">
        <v>10</v>
      </c>
      <c r="F5753" t="s">
        <v>128</v>
      </c>
      <c r="G5753" t="s">
        <v>144</v>
      </c>
      <c r="H5753" t="s">
        <v>44</v>
      </c>
      <c r="I5753" t="e">
        <f t="shared" ca="1" si="452"/>
        <v>#REF!</v>
      </c>
      <c r="J5753" t="str">
        <f>VLOOKUP($G5753,DefinitionArrays!$I$6:$J$12,2,FALSE)</f>
        <v>Workweek</v>
      </c>
    </row>
    <row r="5754" spans="1:10">
      <c r="A5754" s="159" t="str">
        <f t="shared" si="448"/>
        <v>$N$1:$N$92</v>
      </c>
      <c r="B5754" s="159" t="str">
        <f t="shared" si="449"/>
        <v>$O$1:$O$92</v>
      </c>
      <c r="C5754" s="159" t="str">
        <f t="shared" si="450"/>
        <v>September!$N$1:$N$92</v>
      </c>
      <c r="D5754" s="159" t="str">
        <f t="shared" si="451"/>
        <v>September!$O$1:$O$92</v>
      </c>
      <c r="E5754" t="s">
        <v>10</v>
      </c>
      <c r="F5754" t="s">
        <v>128</v>
      </c>
      <c r="G5754" t="s">
        <v>145</v>
      </c>
      <c r="H5754" t="s">
        <v>159</v>
      </c>
      <c r="I5754" t="e">
        <f t="shared" ca="1" si="452"/>
        <v>#REF!</v>
      </c>
      <c r="J5754" t="str">
        <f>VLOOKUP($G5754,DefinitionArrays!$I$6:$J$12,2,FALSE)</f>
        <v>Weekend</v>
      </c>
    </row>
    <row r="5755" spans="1:10">
      <c r="A5755" s="159" t="str">
        <f t="shared" si="448"/>
        <v>$N$1:$N$92</v>
      </c>
      <c r="B5755" s="159" t="str">
        <f t="shared" si="449"/>
        <v>$O$1:$O$92</v>
      </c>
      <c r="C5755" s="159" t="str">
        <f t="shared" si="450"/>
        <v>September!$N$1:$N$92</v>
      </c>
      <c r="D5755" s="159" t="str">
        <f t="shared" si="451"/>
        <v>September!$O$1:$O$92</v>
      </c>
      <c r="E5755" t="s">
        <v>10</v>
      </c>
      <c r="F5755" t="s">
        <v>128</v>
      </c>
      <c r="G5755" t="s">
        <v>145</v>
      </c>
      <c r="H5755" t="s">
        <v>18</v>
      </c>
      <c r="I5755" t="e">
        <f t="shared" ca="1" si="452"/>
        <v>#REF!</v>
      </c>
      <c r="J5755" t="str">
        <f>VLOOKUP($G5755,DefinitionArrays!$I$6:$J$12,2,FALSE)</f>
        <v>Weekend</v>
      </c>
    </row>
    <row r="5756" spans="1:10">
      <c r="A5756" s="159" t="str">
        <f t="shared" si="448"/>
        <v>$N$1:$N$92</v>
      </c>
      <c r="B5756" s="159" t="str">
        <f t="shared" si="449"/>
        <v>$O$1:$O$92</v>
      </c>
      <c r="C5756" s="159" t="str">
        <f t="shared" si="450"/>
        <v>September!$N$1:$N$92</v>
      </c>
      <c r="D5756" s="159" t="str">
        <f t="shared" si="451"/>
        <v>September!$O$1:$O$92</v>
      </c>
      <c r="E5756" t="s">
        <v>10</v>
      </c>
      <c r="F5756" t="s">
        <v>128</v>
      </c>
      <c r="G5756" t="s">
        <v>145</v>
      </c>
      <c r="H5756" t="s">
        <v>153</v>
      </c>
      <c r="I5756" t="e">
        <f t="shared" ca="1" si="452"/>
        <v>#REF!</v>
      </c>
      <c r="J5756" t="str">
        <f>VLOOKUP($G5756,DefinitionArrays!$I$6:$J$12,2,FALSE)</f>
        <v>Weekend</v>
      </c>
    </row>
    <row r="5757" spans="1:10">
      <c r="A5757" s="159" t="str">
        <f t="shared" si="448"/>
        <v>$N$1:$N$92</v>
      </c>
      <c r="B5757" s="159" t="str">
        <f t="shared" si="449"/>
        <v>$O$1:$O$92</v>
      </c>
      <c r="C5757" s="159" t="str">
        <f t="shared" si="450"/>
        <v>September!$N$1:$N$92</v>
      </c>
      <c r="D5757" s="159" t="str">
        <f t="shared" si="451"/>
        <v>September!$O$1:$O$92</v>
      </c>
      <c r="E5757" t="s">
        <v>10</v>
      </c>
      <c r="F5757" t="s">
        <v>128</v>
      </c>
      <c r="G5757" t="s">
        <v>145</v>
      </c>
      <c r="H5757" t="s">
        <v>19</v>
      </c>
      <c r="I5757" t="e">
        <f t="shared" ca="1" si="452"/>
        <v>#REF!</v>
      </c>
      <c r="J5757" t="str">
        <f>VLOOKUP($G5757,DefinitionArrays!$I$6:$J$12,2,FALSE)</f>
        <v>Weekend</v>
      </c>
    </row>
    <row r="5758" spans="1:10">
      <c r="A5758" s="159" t="str">
        <f t="shared" si="448"/>
        <v>$N$1:$N$92</v>
      </c>
      <c r="B5758" s="159" t="str">
        <f t="shared" si="449"/>
        <v>$O$1:$O$92</v>
      </c>
      <c r="C5758" s="159" t="str">
        <f t="shared" si="450"/>
        <v>September!$N$1:$N$92</v>
      </c>
      <c r="D5758" s="159" t="str">
        <f t="shared" si="451"/>
        <v>September!$O$1:$O$92</v>
      </c>
      <c r="E5758" t="s">
        <v>10</v>
      </c>
      <c r="F5758" t="s">
        <v>128</v>
      </c>
      <c r="G5758" t="s">
        <v>145</v>
      </c>
      <c r="H5758" t="s">
        <v>20</v>
      </c>
      <c r="I5758" t="e">
        <f t="shared" ca="1" si="452"/>
        <v>#REF!</v>
      </c>
      <c r="J5758" t="str">
        <f>VLOOKUP($G5758,DefinitionArrays!$I$6:$J$12,2,FALSE)</f>
        <v>Weekend</v>
      </c>
    </row>
    <row r="5759" spans="1:10">
      <c r="A5759" s="159" t="str">
        <f t="shared" si="448"/>
        <v>$N$1:$N$92</v>
      </c>
      <c r="B5759" s="159" t="str">
        <f t="shared" si="449"/>
        <v>$O$1:$O$92</v>
      </c>
      <c r="C5759" s="159" t="str">
        <f t="shared" si="450"/>
        <v>September!$N$1:$N$92</v>
      </c>
      <c r="D5759" s="159" t="str">
        <f t="shared" si="451"/>
        <v>September!$O$1:$O$92</v>
      </c>
      <c r="E5759" t="s">
        <v>10</v>
      </c>
      <c r="F5759" t="s">
        <v>128</v>
      </c>
      <c r="G5759" t="s">
        <v>145</v>
      </c>
      <c r="H5759" t="s">
        <v>21</v>
      </c>
      <c r="I5759" t="e">
        <f t="shared" ca="1" si="452"/>
        <v>#REF!</v>
      </c>
      <c r="J5759" t="str">
        <f>VLOOKUP($G5759,DefinitionArrays!$I$6:$J$12,2,FALSE)</f>
        <v>Weekend</v>
      </c>
    </row>
    <row r="5760" spans="1:10">
      <c r="A5760" s="159" t="str">
        <f t="shared" si="448"/>
        <v>$N$1:$N$92</v>
      </c>
      <c r="B5760" s="159" t="str">
        <f t="shared" si="449"/>
        <v>$O$1:$O$92</v>
      </c>
      <c r="C5760" s="159" t="str">
        <f t="shared" si="450"/>
        <v>September!$N$1:$N$92</v>
      </c>
      <c r="D5760" s="159" t="str">
        <f t="shared" si="451"/>
        <v>September!$O$1:$O$92</v>
      </c>
      <c r="E5760" t="s">
        <v>10</v>
      </c>
      <c r="F5760" t="s">
        <v>128</v>
      </c>
      <c r="G5760" t="s">
        <v>145</v>
      </c>
      <c r="H5760" t="s">
        <v>22</v>
      </c>
      <c r="I5760" t="e">
        <f t="shared" ca="1" si="452"/>
        <v>#REF!</v>
      </c>
      <c r="J5760" t="str">
        <f>VLOOKUP($G5760,DefinitionArrays!$I$6:$J$12,2,FALSE)</f>
        <v>Weekend</v>
      </c>
    </row>
    <row r="5761" spans="1:10">
      <c r="A5761" s="159" t="str">
        <f t="shared" si="448"/>
        <v>$N$1:$N$92</v>
      </c>
      <c r="B5761" s="159" t="str">
        <f t="shared" si="449"/>
        <v>$O$1:$O$92</v>
      </c>
      <c r="C5761" s="159" t="str">
        <f t="shared" si="450"/>
        <v>September!$N$1:$N$92</v>
      </c>
      <c r="D5761" s="159" t="str">
        <f t="shared" si="451"/>
        <v>September!$O$1:$O$92</v>
      </c>
      <c r="E5761" t="s">
        <v>10</v>
      </c>
      <c r="F5761" t="s">
        <v>128</v>
      </c>
      <c r="G5761" t="s">
        <v>145</v>
      </c>
      <c r="H5761" t="s">
        <v>23</v>
      </c>
      <c r="I5761" t="e">
        <f t="shared" ca="1" si="452"/>
        <v>#REF!</v>
      </c>
      <c r="J5761" t="str">
        <f>VLOOKUP($G5761,DefinitionArrays!$I$6:$J$12,2,FALSE)</f>
        <v>Weekend</v>
      </c>
    </row>
    <row r="5762" spans="1:10">
      <c r="A5762" s="159" t="str">
        <f t="shared" ref="A5762:A5825" si="453">VLOOKUP($G5762,Fx_Code,2,FALSE)</f>
        <v>$N$1:$N$92</v>
      </c>
      <c r="B5762" s="159" t="str">
        <f t="shared" ref="B5762:B5825" si="454">VLOOKUP($G5762,Fx_Code,3,FALSE)</f>
        <v>$O$1:$O$92</v>
      </c>
      <c r="C5762" s="159" t="str">
        <f t="shared" ref="C5762:C5825" si="455">CONCATENATE($F5762,$K$1,A5762)</f>
        <v>September!$N$1:$N$92</v>
      </c>
      <c r="D5762" s="159" t="str">
        <f t="shared" ref="D5762:D5825" si="456">CONCATENATE($F5762,$K$1,B5762)</f>
        <v>September!$O$1:$O$92</v>
      </c>
      <c r="E5762" t="s">
        <v>10</v>
      </c>
      <c r="F5762" t="s">
        <v>128</v>
      </c>
      <c r="G5762" t="s">
        <v>145</v>
      </c>
      <c r="H5762" t="s">
        <v>24</v>
      </c>
      <c r="I5762" t="e">
        <f t="shared" ca="1" si="452"/>
        <v>#REF!</v>
      </c>
      <c r="J5762" t="str">
        <f>VLOOKUP($G5762,DefinitionArrays!$I$6:$J$12,2,FALSE)</f>
        <v>Weekend</v>
      </c>
    </row>
    <row r="5763" spans="1:10">
      <c r="A5763" s="159" t="str">
        <f t="shared" si="453"/>
        <v>$N$1:$N$92</v>
      </c>
      <c r="B5763" s="159" t="str">
        <f t="shared" si="454"/>
        <v>$O$1:$O$92</v>
      </c>
      <c r="C5763" s="159" t="str">
        <f t="shared" si="455"/>
        <v>September!$N$1:$N$92</v>
      </c>
      <c r="D5763" s="159" t="str">
        <f t="shared" si="456"/>
        <v>September!$O$1:$O$92</v>
      </c>
      <c r="E5763" t="s">
        <v>10</v>
      </c>
      <c r="F5763" t="s">
        <v>128</v>
      </c>
      <c r="G5763" t="s">
        <v>145</v>
      </c>
      <c r="H5763" t="s">
        <v>179</v>
      </c>
      <c r="I5763" t="e">
        <f t="shared" ca="1" si="452"/>
        <v>#REF!</v>
      </c>
      <c r="J5763" t="str">
        <f>VLOOKUP($G5763,DefinitionArrays!$I$6:$J$12,2,FALSE)</f>
        <v>Weekend</v>
      </c>
    </row>
    <row r="5764" spans="1:10">
      <c r="A5764" s="159" t="str">
        <f t="shared" si="453"/>
        <v>$N$1:$N$92</v>
      </c>
      <c r="B5764" s="159" t="str">
        <f t="shared" si="454"/>
        <v>$O$1:$O$92</v>
      </c>
      <c r="C5764" s="159" t="str">
        <f t="shared" si="455"/>
        <v>September!$N$1:$N$92</v>
      </c>
      <c r="D5764" s="159" t="str">
        <f t="shared" si="456"/>
        <v>September!$O$1:$O$92</v>
      </c>
      <c r="E5764" t="s">
        <v>10</v>
      </c>
      <c r="F5764" t="s">
        <v>128</v>
      </c>
      <c r="G5764" t="s">
        <v>145</v>
      </c>
      <c r="H5764" t="s">
        <v>180</v>
      </c>
      <c r="I5764" t="e">
        <f t="shared" ca="1" si="452"/>
        <v>#REF!</v>
      </c>
      <c r="J5764" t="str">
        <f>VLOOKUP($G5764,DefinitionArrays!$I$6:$J$12,2,FALSE)</f>
        <v>Weekend</v>
      </c>
    </row>
    <row r="5765" spans="1:10">
      <c r="A5765" s="159" t="str">
        <f t="shared" si="453"/>
        <v>$N$1:$N$92</v>
      </c>
      <c r="B5765" s="159" t="str">
        <f t="shared" si="454"/>
        <v>$O$1:$O$92</v>
      </c>
      <c r="C5765" s="159" t="str">
        <f t="shared" si="455"/>
        <v>September!$N$1:$N$92</v>
      </c>
      <c r="D5765" s="159" t="str">
        <f t="shared" si="456"/>
        <v>September!$O$1:$O$92</v>
      </c>
      <c r="E5765" t="s">
        <v>10</v>
      </c>
      <c r="F5765" t="s">
        <v>128</v>
      </c>
      <c r="G5765" t="s">
        <v>145</v>
      </c>
      <c r="H5765" t="s">
        <v>44</v>
      </c>
      <c r="I5765" t="e">
        <f t="shared" ca="1" si="452"/>
        <v>#REF!</v>
      </c>
      <c r="J5765" t="str">
        <f>VLOOKUP($G5765,DefinitionArrays!$I$6:$J$12,2,FALSE)</f>
        <v>Weekend</v>
      </c>
    </row>
    <row r="5766" spans="1:10">
      <c r="A5766" s="159" t="str">
        <f t="shared" si="453"/>
        <v>$Q$1:$Q$92</v>
      </c>
      <c r="B5766" s="159" t="str">
        <f t="shared" si="454"/>
        <v>$R$1:$R$92</v>
      </c>
      <c r="C5766" s="159" t="str">
        <f t="shared" si="455"/>
        <v>September!$Q$1:$Q$92</v>
      </c>
      <c r="D5766" s="159" t="str">
        <f t="shared" si="456"/>
        <v>September!$R$1:$R$92</v>
      </c>
      <c r="E5766" t="s">
        <v>10</v>
      </c>
      <c r="F5766" t="s">
        <v>128</v>
      </c>
      <c r="G5766" t="s">
        <v>146</v>
      </c>
      <c r="H5766" t="s">
        <v>159</v>
      </c>
      <c r="I5766" t="e">
        <f t="shared" ca="1" si="452"/>
        <v>#REF!</v>
      </c>
      <c r="J5766" t="str">
        <f>VLOOKUP($G5766,DefinitionArrays!$I$6:$J$12,2,FALSE)</f>
        <v>Weekend</v>
      </c>
    </row>
    <row r="5767" spans="1:10">
      <c r="A5767" s="159" t="str">
        <f t="shared" si="453"/>
        <v>$T$1:$T$92</v>
      </c>
      <c r="B5767" s="159" t="str">
        <f t="shared" si="454"/>
        <v>$U$1:$U$92</v>
      </c>
      <c r="C5767" s="159" t="str">
        <f t="shared" si="455"/>
        <v>September!$T$1:$T$92</v>
      </c>
      <c r="D5767" s="159" t="str">
        <f t="shared" si="456"/>
        <v>September!$U$1:$U$92</v>
      </c>
      <c r="E5767" t="s">
        <v>10</v>
      </c>
      <c r="F5767" t="s">
        <v>128</v>
      </c>
      <c r="G5767" t="s">
        <v>141</v>
      </c>
      <c r="H5767" t="s">
        <v>159</v>
      </c>
      <c r="I5767" t="e">
        <f t="shared" ca="1" si="452"/>
        <v>#REF!</v>
      </c>
      <c r="J5767" t="str">
        <f>VLOOKUP($G5767,DefinitionArrays!$I$6:$J$12,2,FALSE)</f>
        <v>Weekend</v>
      </c>
    </row>
    <row r="5768" spans="1:10">
      <c r="A5768" s="159" t="str">
        <f t="shared" si="453"/>
        <v>$B$1:$B$92</v>
      </c>
      <c r="B5768" s="159" t="str">
        <f t="shared" si="454"/>
        <v>$C$1:$C$92</v>
      </c>
      <c r="C5768" s="159" t="str">
        <f t="shared" si="455"/>
        <v>October!$B$1:$B$92</v>
      </c>
      <c r="D5768" s="159" t="str">
        <f t="shared" si="456"/>
        <v>October!$C$1:$C$92</v>
      </c>
      <c r="E5768" t="s">
        <v>10</v>
      </c>
      <c r="F5768" t="s">
        <v>129</v>
      </c>
      <c r="G5768" t="s">
        <v>13</v>
      </c>
      <c r="H5768" t="s">
        <v>159</v>
      </c>
      <c r="I5768" t="e">
        <f ca="1">COUNTIFS(INDIRECT($C5768),$E5768,INDIRECT($D5768),$H5768)</f>
        <v>#REF!</v>
      </c>
      <c r="J5768" t="str">
        <f>VLOOKUP($G5768,DefinitionArrays!$I$6:$J$12,2,FALSE)</f>
        <v>Workweek</v>
      </c>
    </row>
    <row r="5769" spans="1:10">
      <c r="A5769" s="159" t="str">
        <f t="shared" si="453"/>
        <v>$B$1:$B$92</v>
      </c>
      <c r="B5769" s="159" t="str">
        <f t="shared" si="454"/>
        <v>$C$1:$C$92</v>
      </c>
      <c r="C5769" s="159" t="str">
        <f t="shared" si="455"/>
        <v>October!$B$1:$B$92</v>
      </c>
      <c r="D5769" s="159" t="str">
        <f t="shared" si="456"/>
        <v>October!$C$1:$C$92</v>
      </c>
      <c r="E5769" t="s">
        <v>10</v>
      </c>
      <c r="F5769" t="s">
        <v>129</v>
      </c>
      <c r="G5769" t="s">
        <v>13</v>
      </c>
      <c r="H5769" t="s">
        <v>18</v>
      </c>
      <c r="I5769" t="e">
        <f t="shared" ref="I5769:I5829" ca="1" si="457">COUNTIFS(INDIRECT($C5769),$E5769,INDIRECT($D5769),$H5769)</f>
        <v>#REF!</v>
      </c>
      <c r="J5769" t="str">
        <f>VLOOKUP($G5769,DefinitionArrays!$I$6:$J$12,2,FALSE)</f>
        <v>Workweek</v>
      </c>
    </row>
    <row r="5770" spans="1:10">
      <c r="A5770" s="159" t="str">
        <f t="shared" si="453"/>
        <v>$B$1:$B$92</v>
      </c>
      <c r="B5770" s="159" t="str">
        <f t="shared" si="454"/>
        <v>$C$1:$C$92</v>
      </c>
      <c r="C5770" s="159" t="str">
        <f t="shared" si="455"/>
        <v>October!$B$1:$B$92</v>
      </c>
      <c r="D5770" s="159" t="str">
        <f t="shared" si="456"/>
        <v>October!$C$1:$C$92</v>
      </c>
      <c r="E5770" t="s">
        <v>10</v>
      </c>
      <c r="F5770" t="s">
        <v>129</v>
      </c>
      <c r="G5770" t="s">
        <v>13</v>
      </c>
      <c r="H5770" t="s">
        <v>153</v>
      </c>
      <c r="I5770" t="e">
        <f t="shared" ca="1" si="457"/>
        <v>#REF!</v>
      </c>
      <c r="J5770" t="str">
        <f>VLOOKUP($G5770,DefinitionArrays!$I$6:$J$12,2,FALSE)</f>
        <v>Workweek</v>
      </c>
    </row>
    <row r="5771" spans="1:10">
      <c r="A5771" s="159" t="str">
        <f t="shared" si="453"/>
        <v>$B$1:$B$92</v>
      </c>
      <c r="B5771" s="159" t="str">
        <f t="shared" si="454"/>
        <v>$C$1:$C$92</v>
      </c>
      <c r="C5771" s="159" t="str">
        <f t="shared" si="455"/>
        <v>October!$B$1:$B$92</v>
      </c>
      <c r="D5771" s="159" t="str">
        <f t="shared" si="456"/>
        <v>October!$C$1:$C$92</v>
      </c>
      <c r="E5771" t="s">
        <v>10</v>
      </c>
      <c r="F5771" t="s">
        <v>129</v>
      </c>
      <c r="G5771" t="s">
        <v>13</v>
      </c>
      <c r="H5771" t="s">
        <v>19</v>
      </c>
      <c r="I5771" t="e">
        <f t="shared" ca="1" si="457"/>
        <v>#REF!</v>
      </c>
      <c r="J5771" t="str">
        <f>VLOOKUP($G5771,DefinitionArrays!$I$6:$J$12,2,FALSE)</f>
        <v>Workweek</v>
      </c>
    </row>
    <row r="5772" spans="1:10">
      <c r="A5772" s="159" t="str">
        <f t="shared" si="453"/>
        <v>$B$1:$B$92</v>
      </c>
      <c r="B5772" s="159" t="str">
        <f t="shared" si="454"/>
        <v>$C$1:$C$92</v>
      </c>
      <c r="C5772" s="159" t="str">
        <f t="shared" si="455"/>
        <v>October!$B$1:$B$92</v>
      </c>
      <c r="D5772" s="159" t="str">
        <f t="shared" si="456"/>
        <v>October!$C$1:$C$92</v>
      </c>
      <c r="E5772" t="s">
        <v>10</v>
      </c>
      <c r="F5772" t="s">
        <v>129</v>
      </c>
      <c r="G5772" t="s">
        <v>13</v>
      </c>
      <c r="H5772" t="s">
        <v>20</v>
      </c>
      <c r="I5772" t="e">
        <f t="shared" ca="1" si="457"/>
        <v>#REF!</v>
      </c>
      <c r="J5772" t="str">
        <f>VLOOKUP($G5772,DefinitionArrays!$I$6:$J$12,2,FALSE)</f>
        <v>Workweek</v>
      </c>
    </row>
    <row r="5773" spans="1:10">
      <c r="A5773" s="159" t="str">
        <f t="shared" si="453"/>
        <v>$B$1:$B$92</v>
      </c>
      <c r="B5773" s="159" t="str">
        <f t="shared" si="454"/>
        <v>$C$1:$C$92</v>
      </c>
      <c r="C5773" s="159" t="str">
        <f t="shared" si="455"/>
        <v>October!$B$1:$B$92</v>
      </c>
      <c r="D5773" s="159" t="str">
        <f t="shared" si="456"/>
        <v>October!$C$1:$C$92</v>
      </c>
      <c r="E5773" t="s">
        <v>10</v>
      </c>
      <c r="F5773" t="s">
        <v>129</v>
      </c>
      <c r="G5773" t="s">
        <v>13</v>
      </c>
      <c r="H5773" t="s">
        <v>21</v>
      </c>
      <c r="I5773" t="e">
        <f t="shared" ca="1" si="457"/>
        <v>#REF!</v>
      </c>
      <c r="J5773" t="str">
        <f>VLOOKUP($G5773,DefinitionArrays!$I$6:$J$12,2,FALSE)</f>
        <v>Workweek</v>
      </c>
    </row>
    <row r="5774" spans="1:10">
      <c r="A5774" s="159" t="str">
        <f t="shared" si="453"/>
        <v>$B$1:$B$92</v>
      </c>
      <c r="B5774" s="159" t="str">
        <f t="shared" si="454"/>
        <v>$C$1:$C$92</v>
      </c>
      <c r="C5774" s="159" t="str">
        <f t="shared" si="455"/>
        <v>October!$B$1:$B$92</v>
      </c>
      <c r="D5774" s="159" t="str">
        <f t="shared" si="456"/>
        <v>October!$C$1:$C$92</v>
      </c>
      <c r="E5774" t="s">
        <v>10</v>
      </c>
      <c r="F5774" t="s">
        <v>129</v>
      </c>
      <c r="G5774" t="s">
        <v>13</v>
      </c>
      <c r="H5774" t="s">
        <v>22</v>
      </c>
      <c r="I5774" t="e">
        <f t="shared" ca="1" si="457"/>
        <v>#REF!</v>
      </c>
      <c r="J5774" t="str">
        <f>VLOOKUP($G5774,DefinitionArrays!$I$6:$J$12,2,FALSE)</f>
        <v>Workweek</v>
      </c>
    </row>
    <row r="5775" spans="1:10">
      <c r="A5775" s="159" t="str">
        <f t="shared" si="453"/>
        <v>$B$1:$B$92</v>
      </c>
      <c r="B5775" s="159" t="str">
        <f t="shared" si="454"/>
        <v>$C$1:$C$92</v>
      </c>
      <c r="C5775" s="159" t="str">
        <f t="shared" si="455"/>
        <v>October!$B$1:$B$92</v>
      </c>
      <c r="D5775" s="159" t="str">
        <f t="shared" si="456"/>
        <v>October!$C$1:$C$92</v>
      </c>
      <c r="E5775" t="s">
        <v>10</v>
      </c>
      <c r="F5775" t="s">
        <v>129</v>
      </c>
      <c r="G5775" t="s">
        <v>13</v>
      </c>
      <c r="H5775" t="s">
        <v>23</v>
      </c>
      <c r="I5775" t="e">
        <f t="shared" ca="1" si="457"/>
        <v>#REF!</v>
      </c>
      <c r="J5775" t="str">
        <f>VLOOKUP($G5775,DefinitionArrays!$I$6:$J$12,2,FALSE)</f>
        <v>Workweek</v>
      </c>
    </row>
    <row r="5776" spans="1:10">
      <c r="A5776" s="159" t="str">
        <f t="shared" si="453"/>
        <v>$B$1:$B$92</v>
      </c>
      <c r="B5776" s="159" t="str">
        <f t="shared" si="454"/>
        <v>$C$1:$C$92</v>
      </c>
      <c r="C5776" s="159" t="str">
        <f t="shared" si="455"/>
        <v>October!$B$1:$B$92</v>
      </c>
      <c r="D5776" s="159" t="str">
        <f t="shared" si="456"/>
        <v>October!$C$1:$C$92</v>
      </c>
      <c r="E5776" t="s">
        <v>10</v>
      </c>
      <c r="F5776" t="s">
        <v>129</v>
      </c>
      <c r="G5776" t="s">
        <v>13</v>
      </c>
      <c r="H5776" t="s">
        <v>24</v>
      </c>
      <c r="I5776" t="e">
        <f t="shared" ca="1" si="457"/>
        <v>#REF!</v>
      </c>
      <c r="J5776" t="str">
        <f>VLOOKUP($G5776,DefinitionArrays!$I$6:$J$12,2,FALSE)</f>
        <v>Workweek</v>
      </c>
    </row>
    <row r="5777" spans="1:10">
      <c r="A5777" s="159" t="str">
        <f t="shared" si="453"/>
        <v>$B$1:$B$92</v>
      </c>
      <c r="B5777" s="159" t="str">
        <f t="shared" si="454"/>
        <v>$C$1:$C$92</v>
      </c>
      <c r="C5777" s="159" t="str">
        <f t="shared" si="455"/>
        <v>October!$B$1:$B$92</v>
      </c>
      <c r="D5777" s="159" t="str">
        <f t="shared" si="456"/>
        <v>October!$C$1:$C$92</v>
      </c>
      <c r="E5777" t="s">
        <v>10</v>
      </c>
      <c r="F5777" t="s">
        <v>129</v>
      </c>
      <c r="G5777" t="s">
        <v>13</v>
      </c>
      <c r="H5777" t="s">
        <v>179</v>
      </c>
      <c r="I5777" t="e">
        <f t="shared" ca="1" si="457"/>
        <v>#REF!</v>
      </c>
      <c r="J5777" t="str">
        <f>VLOOKUP($G5777,DefinitionArrays!$I$6:$J$12,2,FALSE)</f>
        <v>Workweek</v>
      </c>
    </row>
    <row r="5778" spans="1:10">
      <c r="A5778" s="159" t="str">
        <f t="shared" si="453"/>
        <v>$B$1:$B$92</v>
      </c>
      <c r="B5778" s="159" t="str">
        <f t="shared" si="454"/>
        <v>$C$1:$C$92</v>
      </c>
      <c r="C5778" s="159" t="str">
        <f t="shared" si="455"/>
        <v>October!$B$1:$B$92</v>
      </c>
      <c r="D5778" s="159" t="str">
        <f t="shared" si="456"/>
        <v>October!$C$1:$C$92</v>
      </c>
      <c r="E5778" t="s">
        <v>10</v>
      </c>
      <c r="F5778" t="s">
        <v>129</v>
      </c>
      <c r="G5778" t="s">
        <v>13</v>
      </c>
      <c r="H5778" t="s">
        <v>180</v>
      </c>
      <c r="I5778" t="e">
        <f t="shared" ca="1" si="457"/>
        <v>#REF!</v>
      </c>
      <c r="J5778" t="str">
        <f>VLOOKUP($G5778,DefinitionArrays!$I$6:$J$12,2,FALSE)</f>
        <v>Workweek</v>
      </c>
    </row>
    <row r="5779" spans="1:10">
      <c r="A5779" s="159" t="str">
        <f t="shared" si="453"/>
        <v>$B$1:$B$92</v>
      </c>
      <c r="B5779" s="159" t="str">
        <f t="shared" si="454"/>
        <v>$C$1:$C$92</v>
      </c>
      <c r="C5779" s="159" t="str">
        <f t="shared" si="455"/>
        <v>October!$B$1:$B$92</v>
      </c>
      <c r="D5779" s="159" t="str">
        <f t="shared" si="456"/>
        <v>October!$C$1:$C$92</v>
      </c>
      <c r="E5779" t="s">
        <v>10</v>
      </c>
      <c r="F5779" t="s">
        <v>129</v>
      </c>
      <c r="G5779" t="s">
        <v>13</v>
      </c>
      <c r="H5779" t="s">
        <v>44</v>
      </c>
      <c r="I5779" t="e">
        <f t="shared" ca="1" si="457"/>
        <v>#REF!</v>
      </c>
      <c r="J5779" t="str">
        <f>VLOOKUP($G5779,DefinitionArrays!$I$6:$J$12,2,FALSE)</f>
        <v>Workweek</v>
      </c>
    </row>
    <row r="5780" spans="1:10">
      <c r="A5780" s="159" t="str">
        <f t="shared" si="453"/>
        <v>$E$1:$E$92</v>
      </c>
      <c r="B5780" s="159" t="str">
        <f t="shared" si="454"/>
        <v>$F$1:$F$92</v>
      </c>
      <c r="C5780" s="159" t="str">
        <f t="shared" si="455"/>
        <v>October!$E$1:$E$92</v>
      </c>
      <c r="D5780" s="159" t="str">
        <f t="shared" si="456"/>
        <v>October!$F$1:$F$92</v>
      </c>
      <c r="E5780" t="s">
        <v>10</v>
      </c>
      <c r="F5780" t="s">
        <v>129</v>
      </c>
      <c r="G5780" t="s">
        <v>142</v>
      </c>
      <c r="H5780" t="s">
        <v>159</v>
      </c>
      <c r="I5780" t="e">
        <f t="shared" ca="1" si="457"/>
        <v>#REF!</v>
      </c>
      <c r="J5780" t="str">
        <f>VLOOKUP($G5780,DefinitionArrays!$I$6:$J$12,2,FALSE)</f>
        <v>Workweek</v>
      </c>
    </row>
    <row r="5781" spans="1:10">
      <c r="A5781" s="159" t="str">
        <f t="shared" si="453"/>
        <v>$E$1:$E$92</v>
      </c>
      <c r="B5781" s="159" t="str">
        <f t="shared" si="454"/>
        <v>$F$1:$F$92</v>
      </c>
      <c r="C5781" s="159" t="str">
        <f t="shared" si="455"/>
        <v>October!$E$1:$E$92</v>
      </c>
      <c r="D5781" s="159" t="str">
        <f t="shared" si="456"/>
        <v>October!$F$1:$F$92</v>
      </c>
      <c r="E5781" t="s">
        <v>10</v>
      </c>
      <c r="F5781" t="s">
        <v>129</v>
      </c>
      <c r="G5781" t="s">
        <v>142</v>
      </c>
      <c r="H5781" t="s">
        <v>18</v>
      </c>
      <c r="I5781" t="e">
        <f t="shared" ca="1" si="457"/>
        <v>#REF!</v>
      </c>
      <c r="J5781" t="str">
        <f>VLOOKUP($G5781,DefinitionArrays!$I$6:$J$12,2,FALSE)</f>
        <v>Workweek</v>
      </c>
    </row>
    <row r="5782" spans="1:10">
      <c r="A5782" s="159" t="str">
        <f t="shared" si="453"/>
        <v>$E$1:$E$92</v>
      </c>
      <c r="B5782" s="159" t="str">
        <f t="shared" si="454"/>
        <v>$F$1:$F$92</v>
      </c>
      <c r="C5782" s="159" t="str">
        <f t="shared" si="455"/>
        <v>October!$E$1:$E$92</v>
      </c>
      <c r="D5782" s="159" t="str">
        <f t="shared" si="456"/>
        <v>October!$F$1:$F$92</v>
      </c>
      <c r="E5782" t="s">
        <v>10</v>
      </c>
      <c r="F5782" t="s">
        <v>129</v>
      </c>
      <c r="G5782" t="s">
        <v>142</v>
      </c>
      <c r="H5782" t="s">
        <v>153</v>
      </c>
      <c r="I5782" t="e">
        <f t="shared" ca="1" si="457"/>
        <v>#REF!</v>
      </c>
      <c r="J5782" t="str">
        <f>VLOOKUP($G5782,DefinitionArrays!$I$6:$J$12,2,FALSE)</f>
        <v>Workweek</v>
      </c>
    </row>
    <row r="5783" spans="1:10">
      <c r="A5783" s="159" t="str">
        <f t="shared" si="453"/>
        <v>$E$1:$E$92</v>
      </c>
      <c r="B5783" s="159" t="str">
        <f t="shared" si="454"/>
        <v>$F$1:$F$92</v>
      </c>
      <c r="C5783" s="159" t="str">
        <f t="shared" si="455"/>
        <v>October!$E$1:$E$92</v>
      </c>
      <c r="D5783" s="159" t="str">
        <f t="shared" si="456"/>
        <v>October!$F$1:$F$92</v>
      </c>
      <c r="E5783" t="s">
        <v>10</v>
      </c>
      <c r="F5783" t="s">
        <v>129</v>
      </c>
      <c r="G5783" t="s">
        <v>142</v>
      </c>
      <c r="H5783" t="s">
        <v>19</v>
      </c>
      <c r="I5783" t="e">
        <f t="shared" ca="1" si="457"/>
        <v>#REF!</v>
      </c>
      <c r="J5783" t="str">
        <f>VLOOKUP($G5783,DefinitionArrays!$I$6:$J$12,2,FALSE)</f>
        <v>Workweek</v>
      </c>
    </row>
    <row r="5784" spans="1:10">
      <c r="A5784" s="159" t="str">
        <f t="shared" si="453"/>
        <v>$E$1:$E$92</v>
      </c>
      <c r="B5784" s="159" t="str">
        <f t="shared" si="454"/>
        <v>$F$1:$F$92</v>
      </c>
      <c r="C5784" s="159" t="str">
        <f t="shared" si="455"/>
        <v>October!$E$1:$E$92</v>
      </c>
      <c r="D5784" s="159" t="str">
        <f t="shared" si="456"/>
        <v>October!$F$1:$F$92</v>
      </c>
      <c r="E5784" t="s">
        <v>10</v>
      </c>
      <c r="F5784" t="s">
        <v>129</v>
      </c>
      <c r="G5784" t="s">
        <v>142</v>
      </c>
      <c r="H5784" t="s">
        <v>20</v>
      </c>
      <c r="I5784" t="e">
        <f t="shared" ca="1" si="457"/>
        <v>#REF!</v>
      </c>
      <c r="J5784" t="str">
        <f>VLOOKUP($G5784,DefinitionArrays!$I$6:$J$12,2,FALSE)</f>
        <v>Workweek</v>
      </c>
    </row>
    <row r="5785" spans="1:10">
      <c r="A5785" s="159" t="str">
        <f t="shared" si="453"/>
        <v>$E$1:$E$92</v>
      </c>
      <c r="B5785" s="159" t="str">
        <f t="shared" si="454"/>
        <v>$F$1:$F$92</v>
      </c>
      <c r="C5785" s="159" t="str">
        <f t="shared" si="455"/>
        <v>October!$E$1:$E$92</v>
      </c>
      <c r="D5785" s="159" t="str">
        <f t="shared" si="456"/>
        <v>October!$F$1:$F$92</v>
      </c>
      <c r="E5785" t="s">
        <v>10</v>
      </c>
      <c r="F5785" t="s">
        <v>129</v>
      </c>
      <c r="G5785" t="s">
        <v>142</v>
      </c>
      <c r="H5785" t="s">
        <v>21</v>
      </c>
      <c r="I5785" t="e">
        <f t="shared" ca="1" si="457"/>
        <v>#REF!</v>
      </c>
      <c r="J5785" t="str">
        <f>VLOOKUP($G5785,DefinitionArrays!$I$6:$J$12,2,FALSE)</f>
        <v>Workweek</v>
      </c>
    </row>
    <row r="5786" spans="1:10">
      <c r="A5786" s="159" t="str">
        <f t="shared" si="453"/>
        <v>$E$1:$E$92</v>
      </c>
      <c r="B5786" s="159" t="str">
        <f t="shared" si="454"/>
        <v>$F$1:$F$92</v>
      </c>
      <c r="C5786" s="159" t="str">
        <f t="shared" si="455"/>
        <v>October!$E$1:$E$92</v>
      </c>
      <c r="D5786" s="159" t="str">
        <f t="shared" si="456"/>
        <v>October!$F$1:$F$92</v>
      </c>
      <c r="E5786" t="s">
        <v>10</v>
      </c>
      <c r="F5786" t="s">
        <v>129</v>
      </c>
      <c r="G5786" t="s">
        <v>142</v>
      </c>
      <c r="H5786" t="s">
        <v>22</v>
      </c>
      <c r="I5786" t="e">
        <f t="shared" ca="1" si="457"/>
        <v>#REF!</v>
      </c>
      <c r="J5786" t="str">
        <f>VLOOKUP($G5786,DefinitionArrays!$I$6:$J$12,2,FALSE)</f>
        <v>Workweek</v>
      </c>
    </row>
    <row r="5787" spans="1:10">
      <c r="A5787" s="159" t="str">
        <f t="shared" si="453"/>
        <v>$E$1:$E$92</v>
      </c>
      <c r="B5787" s="159" t="str">
        <f t="shared" si="454"/>
        <v>$F$1:$F$92</v>
      </c>
      <c r="C5787" s="159" t="str">
        <f t="shared" si="455"/>
        <v>October!$E$1:$E$92</v>
      </c>
      <c r="D5787" s="159" t="str">
        <f t="shared" si="456"/>
        <v>October!$F$1:$F$92</v>
      </c>
      <c r="E5787" t="s">
        <v>10</v>
      </c>
      <c r="F5787" t="s">
        <v>129</v>
      </c>
      <c r="G5787" t="s">
        <v>142</v>
      </c>
      <c r="H5787" t="s">
        <v>23</v>
      </c>
      <c r="I5787" t="e">
        <f t="shared" ca="1" si="457"/>
        <v>#REF!</v>
      </c>
      <c r="J5787" t="str">
        <f>VLOOKUP($G5787,DefinitionArrays!$I$6:$J$12,2,FALSE)</f>
        <v>Workweek</v>
      </c>
    </row>
    <row r="5788" spans="1:10">
      <c r="A5788" s="159" t="str">
        <f t="shared" si="453"/>
        <v>$E$1:$E$92</v>
      </c>
      <c r="B5788" s="159" t="str">
        <f t="shared" si="454"/>
        <v>$F$1:$F$92</v>
      </c>
      <c r="C5788" s="159" t="str">
        <f t="shared" si="455"/>
        <v>October!$E$1:$E$92</v>
      </c>
      <c r="D5788" s="159" t="str">
        <f t="shared" si="456"/>
        <v>October!$F$1:$F$92</v>
      </c>
      <c r="E5788" t="s">
        <v>10</v>
      </c>
      <c r="F5788" t="s">
        <v>129</v>
      </c>
      <c r="G5788" t="s">
        <v>142</v>
      </c>
      <c r="H5788" t="s">
        <v>24</v>
      </c>
      <c r="I5788" t="e">
        <f t="shared" ca="1" si="457"/>
        <v>#REF!</v>
      </c>
      <c r="J5788" t="str">
        <f>VLOOKUP($G5788,DefinitionArrays!$I$6:$J$12,2,FALSE)</f>
        <v>Workweek</v>
      </c>
    </row>
    <row r="5789" spans="1:10">
      <c r="A5789" s="159" t="str">
        <f t="shared" si="453"/>
        <v>$E$1:$E$92</v>
      </c>
      <c r="B5789" s="159" t="str">
        <f t="shared" si="454"/>
        <v>$F$1:$F$92</v>
      </c>
      <c r="C5789" s="159" t="str">
        <f t="shared" si="455"/>
        <v>October!$E$1:$E$92</v>
      </c>
      <c r="D5789" s="159" t="str">
        <f t="shared" si="456"/>
        <v>October!$F$1:$F$92</v>
      </c>
      <c r="E5789" t="s">
        <v>10</v>
      </c>
      <c r="F5789" t="s">
        <v>129</v>
      </c>
      <c r="G5789" t="s">
        <v>142</v>
      </c>
      <c r="H5789" t="s">
        <v>179</v>
      </c>
      <c r="I5789" t="e">
        <f t="shared" ca="1" si="457"/>
        <v>#REF!</v>
      </c>
      <c r="J5789" t="str">
        <f>VLOOKUP($G5789,DefinitionArrays!$I$6:$J$12,2,FALSE)</f>
        <v>Workweek</v>
      </c>
    </row>
    <row r="5790" spans="1:10">
      <c r="A5790" s="159" t="str">
        <f t="shared" si="453"/>
        <v>$E$1:$E$92</v>
      </c>
      <c r="B5790" s="159" t="str">
        <f t="shared" si="454"/>
        <v>$F$1:$F$92</v>
      </c>
      <c r="C5790" s="159" t="str">
        <f t="shared" si="455"/>
        <v>October!$E$1:$E$92</v>
      </c>
      <c r="D5790" s="159" t="str">
        <f t="shared" si="456"/>
        <v>October!$F$1:$F$92</v>
      </c>
      <c r="E5790" t="s">
        <v>10</v>
      </c>
      <c r="F5790" t="s">
        <v>129</v>
      </c>
      <c r="G5790" t="s">
        <v>142</v>
      </c>
      <c r="H5790" t="s">
        <v>180</v>
      </c>
      <c r="I5790" t="e">
        <f t="shared" ca="1" si="457"/>
        <v>#REF!</v>
      </c>
      <c r="J5790" t="str">
        <f>VLOOKUP($G5790,DefinitionArrays!$I$6:$J$12,2,FALSE)</f>
        <v>Workweek</v>
      </c>
    </row>
    <row r="5791" spans="1:10">
      <c r="A5791" s="159" t="str">
        <f t="shared" si="453"/>
        <v>$E$1:$E$92</v>
      </c>
      <c r="B5791" s="159" t="str">
        <f t="shared" si="454"/>
        <v>$F$1:$F$92</v>
      </c>
      <c r="C5791" s="159" t="str">
        <f t="shared" si="455"/>
        <v>October!$E$1:$E$92</v>
      </c>
      <c r="D5791" s="159" t="str">
        <f t="shared" si="456"/>
        <v>October!$F$1:$F$92</v>
      </c>
      <c r="E5791" t="s">
        <v>10</v>
      </c>
      <c r="F5791" t="s">
        <v>129</v>
      </c>
      <c r="G5791" t="s">
        <v>142</v>
      </c>
      <c r="H5791" t="s">
        <v>44</v>
      </c>
      <c r="I5791" t="e">
        <f t="shared" ca="1" si="457"/>
        <v>#REF!</v>
      </c>
      <c r="J5791" t="str">
        <f>VLOOKUP($G5791,DefinitionArrays!$I$6:$J$12,2,FALSE)</f>
        <v>Workweek</v>
      </c>
    </row>
    <row r="5792" spans="1:10">
      <c r="A5792" s="159" t="str">
        <f t="shared" si="453"/>
        <v>$H$1:$H$92</v>
      </c>
      <c r="B5792" s="159" t="str">
        <f t="shared" si="454"/>
        <v>$I$1:$I$92</v>
      </c>
      <c r="C5792" s="159" t="str">
        <f t="shared" si="455"/>
        <v>October!$H$1:$H$92</v>
      </c>
      <c r="D5792" s="159" t="str">
        <f t="shared" si="456"/>
        <v>October!$I$1:$I$92</v>
      </c>
      <c r="E5792" t="s">
        <v>10</v>
      </c>
      <c r="F5792" t="s">
        <v>129</v>
      </c>
      <c r="G5792" t="s">
        <v>143</v>
      </c>
      <c r="H5792" t="s">
        <v>159</v>
      </c>
      <c r="I5792" t="e">
        <f t="shared" ca="1" si="457"/>
        <v>#REF!</v>
      </c>
      <c r="J5792" t="str">
        <f>VLOOKUP($G5792,DefinitionArrays!$I$6:$J$12,2,FALSE)</f>
        <v>Workweek</v>
      </c>
    </row>
    <row r="5793" spans="1:10">
      <c r="A5793" s="159" t="str">
        <f t="shared" si="453"/>
        <v>$H$1:$H$92</v>
      </c>
      <c r="B5793" s="159" t="str">
        <f t="shared" si="454"/>
        <v>$I$1:$I$92</v>
      </c>
      <c r="C5793" s="159" t="str">
        <f t="shared" si="455"/>
        <v>October!$H$1:$H$92</v>
      </c>
      <c r="D5793" s="159" t="str">
        <f t="shared" si="456"/>
        <v>October!$I$1:$I$92</v>
      </c>
      <c r="E5793" t="s">
        <v>10</v>
      </c>
      <c r="F5793" t="s">
        <v>129</v>
      </c>
      <c r="G5793" t="s">
        <v>143</v>
      </c>
      <c r="H5793" t="s">
        <v>18</v>
      </c>
      <c r="I5793" t="e">
        <f t="shared" ca="1" si="457"/>
        <v>#REF!</v>
      </c>
      <c r="J5793" t="str">
        <f>VLOOKUP($G5793,DefinitionArrays!$I$6:$J$12,2,FALSE)</f>
        <v>Workweek</v>
      </c>
    </row>
    <row r="5794" spans="1:10">
      <c r="A5794" s="159" t="str">
        <f t="shared" si="453"/>
        <v>$H$1:$H$92</v>
      </c>
      <c r="B5794" s="159" t="str">
        <f t="shared" si="454"/>
        <v>$I$1:$I$92</v>
      </c>
      <c r="C5794" s="159" t="str">
        <f t="shared" si="455"/>
        <v>October!$H$1:$H$92</v>
      </c>
      <c r="D5794" s="159" t="str">
        <f t="shared" si="456"/>
        <v>October!$I$1:$I$92</v>
      </c>
      <c r="E5794" t="s">
        <v>10</v>
      </c>
      <c r="F5794" t="s">
        <v>129</v>
      </c>
      <c r="G5794" t="s">
        <v>143</v>
      </c>
      <c r="H5794" t="s">
        <v>153</v>
      </c>
      <c r="I5794" t="e">
        <f t="shared" ca="1" si="457"/>
        <v>#REF!</v>
      </c>
      <c r="J5794" t="str">
        <f>VLOOKUP($G5794,DefinitionArrays!$I$6:$J$12,2,FALSE)</f>
        <v>Workweek</v>
      </c>
    </row>
    <row r="5795" spans="1:10">
      <c r="A5795" s="159" t="str">
        <f t="shared" si="453"/>
        <v>$H$1:$H$92</v>
      </c>
      <c r="B5795" s="159" t="str">
        <f t="shared" si="454"/>
        <v>$I$1:$I$92</v>
      </c>
      <c r="C5795" s="159" t="str">
        <f t="shared" si="455"/>
        <v>October!$H$1:$H$92</v>
      </c>
      <c r="D5795" s="159" t="str">
        <f t="shared" si="456"/>
        <v>October!$I$1:$I$92</v>
      </c>
      <c r="E5795" t="s">
        <v>10</v>
      </c>
      <c r="F5795" t="s">
        <v>129</v>
      </c>
      <c r="G5795" t="s">
        <v>143</v>
      </c>
      <c r="H5795" t="s">
        <v>19</v>
      </c>
      <c r="I5795" t="e">
        <f t="shared" ca="1" si="457"/>
        <v>#REF!</v>
      </c>
      <c r="J5795" t="str">
        <f>VLOOKUP($G5795,DefinitionArrays!$I$6:$J$12,2,FALSE)</f>
        <v>Workweek</v>
      </c>
    </row>
    <row r="5796" spans="1:10">
      <c r="A5796" s="159" t="str">
        <f t="shared" si="453"/>
        <v>$H$1:$H$92</v>
      </c>
      <c r="B5796" s="159" t="str">
        <f t="shared" si="454"/>
        <v>$I$1:$I$92</v>
      </c>
      <c r="C5796" s="159" t="str">
        <f t="shared" si="455"/>
        <v>October!$H$1:$H$92</v>
      </c>
      <c r="D5796" s="159" t="str">
        <f t="shared" si="456"/>
        <v>October!$I$1:$I$92</v>
      </c>
      <c r="E5796" t="s">
        <v>10</v>
      </c>
      <c r="F5796" t="s">
        <v>129</v>
      </c>
      <c r="G5796" t="s">
        <v>143</v>
      </c>
      <c r="H5796" t="s">
        <v>20</v>
      </c>
      <c r="I5796" t="e">
        <f t="shared" ca="1" si="457"/>
        <v>#REF!</v>
      </c>
      <c r="J5796" t="str">
        <f>VLOOKUP($G5796,DefinitionArrays!$I$6:$J$12,2,FALSE)</f>
        <v>Workweek</v>
      </c>
    </row>
    <row r="5797" spans="1:10">
      <c r="A5797" s="159" t="str">
        <f t="shared" si="453"/>
        <v>$H$1:$H$92</v>
      </c>
      <c r="B5797" s="159" t="str">
        <f t="shared" si="454"/>
        <v>$I$1:$I$92</v>
      </c>
      <c r="C5797" s="159" t="str">
        <f t="shared" si="455"/>
        <v>October!$H$1:$H$92</v>
      </c>
      <c r="D5797" s="159" t="str">
        <f t="shared" si="456"/>
        <v>October!$I$1:$I$92</v>
      </c>
      <c r="E5797" t="s">
        <v>10</v>
      </c>
      <c r="F5797" t="s">
        <v>129</v>
      </c>
      <c r="G5797" t="s">
        <v>143</v>
      </c>
      <c r="H5797" t="s">
        <v>21</v>
      </c>
      <c r="I5797" t="e">
        <f t="shared" ca="1" si="457"/>
        <v>#REF!</v>
      </c>
      <c r="J5797" t="str">
        <f>VLOOKUP($G5797,DefinitionArrays!$I$6:$J$12,2,FALSE)</f>
        <v>Workweek</v>
      </c>
    </row>
    <row r="5798" spans="1:10">
      <c r="A5798" s="159" t="str">
        <f t="shared" si="453"/>
        <v>$H$1:$H$92</v>
      </c>
      <c r="B5798" s="159" t="str">
        <f t="shared" si="454"/>
        <v>$I$1:$I$92</v>
      </c>
      <c r="C5798" s="159" t="str">
        <f t="shared" si="455"/>
        <v>October!$H$1:$H$92</v>
      </c>
      <c r="D5798" s="159" t="str">
        <f t="shared" si="456"/>
        <v>October!$I$1:$I$92</v>
      </c>
      <c r="E5798" t="s">
        <v>10</v>
      </c>
      <c r="F5798" t="s">
        <v>129</v>
      </c>
      <c r="G5798" t="s">
        <v>143</v>
      </c>
      <c r="H5798" t="s">
        <v>22</v>
      </c>
      <c r="I5798" t="e">
        <f t="shared" ca="1" si="457"/>
        <v>#REF!</v>
      </c>
      <c r="J5798" t="str">
        <f>VLOOKUP($G5798,DefinitionArrays!$I$6:$J$12,2,FALSE)</f>
        <v>Workweek</v>
      </c>
    </row>
    <row r="5799" spans="1:10">
      <c r="A5799" s="159" t="str">
        <f t="shared" si="453"/>
        <v>$H$1:$H$92</v>
      </c>
      <c r="B5799" s="159" t="str">
        <f t="shared" si="454"/>
        <v>$I$1:$I$92</v>
      </c>
      <c r="C5799" s="159" t="str">
        <f t="shared" si="455"/>
        <v>October!$H$1:$H$92</v>
      </c>
      <c r="D5799" s="159" t="str">
        <f t="shared" si="456"/>
        <v>October!$I$1:$I$92</v>
      </c>
      <c r="E5799" t="s">
        <v>10</v>
      </c>
      <c r="F5799" t="s">
        <v>129</v>
      </c>
      <c r="G5799" t="s">
        <v>143</v>
      </c>
      <c r="H5799" t="s">
        <v>23</v>
      </c>
      <c r="I5799" t="e">
        <f t="shared" ca="1" si="457"/>
        <v>#REF!</v>
      </c>
      <c r="J5799" t="str">
        <f>VLOOKUP($G5799,DefinitionArrays!$I$6:$J$12,2,FALSE)</f>
        <v>Workweek</v>
      </c>
    </row>
    <row r="5800" spans="1:10">
      <c r="A5800" s="159" t="str">
        <f t="shared" si="453"/>
        <v>$H$1:$H$92</v>
      </c>
      <c r="B5800" s="159" t="str">
        <f t="shared" si="454"/>
        <v>$I$1:$I$92</v>
      </c>
      <c r="C5800" s="159" t="str">
        <f t="shared" si="455"/>
        <v>October!$H$1:$H$92</v>
      </c>
      <c r="D5800" s="159" t="str">
        <f t="shared" si="456"/>
        <v>October!$I$1:$I$92</v>
      </c>
      <c r="E5800" t="s">
        <v>10</v>
      </c>
      <c r="F5800" t="s">
        <v>129</v>
      </c>
      <c r="G5800" t="s">
        <v>143</v>
      </c>
      <c r="H5800" t="s">
        <v>24</v>
      </c>
      <c r="I5800" t="e">
        <f t="shared" ca="1" si="457"/>
        <v>#REF!</v>
      </c>
      <c r="J5800" t="str">
        <f>VLOOKUP($G5800,DefinitionArrays!$I$6:$J$12,2,FALSE)</f>
        <v>Workweek</v>
      </c>
    </row>
    <row r="5801" spans="1:10">
      <c r="A5801" s="159" t="str">
        <f t="shared" si="453"/>
        <v>$H$1:$H$92</v>
      </c>
      <c r="B5801" s="159" t="str">
        <f t="shared" si="454"/>
        <v>$I$1:$I$92</v>
      </c>
      <c r="C5801" s="159" t="str">
        <f t="shared" si="455"/>
        <v>October!$H$1:$H$92</v>
      </c>
      <c r="D5801" s="159" t="str">
        <f t="shared" si="456"/>
        <v>October!$I$1:$I$92</v>
      </c>
      <c r="E5801" t="s">
        <v>10</v>
      </c>
      <c r="F5801" t="s">
        <v>129</v>
      </c>
      <c r="G5801" t="s">
        <v>143</v>
      </c>
      <c r="H5801" t="s">
        <v>179</v>
      </c>
      <c r="I5801" t="e">
        <f t="shared" ca="1" si="457"/>
        <v>#REF!</v>
      </c>
      <c r="J5801" t="str">
        <f>VLOOKUP($G5801,DefinitionArrays!$I$6:$J$12,2,FALSE)</f>
        <v>Workweek</v>
      </c>
    </row>
    <row r="5802" spans="1:10">
      <c r="A5802" s="159" t="str">
        <f t="shared" si="453"/>
        <v>$H$1:$H$92</v>
      </c>
      <c r="B5802" s="159" t="str">
        <f t="shared" si="454"/>
        <v>$I$1:$I$92</v>
      </c>
      <c r="C5802" s="159" t="str">
        <f t="shared" si="455"/>
        <v>October!$H$1:$H$92</v>
      </c>
      <c r="D5802" s="159" t="str">
        <f t="shared" si="456"/>
        <v>October!$I$1:$I$92</v>
      </c>
      <c r="E5802" t="s">
        <v>10</v>
      </c>
      <c r="F5802" t="s">
        <v>129</v>
      </c>
      <c r="G5802" t="s">
        <v>143</v>
      </c>
      <c r="H5802" t="s">
        <v>180</v>
      </c>
      <c r="I5802" t="e">
        <f t="shared" ca="1" si="457"/>
        <v>#REF!</v>
      </c>
      <c r="J5802" t="str">
        <f>VLOOKUP($G5802,DefinitionArrays!$I$6:$J$12,2,FALSE)</f>
        <v>Workweek</v>
      </c>
    </row>
    <row r="5803" spans="1:10">
      <c r="A5803" s="159" t="str">
        <f t="shared" si="453"/>
        <v>$H$1:$H$92</v>
      </c>
      <c r="B5803" s="159" t="str">
        <f t="shared" si="454"/>
        <v>$I$1:$I$92</v>
      </c>
      <c r="C5803" s="159" t="str">
        <f t="shared" si="455"/>
        <v>October!$H$1:$H$92</v>
      </c>
      <c r="D5803" s="159" t="str">
        <f t="shared" si="456"/>
        <v>October!$I$1:$I$92</v>
      </c>
      <c r="E5803" t="s">
        <v>10</v>
      </c>
      <c r="F5803" t="s">
        <v>129</v>
      </c>
      <c r="G5803" t="s">
        <v>143</v>
      </c>
      <c r="H5803" t="s">
        <v>44</v>
      </c>
      <c r="I5803" t="e">
        <f t="shared" ca="1" si="457"/>
        <v>#REF!</v>
      </c>
      <c r="J5803" t="str">
        <f>VLOOKUP($G5803,DefinitionArrays!$I$6:$J$12,2,FALSE)</f>
        <v>Workweek</v>
      </c>
    </row>
    <row r="5804" spans="1:10">
      <c r="A5804" s="159" t="str">
        <f t="shared" si="453"/>
        <v>$K$1:$K$92</v>
      </c>
      <c r="B5804" s="159" t="str">
        <f t="shared" si="454"/>
        <v>$L$1:$L$92</v>
      </c>
      <c r="C5804" s="159" t="str">
        <f t="shared" si="455"/>
        <v>October!$K$1:$K$92</v>
      </c>
      <c r="D5804" s="159" t="str">
        <f t="shared" si="456"/>
        <v>October!$L$1:$L$92</v>
      </c>
      <c r="E5804" t="s">
        <v>10</v>
      </c>
      <c r="F5804" t="s">
        <v>129</v>
      </c>
      <c r="G5804" t="s">
        <v>144</v>
      </c>
      <c r="H5804" t="s">
        <v>159</v>
      </c>
      <c r="I5804" t="e">
        <f t="shared" ca="1" si="457"/>
        <v>#REF!</v>
      </c>
      <c r="J5804" t="str">
        <f>VLOOKUP($G5804,DefinitionArrays!$I$6:$J$12,2,FALSE)</f>
        <v>Workweek</v>
      </c>
    </row>
    <row r="5805" spans="1:10">
      <c r="A5805" s="159" t="str">
        <f t="shared" si="453"/>
        <v>$K$1:$K$92</v>
      </c>
      <c r="B5805" s="159" t="str">
        <f t="shared" si="454"/>
        <v>$L$1:$L$92</v>
      </c>
      <c r="C5805" s="159" t="str">
        <f t="shared" si="455"/>
        <v>October!$K$1:$K$92</v>
      </c>
      <c r="D5805" s="159" t="str">
        <f t="shared" si="456"/>
        <v>October!$L$1:$L$92</v>
      </c>
      <c r="E5805" t="s">
        <v>10</v>
      </c>
      <c r="F5805" t="s">
        <v>129</v>
      </c>
      <c r="G5805" t="s">
        <v>144</v>
      </c>
      <c r="H5805" t="s">
        <v>18</v>
      </c>
      <c r="I5805" t="e">
        <f t="shared" ca="1" si="457"/>
        <v>#REF!</v>
      </c>
      <c r="J5805" t="str">
        <f>VLOOKUP($G5805,DefinitionArrays!$I$6:$J$12,2,FALSE)</f>
        <v>Workweek</v>
      </c>
    </row>
    <row r="5806" spans="1:10">
      <c r="A5806" s="159" t="str">
        <f t="shared" si="453"/>
        <v>$K$1:$K$92</v>
      </c>
      <c r="B5806" s="159" t="str">
        <f t="shared" si="454"/>
        <v>$L$1:$L$92</v>
      </c>
      <c r="C5806" s="159" t="str">
        <f t="shared" si="455"/>
        <v>October!$K$1:$K$92</v>
      </c>
      <c r="D5806" s="159" t="str">
        <f t="shared" si="456"/>
        <v>October!$L$1:$L$92</v>
      </c>
      <c r="E5806" t="s">
        <v>10</v>
      </c>
      <c r="F5806" t="s">
        <v>129</v>
      </c>
      <c r="G5806" t="s">
        <v>144</v>
      </c>
      <c r="H5806" t="s">
        <v>153</v>
      </c>
      <c r="I5806" t="e">
        <f t="shared" ca="1" si="457"/>
        <v>#REF!</v>
      </c>
      <c r="J5806" t="str">
        <f>VLOOKUP($G5806,DefinitionArrays!$I$6:$J$12,2,FALSE)</f>
        <v>Workweek</v>
      </c>
    </row>
    <row r="5807" spans="1:10">
      <c r="A5807" s="159" t="str">
        <f t="shared" si="453"/>
        <v>$K$1:$K$92</v>
      </c>
      <c r="B5807" s="159" t="str">
        <f t="shared" si="454"/>
        <v>$L$1:$L$92</v>
      </c>
      <c r="C5807" s="159" t="str">
        <f t="shared" si="455"/>
        <v>October!$K$1:$K$92</v>
      </c>
      <c r="D5807" s="159" t="str">
        <f t="shared" si="456"/>
        <v>October!$L$1:$L$92</v>
      </c>
      <c r="E5807" t="s">
        <v>10</v>
      </c>
      <c r="F5807" t="s">
        <v>129</v>
      </c>
      <c r="G5807" t="s">
        <v>144</v>
      </c>
      <c r="H5807" t="s">
        <v>19</v>
      </c>
      <c r="I5807" t="e">
        <f t="shared" ca="1" si="457"/>
        <v>#REF!</v>
      </c>
      <c r="J5807" t="str">
        <f>VLOOKUP($G5807,DefinitionArrays!$I$6:$J$12,2,FALSE)</f>
        <v>Workweek</v>
      </c>
    </row>
    <row r="5808" spans="1:10">
      <c r="A5808" s="159" t="str">
        <f t="shared" si="453"/>
        <v>$K$1:$K$92</v>
      </c>
      <c r="B5808" s="159" t="str">
        <f t="shared" si="454"/>
        <v>$L$1:$L$92</v>
      </c>
      <c r="C5808" s="159" t="str">
        <f t="shared" si="455"/>
        <v>October!$K$1:$K$92</v>
      </c>
      <c r="D5808" s="159" t="str">
        <f t="shared" si="456"/>
        <v>October!$L$1:$L$92</v>
      </c>
      <c r="E5808" t="s">
        <v>10</v>
      </c>
      <c r="F5808" t="s">
        <v>129</v>
      </c>
      <c r="G5808" t="s">
        <v>144</v>
      </c>
      <c r="H5808" t="s">
        <v>20</v>
      </c>
      <c r="I5808" t="e">
        <f t="shared" ca="1" si="457"/>
        <v>#REF!</v>
      </c>
      <c r="J5808" t="str">
        <f>VLOOKUP($G5808,DefinitionArrays!$I$6:$J$12,2,FALSE)</f>
        <v>Workweek</v>
      </c>
    </row>
    <row r="5809" spans="1:10">
      <c r="A5809" s="159" t="str">
        <f t="shared" si="453"/>
        <v>$K$1:$K$92</v>
      </c>
      <c r="B5809" s="159" t="str">
        <f t="shared" si="454"/>
        <v>$L$1:$L$92</v>
      </c>
      <c r="C5809" s="159" t="str">
        <f t="shared" si="455"/>
        <v>October!$K$1:$K$92</v>
      </c>
      <c r="D5809" s="159" t="str">
        <f t="shared" si="456"/>
        <v>October!$L$1:$L$92</v>
      </c>
      <c r="E5809" t="s">
        <v>10</v>
      </c>
      <c r="F5809" t="s">
        <v>129</v>
      </c>
      <c r="G5809" t="s">
        <v>144</v>
      </c>
      <c r="H5809" t="s">
        <v>21</v>
      </c>
      <c r="I5809" t="e">
        <f t="shared" ca="1" si="457"/>
        <v>#REF!</v>
      </c>
      <c r="J5809" t="str">
        <f>VLOOKUP($G5809,DefinitionArrays!$I$6:$J$12,2,FALSE)</f>
        <v>Workweek</v>
      </c>
    </row>
    <row r="5810" spans="1:10">
      <c r="A5810" s="159" t="str">
        <f t="shared" si="453"/>
        <v>$K$1:$K$92</v>
      </c>
      <c r="B5810" s="159" t="str">
        <f t="shared" si="454"/>
        <v>$L$1:$L$92</v>
      </c>
      <c r="C5810" s="159" t="str">
        <f t="shared" si="455"/>
        <v>October!$K$1:$K$92</v>
      </c>
      <c r="D5810" s="159" t="str">
        <f t="shared" si="456"/>
        <v>October!$L$1:$L$92</v>
      </c>
      <c r="E5810" t="s">
        <v>10</v>
      </c>
      <c r="F5810" t="s">
        <v>129</v>
      </c>
      <c r="G5810" t="s">
        <v>144</v>
      </c>
      <c r="H5810" t="s">
        <v>22</v>
      </c>
      <c r="I5810" t="e">
        <f t="shared" ca="1" si="457"/>
        <v>#REF!</v>
      </c>
      <c r="J5810" t="str">
        <f>VLOOKUP($G5810,DefinitionArrays!$I$6:$J$12,2,FALSE)</f>
        <v>Workweek</v>
      </c>
    </row>
    <row r="5811" spans="1:10">
      <c r="A5811" s="159" t="str">
        <f t="shared" si="453"/>
        <v>$K$1:$K$92</v>
      </c>
      <c r="B5811" s="159" t="str">
        <f t="shared" si="454"/>
        <v>$L$1:$L$92</v>
      </c>
      <c r="C5811" s="159" t="str">
        <f t="shared" si="455"/>
        <v>October!$K$1:$K$92</v>
      </c>
      <c r="D5811" s="159" t="str">
        <f t="shared" si="456"/>
        <v>October!$L$1:$L$92</v>
      </c>
      <c r="E5811" t="s">
        <v>10</v>
      </c>
      <c r="F5811" t="s">
        <v>129</v>
      </c>
      <c r="G5811" t="s">
        <v>144</v>
      </c>
      <c r="H5811" t="s">
        <v>23</v>
      </c>
      <c r="I5811" t="e">
        <f t="shared" ca="1" si="457"/>
        <v>#REF!</v>
      </c>
      <c r="J5811" t="str">
        <f>VLOOKUP($G5811,DefinitionArrays!$I$6:$J$12,2,FALSE)</f>
        <v>Workweek</v>
      </c>
    </row>
    <row r="5812" spans="1:10">
      <c r="A5812" s="159" t="str">
        <f t="shared" si="453"/>
        <v>$K$1:$K$92</v>
      </c>
      <c r="B5812" s="159" t="str">
        <f t="shared" si="454"/>
        <v>$L$1:$L$92</v>
      </c>
      <c r="C5812" s="159" t="str">
        <f t="shared" si="455"/>
        <v>October!$K$1:$K$92</v>
      </c>
      <c r="D5812" s="159" t="str">
        <f t="shared" si="456"/>
        <v>October!$L$1:$L$92</v>
      </c>
      <c r="E5812" t="s">
        <v>10</v>
      </c>
      <c r="F5812" t="s">
        <v>129</v>
      </c>
      <c r="G5812" t="s">
        <v>144</v>
      </c>
      <c r="H5812" t="s">
        <v>24</v>
      </c>
      <c r="I5812" t="e">
        <f t="shared" ca="1" si="457"/>
        <v>#REF!</v>
      </c>
      <c r="J5812" t="str">
        <f>VLOOKUP($G5812,DefinitionArrays!$I$6:$J$12,2,FALSE)</f>
        <v>Workweek</v>
      </c>
    </row>
    <row r="5813" spans="1:10">
      <c r="A5813" s="159" t="str">
        <f t="shared" si="453"/>
        <v>$K$1:$K$92</v>
      </c>
      <c r="B5813" s="159" t="str">
        <f t="shared" si="454"/>
        <v>$L$1:$L$92</v>
      </c>
      <c r="C5813" s="159" t="str">
        <f t="shared" si="455"/>
        <v>October!$K$1:$K$92</v>
      </c>
      <c r="D5813" s="159" t="str">
        <f t="shared" si="456"/>
        <v>October!$L$1:$L$92</v>
      </c>
      <c r="E5813" t="s">
        <v>10</v>
      </c>
      <c r="F5813" t="s">
        <v>129</v>
      </c>
      <c r="G5813" t="s">
        <v>144</v>
      </c>
      <c r="H5813" t="s">
        <v>179</v>
      </c>
      <c r="I5813" t="e">
        <f t="shared" ca="1" si="457"/>
        <v>#REF!</v>
      </c>
      <c r="J5813" t="str">
        <f>VLOOKUP($G5813,DefinitionArrays!$I$6:$J$12,2,FALSE)</f>
        <v>Workweek</v>
      </c>
    </row>
    <row r="5814" spans="1:10">
      <c r="A5814" s="159" t="str">
        <f t="shared" si="453"/>
        <v>$K$1:$K$92</v>
      </c>
      <c r="B5814" s="159" t="str">
        <f t="shared" si="454"/>
        <v>$L$1:$L$92</v>
      </c>
      <c r="C5814" s="159" t="str">
        <f t="shared" si="455"/>
        <v>October!$K$1:$K$92</v>
      </c>
      <c r="D5814" s="159" t="str">
        <f t="shared" si="456"/>
        <v>October!$L$1:$L$92</v>
      </c>
      <c r="E5814" t="s">
        <v>10</v>
      </c>
      <c r="F5814" t="s">
        <v>129</v>
      </c>
      <c r="G5814" t="s">
        <v>144</v>
      </c>
      <c r="H5814" t="s">
        <v>180</v>
      </c>
      <c r="I5814" t="e">
        <f t="shared" ca="1" si="457"/>
        <v>#REF!</v>
      </c>
      <c r="J5814" t="str">
        <f>VLOOKUP($G5814,DefinitionArrays!$I$6:$J$12,2,FALSE)</f>
        <v>Workweek</v>
      </c>
    </row>
    <row r="5815" spans="1:10">
      <c r="A5815" s="159" t="str">
        <f t="shared" si="453"/>
        <v>$K$1:$K$92</v>
      </c>
      <c r="B5815" s="159" t="str">
        <f t="shared" si="454"/>
        <v>$L$1:$L$92</v>
      </c>
      <c r="C5815" s="159" t="str">
        <f t="shared" si="455"/>
        <v>October!$K$1:$K$92</v>
      </c>
      <c r="D5815" s="159" t="str">
        <f t="shared" si="456"/>
        <v>October!$L$1:$L$92</v>
      </c>
      <c r="E5815" t="s">
        <v>10</v>
      </c>
      <c r="F5815" t="s">
        <v>129</v>
      </c>
      <c r="G5815" t="s">
        <v>144</v>
      </c>
      <c r="H5815" t="s">
        <v>44</v>
      </c>
      <c r="I5815" t="e">
        <f t="shared" ca="1" si="457"/>
        <v>#REF!</v>
      </c>
      <c r="J5815" t="str">
        <f>VLOOKUP($G5815,DefinitionArrays!$I$6:$J$12,2,FALSE)</f>
        <v>Workweek</v>
      </c>
    </row>
    <row r="5816" spans="1:10">
      <c r="A5816" s="159" t="str">
        <f t="shared" si="453"/>
        <v>$N$1:$N$92</v>
      </c>
      <c r="B5816" s="159" t="str">
        <f t="shared" si="454"/>
        <v>$O$1:$O$92</v>
      </c>
      <c r="C5816" s="159" t="str">
        <f t="shared" si="455"/>
        <v>October!$N$1:$N$92</v>
      </c>
      <c r="D5816" s="159" t="str">
        <f t="shared" si="456"/>
        <v>October!$O$1:$O$92</v>
      </c>
      <c r="E5816" t="s">
        <v>10</v>
      </c>
      <c r="F5816" t="s">
        <v>129</v>
      </c>
      <c r="G5816" t="s">
        <v>145</v>
      </c>
      <c r="H5816" t="s">
        <v>159</v>
      </c>
      <c r="I5816" t="e">
        <f t="shared" ca="1" si="457"/>
        <v>#REF!</v>
      </c>
      <c r="J5816" t="str">
        <f>VLOOKUP($G5816,DefinitionArrays!$I$6:$J$12,2,FALSE)</f>
        <v>Weekend</v>
      </c>
    </row>
    <row r="5817" spans="1:10">
      <c r="A5817" s="159" t="str">
        <f t="shared" si="453"/>
        <v>$N$1:$N$92</v>
      </c>
      <c r="B5817" s="159" t="str">
        <f t="shared" si="454"/>
        <v>$O$1:$O$92</v>
      </c>
      <c r="C5817" s="159" t="str">
        <f t="shared" si="455"/>
        <v>October!$N$1:$N$92</v>
      </c>
      <c r="D5817" s="159" t="str">
        <f t="shared" si="456"/>
        <v>October!$O$1:$O$92</v>
      </c>
      <c r="E5817" t="s">
        <v>10</v>
      </c>
      <c r="F5817" t="s">
        <v>129</v>
      </c>
      <c r="G5817" t="s">
        <v>145</v>
      </c>
      <c r="H5817" t="s">
        <v>18</v>
      </c>
      <c r="I5817" t="e">
        <f t="shared" ca="1" si="457"/>
        <v>#REF!</v>
      </c>
      <c r="J5817" t="str">
        <f>VLOOKUP($G5817,DefinitionArrays!$I$6:$J$12,2,FALSE)</f>
        <v>Weekend</v>
      </c>
    </row>
    <row r="5818" spans="1:10">
      <c r="A5818" s="159" t="str">
        <f t="shared" si="453"/>
        <v>$N$1:$N$92</v>
      </c>
      <c r="B5818" s="159" t="str">
        <f t="shared" si="454"/>
        <v>$O$1:$O$92</v>
      </c>
      <c r="C5818" s="159" t="str">
        <f t="shared" si="455"/>
        <v>October!$N$1:$N$92</v>
      </c>
      <c r="D5818" s="159" t="str">
        <f t="shared" si="456"/>
        <v>October!$O$1:$O$92</v>
      </c>
      <c r="E5818" t="s">
        <v>10</v>
      </c>
      <c r="F5818" t="s">
        <v>129</v>
      </c>
      <c r="G5818" t="s">
        <v>145</v>
      </c>
      <c r="H5818" t="s">
        <v>153</v>
      </c>
      <c r="I5818" t="e">
        <f t="shared" ca="1" si="457"/>
        <v>#REF!</v>
      </c>
      <c r="J5818" t="str">
        <f>VLOOKUP($G5818,DefinitionArrays!$I$6:$J$12,2,FALSE)</f>
        <v>Weekend</v>
      </c>
    </row>
    <row r="5819" spans="1:10">
      <c r="A5819" s="159" t="str">
        <f t="shared" si="453"/>
        <v>$N$1:$N$92</v>
      </c>
      <c r="B5819" s="159" t="str">
        <f t="shared" si="454"/>
        <v>$O$1:$O$92</v>
      </c>
      <c r="C5819" s="159" t="str">
        <f t="shared" si="455"/>
        <v>October!$N$1:$N$92</v>
      </c>
      <c r="D5819" s="159" t="str">
        <f t="shared" si="456"/>
        <v>October!$O$1:$O$92</v>
      </c>
      <c r="E5819" t="s">
        <v>10</v>
      </c>
      <c r="F5819" t="s">
        <v>129</v>
      </c>
      <c r="G5819" t="s">
        <v>145</v>
      </c>
      <c r="H5819" t="s">
        <v>19</v>
      </c>
      <c r="I5819" t="e">
        <f t="shared" ca="1" si="457"/>
        <v>#REF!</v>
      </c>
      <c r="J5819" t="str">
        <f>VLOOKUP($G5819,DefinitionArrays!$I$6:$J$12,2,FALSE)</f>
        <v>Weekend</v>
      </c>
    </row>
    <row r="5820" spans="1:10">
      <c r="A5820" s="159" t="str">
        <f t="shared" si="453"/>
        <v>$N$1:$N$92</v>
      </c>
      <c r="B5820" s="159" t="str">
        <f t="shared" si="454"/>
        <v>$O$1:$O$92</v>
      </c>
      <c r="C5820" s="159" t="str">
        <f t="shared" si="455"/>
        <v>October!$N$1:$N$92</v>
      </c>
      <c r="D5820" s="159" t="str">
        <f t="shared" si="456"/>
        <v>October!$O$1:$O$92</v>
      </c>
      <c r="E5820" t="s">
        <v>10</v>
      </c>
      <c r="F5820" t="s">
        <v>129</v>
      </c>
      <c r="G5820" t="s">
        <v>145</v>
      </c>
      <c r="H5820" t="s">
        <v>20</v>
      </c>
      <c r="I5820" t="e">
        <f t="shared" ca="1" si="457"/>
        <v>#REF!</v>
      </c>
      <c r="J5820" t="str">
        <f>VLOOKUP($G5820,DefinitionArrays!$I$6:$J$12,2,FALSE)</f>
        <v>Weekend</v>
      </c>
    </row>
    <row r="5821" spans="1:10">
      <c r="A5821" s="159" t="str">
        <f t="shared" si="453"/>
        <v>$N$1:$N$92</v>
      </c>
      <c r="B5821" s="159" t="str">
        <f t="shared" si="454"/>
        <v>$O$1:$O$92</v>
      </c>
      <c r="C5821" s="159" t="str">
        <f t="shared" si="455"/>
        <v>October!$N$1:$N$92</v>
      </c>
      <c r="D5821" s="159" t="str">
        <f t="shared" si="456"/>
        <v>October!$O$1:$O$92</v>
      </c>
      <c r="E5821" t="s">
        <v>10</v>
      </c>
      <c r="F5821" t="s">
        <v>129</v>
      </c>
      <c r="G5821" t="s">
        <v>145</v>
      </c>
      <c r="H5821" t="s">
        <v>21</v>
      </c>
      <c r="I5821" t="e">
        <f t="shared" ca="1" si="457"/>
        <v>#REF!</v>
      </c>
      <c r="J5821" t="str">
        <f>VLOOKUP($G5821,DefinitionArrays!$I$6:$J$12,2,FALSE)</f>
        <v>Weekend</v>
      </c>
    </row>
    <row r="5822" spans="1:10">
      <c r="A5822" s="159" t="str">
        <f t="shared" si="453"/>
        <v>$N$1:$N$92</v>
      </c>
      <c r="B5822" s="159" t="str">
        <f t="shared" si="454"/>
        <v>$O$1:$O$92</v>
      </c>
      <c r="C5822" s="159" t="str">
        <f t="shared" si="455"/>
        <v>October!$N$1:$N$92</v>
      </c>
      <c r="D5822" s="159" t="str">
        <f t="shared" si="456"/>
        <v>October!$O$1:$O$92</v>
      </c>
      <c r="E5822" t="s">
        <v>10</v>
      </c>
      <c r="F5822" t="s">
        <v>129</v>
      </c>
      <c r="G5822" t="s">
        <v>145</v>
      </c>
      <c r="H5822" t="s">
        <v>22</v>
      </c>
      <c r="I5822" t="e">
        <f t="shared" ca="1" si="457"/>
        <v>#REF!</v>
      </c>
      <c r="J5822" t="str">
        <f>VLOOKUP($G5822,DefinitionArrays!$I$6:$J$12,2,FALSE)</f>
        <v>Weekend</v>
      </c>
    </row>
    <row r="5823" spans="1:10">
      <c r="A5823" s="159" t="str">
        <f t="shared" si="453"/>
        <v>$N$1:$N$92</v>
      </c>
      <c r="B5823" s="159" t="str">
        <f t="shared" si="454"/>
        <v>$O$1:$O$92</v>
      </c>
      <c r="C5823" s="159" t="str">
        <f t="shared" si="455"/>
        <v>October!$N$1:$N$92</v>
      </c>
      <c r="D5823" s="159" t="str">
        <f t="shared" si="456"/>
        <v>October!$O$1:$O$92</v>
      </c>
      <c r="E5823" t="s">
        <v>10</v>
      </c>
      <c r="F5823" t="s">
        <v>129</v>
      </c>
      <c r="G5823" t="s">
        <v>145</v>
      </c>
      <c r="H5823" t="s">
        <v>23</v>
      </c>
      <c r="I5823" t="e">
        <f t="shared" ca="1" si="457"/>
        <v>#REF!</v>
      </c>
      <c r="J5823" t="str">
        <f>VLOOKUP($G5823,DefinitionArrays!$I$6:$J$12,2,FALSE)</f>
        <v>Weekend</v>
      </c>
    </row>
    <row r="5824" spans="1:10">
      <c r="A5824" s="159" t="str">
        <f t="shared" si="453"/>
        <v>$N$1:$N$92</v>
      </c>
      <c r="B5824" s="159" t="str">
        <f t="shared" si="454"/>
        <v>$O$1:$O$92</v>
      </c>
      <c r="C5824" s="159" t="str">
        <f t="shared" si="455"/>
        <v>October!$N$1:$N$92</v>
      </c>
      <c r="D5824" s="159" t="str">
        <f t="shared" si="456"/>
        <v>October!$O$1:$O$92</v>
      </c>
      <c r="E5824" t="s">
        <v>10</v>
      </c>
      <c r="F5824" t="s">
        <v>129</v>
      </c>
      <c r="G5824" t="s">
        <v>145</v>
      </c>
      <c r="H5824" t="s">
        <v>24</v>
      </c>
      <c r="I5824" t="e">
        <f t="shared" ca="1" si="457"/>
        <v>#REF!</v>
      </c>
      <c r="J5824" t="str">
        <f>VLOOKUP($G5824,DefinitionArrays!$I$6:$J$12,2,FALSE)</f>
        <v>Weekend</v>
      </c>
    </row>
    <row r="5825" spans="1:10">
      <c r="A5825" s="159" t="str">
        <f t="shared" si="453"/>
        <v>$N$1:$N$92</v>
      </c>
      <c r="B5825" s="159" t="str">
        <f t="shared" si="454"/>
        <v>$O$1:$O$92</v>
      </c>
      <c r="C5825" s="159" t="str">
        <f t="shared" si="455"/>
        <v>October!$N$1:$N$92</v>
      </c>
      <c r="D5825" s="159" t="str">
        <f t="shared" si="456"/>
        <v>October!$O$1:$O$92</v>
      </c>
      <c r="E5825" t="s">
        <v>10</v>
      </c>
      <c r="F5825" t="s">
        <v>129</v>
      </c>
      <c r="G5825" t="s">
        <v>145</v>
      </c>
      <c r="H5825" t="s">
        <v>179</v>
      </c>
      <c r="I5825" t="e">
        <f t="shared" ca="1" si="457"/>
        <v>#REF!</v>
      </c>
      <c r="J5825" t="str">
        <f>VLOOKUP($G5825,DefinitionArrays!$I$6:$J$12,2,FALSE)</f>
        <v>Weekend</v>
      </c>
    </row>
    <row r="5826" spans="1:10">
      <c r="A5826" s="159" t="str">
        <f t="shared" ref="A5826:A5889" si="458">VLOOKUP($G5826,Fx_Code,2,FALSE)</f>
        <v>$N$1:$N$92</v>
      </c>
      <c r="B5826" s="159" t="str">
        <f t="shared" ref="B5826:B5889" si="459">VLOOKUP($G5826,Fx_Code,3,FALSE)</f>
        <v>$O$1:$O$92</v>
      </c>
      <c r="C5826" s="159" t="str">
        <f t="shared" ref="C5826:C5889" si="460">CONCATENATE($F5826,$K$1,A5826)</f>
        <v>October!$N$1:$N$92</v>
      </c>
      <c r="D5826" s="159" t="str">
        <f t="shared" ref="D5826:D5889" si="461">CONCATENATE($F5826,$K$1,B5826)</f>
        <v>October!$O$1:$O$92</v>
      </c>
      <c r="E5826" t="s">
        <v>10</v>
      </c>
      <c r="F5826" t="s">
        <v>129</v>
      </c>
      <c r="G5826" t="s">
        <v>145</v>
      </c>
      <c r="H5826" t="s">
        <v>180</v>
      </c>
      <c r="I5826" t="e">
        <f t="shared" ca="1" si="457"/>
        <v>#REF!</v>
      </c>
      <c r="J5826" t="str">
        <f>VLOOKUP($G5826,DefinitionArrays!$I$6:$J$12,2,FALSE)</f>
        <v>Weekend</v>
      </c>
    </row>
    <row r="5827" spans="1:10">
      <c r="A5827" s="159" t="str">
        <f t="shared" si="458"/>
        <v>$N$1:$N$92</v>
      </c>
      <c r="B5827" s="159" t="str">
        <f t="shared" si="459"/>
        <v>$O$1:$O$92</v>
      </c>
      <c r="C5827" s="159" t="str">
        <f t="shared" si="460"/>
        <v>October!$N$1:$N$92</v>
      </c>
      <c r="D5827" s="159" t="str">
        <f t="shared" si="461"/>
        <v>October!$O$1:$O$92</v>
      </c>
      <c r="E5827" t="s">
        <v>10</v>
      </c>
      <c r="F5827" t="s">
        <v>129</v>
      </c>
      <c r="G5827" t="s">
        <v>145</v>
      </c>
      <c r="H5827" t="s">
        <v>44</v>
      </c>
      <c r="I5827" t="e">
        <f t="shared" ca="1" si="457"/>
        <v>#REF!</v>
      </c>
      <c r="J5827" t="str">
        <f>VLOOKUP($G5827,DefinitionArrays!$I$6:$J$12,2,FALSE)</f>
        <v>Weekend</v>
      </c>
    </row>
    <row r="5828" spans="1:10">
      <c r="A5828" s="159" t="str">
        <f t="shared" si="458"/>
        <v>$Q$1:$Q$92</v>
      </c>
      <c r="B5828" s="159" t="str">
        <f t="shared" si="459"/>
        <v>$R$1:$R$92</v>
      </c>
      <c r="C5828" s="159" t="str">
        <f t="shared" si="460"/>
        <v>October!$Q$1:$Q$92</v>
      </c>
      <c r="D5828" s="159" t="str">
        <f t="shared" si="461"/>
        <v>October!$R$1:$R$92</v>
      </c>
      <c r="E5828" t="s">
        <v>10</v>
      </c>
      <c r="F5828" t="s">
        <v>129</v>
      </c>
      <c r="G5828" t="s">
        <v>146</v>
      </c>
      <c r="H5828" t="s">
        <v>159</v>
      </c>
      <c r="I5828" t="e">
        <f t="shared" ca="1" si="457"/>
        <v>#REF!</v>
      </c>
      <c r="J5828" t="str">
        <f>VLOOKUP($G5828,DefinitionArrays!$I$6:$J$12,2,FALSE)</f>
        <v>Weekend</v>
      </c>
    </row>
    <row r="5829" spans="1:10">
      <c r="A5829" s="159" t="str">
        <f t="shared" si="458"/>
        <v>$T$1:$T$92</v>
      </c>
      <c r="B5829" s="159" t="str">
        <f t="shared" si="459"/>
        <v>$U$1:$U$92</v>
      </c>
      <c r="C5829" s="159" t="str">
        <f t="shared" si="460"/>
        <v>October!$T$1:$T$92</v>
      </c>
      <c r="D5829" s="159" t="str">
        <f t="shared" si="461"/>
        <v>October!$U$1:$U$92</v>
      </c>
      <c r="E5829" t="s">
        <v>10</v>
      </c>
      <c r="F5829" t="s">
        <v>129</v>
      </c>
      <c r="G5829" t="s">
        <v>141</v>
      </c>
      <c r="H5829" t="s">
        <v>159</v>
      </c>
      <c r="I5829" t="e">
        <f t="shared" ca="1" si="457"/>
        <v>#REF!</v>
      </c>
      <c r="J5829" t="str">
        <f>VLOOKUP($G5829,DefinitionArrays!$I$6:$J$12,2,FALSE)</f>
        <v>Weekend</v>
      </c>
    </row>
    <row r="5830" spans="1:10">
      <c r="A5830" s="159" t="str">
        <f t="shared" si="458"/>
        <v>$B$1:$B$92</v>
      </c>
      <c r="B5830" s="159" t="str">
        <f t="shared" si="459"/>
        <v>$C$1:$C$92</v>
      </c>
      <c r="C5830" s="159" t="str">
        <f t="shared" si="460"/>
        <v>November!$B$1:$B$92</v>
      </c>
      <c r="D5830" s="159" t="str">
        <f t="shared" si="461"/>
        <v>November!$C$1:$C$92</v>
      </c>
      <c r="E5830" t="s">
        <v>10</v>
      </c>
      <c r="F5830" t="s">
        <v>130</v>
      </c>
      <c r="G5830" t="s">
        <v>13</v>
      </c>
      <c r="H5830" t="s">
        <v>159</v>
      </c>
      <c r="I5830" t="e">
        <f ca="1">COUNTIFS(INDIRECT($C5830),$E5830,INDIRECT($D5830),$H5830)</f>
        <v>#REF!</v>
      </c>
      <c r="J5830" t="str">
        <f>VLOOKUP($G5830,DefinitionArrays!$I$6:$J$12,2,FALSE)</f>
        <v>Workweek</v>
      </c>
    </row>
    <row r="5831" spans="1:10">
      <c r="A5831" s="159" t="str">
        <f t="shared" si="458"/>
        <v>$B$1:$B$92</v>
      </c>
      <c r="B5831" s="159" t="str">
        <f t="shared" si="459"/>
        <v>$C$1:$C$92</v>
      </c>
      <c r="C5831" s="159" t="str">
        <f t="shared" si="460"/>
        <v>November!$B$1:$B$92</v>
      </c>
      <c r="D5831" s="159" t="str">
        <f t="shared" si="461"/>
        <v>November!$C$1:$C$92</v>
      </c>
      <c r="E5831" t="s">
        <v>10</v>
      </c>
      <c r="F5831" t="s">
        <v>130</v>
      </c>
      <c r="G5831" t="s">
        <v>13</v>
      </c>
      <c r="H5831" t="s">
        <v>18</v>
      </c>
      <c r="I5831" t="e">
        <f t="shared" ref="I5831:I5891" ca="1" si="462">COUNTIFS(INDIRECT($C5831),$E5831,INDIRECT($D5831),$H5831)</f>
        <v>#REF!</v>
      </c>
      <c r="J5831" t="str">
        <f>VLOOKUP($G5831,DefinitionArrays!$I$6:$J$12,2,FALSE)</f>
        <v>Workweek</v>
      </c>
    </row>
    <row r="5832" spans="1:10">
      <c r="A5832" s="159" t="str">
        <f t="shared" si="458"/>
        <v>$B$1:$B$92</v>
      </c>
      <c r="B5832" s="159" t="str">
        <f t="shared" si="459"/>
        <v>$C$1:$C$92</v>
      </c>
      <c r="C5832" s="159" t="str">
        <f t="shared" si="460"/>
        <v>November!$B$1:$B$92</v>
      </c>
      <c r="D5832" s="159" t="str">
        <f t="shared" si="461"/>
        <v>November!$C$1:$C$92</v>
      </c>
      <c r="E5832" t="s">
        <v>10</v>
      </c>
      <c r="F5832" t="s">
        <v>130</v>
      </c>
      <c r="G5832" t="s">
        <v>13</v>
      </c>
      <c r="H5832" t="s">
        <v>153</v>
      </c>
      <c r="I5832" t="e">
        <f t="shared" ca="1" si="462"/>
        <v>#REF!</v>
      </c>
      <c r="J5832" t="str">
        <f>VLOOKUP($G5832,DefinitionArrays!$I$6:$J$12,2,FALSE)</f>
        <v>Workweek</v>
      </c>
    </row>
    <row r="5833" spans="1:10">
      <c r="A5833" s="159" t="str">
        <f t="shared" si="458"/>
        <v>$B$1:$B$92</v>
      </c>
      <c r="B5833" s="159" t="str">
        <f t="shared" si="459"/>
        <v>$C$1:$C$92</v>
      </c>
      <c r="C5833" s="159" t="str">
        <f t="shared" si="460"/>
        <v>November!$B$1:$B$92</v>
      </c>
      <c r="D5833" s="159" t="str">
        <f t="shared" si="461"/>
        <v>November!$C$1:$C$92</v>
      </c>
      <c r="E5833" t="s">
        <v>10</v>
      </c>
      <c r="F5833" t="s">
        <v>130</v>
      </c>
      <c r="G5833" t="s">
        <v>13</v>
      </c>
      <c r="H5833" t="s">
        <v>19</v>
      </c>
      <c r="I5833" t="e">
        <f t="shared" ca="1" si="462"/>
        <v>#REF!</v>
      </c>
      <c r="J5833" t="str">
        <f>VLOOKUP($G5833,DefinitionArrays!$I$6:$J$12,2,FALSE)</f>
        <v>Workweek</v>
      </c>
    </row>
    <row r="5834" spans="1:10">
      <c r="A5834" s="159" t="str">
        <f t="shared" si="458"/>
        <v>$B$1:$B$92</v>
      </c>
      <c r="B5834" s="159" t="str">
        <f t="shared" si="459"/>
        <v>$C$1:$C$92</v>
      </c>
      <c r="C5834" s="159" t="str">
        <f t="shared" si="460"/>
        <v>November!$B$1:$B$92</v>
      </c>
      <c r="D5834" s="159" t="str">
        <f t="shared" si="461"/>
        <v>November!$C$1:$C$92</v>
      </c>
      <c r="E5834" t="s">
        <v>10</v>
      </c>
      <c r="F5834" t="s">
        <v>130</v>
      </c>
      <c r="G5834" t="s">
        <v>13</v>
      </c>
      <c r="H5834" t="s">
        <v>20</v>
      </c>
      <c r="I5834" t="e">
        <f t="shared" ca="1" si="462"/>
        <v>#REF!</v>
      </c>
      <c r="J5834" t="str">
        <f>VLOOKUP($G5834,DefinitionArrays!$I$6:$J$12,2,FALSE)</f>
        <v>Workweek</v>
      </c>
    </row>
    <row r="5835" spans="1:10">
      <c r="A5835" s="159" t="str">
        <f t="shared" si="458"/>
        <v>$B$1:$B$92</v>
      </c>
      <c r="B5835" s="159" t="str">
        <f t="shared" si="459"/>
        <v>$C$1:$C$92</v>
      </c>
      <c r="C5835" s="159" t="str">
        <f t="shared" si="460"/>
        <v>November!$B$1:$B$92</v>
      </c>
      <c r="D5835" s="159" t="str">
        <f t="shared" si="461"/>
        <v>November!$C$1:$C$92</v>
      </c>
      <c r="E5835" t="s">
        <v>10</v>
      </c>
      <c r="F5835" t="s">
        <v>130</v>
      </c>
      <c r="G5835" t="s">
        <v>13</v>
      </c>
      <c r="H5835" t="s">
        <v>21</v>
      </c>
      <c r="I5835" t="e">
        <f t="shared" ca="1" si="462"/>
        <v>#REF!</v>
      </c>
      <c r="J5835" t="str">
        <f>VLOOKUP($G5835,DefinitionArrays!$I$6:$J$12,2,FALSE)</f>
        <v>Workweek</v>
      </c>
    </row>
    <row r="5836" spans="1:10">
      <c r="A5836" s="159" t="str">
        <f t="shared" si="458"/>
        <v>$B$1:$B$92</v>
      </c>
      <c r="B5836" s="159" t="str">
        <f t="shared" si="459"/>
        <v>$C$1:$C$92</v>
      </c>
      <c r="C5836" s="159" t="str">
        <f t="shared" si="460"/>
        <v>November!$B$1:$B$92</v>
      </c>
      <c r="D5836" s="159" t="str">
        <f t="shared" si="461"/>
        <v>November!$C$1:$C$92</v>
      </c>
      <c r="E5836" t="s">
        <v>10</v>
      </c>
      <c r="F5836" t="s">
        <v>130</v>
      </c>
      <c r="G5836" t="s">
        <v>13</v>
      </c>
      <c r="H5836" t="s">
        <v>22</v>
      </c>
      <c r="I5836" t="e">
        <f t="shared" ca="1" si="462"/>
        <v>#REF!</v>
      </c>
      <c r="J5836" t="str">
        <f>VLOOKUP($G5836,DefinitionArrays!$I$6:$J$12,2,FALSE)</f>
        <v>Workweek</v>
      </c>
    </row>
    <row r="5837" spans="1:10">
      <c r="A5837" s="159" t="str">
        <f t="shared" si="458"/>
        <v>$B$1:$B$92</v>
      </c>
      <c r="B5837" s="159" t="str">
        <f t="shared" si="459"/>
        <v>$C$1:$C$92</v>
      </c>
      <c r="C5837" s="159" t="str">
        <f t="shared" si="460"/>
        <v>November!$B$1:$B$92</v>
      </c>
      <c r="D5837" s="159" t="str">
        <f t="shared" si="461"/>
        <v>November!$C$1:$C$92</v>
      </c>
      <c r="E5837" t="s">
        <v>10</v>
      </c>
      <c r="F5837" t="s">
        <v>130</v>
      </c>
      <c r="G5837" t="s">
        <v>13</v>
      </c>
      <c r="H5837" t="s">
        <v>23</v>
      </c>
      <c r="I5837" t="e">
        <f t="shared" ca="1" si="462"/>
        <v>#REF!</v>
      </c>
      <c r="J5837" t="str">
        <f>VLOOKUP($G5837,DefinitionArrays!$I$6:$J$12,2,FALSE)</f>
        <v>Workweek</v>
      </c>
    </row>
    <row r="5838" spans="1:10">
      <c r="A5838" s="159" t="str">
        <f t="shared" si="458"/>
        <v>$B$1:$B$92</v>
      </c>
      <c r="B5838" s="159" t="str">
        <f t="shared" si="459"/>
        <v>$C$1:$C$92</v>
      </c>
      <c r="C5838" s="159" t="str">
        <f t="shared" si="460"/>
        <v>November!$B$1:$B$92</v>
      </c>
      <c r="D5838" s="159" t="str">
        <f t="shared" si="461"/>
        <v>November!$C$1:$C$92</v>
      </c>
      <c r="E5838" t="s">
        <v>10</v>
      </c>
      <c r="F5838" t="s">
        <v>130</v>
      </c>
      <c r="G5838" t="s">
        <v>13</v>
      </c>
      <c r="H5838" t="s">
        <v>24</v>
      </c>
      <c r="I5838" t="e">
        <f t="shared" ca="1" si="462"/>
        <v>#REF!</v>
      </c>
      <c r="J5838" t="str">
        <f>VLOOKUP($G5838,DefinitionArrays!$I$6:$J$12,2,FALSE)</f>
        <v>Workweek</v>
      </c>
    </row>
    <row r="5839" spans="1:10">
      <c r="A5839" s="159" t="str">
        <f t="shared" si="458"/>
        <v>$B$1:$B$92</v>
      </c>
      <c r="B5839" s="159" t="str">
        <f t="shared" si="459"/>
        <v>$C$1:$C$92</v>
      </c>
      <c r="C5839" s="159" t="str">
        <f t="shared" si="460"/>
        <v>November!$B$1:$B$92</v>
      </c>
      <c r="D5839" s="159" t="str">
        <f t="shared" si="461"/>
        <v>November!$C$1:$C$92</v>
      </c>
      <c r="E5839" t="s">
        <v>10</v>
      </c>
      <c r="F5839" t="s">
        <v>130</v>
      </c>
      <c r="G5839" t="s">
        <v>13</v>
      </c>
      <c r="H5839" t="s">
        <v>179</v>
      </c>
      <c r="I5839" t="e">
        <f t="shared" ca="1" si="462"/>
        <v>#REF!</v>
      </c>
      <c r="J5839" t="str">
        <f>VLOOKUP($G5839,DefinitionArrays!$I$6:$J$12,2,FALSE)</f>
        <v>Workweek</v>
      </c>
    </row>
    <row r="5840" spans="1:10">
      <c r="A5840" s="159" t="str">
        <f t="shared" si="458"/>
        <v>$B$1:$B$92</v>
      </c>
      <c r="B5840" s="159" t="str">
        <f t="shared" si="459"/>
        <v>$C$1:$C$92</v>
      </c>
      <c r="C5840" s="159" t="str">
        <f t="shared" si="460"/>
        <v>November!$B$1:$B$92</v>
      </c>
      <c r="D5840" s="159" t="str">
        <f t="shared" si="461"/>
        <v>November!$C$1:$C$92</v>
      </c>
      <c r="E5840" t="s">
        <v>10</v>
      </c>
      <c r="F5840" t="s">
        <v>130</v>
      </c>
      <c r="G5840" t="s">
        <v>13</v>
      </c>
      <c r="H5840" t="s">
        <v>180</v>
      </c>
      <c r="I5840" t="e">
        <f t="shared" ca="1" si="462"/>
        <v>#REF!</v>
      </c>
      <c r="J5840" t="str">
        <f>VLOOKUP($G5840,DefinitionArrays!$I$6:$J$12,2,FALSE)</f>
        <v>Workweek</v>
      </c>
    </row>
    <row r="5841" spans="1:10">
      <c r="A5841" s="159" t="str">
        <f t="shared" si="458"/>
        <v>$B$1:$B$92</v>
      </c>
      <c r="B5841" s="159" t="str">
        <f t="shared" si="459"/>
        <v>$C$1:$C$92</v>
      </c>
      <c r="C5841" s="159" t="str">
        <f t="shared" si="460"/>
        <v>November!$B$1:$B$92</v>
      </c>
      <c r="D5841" s="159" t="str">
        <f t="shared" si="461"/>
        <v>November!$C$1:$C$92</v>
      </c>
      <c r="E5841" t="s">
        <v>10</v>
      </c>
      <c r="F5841" t="s">
        <v>130</v>
      </c>
      <c r="G5841" t="s">
        <v>13</v>
      </c>
      <c r="H5841" t="s">
        <v>44</v>
      </c>
      <c r="I5841" t="e">
        <f t="shared" ca="1" si="462"/>
        <v>#REF!</v>
      </c>
      <c r="J5841" t="str">
        <f>VLOOKUP($G5841,DefinitionArrays!$I$6:$J$12,2,FALSE)</f>
        <v>Workweek</v>
      </c>
    </row>
    <row r="5842" spans="1:10">
      <c r="A5842" s="159" t="str">
        <f t="shared" si="458"/>
        <v>$E$1:$E$92</v>
      </c>
      <c r="B5842" s="159" t="str">
        <f t="shared" si="459"/>
        <v>$F$1:$F$92</v>
      </c>
      <c r="C5842" s="159" t="str">
        <f t="shared" si="460"/>
        <v>November!$E$1:$E$92</v>
      </c>
      <c r="D5842" s="159" t="str">
        <f t="shared" si="461"/>
        <v>November!$F$1:$F$92</v>
      </c>
      <c r="E5842" t="s">
        <v>10</v>
      </c>
      <c r="F5842" t="s">
        <v>130</v>
      </c>
      <c r="G5842" t="s">
        <v>142</v>
      </c>
      <c r="H5842" t="s">
        <v>159</v>
      </c>
      <c r="I5842" t="e">
        <f t="shared" ca="1" si="462"/>
        <v>#REF!</v>
      </c>
      <c r="J5842" t="str">
        <f>VLOOKUP($G5842,DefinitionArrays!$I$6:$J$12,2,FALSE)</f>
        <v>Workweek</v>
      </c>
    </row>
    <row r="5843" spans="1:10">
      <c r="A5843" s="159" t="str">
        <f t="shared" si="458"/>
        <v>$E$1:$E$92</v>
      </c>
      <c r="B5843" s="159" t="str">
        <f t="shared" si="459"/>
        <v>$F$1:$F$92</v>
      </c>
      <c r="C5843" s="159" t="str">
        <f t="shared" si="460"/>
        <v>November!$E$1:$E$92</v>
      </c>
      <c r="D5843" s="159" t="str">
        <f t="shared" si="461"/>
        <v>November!$F$1:$F$92</v>
      </c>
      <c r="E5843" t="s">
        <v>10</v>
      </c>
      <c r="F5843" t="s">
        <v>130</v>
      </c>
      <c r="G5843" t="s">
        <v>142</v>
      </c>
      <c r="H5843" t="s">
        <v>18</v>
      </c>
      <c r="I5843" t="e">
        <f t="shared" ca="1" si="462"/>
        <v>#REF!</v>
      </c>
      <c r="J5843" t="str">
        <f>VLOOKUP($G5843,DefinitionArrays!$I$6:$J$12,2,FALSE)</f>
        <v>Workweek</v>
      </c>
    </row>
    <row r="5844" spans="1:10">
      <c r="A5844" s="159" t="str">
        <f t="shared" si="458"/>
        <v>$E$1:$E$92</v>
      </c>
      <c r="B5844" s="159" t="str">
        <f t="shared" si="459"/>
        <v>$F$1:$F$92</v>
      </c>
      <c r="C5844" s="159" t="str">
        <f t="shared" si="460"/>
        <v>November!$E$1:$E$92</v>
      </c>
      <c r="D5844" s="159" t="str">
        <f t="shared" si="461"/>
        <v>November!$F$1:$F$92</v>
      </c>
      <c r="E5844" t="s">
        <v>10</v>
      </c>
      <c r="F5844" t="s">
        <v>130</v>
      </c>
      <c r="G5844" t="s">
        <v>142</v>
      </c>
      <c r="H5844" t="s">
        <v>153</v>
      </c>
      <c r="I5844" t="e">
        <f t="shared" ca="1" si="462"/>
        <v>#REF!</v>
      </c>
      <c r="J5844" t="str">
        <f>VLOOKUP($G5844,DefinitionArrays!$I$6:$J$12,2,FALSE)</f>
        <v>Workweek</v>
      </c>
    </row>
    <row r="5845" spans="1:10">
      <c r="A5845" s="159" t="str">
        <f t="shared" si="458"/>
        <v>$E$1:$E$92</v>
      </c>
      <c r="B5845" s="159" t="str">
        <f t="shared" si="459"/>
        <v>$F$1:$F$92</v>
      </c>
      <c r="C5845" s="159" t="str">
        <f t="shared" si="460"/>
        <v>November!$E$1:$E$92</v>
      </c>
      <c r="D5845" s="159" t="str">
        <f t="shared" si="461"/>
        <v>November!$F$1:$F$92</v>
      </c>
      <c r="E5845" t="s">
        <v>10</v>
      </c>
      <c r="F5845" t="s">
        <v>130</v>
      </c>
      <c r="G5845" t="s">
        <v>142</v>
      </c>
      <c r="H5845" t="s">
        <v>19</v>
      </c>
      <c r="I5845" t="e">
        <f t="shared" ca="1" si="462"/>
        <v>#REF!</v>
      </c>
      <c r="J5845" t="str">
        <f>VLOOKUP($G5845,DefinitionArrays!$I$6:$J$12,2,FALSE)</f>
        <v>Workweek</v>
      </c>
    </row>
    <row r="5846" spans="1:10">
      <c r="A5846" s="159" t="str">
        <f t="shared" si="458"/>
        <v>$E$1:$E$92</v>
      </c>
      <c r="B5846" s="159" t="str">
        <f t="shared" si="459"/>
        <v>$F$1:$F$92</v>
      </c>
      <c r="C5846" s="159" t="str">
        <f t="shared" si="460"/>
        <v>November!$E$1:$E$92</v>
      </c>
      <c r="D5846" s="159" t="str">
        <f t="shared" si="461"/>
        <v>November!$F$1:$F$92</v>
      </c>
      <c r="E5846" t="s">
        <v>10</v>
      </c>
      <c r="F5846" t="s">
        <v>130</v>
      </c>
      <c r="G5846" t="s">
        <v>142</v>
      </c>
      <c r="H5846" t="s">
        <v>20</v>
      </c>
      <c r="I5846" t="e">
        <f t="shared" ca="1" si="462"/>
        <v>#REF!</v>
      </c>
      <c r="J5846" t="str">
        <f>VLOOKUP($G5846,DefinitionArrays!$I$6:$J$12,2,FALSE)</f>
        <v>Workweek</v>
      </c>
    </row>
    <row r="5847" spans="1:10">
      <c r="A5847" s="159" t="str">
        <f t="shared" si="458"/>
        <v>$E$1:$E$92</v>
      </c>
      <c r="B5847" s="159" t="str">
        <f t="shared" si="459"/>
        <v>$F$1:$F$92</v>
      </c>
      <c r="C5847" s="159" t="str">
        <f t="shared" si="460"/>
        <v>November!$E$1:$E$92</v>
      </c>
      <c r="D5847" s="159" t="str">
        <f t="shared" si="461"/>
        <v>November!$F$1:$F$92</v>
      </c>
      <c r="E5847" t="s">
        <v>10</v>
      </c>
      <c r="F5847" t="s">
        <v>130</v>
      </c>
      <c r="G5847" t="s">
        <v>142</v>
      </c>
      <c r="H5847" t="s">
        <v>21</v>
      </c>
      <c r="I5847" t="e">
        <f t="shared" ca="1" si="462"/>
        <v>#REF!</v>
      </c>
      <c r="J5847" t="str">
        <f>VLOOKUP($G5847,DefinitionArrays!$I$6:$J$12,2,FALSE)</f>
        <v>Workweek</v>
      </c>
    </row>
    <row r="5848" spans="1:10">
      <c r="A5848" s="159" t="str">
        <f t="shared" si="458"/>
        <v>$E$1:$E$92</v>
      </c>
      <c r="B5848" s="159" t="str">
        <f t="shared" si="459"/>
        <v>$F$1:$F$92</v>
      </c>
      <c r="C5848" s="159" t="str">
        <f t="shared" si="460"/>
        <v>November!$E$1:$E$92</v>
      </c>
      <c r="D5848" s="159" t="str">
        <f t="shared" si="461"/>
        <v>November!$F$1:$F$92</v>
      </c>
      <c r="E5848" t="s">
        <v>10</v>
      </c>
      <c r="F5848" t="s">
        <v>130</v>
      </c>
      <c r="G5848" t="s">
        <v>142</v>
      </c>
      <c r="H5848" t="s">
        <v>22</v>
      </c>
      <c r="I5848" t="e">
        <f t="shared" ca="1" si="462"/>
        <v>#REF!</v>
      </c>
      <c r="J5848" t="str">
        <f>VLOOKUP($G5848,DefinitionArrays!$I$6:$J$12,2,FALSE)</f>
        <v>Workweek</v>
      </c>
    </row>
    <row r="5849" spans="1:10">
      <c r="A5849" s="159" t="str">
        <f t="shared" si="458"/>
        <v>$E$1:$E$92</v>
      </c>
      <c r="B5849" s="159" t="str">
        <f t="shared" si="459"/>
        <v>$F$1:$F$92</v>
      </c>
      <c r="C5849" s="159" t="str">
        <f t="shared" si="460"/>
        <v>November!$E$1:$E$92</v>
      </c>
      <c r="D5849" s="159" t="str">
        <f t="shared" si="461"/>
        <v>November!$F$1:$F$92</v>
      </c>
      <c r="E5849" t="s">
        <v>10</v>
      </c>
      <c r="F5849" t="s">
        <v>130</v>
      </c>
      <c r="G5849" t="s">
        <v>142</v>
      </c>
      <c r="H5849" t="s">
        <v>23</v>
      </c>
      <c r="I5849" t="e">
        <f t="shared" ca="1" si="462"/>
        <v>#REF!</v>
      </c>
      <c r="J5849" t="str">
        <f>VLOOKUP($G5849,DefinitionArrays!$I$6:$J$12,2,FALSE)</f>
        <v>Workweek</v>
      </c>
    </row>
    <row r="5850" spans="1:10">
      <c r="A5850" s="159" t="str">
        <f t="shared" si="458"/>
        <v>$E$1:$E$92</v>
      </c>
      <c r="B5850" s="159" t="str">
        <f t="shared" si="459"/>
        <v>$F$1:$F$92</v>
      </c>
      <c r="C5850" s="159" t="str">
        <f t="shared" si="460"/>
        <v>November!$E$1:$E$92</v>
      </c>
      <c r="D5850" s="159" t="str">
        <f t="shared" si="461"/>
        <v>November!$F$1:$F$92</v>
      </c>
      <c r="E5850" t="s">
        <v>10</v>
      </c>
      <c r="F5850" t="s">
        <v>130</v>
      </c>
      <c r="G5850" t="s">
        <v>142</v>
      </c>
      <c r="H5850" t="s">
        <v>24</v>
      </c>
      <c r="I5850" t="e">
        <f t="shared" ca="1" si="462"/>
        <v>#REF!</v>
      </c>
      <c r="J5850" t="str">
        <f>VLOOKUP($G5850,DefinitionArrays!$I$6:$J$12,2,FALSE)</f>
        <v>Workweek</v>
      </c>
    </row>
    <row r="5851" spans="1:10">
      <c r="A5851" s="159" t="str">
        <f t="shared" si="458"/>
        <v>$E$1:$E$92</v>
      </c>
      <c r="B5851" s="159" t="str">
        <f t="shared" si="459"/>
        <v>$F$1:$F$92</v>
      </c>
      <c r="C5851" s="159" t="str">
        <f t="shared" si="460"/>
        <v>November!$E$1:$E$92</v>
      </c>
      <c r="D5851" s="159" t="str">
        <f t="shared" si="461"/>
        <v>November!$F$1:$F$92</v>
      </c>
      <c r="E5851" t="s">
        <v>10</v>
      </c>
      <c r="F5851" t="s">
        <v>130</v>
      </c>
      <c r="G5851" t="s">
        <v>142</v>
      </c>
      <c r="H5851" t="s">
        <v>179</v>
      </c>
      <c r="I5851" t="e">
        <f t="shared" ca="1" si="462"/>
        <v>#REF!</v>
      </c>
      <c r="J5851" t="str">
        <f>VLOOKUP($G5851,DefinitionArrays!$I$6:$J$12,2,FALSE)</f>
        <v>Workweek</v>
      </c>
    </row>
    <row r="5852" spans="1:10">
      <c r="A5852" s="159" t="str">
        <f t="shared" si="458"/>
        <v>$E$1:$E$92</v>
      </c>
      <c r="B5852" s="159" t="str">
        <f t="shared" si="459"/>
        <v>$F$1:$F$92</v>
      </c>
      <c r="C5852" s="159" t="str">
        <f t="shared" si="460"/>
        <v>November!$E$1:$E$92</v>
      </c>
      <c r="D5852" s="159" t="str">
        <f t="shared" si="461"/>
        <v>November!$F$1:$F$92</v>
      </c>
      <c r="E5852" t="s">
        <v>10</v>
      </c>
      <c r="F5852" t="s">
        <v>130</v>
      </c>
      <c r="G5852" t="s">
        <v>142</v>
      </c>
      <c r="H5852" t="s">
        <v>180</v>
      </c>
      <c r="I5852" t="e">
        <f t="shared" ca="1" si="462"/>
        <v>#REF!</v>
      </c>
      <c r="J5852" t="str">
        <f>VLOOKUP($G5852,DefinitionArrays!$I$6:$J$12,2,FALSE)</f>
        <v>Workweek</v>
      </c>
    </row>
    <row r="5853" spans="1:10">
      <c r="A5853" s="159" t="str">
        <f t="shared" si="458"/>
        <v>$E$1:$E$92</v>
      </c>
      <c r="B5853" s="159" t="str">
        <f t="shared" si="459"/>
        <v>$F$1:$F$92</v>
      </c>
      <c r="C5853" s="159" t="str">
        <f t="shared" si="460"/>
        <v>November!$E$1:$E$92</v>
      </c>
      <c r="D5853" s="159" t="str">
        <f t="shared" si="461"/>
        <v>November!$F$1:$F$92</v>
      </c>
      <c r="E5853" t="s">
        <v>10</v>
      </c>
      <c r="F5853" t="s">
        <v>130</v>
      </c>
      <c r="G5853" t="s">
        <v>142</v>
      </c>
      <c r="H5853" t="s">
        <v>44</v>
      </c>
      <c r="I5853" t="e">
        <f t="shared" ca="1" si="462"/>
        <v>#REF!</v>
      </c>
      <c r="J5853" t="str">
        <f>VLOOKUP($G5853,DefinitionArrays!$I$6:$J$12,2,FALSE)</f>
        <v>Workweek</v>
      </c>
    </row>
    <row r="5854" spans="1:10">
      <c r="A5854" s="159" t="str">
        <f t="shared" si="458"/>
        <v>$H$1:$H$92</v>
      </c>
      <c r="B5854" s="159" t="str">
        <f t="shared" si="459"/>
        <v>$I$1:$I$92</v>
      </c>
      <c r="C5854" s="159" t="str">
        <f t="shared" si="460"/>
        <v>November!$H$1:$H$92</v>
      </c>
      <c r="D5854" s="159" t="str">
        <f t="shared" si="461"/>
        <v>November!$I$1:$I$92</v>
      </c>
      <c r="E5854" t="s">
        <v>10</v>
      </c>
      <c r="F5854" t="s">
        <v>130</v>
      </c>
      <c r="G5854" t="s">
        <v>143</v>
      </c>
      <c r="H5854" t="s">
        <v>159</v>
      </c>
      <c r="I5854" t="e">
        <f t="shared" ca="1" si="462"/>
        <v>#REF!</v>
      </c>
      <c r="J5854" t="str">
        <f>VLOOKUP($G5854,DefinitionArrays!$I$6:$J$12,2,FALSE)</f>
        <v>Workweek</v>
      </c>
    </row>
    <row r="5855" spans="1:10">
      <c r="A5855" s="159" t="str">
        <f t="shared" si="458"/>
        <v>$H$1:$H$92</v>
      </c>
      <c r="B5855" s="159" t="str">
        <f t="shared" si="459"/>
        <v>$I$1:$I$92</v>
      </c>
      <c r="C5855" s="159" t="str">
        <f t="shared" si="460"/>
        <v>November!$H$1:$H$92</v>
      </c>
      <c r="D5855" s="159" t="str">
        <f t="shared" si="461"/>
        <v>November!$I$1:$I$92</v>
      </c>
      <c r="E5855" t="s">
        <v>10</v>
      </c>
      <c r="F5855" t="s">
        <v>130</v>
      </c>
      <c r="G5855" t="s">
        <v>143</v>
      </c>
      <c r="H5855" t="s">
        <v>18</v>
      </c>
      <c r="I5855" t="e">
        <f t="shared" ca="1" si="462"/>
        <v>#REF!</v>
      </c>
      <c r="J5855" t="str">
        <f>VLOOKUP($G5855,DefinitionArrays!$I$6:$J$12,2,FALSE)</f>
        <v>Workweek</v>
      </c>
    </row>
    <row r="5856" spans="1:10">
      <c r="A5856" s="159" t="str">
        <f t="shared" si="458"/>
        <v>$H$1:$H$92</v>
      </c>
      <c r="B5856" s="159" t="str">
        <f t="shared" si="459"/>
        <v>$I$1:$I$92</v>
      </c>
      <c r="C5856" s="159" t="str">
        <f t="shared" si="460"/>
        <v>November!$H$1:$H$92</v>
      </c>
      <c r="D5856" s="159" t="str">
        <f t="shared" si="461"/>
        <v>November!$I$1:$I$92</v>
      </c>
      <c r="E5856" t="s">
        <v>10</v>
      </c>
      <c r="F5856" t="s">
        <v>130</v>
      </c>
      <c r="G5856" t="s">
        <v>143</v>
      </c>
      <c r="H5856" t="s">
        <v>153</v>
      </c>
      <c r="I5856" t="e">
        <f t="shared" ca="1" si="462"/>
        <v>#REF!</v>
      </c>
      <c r="J5856" t="str">
        <f>VLOOKUP($G5856,DefinitionArrays!$I$6:$J$12,2,FALSE)</f>
        <v>Workweek</v>
      </c>
    </row>
    <row r="5857" spans="1:10">
      <c r="A5857" s="159" t="str">
        <f t="shared" si="458"/>
        <v>$H$1:$H$92</v>
      </c>
      <c r="B5857" s="159" t="str">
        <f t="shared" si="459"/>
        <v>$I$1:$I$92</v>
      </c>
      <c r="C5857" s="159" t="str">
        <f t="shared" si="460"/>
        <v>November!$H$1:$H$92</v>
      </c>
      <c r="D5857" s="159" t="str">
        <f t="shared" si="461"/>
        <v>November!$I$1:$I$92</v>
      </c>
      <c r="E5857" t="s">
        <v>10</v>
      </c>
      <c r="F5857" t="s">
        <v>130</v>
      </c>
      <c r="G5857" t="s">
        <v>143</v>
      </c>
      <c r="H5857" t="s">
        <v>19</v>
      </c>
      <c r="I5857" t="e">
        <f t="shared" ca="1" si="462"/>
        <v>#REF!</v>
      </c>
      <c r="J5857" t="str">
        <f>VLOOKUP($G5857,DefinitionArrays!$I$6:$J$12,2,FALSE)</f>
        <v>Workweek</v>
      </c>
    </row>
    <row r="5858" spans="1:10">
      <c r="A5858" s="159" t="str">
        <f t="shared" si="458"/>
        <v>$H$1:$H$92</v>
      </c>
      <c r="B5858" s="159" t="str">
        <f t="shared" si="459"/>
        <v>$I$1:$I$92</v>
      </c>
      <c r="C5858" s="159" t="str">
        <f t="shared" si="460"/>
        <v>November!$H$1:$H$92</v>
      </c>
      <c r="D5858" s="159" t="str">
        <f t="shared" si="461"/>
        <v>November!$I$1:$I$92</v>
      </c>
      <c r="E5858" t="s">
        <v>10</v>
      </c>
      <c r="F5858" t="s">
        <v>130</v>
      </c>
      <c r="G5858" t="s">
        <v>143</v>
      </c>
      <c r="H5858" t="s">
        <v>20</v>
      </c>
      <c r="I5858" t="e">
        <f t="shared" ca="1" si="462"/>
        <v>#REF!</v>
      </c>
      <c r="J5858" t="str">
        <f>VLOOKUP($G5858,DefinitionArrays!$I$6:$J$12,2,FALSE)</f>
        <v>Workweek</v>
      </c>
    </row>
    <row r="5859" spans="1:10">
      <c r="A5859" s="159" t="str">
        <f t="shared" si="458"/>
        <v>$H$1:$H$92</v>
      </c>
      <c r="B5859" s="159" t="str">
        <f t="shared" si="459"/>
        <v>$I$1:$I$92</v>
      </c>
      <c r="C5859" s="159" t="str">
        <f t="shared" si="460"/>
        <v>November!$H$1:$H$92</v>
      </c>
      <c r="D5859" s="159" t="str">
        <f t="shared" si="461"/>
        <v>November!$I$1:$I$92</v>
      </c>
      <c r="E5859" t="s">
        <v>10</v>
      </c>
      <c r="F5859" t="s">
        <v>130</v>
      </c>
      <c r="G5859" t="s">
        <v>143</v>
      </c>
      <c r="H5859" t="s">
        <v>21</v>
      </c>
      <c r="I5859" t="e">
        <f t="shared" ca="1" si="462"/>
        <v>#REF!</v>
      </c>
      <c r="J5859" t="str">
        <f>VLOOKUP($G5859,DefinitionArrays!$I$6:$J$12,2,FALSE)</f>
        <v>Workweek</v>
      </c>
    </row>
    <row r="5860" spans="1:10">
      <c r="A5860" s="159" t="str">
        <f t="shared" si="458"/>
        <v>$H$1:$H$92</v>
      </c>
      <c r="B5860" s="159" t="str">
        <f t="shared" si="459"/>
        <v>$I$1:$I$92</v>
      </c>
      <c r="C5860" s="159" t="str">
        <f t="shared" si="460"/>
        <v>November!$H$1:$H$92</v>
      </c>
      <c r="D5860" s="159" t="str">
        <f t="shared" si="461"/>
        <v>November!$I$1:$I$92</v>
      </c>
      <c r="E5860" t="s">
        <v>10</v>
      </c>
      <c r="F5860" t="s">
        <v>130</v>
      </c>
      <c r="G5860" t="s">
        <v>143</v>
      </c>
      <c r="H5860" t="s">
        <v>22</v>
      </c>
      <c r="I5860" t="e">
        <f t="shared" ca="1" si="462"/>
        <v>#REF!</v>
      </c>
      <c r="J5860" t="str">
        <f>VLOOKUP($G5860,DefinitionArrays!$I$6:$J$12,2,FALSE)</f>
        <v>Workweek</v>
      </c>
    </row>
    <row r="5861" spans="1:10">
      <c r="A5861" s="159" t="str">
        <f t="shared" si="458"/>
        <v>$H$1:$H$92</v>
      </c>
      <c r="B5861" s="159" t="str">
        <f t="shared" si="459"/>
        <v>$I$1:$I$92</v>
      </c>
      <c r="C5861" s="159" t="str">
        <f t="shared" si="460"/>
        <v>November!$H$1:$H$92</v>
      </c>
      <c r="D5861" s="159" t="str">
        <f t="shared" si="461"/>
        <v>November!$I$1:$I$92</v>
      </c>
      <c r="E5861" t="s">
        <v>10</v>
      </c>
      <c r="F5861" t="s">
        <v>130</v>
      </c>
      <c r="G5861" t="s">
        <v>143</v>
      </c>
      <c r="H5861" t="s">
        <v>23</v>
      </c>
      <c r="I5861" t="e">
        <f t="shared" ca="1" si="462"/>
        <v>#REF!</v>
      </c>
      <c r="J5861" t="str">
        <f>VLOOKUP($G5861,DefinitionArrays!$I$6:$J$12,2,FALSE)</f>
        <v>Workweek</v>
      </c>
    </row>
    <row r="5862" spans="1:10">
      <c r="A5862" s="159" t="str">
        <f t="shared" si="458"/>
        <v>$H$1:$H$92</v>
      </c>
      <c r="B5862" s="159" t="str">
        <f t="shared" si="459"/>
        <v>$I$1:$I$92</v>
      </c>
      <c r="C5862" s="159" t="str">
        <f t="shared" si="460"/>
        <v>November!$H$1:$H$92</v>
      </c>
      <c r="D5862" s="159" t="str">
        <f t="shared" si="461"/>
        <v>November!$I$1:$I$92</v>
      </c>
      <c r="E5862" t="s">
        <v>10</v>
      </c>
      <c r="F5862" t="s">
        <v>130</v>
      </c>
      <c r="G5862" t="s">
        <v>143</v>
      </c>
      <c r="H5862" t="s">
        <v>24</v>
      </c>
      <c r="I5862" t="e">
        <f t="shared" ca="1" si="462"/>
        <v>#REF!</v>
      </c>
      <c r="J5862" t="str">
        <f>VLOOKUP($G5862,DefinitionArrays!$I$6:$J$12,2,FALSE)</f>
        <v>Workweek</v>
      </c>
    </row>
    <row r="5863" spans="1:10">
      <c r="A5863" s="159" t="str">
        <f t="shared" si="458"/>
        <v>$H$1:$H$92</v>
      </c>
      <c r="B5863" s="159" t="str">
        <f t="shared" si="459"/>
        <v>$I$1:$I$92</v>
      </c>
      <c r="C5863" s="159" t="str">
        <f t="shared" si="460"/>
        <v>November!$H$1:$H$92</v>
      </c>
      <c r="D5863" s="159" t="str">
        <f t="shared" si="461"/>
        <v>November!$I$1:$I$92</v>
      </c>
      <c r="E5863" t="s">
        <v>10</v>
      </c>
      <c r="F5863" t="s">
        <v>130</v>
      </c>
      <c r="G5863" t="s">
        <v>143</v>
      </c>
      <c r="H5863" t="s">
        <v>179</v>
      </c>
      <c r="I5863" t="e">
        <f t="shared" ca="1" si="462"/>
        <v>#REF!</v>
      </c>
      <c r="J5863" t="str">
        <f>VLOOKUP($G5863,DefinitionArrays!$I$6:$J$12,2,FALSE)</f>
        <v>Workweek</v>
      </c>
    </row>
    <row r="5864" spans="1:10">
      <c r="A5864" s="159" t="str">
        <f t="shared" si="458"/>
        <v>$H$1:$H$92</v>
      </c>
      <c r="B5864" s="159" t="str">
        <f t="shared" si="459"/>
        <v>$I$1:$I$92</v>
      </c>
      <c r="C5864" s="159" t="str">
        <f t="shared" si="460"/>
        <v>November!$H$1:$H$92</v>
      </c>
      <c r="D5864" s="159" t="str">
        <f t="shared" si="461"/>
        <v>November!$I$1:$I$92</v>
      </c>
      <c r="E5864" t="s">
        <v>10</v>
      </c>
      <c r="F5864" t="s">
        <v>130</v>
      </c>
      <c r="G5864" t="s">
        <v>143</v>
      </c>
      <c r="H5864" t="s">
        <v>180</v>
      </c>
      <c r="I5864" t="e">
        <f t="shared" ca="1" si="462"/>
        <v>#REF!</v>
      </c>
      <c r="J5864" t="str">
        <f>VLOOKUP($G5864,DefinitionArrays!$I$6:$J$12,2,FALSE)</f>
        <v>Workweek</v>
      </c>
    </row>
    <row r="5865" spans="1:10">
      <c r="A5865" s="159" t="str">
        <f t="shared" si="458"/>
        <v>$H$1:$H$92</v>
      </c>
      <c r="B5865" s="159" t="str">
        <f t="shared" si="459"/>
        <v>$I$1:$I$92</v>
      </c>
      <c r="C5865" s="159" t="str">
        <f t="shared" si="460"/>
        <v>November!$H$1:$H$92</v>
      </c>
      <c r="D5865" s="159" t="str">
        <f t="shared" si="461"/>
        <v>November!$I$1:$I$92</v>
      </c>
      <c r="E5865" t="s">
        <v>10</v>
      </c>
      <c r="F5865" t="s">
        <v>130</v>
      </c>
      <c r="G5865" t="s">
        <v>143</v>
      </c>
      <c r="H5865" t="s">
        <v>44</v>
      </c>
      <c r="I5865" t="e">
        <f t="shared" ca="1" si="462"/>
        <v>#REF!</v>
      </c>
      <c r="J5865" t="str">
        <f>VLOOKUP($G5865,DefinitionArrays!$I$6:$J$12,2,FALSE)</f>
        <v>Workweek</v>
      </c>
    </row>
    <row r="5866" spans="1:10">
      <c r="A5866" s="159" t="str">
        <f t="shared" si="458"/>
        <v>$K$1:$K$92</v>
      </c>
      <c r="B5866" s="159" t="str">
        <f t="shared" si="459"/>
        <v>$L$1:$L$92</v>
      </c>
      <c r="C5866" s="159" t="str">
        <f t="shared" si="460"/>
        <v>November!$K$1:$K$92</v>
      </c>
      <c r="D5866" s="159" t="str">
        <f t="shared" si="461"/>
        <v>November!$L$1:$L$92</v>
      </c>
      <c r="E5866" t="s">
        <v>10</v>
      </c>
      <c r="F5866" t="s">
        <v>130</v>
      </c>
      <c r="G5866" t="s">
        <v>144</v>
      </c>
      <c r="H5866" t="s">
        <v>159</v>
      </c>
      <c r="I5866" t="e">
        <f t="shared" ca="1" si="462"/>
        <v>#REF!</v>
      </c>
      <c r="J5866" t="str">
        <f>VLOOKUP($G5866,DefinitionArrays!$I$6:$J$12,2,FALSE)</f>
        <v>Workweek</v>
      </c>
    </row>
    <row r="5867" spans="1:10">
      <c r="A5867" s="159" t="str">
        <f t="shared" si="458"/>
        <v>$K$1:$K$92</v>
      </c>
      <c r="B5867" s="159" t="str">
        <f t="shared" si="459"/>
        <v>$L$1:$L$92</v>
      </c>
      <c r="C5867" s="159" t="str">
        <f t="shared" si="460"/>
        <v>November!$K$1:$K$92</v>
      </c>
      <c r="D5867" s="159" t="str">
        <f t="shared" si="461"/>
        <v>November!$L$1:$L$92</v>
      </c>
      <c r="E5867" t="s">
        <v>10</v>
      </c>
      <c r="F5867" t="s">
        <v>130</v>
      </c>
      <c r="G5867" t="s">
        <v>144</v>
      </c>
      <c r="H5867" t="s">
        <v>18</v>
      </c>
      <c r="I5867" t="e">
        <f t="shared" ca="1" si="462"/>
        <v>#REF!</v>
      </c>
      <c r="J5867" t="str">
        <f>VLOOKUP($G5867,DefinitionArrays!$I$6:$J$12,2,FALSE)</f>
        <v>Workweek</v>
      </c>
    </row>
    <row r="5868" spans="1:10">
      <c r="A5868" s="159" t="str">
        <f t="shared" si="458"/>
        <v>$K$1:$K$92</v>
      </c>
      <c r="B5868" s="159" t="str">
        <f t="shared" si="459"/>
        <v>$L$1:$L$92</v>
      </c>
      <c r="C5868" s="159" t="str">
        <f t="shared" si="460"/>
        <v>November!$K$1:$K$92</v>
      </c>
      <c r="D5868" s="159" t="str">
        <f t="shared" si="461"/>
        <v>November!$L$1:$L$92</v>
      </c>
      <c r="E5868" t="s">
        <v>10</v>
      </c>
      <c r="F5868" t="s">
        <v>130</v>
      </c>
      <c r="G5868" t="s">
        <v>144</v>
      </c>
      <c r="H5868" t="s">
        <v>153</v>
      </c>
      <c r="I5868" t="e">
        <f t="shared" ca="1" si="462"/>
        <v>#REF!</v>
      </c>
      <c r="J5868" t="str">
        <f>VLOOKUP($G5868,DefinitionArrays!$I$6:$J$12,2,FALSE)</f>
        <v>Workweek</v>
      </c>
    </row>
    <row r="5869" spans="1:10">
      <c r="A5869" s="159" t="str">
        <f t="shared" si="458"/>
        <v>$K$1:$K$92</v>
      </c>
      <c r="B5869" s="159" t="str">
        <f t="shared" si="459"/>
        <v>$L$1:$L$92</v>
      </c>
      <c r="C5869" s="159" t="str">
        <f t="shared" si="460"/>
        <v>November!$K$1:$K$92</v>
      </c>
      <c r="D5869" s="159" t="str">
        <f t="shared" si="461"/>
        <v>November!$L$1:$L$92</v>
      </c>
      <c r="E5869" t="s">
        <v>10</v>
      </c>
      <c r="F5869" t="s">
        <v>130</v>
      </c>
      <c r="G5869" t="s">
        <v>144</v>
      </c>
      <c r="H5869" t="s">
        <v>19</v>
      </c>
      <c r="I5869" t="e">
        <f t="shared" ca="1" si="462"/>
        <v>#REF!</v>
      </c>
      <c r="J5869" t="str">
        <f>VLOOKUP($G5869,DefinitionArrays!$I$6:$J$12,2,FALSE)</f>
        <v>Workweek</v>
      </c>
    </row>
    <row r="5870" spans="1:10">
      <c r="A5870" s="159" t="str">
        <f t="shared" si="458"/>
        <v>$K$1:$K$92</v>
      </c>
      <c r="B5870" s="159" t="str">
        <f t="shared" si="459"/>
        <v>$L$1:$L$92</v>
      </c>
      <c r="C5870" s="159" t="str">
        <f t="shared" si="460"/>
        <v>November!$K$1:$K$92</v>
      </c>
      <c r="D5870" s="159" t="str">
        <f t="shared" si="461"/>
        <v>November!$L$1:$L$92</v>
      </c>
      <c r="E5870" t="s">
        <v>10</v>
      </c>
      <c r="F5870" t="s">
        <v>130</v>
      </c>
      <c r="G5870" t="s">
        <v>144</v>
      </c>
      <c r="H5870" t="s">
        <v>20</v>
      </c>
      <c r="I5870" t="e">
        <f t="shared" ca="1" si="462"/>
        <v>#REF!</v>
      </c>
      <c r="J5870" t="str">
        <f>VLOOKUP($G5870,DefinitionArrays!$I$6:$J$12,2,FALSE)</f>
        <v>Workweek</v>
      </c>
    </row>
    <row r="5871" spans="1:10">
      <c r="A5871" s="159" t="str">
        <f t="shared" si="458"/>
        <v>$K$1:$K$92</v>
      </c>
      <c r="B5871" s="159" t="str">
        <f t="shared" si="459"/>
        <v>$L$1:$L$92</v>
      </c>
      <c r="C5871" s="159" t="str">
        <f t="shared" si="460"/>
        <v>November!$K$1:$K$92</v>
      </c>
      <c r="D5871" s="159" t="str">
        <f t="shared" si="461"/>
        <v>November!$L$1:$L$92</v>
      </c>
      <c r="E5871" t="s">
        <v>10</v>
      </c>
      <c r="F5871" t="s">
        <v>130</v>
      </c>
      <c r="G5871" t="s">
        <v>144</v>
      </c>
      <c r="H5871" t="s">
        <v>21</v>
      </c>
      <c r="I5871" t="e">
        <f t="shared" ca="1" si="462"/>
        <v>#REF!</v>
      </c>
      <c r="J5871" t="str">
        <f>VLOOKUP($G5871,DefinitionArrays!$I$6:$J$12,2,FALSE)</f>
        <v>Workweek</v>
      </c>
    </row>
    <row r="5872" spans="1:10">
      <c r="A5872" s="159" t="str">
        <f t="shared" si="458"/>
        <v>$K$1:$K$92</v>
      </c>
      <c r="B5872" s="159" t="str">
        <f t="shared" si="459"/>
        <v>$L$1:$L$92</v>
      </c>
      <c r="C5872" s="159" t="str">
        <f t="shared" si="460"/>
        <v>November!$K$1:$K$92</v>
      </c>
      <c r="D5872" s="159" t="str">
        <f t="shared" si="461"/>
        <v>November!$L$1:$L$92</v>
      </c>
      <c r="E5872" t="s">
        <v>10</v>
      </c>
      <c r="F5872" t="s">
        <v>130</v>
      </c>
      <c r="G5872" t="s">
        <v>144</v>
      </c>
      <c r="H5872" t="s">
        <v>22</v>
      </c>
      <c r="I5872" t="e">
        <f t="shared" ca="1" si="462"/>
        <v>#REF!</v>
      </c>
      <c r="J5872" t="str">
        <f>VLOOKUP($G5872,DefinitionArrays!$I$6:$J$12,2,FALSE)</f>
        <v>Workweek</v>
      </c>
    </row>
    <row r="5873" spans="1:10">
      <c r="A5873" s="159" t="str">
        <f t="shared" si="458"/>
        <v>$K$1:$K$92</v>
      </c>
      <c r="B5873" s="159" t="str">
        <f t="shared" si="459"/>
        <v>$L$1:$L$92</v>
      </c>
      <c r="C5873" s="159" t="str">
        <f t="shared" si="460"/>
        <v>November!$K$1:$K$92</v>
      </c>
      <c r="D5873" s="159" t="str">
        <f t="shared" si="461"/>
        <v>November!$L$1:$L$92</v>
      </c>
      <c r="E5873" t="s">
        <v>10</v>
      </c>
      <c r="F5873" t="s">
        <v>130</v>
      </c>
      <c r="G5873" t="s">
        <v>144</v>
      </c>
      <c r="H5873" t="s">
        <v>23</v>
      </c>
      <c r="I5873" t="e">
        <f t="shared" ca="1" si="462"/>
        <v>#REF!</v>
      </c>
      <c r="J5873" t="str">
        <f>VLOOKUP($G5873,DefinitionArrays!$I$6:$J$12,2,FALSE)</f>
        <v>Workweek</v>
      </c>
    </row>
    <row r="5874" spans="1:10">
      <c r="A5874" s="159" t="str">
        <f t="shared" si="458"/>
        <v>$K$1:$K$92</v>
      </c>
      <c r="B5874" s="159" t="str">
        <f t="shared" si="459"/>
        <v>$L$1:$L$92</v>
      </c>
      <c r="C5874" s="159" t="str">
        <f t="shared" si="460"/>
        <v>November!$K$1:$K$92</v>
      </c>
      <c r="D5874" s="159" t="str">
        <f t="shared" si="461"/>
        <v>November!$L$1:$L$92</v>
      </c>
      <c r="E5874" t="s">
        <v>10</v>
      </c>
      <c r="F5874" t="s">
        <v>130</v>
      </c>
      <c r="G5874" t="s">
        <v>144</v>
      </c>
      <c r="H5874" t="s">
        <v>24</v>
      </c>
      <c r="I5874" t="e">
        <f t="shared" ca="1" si="462"/>
        <v>#REF!</v>
      </c>
      <c r="J5874" t="str">
        <f>VLOOKUP($G5874,DefinitionArrays!$I$6:$J$12,2,FALSE)</f>
        <v>Workweek</v>
      </c>
    </row>
    <row r="5875" spans="1:10">
      <c r="A5875" s="159" t="str">
        <f t="shared" si="458"/>
        <v>$K$1:$K$92</v>
      </c>
      <c r="B5875" s="159" t="str">
        <f t="shared" si="459"/>
        <v>$L$1:$L$92</v>
      </c>
      <c r="C5875" s="159" t="str">
        <f t="shared" si="460"/>
        <v>November!$K$1:$K$92</v>
      </c>
      <c r="D5875" s="159" t="str">
        <f t="shared" si="461"/>
        <v>November!$L$1:$L$92</v>
      </c>
      <c r="E5875" t="s">
        <v>10</v>
      </c>
      <c r="F5875" t="s">
        <v>130</v>
      </c>
      <c r="G5875" t="s">
        <v>144</v>
      </c>
      <c r="H5875" t="s">
        <v>179</v>
      </c>
      <c r="I5875" t="e">
        <f t="shared" ca="1" si="462"/>
        <v>#REF!</v>
      </c>
      <c r="J5875" t="str">
        <f>VLOOKUP($G5875,DefinitionArrays!$I$6:$J$12,2,FALSE)</f>
        <v>Workweek</v>
      </c>
    </row>
    <row r="5876" spans="1:10">
      <c r="A5876" s="159" t="str">
        <f t="shared" si="458"/>
        <v>$K$1:$K$92</v>
      </c>
      <c r="B5876" s="159" t="str">
        <f t="shared" si="459"/>
        <v>$L$1:$L$92</v>
      </c>
      <c r="C5876" s="159" t="str">
        <f t="shared" si="460"/>
        <v>November!$K$1:$K$92</v>
      </c>
      <c r="D5876" s="159" t="str">
        <f t="shared" si="461"/>
        <v>November!$L$1:$L$92</v>
      </c>
      <c r="E5876" t="s">
        <v>10</v>
      </c>
      <c r="F5876" t="s">
        <v>130</v>
      </c>
      <c r="G5876" t="s">
        <v>144</v>
      </c>
      <c r="H5876" t="s">
        <v>180</v>
      </c>
      <c r="I5876" t="e">
        <f t="shared" ca="1" si="462"/>
        <v>#REF!</v>
      </c>
      <c r="J5876" t="str">
        <f>VLOOKUP($G5876,DefinitionArrays!$I$6:$J$12,2,FALSE)</f>
        <v>Workweek</v>
      </c>
    </row>
    <row r="5877" spans="1:10">
      <c r="A5877" s="159" t="str">
        <f t="shared" si="458"/>
        <v>$K$1:$K$92</v>
      </c>
      <c r="B5877" s="159" t="str">
        <f t="shared" si="459"/>
        <v>$L$1:$L$92</v>
      </c>
      <c r="C5877" s="159" t="str">
        <f t="shared" si="460"/>
        <v>November!$K$1:$K$92</v>
      </c>
      <c r="D5877" s="159" t="str">
        <f t="shared" si="461"/>
        <v>November!$L$1:$L$92</v>
      </c>
      <c r="E5877" t="s">
        <v>10</v>
      </c>
      <c r="F5877" t="s">
        <v>130</v>
      </c>
      <c r="G5877" t="s">
        <v>144</v>
      </c>
      <c r="H5877" t="s">
        <v>44</v>
      </c>
      <c r="I5877" t="e">
        <f t="shared" ca="1" si="462"/>
        <v>#REF!</v>
      </c>
      <c r="J5877" t="str">
        <f>VLOOKUP($G5877,DefinitionArrays!$I$6:$J$12,2,FALSE)</f>
        <v>Workweek</v>
      </c>
    </row>
    <row r="5878" spans="1:10">
      <c r="A5878" s="159" t="str">
        <f t="shared" si="458"/>
        <v>$N$1:$N$92</v>
      </c>
      <c r="B5878" s="159" t="str">
        <f t="shared" si="459"/>
        <v>$O$1:$O$92</v>
      </c>
      <c r="C5878" s="159" t="str">
        <f t="shared" si="460"/>
        <v>November!$N$1:$N$92</v>
      </c>
      <c r="D5878" s="159" t="str">
        <f t="shared" si="461"/>
        <v>November!$O$1:$O$92</v>
      </c>
      <c r="E5878" t="s">
        <v>10</v>
      </c>
      <c r="F5878" t="s">
        <v>130</v>
      </c>
      <c r="G5878" t="s">
        <v>145</v>
      </c>
      <c r="H5878" t="s">
        <v>159</v>
      </c>
      <c r="I5878" t="e">
        <f t="shared" ca="1" si="462"/>
        <v>#REF!</v>
      </c>
      <c r="J5878" t="str">
        <f>VLOOKUP($G5878,DefinitionArrays!$I$6:$J$12,2,FALSE)</f>
        <v>Weekend</v>
      </c>
    </row>
    <row r="5879" spans="1:10">
      <c r="A5879" s="159" t="str">
        <f t="shared" si="458"/>
        <v>$N$1:$N$92</v>
      </c>
      <c r="B5879" s="159" t="str">
        <f t="shared" si="459"/>
        <v>$O$1:$O$92</v>
      </c>
      <c r="C5879" s="159" t="str">
        <f t="shared" si="460"/>
        <v>November!$N$1:$N$92</v>
      </c>
      <c r="D5879" s="159" t="str">
        <f t="shared" si="461"/>
        <v>November!$O$1:$O$92</v>
      </c>
      <c r="E5879" t="s">
        <v>10</v>
      </c>
      <c r="F5879" t="s">
        <v>130</v>
      </c>
      <c r="G5879" t="s">
        <v>145</v>
      </c>
      <c r="H5879" t="s">
        <v>18</v>
      </c>
      <c r="I5879" t="e">
        <f t="shared" ca="1" si="462"/>
        <v>#REF!</v>
      </c>
      <c r="J5879" t="str">
        <f>VLOOKUP($G5879,DefinitionArrays!$I$6:$J$12,2,FALSE)</f>
        <v>Weekend</v>
      </c>
    </row>
    <row r="5880" spans="1:10">
      <c r="A5880" s="159" t="str">
        <f t="shared" si="458"/>
        <v>$N$1:$N$92</v>
      </c>
      <c r="B5880" s="159" t="str">
        <f t="shared" si="459"/>
        <v>$O$1:$O$92</v>
      </c>
      <c r="C5880" s="159" t="str">
        <f t="shared" si="460"/>
        <v>November!$N$1:$N$92</v>
      </c>
      <c r="D5880" s="159" t="str">
        <f t="shared" si="461"/>
        <v>November!$O$1:$O$92</v>
      </c>
      <c r="E5880" t="s">
        <v>10</v>
      </c>
      <c r="F5880" t="s">
        <v>130</v>
      </c>
      <c r="G5880" t="s">
        <v>145</v>
      </c>
      <c r="H5880" t="s">
        <v>153</v>
      </c>
      <c r="I5880" t="e">
        <f t="shared" ca="1" si="462"/>
        <v>#REF!</v>
      </c>
      <c r="J5880" t="str">
        <f>VLOOKUP($G5880,DefinitionArrays!$I$6:$J$12,2,FALSE)</f>
        <v>Weekend</v>
      </c>
    </row>
    <row r="5881" spans="1:10">
      <c r="A5881" s="159" t="str">
        <f t="shared" si="458"/>
        <v>$N$1:$N$92</v>
      </c>
      <c r="B5881" s="159" t="str">
        <f t="shared" si="459"/>
        <v>$O$1:$O$92</v>
      </c>
      <c r="C5881" s="159" t="str">
        <f t="shared" si="460"/>
        <v>November!$N$1:$N$92</v>
      </c>
      <c r="D5881" s="159" t="str">
        <f t="shared" si="461"/>
        <v>November!$O$1:$O$92</v>
      </c>
      <c r="E5881" t="s">
        <v>10</v>
      </c>
      <c r="F5881" t="s">
        <v>130</v>
      </c>
      <c r="G5881" t="s">
        <v>145</v>
      </c>
      <c r="H5881" t="s">
        <v>19</v>
      </c>
      <c r="I5881" t="e">
        <f t="shared" ca="1" si="462"/>
        <v>#REF!</v>
      </c>
      <c r="J5881" t="str">
        <f>VLOOKUP($G5881,DefinitionArrays!$I$6:$J$12,2,FALSE)</f>
        <v>Weekend</v>
      </c>
    </row>
    <row r="5882" spans="1:10">
      <c r="A5882" s="159" t="str">
        <f t="shared" si="458"/>
        <v>$N$1:$N$92</v>
      </c>
      <c r="B5882" s="159" t="str">
        <f t="shared" si="459"/>
        <v>$O$1:$O$92</v>
      </c>
      <c r="C5882" s="159" t="str">
        <f t="shared" si="460"/>
        <v>November!$N$1:$N$92</v>
      </c>
      <c r="D5882" s="159" t="str">
        <f t="shared" si="461"/>
        <v>November!$O$1:$O$92</v>
      </c>
      <c r="E5882" t="s">
        <v>10</v>
      </c>
      <c r="F5882" t="s">
        <v>130</v>
      </c>
      <c r="G5882" t="s">
        <v>145</v>
      </c>
      <c r="H5882" t="s">
        <v>20</v>
      </c>
      <c r="I5882" t="e">
        <f t="shared" ca="1" si="462"/>
        <v>#REF!</v>
      </c>
      <c r="J5882" t="str">
        <f>VLOOKUP($G5882,DefinitionArrays!$I$6:$J$12,2,FALSE)</f>
        <v>Weekend</v>
      </c>
    </row>
    <row r="5883" spans="1:10">
      <c r="A5883" s="159" t="str">
        <f t="shared" si="458"/>
        <v>$N$1:$N$92</v>
      </c>
      <c r="B5883" s="159" t="str">
        <f t="shared" si="459"/>
        <v>$O$1:$O$92</v>
      </c>
      <c r="C5883" s="159" t="str">
        <f t="shared" si="460"/>
        <v>November!$N$1:$N$92</v>
      </c>
      <c r="D5883" s="159" t="str">
        <f t="shared" si="461"/>
        <v>November!$O$1:$O$92</v>
      </c>
      <c r="E5883" t="s">
        <v>10</v>
      </c>
      <c r="F5883" t="s">
        <v>130</v>
      </c>
      <c r="G5883" t="s">
        <v>145</v>
      </c>
      <c r="H5883" t="s">
        <v>21</v>
      </c>
      <c r="I5883" t="e">
        <f t="shared" ca="1" si="462"/>
        <v>#REF!</v>
      </c>
      <c r="J5883" t="str">
        <f>VLOOKUP($G5883,DefinitionArrays!$I$6:$J$12,2,FALSE)</f>
        <v>Weekend</v>
      </c>
    </row>
    <row r="5884" spans="1:10">
      <c r="A5884" s="159" t="str">
        <f t="shared" si="458"/>
        <v>$N$1:$N$92</v>
      </c>
      <c r="B5884" s="159" t="str">
        <f t="shared" si="459"/>
        <v>$O$1:$O$92</v>
      </c>
      <c r="C5884" s="159" t="str">
        <f t="shared" si="460"/>
        <v>November!$N$1:$N$92</v>
      </c>
      <c r="D5884" s="159" t="str">
        <f t="shared" si="461"/>
        <v>November!$O$1:$O$92</v>
      </c>
      <c r="E5884" t="s">
        <v>10</v>
      </c>
      <c r="F5884" t="s">
        <v>130</v>
      </c>
      <c r="G5884" t="s">
        <v>145</v>
      </c>
      <c r="H5884" t="s">
        <v>22</v>
      </c>
      <c r="I5884" t="e">
        <f t="shared" ca="1" si="462"/>
        <v>#REF!</v>
      </c>
      <c r="J5884" t="str">
        <f>VLOOKUP($G5884,DefinitionArrays!$I$6:$J$12,2,FALSE)</f>
        <v>Weekend</v>
      </c>
    </row>
    <row r="5885" spans="1:10">
      <c r="A5885" s="159" t="str">
        <f t="shared" si="458"/>
        <v>$N$1:$N$92</v>
      </c>
      <c r="B5885" s="159" t="str">
        <f t="shared" si="459"/>
        <v>$O$1:$O$92</v>
      </c>
      <c r="C5885" s="159" t="str">
        <f t="shared" si="460"/>
        <v>November!$N$1:$N$92</v>
      </c>
      <c r="D5885" s="159" t="str">
        <f t="shared" si="461"/>
        <v>November!$O$1:$O$92</v>
      </c>
      <c r="E5885" t="s">
        <v>10</v>
      </c>
      <c r="F5885" t="s">
        <v>130</v>
      </c>
      <c r="G5885" t="s">
        <v>145</v>
      </c>
      <c r="H5885" t="s">
        <v>23</v>
      </c>
      <c r="I5885" t="e">
        <f t="shared" ca="1" si="462"/>
        <v>#REF!</v>
      </c>
      <c r="J5885" t="str">
        <f>VLOOKUP($G5885,DefinitionArrays!$I$6:$J$12,2,FALSE)</f>
        <v>Weekend</v>
      </c>
    </row>
    <row r="5886" spans="1:10">
      <c r="A5886" s="159" t="str">
        <f t="shared" si="458"/>
        <v>$N$1:$N$92</v>
      </c>
      <c r="B5886" s="159" t="str">
        <f t="shared" si="459"/>
        <v>$O$1:$O$92</v>
      </c>
      <c r="C5886" s="159" t="str">
        <f t="shared" si="460"/>
        <v>November!$N$1:$N$92</v>
      </c>
      <c r="D5886" s="159" t="str">
        <f t="shared" si="461"/>
        <v>November!$O$1:$O$92</v>
      </c>
      <c r="E5886" t="s">
        <v>10</v>
      </c>
      <c r="F5886" t="s">
        <v>130</v>
      </c>
      <c r="G5886" t="s">
        <v>145</v>
      </c>
      <c r="H5886" t="s">
        <v>24</v>
      </c>
      <c r="I5886" t="e">
        <f t="shared" ca="1" si="462"/>
        <v>#REF!</v>
      </c>
      <c r="J5886" t="str">
        <f>VLOOKUP($G5886,DefinitionArrays!$I$6:$J$12,2,FALSE)</f>
        <v>Weekend</v>
      </c>
    </row>
    <row r="5887" spans="1:10">
      <c r="A5887" s="159" t="str">
        <f t="shared" si="458"/>
        <v>$N$1:$N$92</v>
      </c>
      <c r="B5887" s="159" t="str">
        <f t="shared" si="459"/>
        <v>$O$1:$O$92</v>
      </c>
      <c r="C5887" s="159" t="str">
        <f t="shared" si="460"/>
        <v>November!$N$1:$N$92</v>
      </c>
      <c r="D5887" s="159" t="str">
        <f t="shared" si="461"/>
        <v>November!$O$1:$O$92</v>
      </c>
      <c r="E5887" t="s">
        <v>10</v>
      </c>
      <c r="F5887" t="s">
        <v>130</v>
      </c>
      <c r="G5887" t="s">
        <v>145</v>
      </c>
      <c r="H5887" t="s">
        <v>179</v>
      </c>
      <c r="I5887" t="e">
        <f t="shared" ca="1" si="462"/>
        <v>#REF!</v>
      </c>
      <c r="J5887" t="str">
        <f>VLOOKUP($G5887,DefinitionArrays!$I$6:$J$12,2,FALSE)</f>
        <v>Weekend</v>
      </c>
    </row>
    <row r="5888" spans="1:10">
      <c r="A5888" s="159" t="str">
        <f t="shared" si="458"/>
        <v>$N$1:$N$92</v>
      </c>
      <c r="B5888" s="159" t="str">
        <f t="shared" si="459"/>
        <v>$O$1:$O$92</v>
      </c>
      <c r="C5888" s="159" t="str">
        <f t="shared" si="460"/>
        <v>November!$N$1:$N$92</v>
      </c>
      <c r="D5888" s="159" t="str">
        <f t="shared" si="461"/>
        <v>November!$O$1:$O$92</v>
      </c>
      <c r="E5888" t="s">
        <v>10</v>
      </c>
      <c r="F5888" t="s">
        <v>130</v>
      </c>
      <c r="G5888" t="s">
        <v>145</v>
      </c>
      <c r="H5888" t="s">
        <v>180</v>
      </c>
      <c r="I5888" t="e">
        <f t="shared" ca="1" si="462"/>
        <v>#REF!</v>
      </c>
      <c r="J5888" t="str">
        <f>VLOOKUP($G5888,DefinitionArrays!$I$6:$J$12,2,FALSE)</f>
        <v>Weekend</v>
      </c>
    </row>
    <row r="5889" spans="1:10">
      <c r="A5889" s="159" t="str">
        <f t="shared" si="458"/>
        <v>$N$1:$N$92</v>
      </c>
      <c r="B5889" s="159" t="str">
        <f t="shared" si="459"/>
        <v>$O$1:$O$92</v>
      </c>
      <c r="C5889" s="159" t="str">
        <f t="shared" si="460"/>
        <v>November!$N$1:$N$92</v>
      </c>
      <c r="D5889" s="159" t="str">
        <f t="shared" si="461"/>
        <v>November!$O$1:$O$92</v>
      </c>
      <c r="E5889" t="s">
        <v>10</v>
      </c>
      <c r="F5889" t="s">
        <v>130</v>
      </c>
      <c r="G5889" t="s">
        <v>145</v>
      </c>
      <c r="H5889" t="s">
        <v>44</v>
      </c>
      <c r="I5889" t="e">
        <f t="shared" ca="1" si="462"/>
        <v>#REF!</v>
      </c>
      <c r="J5889" t="str">
        <f>VLOOKUP($G5889,DefinitionArrays!$I$6:$J$12,2,FALSE)</f>
        <v>Weekend</v>
      </c>
    </row>
    <row r="5890" spans="1:10">
      <c r="A5890" s="159" t="str">
        <f t="shared" ref="A5890:A5953" si="463">VLOOKUP($G5890,Fx_Code,2,FALSE)</f>
        <v>$Q$1:$Q$92</v>
      </c>
      <c r="B5890" s="159" t="str">
        <f t="shared" ref="B5890:B5953" si="464">VLOOKUP($G5890,Fx_Code,3,FALSE)</f>
        <v>$R$1:$R$92</v>
      </c>
      <c r="C5890" s="159" t="str">
        <f t="shared" ref="C5890:C5953" si="465">CONCATENATE($F5890,$K$1,A5890)</f>
        <v>November!$Q$1:$Q$92</v>
      </c>
      <c r="D5890" s="159" t="str">
        <f t="shared" ref="D5890:D5953" si="466">CONCATENATE($F5890,$K$1,B5890)</f>
        <v>November!$R$1:$R$92</v>
      </c>
      <c r="E5890" t="s">
        <v>10</v>
      </c>
      <c r="F5890" t="s">
        <v>130</v>
      </c>
      <c r="G5890" t="s">
        <v>146</v>
      </c>
      <c r="H5890" t="s">
        <v>159</v>
      </c>
      <c r="I5890" t="e">
        <f t="shared" ca="1" si="462"/>
        <v>#REF!</v>
      </c>
      <c r="J5890" t="str">
        <f>VLOOKUP($G5890,DefinitionArrays!$I$6:$J$12,2,FALSE)</f>
        <v>Weekend</v>
      </c>
    </row>
    <row r="5891" spans="1:10">
      <c r="A5891" s="159" t="str">
        <f t="shared" si="463"/>
        <v>$T$1:$T$92</v>
      </c>
      <c r="B5891" s="159" t="str">
        <f t="shared" si="464"/>
        <v>$U$1:$U$92</v>
      </c>
      <c r="C5891" s="159" t="str">
        <f t="shared" si="465"/>
        <v>November!$T$1:$T$92</v>
      </c>
      <c r="D5891" s="159" t="str">
        <f t="shared" si="466"/>
        <v>November!$U$1:$U$92</v>
      </c>
      <c r="E5891" t="s">
        <v>10</v>
      </c>
      <c r="F5891" t="s">
        <v>130</v>
      </c>
      <c r="G5891" t="s">
        <v>141</v>
      </c>
      <c r="H5891" t="s">
        <v>159</v>
      </c>
      <c r="I5891" t="e">
        <f t="shared" ca="1" si="462"/>
        <v>#REF!</v>
      </c>
      <c r="J5891" t="str">
        <f>VLOOKUP($G5891,DefinitionArrays!$I$6:$J$12,2,FALSE)</f>
        <v>Weekend</v>
      </c>
    </row>
    <row r="5892" spans="1:10">
      <c r="A5892" s="159" t="str">
        <f t="shared" si="463"/>
        <v>$B$1:$B$92</v>
      </c>
      <c r="B5892" s="159" t="str">
        <f t="shared" si="464"/>
        <v>$C$1:$C$92</v>
      </c>
      <c r="C5892" s="159" t="str">
        <f t="shared" si="465"/>
        <v>December!$B$1:$B$92</v>
      </c>
      <c r="D5892" s="159" t="str">
        <f t="shared" si="466"/>
        <v>December!$C$1:$C$92</v>
      </c>
      <c r="E5892" t="s">
        <v>10</v>
      </c>
      <c r="F5892" t="s">
        <v>131</v>
      </c>
      <c r="G5892" t="s">
        <v>13</v>
      </c>
      <c r="H5892" t="s">
        <v>159</v>
      </c>
      <c r="I5892" t="e">
        <f ca="1">COUNTIFS(INDIRECT($C5892),$E5892,INDIRECT($D5892),$H5892)</f>
        <v>#REF!</v>
      </c>
      <c r="J5892" t="str">
        <f>VLOOKUP($G5892,DefinitionArrays!$I$6:$J$12,2,FALSE)</f>
        <v>Workweek</v>
      </c>
    </row>
    <row r="5893" spans="1:10">
      <c r="A5893" s="159" t="str">
        <f t="shared" si="463"/>
        <v>$B$1:$B$92</v>
      </c>
      <c r="B5893" s="159" t="str">
        <f t="shared" si="464"/>
        <v>$C$1:$C$92</v>
      </c>
      <c r="C5893" s="159" t="str">
        <f t="shared" si="465"/>
        <v>December!$B$1:$B$92</v>
      </c>
      <c r="D5893" s="159" t="str">
        <f t="shared" si="466"/>
        <v>December!$C$1:$C$92</v>
      </c>
      <c r="E5893" t="s">
        <v>10</v>
      </c>
      <c r="F5893" t="s">
        <v>131</v>
      </c>
      <c r="G5893" t="s">
        <v>13</v>
      </c>
      <c r="H5893" t="s">
        <v>18</v>
      </c>
      <c r="I5893" t="e">
        <f t="shared" ref="I5893:I5953" ca="1" si="467">COUNTIFS(INDIRECT($C5893),$E5893,INDIRECT($D5893),$H5893)</f>
        <v>#REF!</v>
      </c>
      <c r="J5893" t="str">
        <f>VLOOKUP($G5893,DefinitionArrays!$I$6:$J$12,2,FALSE)</f>
        <v>Workweek</v>
      </c>
    </row>
    <row r="5894" spans="1:10">
      <c r="A5894" s="159" t="str">
        <f t="shared" si="463"/>
        <v>$B$1:$B$92</v>
      </c>
      <c r="B5894" s="159" t="str">
        <f t="shared" si="464"/>
        <v>$C$1:$C$92</v>
      </c>
      <c r="C5894" s="159" t="str">
        <f t="shared" si="465"/>
        <v>December!$B$1:$B$92</v>
      </c>
      <c r="D5894" s="159" t="str">
        <f t="shared" si="466"/>
        <v>December!$C$1:$C$92</v>
      </c>
      <c r="E5894" t="s">
        <v>10</v>
      </c>
      <c r="F5894" t="s">
        <v>131</v>
      </c>
      <c r="G5894" t="s">
        <v>13</v>
      </c>
      <c r="H5894" t="s">
        <v>153</v>
      </c>
      <c r="I5894" t="e">
        <f t="shared" ca="1" si="467"/>
        <v>#REF!</v>
      </c>
      <c r="J5894" t="str">
        <f>VLOOKUP($G5894,DefinitionArrays!$I$6:$J$12,2,FALSE)</f>
        <v>Workweek</v>
      </c>
    </row>
    <row r="5895" spans="1:10">
      <c r="A5895" s="159" t="str">
        <f t="shared" si="463"/>
        <v>$B$1:$B$92</v>
      </c>
      <c r="B5895" s="159" t="str">
        <f t="shared" si="464"/>
        <v>$C$1:$C$92</v>
      </c>
      <c r="C5895" s="159" t="str">
        <f t="shared" si="465"/>
        <v>December!$B$1:$B$92</v>
      </c>
      <c r="D5895" s="159" t="str">
        <f t="shared" si="466"/>
        <v>December!$C$1:$C$92</v>
      </c>
      <c r="E5895" t="s">
        <v>10</v>
      </c>
      <c r="F5895" t="s">
        <v>131</v>
      </c>
      <c r="G5895" t="s">
        <v>13</v>
      </c>
      <c r="H5895" t="s">
        <v>19</v>
      </c>
      <c r="I5895" t="e">
        <f t="shared" ca="1" si="467"/>
        <v>#REF!</v>
      </c>
      <c r="J5895" t="str">
        <f>VLOOKUP($G5895,DefinitionArrays!$I$6:$J$12,2,FALSE)</f>
        <v>Workweek</v>
      </c>
    </row>
    <row r="5896" spans="1:10">
      <c r="A5896" s="159" t="str">
        <f t="shared" si="463"/>
        <v>$B$1:$B$92</v>
      </c>
      <c r="B5896" s="159" t="str">
        <f t="shared" si="464"/>
        <v>$C$1:$C$92</v>
      </c>
      <c r="C5896" s="159" t="str">
        <f t="shared" si="465"/>
        <v>December!$B$1:$B$92</v>
      </c>
      <c r="D5896" s="159" t="str">
        <f t="shared" si="466"/>
        <v>December!$C$1:$C$92</v>
      </c>
      <c r="E5896" t="s">
        <v>10</v>
      </c>
      <c r="F5896" t="s">
        <v>131</v>
      </c>
      <c r="G5896" t="s">
        <v>13</v>
      </c>
      <c r="H5896" t="s">
        <v>20</v>
      </c>
      <c r="I5896" t="e">
        <f t="shared" ca="1" si="467"/>
        <v>#REF!</v>
      </c>
      <c r="J5896" t="str">
        <f>VLOOKUP($G5896,DefinitionArrays!$I$6:$J$12,2,FALSE)</f>
        <v>Workweek</v>
      </c>
    </row>
    <row r="5897" spans="1:10">
      <c r="A5897" s="159" t="str">
        <f t="shared" si="463"/>
        <v>$B$1:$B$92</v>
      </c>
      <c r="B5897" s="159" t="str">
        <f t="shared" si="464"/>
        <v>$C$1:$C$92</v>
      </c>
      <c r="C5897" s="159" t="str">
        <f t="shared" si="465"/>
        <v>December!$B$1:$B$92</v>
      </c>
      <c r="D5897" s="159" t="str">
        <f t="shared" si="466"/>
        <v>December!$C$1:$C$92</v>
      </c>
      <c r="E5897" t="s">
        <v>10</v>
      </c>
      <c r="F5897" t="s">
        <v>131</v>
      </c>
      <c r="G5897" t="s">
        <v>13</v>
      </c>
      <c r="H5897" t="s">
        <v>21</v>
      </c>
      <c r="I5897" t="e">
        <f t="shared" ca="1" si="467"/>
        <v>#REF!</v>
      </c>
      <c r="J5897" t="str">
        <f>VLOOKUP($G5897,DefinitionArrays!$I$6:$J$12,2,FALSE)</f>
        <v>Workweek</v>
      </c>
    </row>
    <row r="5898" spans="1:10">
      <c r="A5898" s="159" t="str">
        <f t="shared" si="463"/>
        <v>$B$1:$B$92</v>
      </c>
      <c r="B5898" s="159" t="str">
        <f t="shared" si="464"/>
        <v>$C$1:$C$92</v>
      </c>
      <c r="C5898" s="159" t="str">
        <f t="shared" si="465"/>
        <v>December!$B$1:$B$92</v>
      </c>
      <c r="D5898" s="159" t="str">
        <f t="shared" si="466"/>
        <v>December!$C$1:$C$92</v>
      </c>
      <c r="E5898" t="s">
        <v>10</v>
      </c>
      <c r="F5898" t="s">
        <v>131</v>
      </c>
      <c r="G5898" t="s">
        <v>13</v>
      </c>
      <c r="H5898" t="s">
        <v>22</v>
      </c>
      <c r="I5898" t="e">
        <f t="shared" ca="1" si="467"/>
        <v>#REF!</v>
      </c>
      <c r="J5898" t="str">
        <f>VLOOKUP($G5898,DefinitionArrays!$I$6:$J$12,2,FALSE)</f>
        <v>Workweek</v>
      </c>
    </row>
    <row r="5899" spans="1:10">
      <c r="A5899" s="159" t="str">
        <f t="shared" si="463"/>
        <v>$B$1:$B$92</v>
      </c>
      <c r="B5899" s="159" t="str">
        <f t="shared" si="464"/>
        <v>$C$1:$C$92</v>
      </c>
      <c r="C5899" s="159" t="str">
        <f t="shared" si="465"/>
        <v>December!$B$1:$B$92</v>
      </c>
      <c r="D5899" s="159" t="str">
        <f t="shared" si="466"/>
        <v>December!$C$1:$C$92</v>
      </c>
      <c r="E5899" t="s">
        <v>10</v>
      </c>
      <c r="F5899" t="s">
        <v>131</v>
      </c>
      <c r="G5899" t="s">
        <v>13</v>
      </c>
      <c r="H5899" t="s">
        <v>23</v>
      </c>
      <c r="I5899" t="e">
        <f t="shared" ca="1" si="467"/>
        <v>#REF!</v>
      </c>
      <c r="J5899" t="str">
        <f>VLOOKUP($G5899,DefinitionArrays!$I$6:$J$12,2,FALSE)</f>
        <v>Workweek</v>
      </c>
    </row>
    <row r="5900" spans="1:10">
      <c r="A5900" s="159" t="str">
        <f t="shared" si="463"/>
        <v>$B$1:$B$92</v>
      </c>
      <c r="B5900" s="159" t="str">
        <f t="shared" si="464"/>
        <v>$C$1:$C$92</v>
      </c>
      <c r="C5900" s="159" t="str">
        <f t="shared" si="465"/>
        <v>December!$B$1:$B$92</v>
      </c>
      <c r="D5900" s="159" t="str">
        <f t="shared" si="466"/>
        <v>December!$C$1:$C$92</v>
      </c>
      <c r="E5900" t="s">
        <v>10</v>
      </c>
      <c r="F5900" t="s">
        <v>131</v>
      </c>
      <c r="G5900" t="s">
        <v>13</v>
      </c>
      <c r="H5900" t="s">
        <v>24</v>
      </c>
      <c r="I5900" t="e">
        <f t="shared" ca="1" si="467"/>
        <v>#REF!</v>
      </c>
      <c r="J5900" t="str">
        <f>VLOOKUP($G5900,DefinitionArrays!$I$6:$J$12,2,FALSE)</f>
        <v>Workweek</v>
      </c>
    </row>
    <row r="5901" spans="1:10">
      <c r="A5901" s="159" t="str">
        <f t="shared" si="463"/>
        <v>$B$1:$B$92</v>
      </c>
      <c r="B5901" s="159" t="str">
        <f t="shared" si="464"/>
        <v>$C$1:$C$92</v>
      </c>
      <c r="C5901" s="159" t="str">
        <f t="shared" si="465"/>
        <v>December!$B$1:$B$92</v>
      </c>
      <c r="D5901" s="159" t="str">
        <f t="shared" si="466"/>
        <v>December!$C$1:$C$92</v>
      </c>
      <c r="E5901" t="s">
        <v>10</v>
      </c>
      <c r="F5901" t="s">
        <v>131</v>
      </c>
      <c r="G5901" t="s">
        <v>13</v>
      </c>
      <c r="H5901" t="s">
        <v>179</v>
      </c>
      <c r="I5901" t="e">
        <f t="shared" ca="1" si="467"/>
        <v>#REF!</v>
      </c>
      <c r="J5901" t="str">
        <f>VLOOKUP($G5901,DefinitionArrays!$I$6:$J$12,2,FALSE)</f>
        <v>Workweek</v>
      </c>
    </row>
    <row r="5902" spans="1:10">
      <c r="A5902" s="159" t="str">
        <f t="shared" si="463"/>
        <v>$B$1:$B$92</v>
      </c>
      <c r="B5902" s="159" t="str">
        <f t="shared" si="464"/>
        <v>$C$1:$C$92</v>
      </c>
      <c r="C5902" s="159" t="str">
        <f t="shared" si="465"/>
        <v>December!$B$1:$B$92</v>
      </c>
      <c r="D5902" s="159" t="str">
        <f t="shared" si="466"/>
        <v>December!$C$1:$C$92</v>
      </c>
      <c r="E5902" t="s">
        <v>10</v>
      </c>
      <c r="F5902" t="s">
        <v>131</v>
      </c>
      <c r="G5902" t="s">
        <v>13</v>
      </c>
      <c r="H5902" t="s">
        <v>180</v>
      </c>
      <c r="I5902" t="e">
        <f t="shared" ca="1" si="467"/>
        <v>#REF!</v>
      </c>
      <c r="J5902" t="str">
        <f>VLOOKUP($G5902,DefinitionArrays!$I$6:$J$12,2,FALSE)</f>
        <v>Workweek</v>
      </c>
    </row>
    <row r="5903" spans="1:10">
      <c r="A5903" s="159" t="str">
        <f t="shared" si="463"/>
        <v>$B$1:$B$92</v>
      </c>
      <c r="B5903" s="159" t="str">
        <f t="shared" si="464"/>
        <v>$C$1:$C$92</v>
      </c>
      <c r="C5903" s="159" t="str">
        <f t="shared" si="465"/>
        <v>December!$B$1:$B$92</v>
      </c>
      <c r="D5903" s="159" t="str">
        <f t="shared" si="466"/>
        <v>December!$C$1:$C$92</v>
      </c>
      <c r="E5903" t="s">
        <v>10</v>
      </c>
      <c r="F5903" t="s">
        <v>131</v>
      </c>
      <c r="G5903" t="s">
        <v>13</v>
      </c>
      <c r="H5903" t="s">
        <v>44</v>
      </c>
      <c r="I5903" t="e">
        <f t="shared" ca="1" si="467"/>
        <v>#REF!</v>
      </c>
      <c r="J5903" t="str">
        <f>VLOOKUP($G5903,DefinitionArrays!$I$6:$J$12,2,FALSE)</f>
        <v>Workweek</v>
      </c>
    </row>
    <row r="5904" spans="1:10">
      <c r="A5904" s="159" t="str">
        <f t="shared" si="463"/>
        <v>$E$1:$E$92</v>
      </c>
      <c r="B5904" s="159" t="str">
        <f t="shared" si="464"/>
        <v>$F$1:$F$92</v>
      </c>
      <c r="C5904" s="159" t="str">
        <f t="shared" si="465"/>
        <v>December!$E$1:$E$92</v>
      </c>
      <c r="D5904" s="159" t="str">
        <f t="shared" si="466"/>
        <v>December!$F$1:$F$92</v>
      </c>
      <c r="E5904" t="s">
        <v>10</v>
      </c>
      <c r="F5904" t="s">
        <v>131</v>
      </c>
      <c r="G5904" t="s">
        <v>142</v>
      </c>
      <c r="H5904" t="s">
        <v>159</v>
      </c>
      <c r="I5904" t="e">
        <f t="shared" ca="1" si="467"/>
        <v>#REF!</v>
      </c>
      <c r="J5904" t="str">
        <f>VLOOKUP($G5904,DefinitionArrays!$I$6:$J$12,2,FALSE)</f>
        <v>Workweek</v>
      </c>
    </row>
    <row r="5905" spans="1:10">
      <c r="A5905" s="159" t="str">
        <f t="shared" si="463"/>
        <v>$E$1:$E$92</v>
      </c>
      <c r="B5905" s="159" t="str">
        <f t="shared" si="464"/>
        <v>$F$1:$F$92</v>
      </c>
      <c r="C5905" s="159" t="str">
        <f t="shared" si="465"/>
        <v>December!$E$1:$E$92</v>
      </c>
      <c r="D5905" s="159" t="str">
        <f t="shared" si="466"/>
        <v>December!$F$1:$F$92</v>
      </c>
      <c r="E5905" t="s">
        <v>10</v>
      </c>
      <c r="F5905" t="s">
        <v>131</v>
      </c>
      <c r="G5905" t="s">
        <v>142</v>
      </c>
      <c r="H5905" t="s">
        <v>18</v>
      </c>
      <c r="I5905" t="e">
        <f t="shared" ca="1" si="467"/>
        <v>#REF!</v>
      </c>
      <c r="J5905" t="str">
        <f>VLOOKUP($G5905,DefinitionArrays!$I$6:$J$12,2,FALSE)</f>
        <v>Workweek</v>
      </c>
    </row>
    <row r="5906" spans="1:10">
      <c r="A5906" s="159" t="str">
        <f t="shared" si="463"/>
        <v>$E$1:$E$92</v>
      </c>
      <c r="B5906" s="159" t="str">
        <f t="shared" si="464"/>
        <v>$F$1:$F$92</v>
      </c>
      <c r="C5906" s="159" t="str">
        <f t="shared" si="465"/>
        <v>December!$E$1:$E$92</v>
      </c>
      <c r="D5906" s="159" t="str">
        <f t="shared" si="466"/>
        <v>December!$F$1:$F$92</v>
      </c>
      <c r="E5906" t="s">
        <v>10</v>
      </c>
      <c r="F5906" t="s">
        <v>131</v>
      </c>
      <c r="G5906" t="s">
        <v>142</v>
      </c>
      <c r="H5906" t="s">
        <v>153</v>
      </c>
      <c r="I5906" t="e">
        <f t="shared" ca="1" si="467"/>
        <v>#REF!</v>
      </c>
      <c r="J5906" t="str">
        <f>VLOOKUP($G5906,DefinitionArrays!$I$6:$J$12,2,FALSE)</f>
        <v>Workweek</v>
      </c>
    </row>
    <row r="5907" spans="1:10">
      <c r="A5907" s="159" t="str">
        <f t="shared" si="463"/>
        <v>$E$1:$E$92</v>
      </c>
      <c r="B5907" s="159" t="str">
        <f t="shared" si="464"/>
        <v>$F$1:$F$92</v>
      </c>
      <c r="C5907" s="159" t="str">
        <f t="shared" si="465"/>
        <v>December!$E$1:$E$92</v>
      </c>
      <c r="D5907" s="159" t="str">
        <f t="shared" si="466"/>
        <v>December!$F$1:$F$92</v>
      </c>
      <c r="E5907" t="s">
        <v>10</v>
      </c>
      <c r="F5907" t="s">
        <v>131</v>
      </c>
      <c r="G5907" t="s">
        <v>142</v>
      </c>
      <c r="H5907" t="s">
        <v>19</v>
      </c>
      <c r="I5907" t="e">
        <f t="shared" ca="1" si="467"/>
        <v>#REF!</v>
      </c>
      <c r="J5907" t="str">
        <f>VLOOKUP($G5907,DefinitionArrays!$I$6:$J$12,2,FALSE)</f>
        <v>Workweek</v>
      </c>
    </row>
    <row r="5908" spans="1:10">
      <c r="A5908" s="159" t="str">
        <f t="shared" si="463"/>
        <v>$E$1:$E$92</v>
      </c>
      <c r="B5908" s="159" t="str">
        <f t="shared" si="464"/>
        <v>$F$1:$F$92</v>
      </c>
      <c r="C5908" s="159" t="str">
        <f t="shared" si="465"/>
        <v>December!$E$1:$E$92</v>
      </c>
      <c r="D5908" s="159" t="str">
        <f t="shared" si="466"/>
        <v>December!$F$1:$F$92</v>
      </c>
      <c r="E5908" t="s">
        <v>10</v>
      </c>
      <c r="F5908" t="s">
        <v>131</v>
      </c>
      <c r="G5908" t="s">
        <v>142</v>
      </c>
      <c r="H5908" t="s">
        <v>20</v>
      </c>
      <c r="I5908" t="e">
        <f t="shared" ca="1" si="467"/>
        <v>#REF!</v>
      </c>
      <c r="J5908" t="str">
        <f>VLOOKUP($G5908,DefinitionArrays!$I$6:$J$12,2,FALSE)</f>
        <v>Workweek</v>
      </c>
    </row>
    <row r="5909" spans="1:10">
      <c r="A5909" s="159" t="str">
        <f t="shared" si="463"/>
        <v>$E$1:$E$92</v>
      </c>
      <c r="B5909" s="159" t="str">
        <f t="shared" si="464"/>
        <v>$F$1:$F$92</v>
      </c>
      <c r="C5909" s="159" t="str">
        <f t="shared" si="465"/>
        <v>December!$E$1:$E$92</v>
      </c>
      <c r="D5909" s="159" t="str">
        <f t="shared" si="466"/>
        <v>December!$F$1:$F$92</v>
      </c>
      <c r="E5909" t="s">
        <v>10</v>
      </c>
      <c r="F5909" t="s">
        <v>131</v>
      </c>
      <c r="G5909" t="s">
        <v>142</v>
      </c>
      <c r="H5909" t="s">
        <v>21</v>
      </c>
      <c r="I5909" t="e">
        <f t="shared" ca="1" si="467"/>
        <v>#REF!</v>
      </c>
      <c r="J5909" t="str">
        <f>VLOOKUP($G5909,DefinitionArrays!$I$6:$J$12,2,FALSE)</f>
        <v>Workweek</v>
      </c>
    </row>
    <row r="5910" spans="1:10">
      <c r="A5910" s="159" t="str">
        <f t="shared" si="463"/>
        <v>$E$1:$E$92</v>
      </c>
      <c r="B5910" s="159" t="str">
        <f t="shared" si="464"/>
        <v>$F$1:$F$92</v>
      </c>
      <c r="C5910" s="159" t="str">
        <f t="shared" si="465"/>
        <v>December!$E$1:$E$92</v>
      </c>
      <c r="D5910" s="159" t="str">
        <f t="shared" si="466"/>
        <v>December!$F$1:$F$92</v>
      </c>
      <c r="E5910" t="s">
        <v>10</v>
      </c>
      <c r="F5910" t="s">
        <v>131</v>
      </c>
      <c r="G5910" t="s">
        <v>142</v>
      </c>
      <c r="H5910" t="s">
        <v>22</v>
      </c>
      <c r="I5910" t="e">
        <f t="shared" ca="1" si="467"/>
        <v>#REF!</v>
      </c>
      <c r="J5910" t="str">
        <f>VLOOKUP($G5910,DefinitionArrays!$I$6:$J$12,2,FALSE)</f>
        <v>Workweek</v>
      </c>
    </row>
    <row r="5911" spans="1:10">
      <c r="A5911" s="159" t="str">
        <f t="shared" si="463"/>
        <v>$E$1:$E$92</v>
      </c>
      <c r="B5911" s="159" t="str">
        <f t="shared" si="464"/>
        <v>$F$1:$F$92</v>
      </c>
      <c r="C5911" s="159" t="str">
        <f t="shared" si="465"/>
        <v>December!$E$1:$E$92</v>
      </c>
      <c r="D5911" s="159" t="str">
        <f t="shared" si="466"/>
        <v>December!$F$1:$F$92</v>
      </c>
      <c r="E5911" t="s">
        <v>10</v>
      </c>
      <c r="F5911" t="s">
        <v>131</v>
      </c>
      <c r="G5911" t="s">
        <v>142</v>
      </c>
      <c r="H5911" t="s">
        <v>23</v>
      </c>
      <c r="I5911" t="e">
        <f t="shared" ca="1" si="467"/>
        <v>#REF!</v>
      </c>
      <c r="J5911" t="str">
        <f>VLOOKUP($G5911,DefinitionArrays!$I$6:$J$12,2,FALSE)</f>
        <v>Workweek</v>
      </c>
    </row>
    <row r="5912" spans="1:10">
      <c r="A5912" s="159" t="str">
        <f t="shared" si="463"/>
        <v>$E$1:$E$92</v>
      </c>
      <c r="B5912" s="159" t="str">
        <f t="shared" si="464"/>
        <v>$F$1:$F$92</v>
      </c>
      <c r="C5912" s="159" t="str">
        <f t="shared" si="465"/>
        <v>December!$E$1:$E$92</v>
      </c>
      <c r="D5912" s="159" t="str">
        <f t="shared" si="466"/>
        <v>December!$F$1:$F$92</v>
      </c>
      <c r="E5912" t="s">
        <v>10</v>
      </c>
      <c r="F5912" t="s">
        <v>131</v>
      </c>
      <c r="G5912" t="s">
        <v>142</v>
      </c>
      <c r="H5912" t="s">
        <v>24</v>
      </c>
      <c r="I5912" t="e">
        <f t="shared" ca="1" si="467"/>
        <v>#REF!</v>
      </c>
      <c r="J5912" t="str">
        <f>VLOOKUP($G5912,DefinitionArrays!$I$6:$J$12,2,FALSE)</f>
        <v>Workweek</v>
      </c>
    </row>
    <row r="5913" spans="1:10">
      <c r="A5913" s="159" t="str">
        <f t="shared" si="463"/>
        <v>$E$1:$E$92</v>
      </c>
      <c r="B5913" s="159" t="str">
        <f t="shared" si="464"/>
        <v>$F$1:$F$92</v>
      </c>
      <c r="C5913" s="159" t="str">
        <f t="shared" si="465"/>
        <v>December!$E$1:$E$92</v>
      </c>
      <c r="D5913" s="159" t="str">
        <f t="shared" si="466"/>
        <v>December!$F$1:$F$92</v>
      </c>
      <c r="E5913" t="s">
        <v>10</v>
      </c>
      <c r="F5913" t="s">
        <v>131</v>
      </c>
      <c r="G5913" t="s">
        <v>142</v>
      </c>
      <c r="H5913" t="s">
        <v>179</v>
      </c>
      <c r="I5913" t="e">
        <f t="shared" ca="1" si="467"/>
        <v>#REF!</v>
      </c>
      <c r="J5913" t="str">
        <f>VLOOKUP($G5913,DefinitionArrays!$I$6:$J$12,2,FALSE)</f>
        <v>Workweek</v>
      </c>
    </row>
    <row r="5914" spans="1:10">
      <c r="A5914" s="159" t="str">
        <f t="shared" si="463"/>
        <v>$E$1:$E$92</v>
      </c>
      <c r="B5914" s="159" t="str">
        <f t="shared" si="464"/>
        <v>$F$1:$F$92</v>
      </c>
      <c r="C5914" s="159" t="str">
        <f t="shared" si="465"/>
        <v>December!$E$1:$E$92</v>
      </c>
      <c r="D5914" s="159" t="str">
        <f t="shared" si="466"/>
        <v>December!$F$1:$F$92</v>
      </c>
      <c r="E5914" t="s">
        <v>10</v>
      </c>
      <c r="F5914" t="s">
        <v>131</v>
      </c>
      <c r="G5914" t="s">
        <v>142</v>
      </c>
      <c r="H5914" t="s">
        <v>180</v>
      </c>
      <c r="I5914" t="e">
        <f t="shared" ca="1" si="467"/>
        <v>#REF!</v>
      </c>
      <c r="J5914" t="str">
        <f>VLOOKUP($G5914,DefinitionArrays!$I$6:$J$12,2,FALSE)</f>
        <v>Workweek</v>
      </c>
    </row>
    <row r="5915" spans="1:10">
      <c r="A5915" s="159" t="str">
        <f t="shared" si="463"/>
        <v>$E$1:$E$92</v>
      </c>
      <c r="B5915" s="159" t="str">
        <f t="shared" si="464"/>
        <v>$F$1:$F$92</v>
      </c>
      <c r="C5915" s="159" t="str">
        <f t="shared" si="465"/>
        <v>December!$E$1:$E$92</v>
      </c>
      <c r="D5915" s="159" t="str">
        <f t="shared" si="466"/>
        <v>December!$F$1:$F$92</v>
      </c>
      <c r="E5915" t="s">
        <v>10</v>
      </c>
      <c r="F5915" t="s">
        <v>131</v>
      </c>
      <c r="G5915" t="s">
        <v>142</v>
      </c>
      <c r="H5915" t="s">
        <v>44</v>
      </c>
      <c r="I5915" t="e">
        <f t="shared" ca="1" si="467"/>
        <v>#REF!</v>
      </c>
      <c r="J5915" t="str">
        <f>VLOOKUP($G5915,DefinitionArrays!$I$6:$J$12,2,FALSE)</f>
        <v>Workweek</v>
      </c>
    </row>
    <row r="5916" spans="1:10">
      <c r="A5916" s="159" t="str">
        <f t="shared" si="463"/>
        <v>$H$1:$H$92</v>
      </c>
      <c r="B5916" s="159" t="str">
        <f t="shared" si="464"/>
        <v>$I$1:$I$92</v>
      </c>
      <c r="C5916" s="159" t="str">
        <f t="shared" si="465"/>
        <v>December!$H$1:$H$92</v>
      </c>
      <c r="D5916" s="159" t="str">
        <f t="shared" si="466"/>
        <v>December!$I$1:$I$92</v>
      </c>
      <c r="E5916" t="s">
        <v>10</v>
      </c>
      <c r="F5916" t="s">
        <v>131</v>
      </c>
      <c r="G5916" t="s">
        <v>143</v>
      </c>
      <c r="H5916" t="s">
        <v>159</v>
      </c>
      <c r="I5916" t="e">
        <f t="shared" ca="1" si="467"/>
        <v>#REF!</v>
      </c>
      <c r="J5916" t="str">
        <f>VLOOKUP($G5916,DefinitionArrays!$I$6:$J$12,2,FALSE)</f>
        <v>Workweek</v>
      </c>
    </row>
    <row r="5917" spans="1:10">
      <c r="A5917" s="159" t="str">
        <f t="shared" si="463"/>
        <v>$H$1:$H$92</v>
      </c>
      <c r="B5917" s="159" t="str">
        <f t="shared" si="464"/>
        <v>$I$1:$I$92</v>
      </c>
      <c r="C5917" s="159" t="str">
        <f t="shared" si="465"/>
        <v>December!$H$1:$H$92</v>
      </c>
      <c r="D5917" s="159" t="str">
        <f t="shared" si="466"/>
        <v>December!$I$1:$I$92</v>
      </c>
      <c r="E5917" t="s">
        <v>10</v>
      </c>
      <c r="F5917" t="s">
        <v>131</v>
      </c>
      <c r="G5917" t="s">
        <v>143</v>
      </c>
      <c r="H5917" t="s">
        <v>18</v>
      </c>
      <c r="I5917" t="e">
        <f t="shared" ca="1" si="467"/>
        <v>#REF!</v>
      </c>
      <c r="J5917" t="str">
        <f>VLOOKUP($G5917,DefinitionArrays!$I$6:$J$12,2,FALSE)</f>
        <v>Workweek</v>
      </c>
    </row>
    <row r="5918" spans="1:10">
      <c r="A5918" s="159" t="str">
        <f t="shared" si="463"/>
        <v>$H$1:$H$92</v>
      </c>
      <c r="B5918" s="159" t="str">
        <f t="shared" si="464"/>
        <v>$I$1:$I$92</v>
      </c>
      <c r="C5918" s="159" t="str">
        <f t="shared" si="465"/>
        <v>December!$H$1:$H$92</v>
      </c>
      <c r="D5918" s="159" t="str">
        <f t="shared" si="466"/>
        <v>December!$I$1:$I$92</v>
      </c>
      <c r="E5918" t="s">
        <v>10</v>
      </c>
      <c r="F5918" t="s">
        <v>131</v>
      </c>
      <c r="G5918" t="s">
        <v>143</v>
      </c>
      <c r="H5918" t="s">
        <v>153</v>
      </c>
      <c r="I5918" t="e">
        <f t="shared" ca="1" si="467"/>
        <v>#REF!</v>
      </c>
      <c r="J5918" t="str">
        <f>VLOOKUP($G5918,DefinitionArrays!$I$6:$J$12,2,FALSE)</f>
        <v>Workweek</v>
      </c>
    </row>
    <row r="5919" spans="1:10">
      <c r="A5919" s="159" t="str">
        <f t="shared" si="463"/>
        <v>$H$1:$H$92</v>
      </c>
      <c r="B5919" s="159" t="str">
        <f t="shared" si="464"/>
        <v>$I$1:$I$92</v>
      </c>
      <c r="C5919" s="159" t="str">
        <f t="shared" si="465"/>
        <v>December!$H$1:$H$92</v>
      </c>
      <c r="D5919" s="159" t="str">
        <f t="shared" si="466"/>
        <v>December!$I$1:$I$92</v>
      </c>
      <c r="E5919" t="s">
        <v>10</v>
      </c>
      <c r="F5919" t="s">
        <v>131</v>
      </c>
      <c r="G5919" t="s">
        <v>143</v>
      </c>
      <c r="H5919" t="s">
        <v>19</v>
      </c>
      <c r="I5919" t="e">
        <f t="shared" ca="1" si="467"/>
        <v>#REF!</v>
      </c>
      <c r="J5919" t="str">
        <f>VLOOKUP($G5919,DefinitionArrays!$I$6:$J$12,2,FALSE)</f>
        <v>Workweek</v>
      </c>
    </row>
    <row r="5920" spans="1:10">
      <c r="A5920" s="159" t="str">
        <f t="shared" si="463"/>
        <v>$H$1:$H$92</v>
      </c>
      <c r="B5920" s="159" t="str">
        <f t="shared" si="464"/>
        <v>$I$1:$I$92</v>
      </c>
      <c r="C5920" s="159" t="str">
        <f t="shared" si="465"/>
        <v>December!$H$1:$H$92</v>
      </c>
      <c r="D5920" s="159" t="str">
        <f t="shared" si="466"/>
        <v>December!$I$1:$I$92</v>
      </c>
      <c r="E5920" t="s">
        <v>10</v>
      </c>
      <c r="F5920" t="s">
        <v>131</v>
      </c>
      <c r="G5920" t="s">
        <v>143</v>
      </c>
      <c r="H5920" t="s">
        <v>20</v>
      </c>
      <c r="I5920" t="e">
        <f t="shared" ca="1" si="467"/>
        <v>#REF!</v>
      </c>
      <c r="J5920" t="str">
        <f>VLOOKUP($G5920,DefinitionArrays!$I$6:$J$12,2,FALSE)</f>
        <v>Workweek</v>
      </c>
    </row>
    <row r="5921" spans="1:10">
      <c r="A5921" s="159" t="str">
        <f t="shared" si="463"/>
        <v>$H$1:$H$92</v>
      </c>
      <c r="B5921" s="159" t="str">
        <f t="shared" si="464"/>
        <v>$I$1:$I$92</v>
      </c>
      <c r="C5921" s="159" t="str">
        <f t="shared" si="465"/>
        <v>December!$H$1:$H$92</v>
      </c>
      <c r="D5921" s="159" t="str">
        <f t="shared" si="466"/>
        <v>December!$I$1:$I$92</v>
      </c>
      <c r="E5921" t="s">
        <v>10</v>
      </c>
      <c r="F5921" t="s">
        <v>131</v>
      </c>
      <c r="G5921" t="s">
        <v>143</v>
      </c>
      <c r="H5921" t="s">
        <v>21</v>
      </c>
      <c r="I5921" t="e">
        <f t="shared" ca="1" si="467"/>
        <v>#REF!</v>
      </c>
      <c r="J5921" t="str">
        <f>VLOOKUP($G5921,DefinitionArrays!$I$6:$J$12,2,FALSE)</f>
        <v>Workweek</v>
      </c>
    </row>
    <row r="5922" spans="1:10">
      <c r="A5922" s="159" t="str">
        <f t="shared" si="463"/>
        <v>$H$1:$H$92</v>
      </c>
      <c r="B5922" s="159" t="str">
        <f t="shared" si="464"/>
        <v>$I$1:$I$92</v>
      </c>
      <c r="C5922" s="159" t="str">
        <f t="shared" si="465"/>
        <v>December!$H$1:$H$92</v>
      </c>
      <c r="D5922" s="159" t="str">
        <f t="shared" si="466"/>
        <v>December!$I$1:$I$92</v>
      </c>
      <c r="E5922" t="s">
        <v>10</v>
      </c>
      <c r="F5922" t="s">
        <v>131</v>
      </c>
      <c r="G5922" t="s">
        <v>143</v>
      </c>
      <c r="H5922" t="s">
        <v>22</v>
      </c>
      <c r="I5922" t="e">
        <f t="shared" ca="1" si="467"/>
        <v>#REF!</v>
      </c>
      <c r="J5922" t="str">
        <f>VLOOKUP($G5922,DefinitionArrays!$I$6:$J$12,2,FALSE)</f>
        <v>Workweek</v>
      </c>
    </row>
    <row r="5923" spans="1:10">
      <c r="A5923" s="159" t="str">
        <f t="shared" si="463"/>
        <v>$H$1:$H$92</v>
      </c>
      <c r="B5923" s="159" t="str">
        <f t="shared" si="464"/>
        <v>$I$1:$I$92</v>
      </c>
      <c r="C5923" s="159" t="str">
        <f t="shared" si="465"/>
        <v>December!$H$1:$H$92</v>
      </c>
      <c r="D5923" s="159" t="str">
        <f t="shared" si="466"/>
        <v>December!$I$1:$I$92</v>
      </c>
      <c r="E5923" t="s">
        <v>10</v>
      </c>
      <c r="F5923" t="s">
        <v>131</v>
      </c>
      <c r="G5923" t="s">
        <v>143</v>
      </c>
      <c r="H5923" t="s">
        <v>23</v>
      </c>
      <c r="I5923" t="e">
        <f t="shared" ca="1" si="467"/>
        <v>#REF!</v>
      </c>
      <c r="J5923" t="str">
        <f>VLOOKUP($G5923,DefinitionArrays!$I$6:$J$12,2,FALSE)</f>
        <v>Workweek</v>
      </c>
    </row>
    <row r="5924" spans="1:10">
      <c r="A5924" s="159" t="str">
        <f t="shared" si="463"/>
        <v>$H$1:$H$92</v>
      </c>
      <c r="B5924" s="159" t="str">
        <f t="shared" si="464"/>
        <v>$I$1:$I$92</v>
      </c>
      <c r="C5924" s="159" t="str">
        <f t="shared" si="465"/>
        <v>December!$H$1:$H$92</v>
      </c>
      <c r="D5924" s="159" t="str">
        <f t="shared" si="466"/>
        <v>December!$I$1:$I$92</v>
      </c>
      <c r="E5924" t="s">
        <v>10</v>
      </c>
      <c r="F5924" t="s">
        <v>131</v>
      </c>
      <c r="G5924" t="s">
        <v>143</v>
      </c>
      <c r="H5924" t="s">
        <v>24</v>
      </c>
      <c r="I5924" t="e">
        <f t="shared" ca="1" si="467"/>
        <v>#REF!</v>
      </c>
      <c r="J5924" t="str">
        <f>VLOOKUP($G5924,DefinitionArrays!$I$6:$J$12,2,FALSE)</f>
        <v>Workweek</v>
      </c>
    </row>
    <row r="5925" spans="1:10">
      <c r="A5925" s="159" t="str">
        <f t="shared" si="463"/>
        <v>$H$1:$H$92</v>
      </c>
      <c r="B5925" s="159" t="str">
        <f t="shared" si="464"/>
        <v>$I$1:$I$92</v>
      </c>
      <c r="C5925" s="159" t="str">
        <f t="shared" si="465"/>
        <v>December!$H$1:$H$92</v>
      </c>
      <c r="D5925" s="159" t="str">
        <f t="shared" si="466"/>
        <v>December!$I$1:$I$92</v>
      </c>
      <c r="E5925" t="s">
        <v>10</v>
      </c>
      <c r="F5925" t="s">
        <v>131</v>
      </c>
      <c r="G5925" t="s">
        <v>143</v>
      </c>
      <c r="H5925" t="s">
        <v>179</v>
      </c>
      <c r="I5925" t="e">
        <f t="shared" ca="1" si="467"/>
        <v>#REF!</v>
      </c>
      <c r="J5925" t="str">
        <f>VLOOKUP($G5925,DefinitionArrays!$I$6:$J$12,2,FALSE)</f>
        <v>Workweek</v>
      </c>
    </row>
    <row r="5926" spans="1:10">
      <c r="A5926" s="159" t="str">
        <f t="shared" si="463"/>
        <v>$H$1:$H$92</v>
      </c>
      <c r="B5926" s="159" t="str">
        <f t="shared" si="464"/>
        <v>$I$1:$I$92</v>
      </c>
      <c r="C5926" s="159" t="str">
        <f t="shared" si="465"/>
        <v>December!$H$1:$H$92</v>
      </c>
      <c r="D5926" s="159" t="str">
        <f t="shared" si="466"/>
        <v>December!$I$1:$I$92</v>
      </c>
      <c r="E5926" t="s">
        <v>10</v>
      </c>
      <c r="F5926" t="s">
        <v>131</v>
      </c>
      <c r="G5926" t="s">
        <v>143</v>
      </c>
      <c r="H5926" t="s">
        <v>180</v>
      </c>
      <c r="I5926" t="e">
        <f t="shared" ca="1" si="467"/>
        <v>#REF!</v>
      </c>
      <c r="J5926" t="str">
        <f>VLOOKUP($G5926,DefinitionArrays!$I$6:$J$12,2,FALSE)</f>
        <v>Workweek</v>
      </c>
    </row>
    <row r="5927" spans="1:10">
      <c r="A5927" s="159" t="str">
        <f t="shared" si="463"/>
        <v>$H$1:$H$92</v>
      </c>
      <c r="B5927" s="159" t="str">
        <f t="shared" si="464"/>
        <v>$I$1:$I$92</v>
      </c>
      <c r="C5927" s="159" t="str">
        <f t="shared" si="465"/>
        <v>December!$H$1:$H$92</v>
      </c>
      <c r="D5927" s="159" t="str">
        <f t="shared" si="466"/>
        <v>December!$I$1:$I$92</v>
      </c>
      <c r="E5927" t="s">
        <v>10</v>
      </c>
      <c r="F5927" t="s">
        <v>131</v>
      </c>
      <c r="G5927" t="s">
        <v>143</v>
      </c>
      <c r="H5927" t="s">
        <v>44</v>
      </c>
      <c r="I5927" t="e">
        <f t="shared" ca="1" si="467"/>
        <v>#REF!</v>
      </c>
      <c r="J5927" t="str">
        <f>VLOOKUP($G5927,DefinitionArrays!$I$6:$J$12,2,FALSE)</f>
        <v>Workweek</v>
      </c>
    </row>
    <row r="5928" spans="1:10">
      <c r="A5928" s="159" t="str">
        <f t="shared" si="463"/>
        <v>$K$1:$K$92</v>
      </c>
      <c r="B5928" s="159" t="str">
        <f t="shared" si="464"/>
        <v>$L$1:$L$92</v>
      </c>
      <c r="C5928" s="159" t="str">
        <f t="shared" si="465"/>
        <v>December!$K$1:$K$92</v>
      </c>
      <c r="D5928" s="159" t="str">
        <f t="shared" si="466"/>
        <v>December!$L$1:$L$92</v>
      </c>
      <c r="E5928" t="s">
        <v>10</v>
      </c>
      <c r="F5928" t="s">
        <v>131</v>
      </c>
      <c r="G5928" t="s">
        <v>144</v>
      </c>
      <c r="H5928" t="s">
        <v>159</v>
      </c>
      <c r="I5928" t="e">
        <f t="shared" ca="1" si="467"/>
        <v>#REF!</v>
      </c>
      <c r="J5928" t="str">
        <f>VLOOKUP($G5928,DefinitionArrays!$I$6:$J$12,2,FALSE)</f>
        <v>Workweek</v>
      </c>
    </row>
    <row r="5929" spans="1:10">
      <c r="A5929" s="159" t="str">
        <f t="shared" si="463"/>
        <v>$K$1:$K$92</v>
      </c>
      <c r="B5929" s="159" t="str">
        <f t="shared" si="464"/>
        <v>$L$1:$L$92</v>
      </c>
      <c r="C5929" s="159" t="str">
        <f t="shared" si="465"/>
        <v>December!$K$1:$K$92</v>
      </c>
      <c r="D5929" s="159" t="str">
        <f t="shared" si="466"/>
        <v>December!$L$1:$L$92</v>
      </c>
      <c r="E5929" t="s">
        <v>10</v>
      </c>
      <c r="F5929" t="s">
        <v>131</v>
      </c>
      <c r="G5929" t="s">
        <v>144</v>
      </c>
      <c r="H5929" t="s">
        <v>18</v>
      </c>
      <c r="I5929" t="e">
        <f t="shared" ca="1" si="467"/>
        <v>#REF!</v>
      </c>
      <c r="J5929" t="str">
        <f>VLOOKUP($G5929,DefinitionArrays!$I$6:$J$12,2,FALSE)</f>
        <v>Workweek</v>
      </c>
    </row>
    <row r="5930" spans="1:10">
      <c r="A5930" s="159" t="str">
        <f t="shared" si="463"/>
        <v>$K$1:$K$92</v>
      </c>
      <c r="B5930" s="159" t="str">
        <f t="shared" si="464"/>
        <v>$L$1:$L$92</v>
      </c>
      <c r="C5930" s="159" t="str">
        <f t="shared" si="465"/>
        <v>December!$K$1:$K$92</v>
      </c>
      <c r="D5930" s="159" t="str">
        <f t="shared" si="466"/>
        <v>December!$L$1:$L$92</v>
      </c>
      <c r="E5930" t="s">
        <v>10</v>
      </c>
      <c r="F5930" t="s">
        <v>131</v>
      </c>
      <c r="G5930" t="s">
        <v>144</v>
      </c>
      <c r="H5930" t="s">
        <v>153</v>
      </c>
      <c r="I5930" t="e">
        <f t="shared" ca="1" si="467"/>
        <v>#REF!</v>
      </c>
      <c r="J5930" t="str">
        <f>VLOOKUP($G5930,DefinitionArrays!$I$6:$J$12,2,FALSE)</f>
        <v>Workweek</v>
      </c>
    </row>
    <row r="5931" spans="1:10">
      <c r="A5931" s="159" t="str">
        <f t="shared" si="463"/>
        <v>$K$1:$K$92</v>
      </c>
      <c r="B5931" s="159" t="str">
        <f t="shared" si="464"/>
        <v>$L$1:$L$92</v>
      </c>
      <c r="C5931" s="159" t="str">
        <f t="shared" si="465"/>
        <v>December!$K$1:$K$92</v>
      </c>
      <c r="D5931" s="159" t="str">
        <f t="shared" si="466"/>
        <v>December!$L$1:$L$92</v>
      </c>
      <c r="E5931" t="s">
        <v>10</v>
      </c>
      <c r="F5931" t="s">
        <v>131</v>
      </c>
      <c r="G5931" t="s">
        <v>144</v>
      </c>
      <c r="H5931" t="s">
        <v>19</v>
      </c>
      <c r="I5931" t="e">
        <f t="shared" ca="1" si="467"/>
        <v>#REF!</v>
      </c>
      <c r="J5931" t="str">
        <f>VLOOKUP($G5931,DefinitionArrays!$I$6:$J$12,2,FALSE)</f>
        <v>Workweek</v>
      </c>
    </row>
    <row r="5932" spans="1:10">
      <c r="A5932" s="159" t="str">
        <f t="shared" si="463"/>
        <v>$K$1:$K$92</v>
      </c>
      <c r="B5932" s="159" t="str">
        <f t="shared" si="464"/>
        <v>$L$1:$L$92</v>
      </c>
      <c r="C5932" s="159" t="str">
        <f t="shared" si="465"/>
        <v>December!$K$1:$K$92</v>
      </c>
      <c r="D5932" s="159" t="str">
        <f t="shared" si="466"/>
        <v>December!$L$1:$L$92</v>
      </c>
      <c r="E5932" t="s">
        <v>10</v>
      </c>
      <c r="F5932" t="s">
        <v>131</v>
      </c>
      <c r="G5932" t="s">
        <v>144</v>
      </c>
      <c r="H5932" t="s">
        <v>20</v>
      </c>
      <c r="I5932" t="e">
        <f t="shared" ca="1" si="467"/>
        <v>#REF!</v>
      </c>
      <c r="J5932" t="str">
        <f>VLOOKUP($G5932,DefinitionArrays!$I$6:$J$12,2,FALSE)</f>
        <v>Workweek</v>
      </c>
    </row>
    <row r="5933" spans="1:10">
      <c r="A5933" s="159" t="str">
        <f t="shared" si="463"/>
        <v>$K$1:$K$92</v>
      </c>
      <c r="B5933" s="159" t="str">
        <f t="shared" si="464"/>
        <v>$L$1:$L$92</v>
      </c>
      <c r="C5933" s="159" t="str">
        <f t="shared" si="465"/>
        <v>December!$K$1:$K$92</v>
      </c>
      <c r="D5933" s="159" t="str">
        <f t="shared" si="466"/>
        <v>December!$L$1:$L$92</v>
      </c>
      <c r="E5933" t="s">
        <v>10</v>
      </c>
      <c r="F5933" t="s">
        <v>131</v>
      </c>
      <c r="G5933" t="s">
        <v>144</v>
      </c>
      <c r="H5933" t="s">
        <v>21</v>
      </c>
      <c r="I5933" t="e">
        <f t="shared" ca="1" si="467"/>
        <v>#REF!</v>
      </c>
      <c r="J5933" t="str">
        <f>VLOOKUP($G5933,DefinitionArrays!$I$6:$J$12,2,FALSE)</f>
        <v>Workweek</v>
      </c>
    </row>
    <row r="5934" spans="1:10">
      <c r="A5934" s="159" t="str">
        <f t="shared" si="463"/>
        <v>$K$1:$K$92</v>
      </c>
      <c r="B5934" s="159" t="str">
        <f t="shared" si="464"/>
        <v>$L$1:$L$92</v>
      </c>
      <c r="C5934" s="159" t="str">
        <f t="shared" si="465"/>
        <v>December!$K$1:$K$92</v>
      </c>
      <c r="D5934" s="159" t="str">
        <f t="shared" si="466"/>
        <v>December!$L$1:$L$92</v>
      </c>
      <c r="E5934" t="s">
        <v>10</v>
      </c>
      <c r="F5934" t="s">
        <v>131</v>
      </c>
      <c r="G5934" t="s">
        <v>144</v>
      </c>
      <c r="H5934" t="s">
        <v>22</v>
      </c>
      <c r="I5934" t="e">
        <f t="shared" ca="1" si="467"/>
        <v>#REF!</v>
      </c>
      <c r="J5934" t="str">
        <f>VLOOKUP($G5934,DefinitionArrays!$I$6:$J$12,2,FALSE)</f>
        <v>Workweek</v>
      </c>
    </row>
    <row r="5935" spans="1:10">
      <c r="A5935" s="159" t="str">
        <f t="shared" si="463"/>
        <v>$K$1:$K$92</v>
      </c>
      <c r="B5935" s="159" t="str">
        <f t="shared" si="464"/>
        <v>$L$1:$L$92</v>
      </c>
      <c r="C5935" s="159" t="str">
        <f t="shared" si="465"/>
        <v>December!$K$1:$K$92</v>
      </c>
      <c r="D5935" s="159" t="str">
        <f t="shared" si="466"/>
        <v>December!$L$1:$L$92</v>
      </c>
      <c r="E5935" t="s">
        <v>10</v>
      </c>
      <c r="F5935" t="s">
        <v>131</v>
      </c>
      <c r="G5935" t="s">
        <v>144</v>
      </c>
      <c r="H5935" t="s">
        <v>23</v>
      </c>
      <c r="I5935" t="e">
        <f t="shared" ca="1" si="467"/>
        <v>#REF!</v>
      </c>
      <c r="J5935" t="str">
        <f>VLOOKUP($G5935,DefinitionArrays!$I$6:$J$12,2,FALSE)</f>
        <v>Workweek</v>
      </c>
    </row>
    <row r="5936" spans="1:10">
      <c r="A5936" s="159" t="str">
        <f t="shared" si="463"/>
        <v>$K$1:$K$92</v>
      </c>
      <c r="B5936" s="159" t="str">
        <f t="shared" si="464"/>
        <v>$L$1:$L$92</v>
      </c>
      <c r="C5936" s="159" t="str">
        <f t="shared" si="465"/>
        <v>December!$K$1:$K$92</v>
      </c>
      <c r="D5936" s="159" t="str">
        <f t="shared" si="466"/>
        <v>December!$L$1:$L$92</v>
      </c>
      <c r="E5936" t="s">
        <v>10</v>
      </c>
      <c r="F5936" t="s">
        <v>131</v>
      </c>
      <c r="G5936" t="s">
        <v>144</v>
      </c>
      <c r="H5936" t="s">
        <v>24</v>
      </c>
      <c r="I5936" t="e">
        <f t="shared" ca="1" si="467"/>
        <v>#REF!</v>
      </c>
      <c r="J5936" t="str">
        <f>VLOOKUP($G5936,DefinitionArrays!$I$6:$J$12,2,FALSE)</f>
        <v>Workweek</v>
      </c>
    </row>
    <row r="5937" spans="1:10">
      <c r="A5937" s="159" t="str">
        <f t="shared" si="463"/>
        <v>$K$1:$K$92</v>
      </c>
      <c r="B5937" s="159" t="str">
        <f t="shared" si="464"/>
        <v>$L$1:$L$92</v>
      </c>
      <c r="C5937" s="159" t="str">
        <f t="shared" si="465"/>
        <v>December!$K$1:$K$92</v>
      </c>
      <c r="D5937" s="159" t="str">
        <f t="shared" si="466"/>
        <v>December!$L$1:$L$92</v>
      </c>
      <c r="E5937" t="s">
        <v>10</v>
      </c>
      <c r="F5937" t="s">
        <v>131</v>
      </c>
      <c r="G5937" t="s">
        <v>144</v>
      </c>
      <c r="H5937" t="s">
        <v>179</v>
      </c>
      <c r="I5937" t="e">
        <f t="shared" ca="1" si="467"/>
        <v>#REF!</v>
      </c>
      <c r="J5937" t="str">
        <f>VLOOKUP($G5937,DefinitionArrays!$I$6:$J$12,2,FALSE)</f>
        <v>Workweek</v>
      </c>
    </row>
    <row r="5938" spans="1:10">
      <c r="A5938" s="159" t="str">
        <f t="shared" si="463"/>
        <v>$K$1:$K$92</v>
      </c>
      <c r="B5938" s="159" t="str">
        <f t="shared" si="464"/>
        <v>$L$1:$L$92</v>
      </c>
      <c r="C5938" s="159" t="str">
        <f t="shared" si="465"/>
        <v>December!$K$1:$K$92</v>
      </c>
      <c r="D5938" s="159" t="str">
        <f t="shared" si="466"/>
        <v>December!$L$1:$L$92</v>
      </c>
      <c r="E5938" t="s">
        <v>10</v>
      </c>
      <c r="F5938" t="s">
        <v>131</v>
      </c>
      <c r="G5938" t="s">
        <v>144</v>
      </c>
      <c r="H5938" t="s">
        <v>180</v>
      </c>
      <c r="I5938" t="e">
        <f t="shared" ca="1" si="467"/>
        <v>#REF!</v>
      </c>
      <c r="J5938" t="str">
        <f>VLOOKUP($G5938,DefinitionArrays!$I$6:$J$12,2,FALSE)</f>
        <v>Workweek</v>
      </c>
    </row>
    <row r="5939" spans="1:10">
      <c r="A5939" s="159" t="str">
        <f t="shared" si="463"/>
        <v>$K$1:$K$92</v>
      </c>
      <c r="B5939" s="159" t="str">
        <f t="shared" si="464"/>
        <v>$L$1:$L$92</v>
      </c>
      <c r="C5939" s="159" t="str">
        <f t="shared" si="465"/>
        <v>December!$K$1:$K$92</v>
      </c>
      <c r="D5939" s="159" t="str">
        <f t="shared" si="466"/>
        <v>December!$L$1:$L$92</v>
      </c>
      <c r="E5939" t="s">
        <v>10</v>
      </c>
      <c r="F5939" t="s">
        <v>131</v>
      </c>
      <c r="G5939" t="s">
        <v>144</v>
      </c>
      <c r="H5939" t="s">
        <v>44</v>
      </c>
      <c r="I5939" t="e">
        <f t="shared" ca="1" si="467"/>
        <v>#REF!</v>
      </c>
      <c r="J5939" t="str">
        <f>VLOOKUP($G5939,DefinitionArrays!$I$6:$J$12,2,FALSE)</f>
        <v>Workweek</v>
      </c>
    </row>
    <row r="5940" spans="1:10">
      <c r="A5940" s="159" t="str">
        <f t="shared" si="463"/>
        <v>$N$1:$N$92</v>
      </c>
      <c r="B5940" s="159" t="str">
        <f t="shared" si="464"/>
        <v>$O$1:$O$92</v>
      </c>
      <c r="C5940" s="159" t="str">
        <f t="shared" si="465"/>
        <v>December!$N$1:$N$92</v>
      </c>
      <c r="D5940" s="159" t="str">
        <f t="shared" si="466"/>
        <v>December!$O$1:$O$92</v>
      </c>
      <c r="E5940" t="s">
        <v>10</v>
      </c>
      <c r="F5940" t="s">
        <v>131</v>
      </c>
      <c r="G5940" t="s">
        <v>145</v>
      </c>
      <c r="H5940" t="s">
        <v>159</v>
      </c>
      <c r="I5940" t="e">
        <f t="shared" ca="1" si="467"/>
        <v>#REF!</v>
      </c>
      <c r="J5940" t="str">
        <f>VLOOKUP($G5940,DefinitionArrays!$I$6:$J$12,2,FALSE)</f>
        <v>Weekend</v>
      </c>
    </row>
    <row r="5941" spans="1:10">
      <c r="A5941" s="159" t="str">
        <f t="shared" si="463"/>
        <v>$N$1:$N$92</v>
      </c>
      <c r="B5941" s="159" t="str">
        <f t="shared" si="464"/>
        <v>$O$1:$O$92</v>
      </c>
      <c r="C5941" s="159" t="str">
        <f t="shared" si="465"/>
        <v>December!$N$1:$N$92</v>
      </c>
      <c r="D5941" s="159" t="str">
        <f t="shared" si="466"/>
        <v>December!$O$1:$O$92</v>
      </c>
      <c r="E5941" t="s">
        <v>10</v>
      </c>
      <c r="F5941" t="s">
        <v>131</v>
      </c>
      <c r="G5941" t="s">
        <v>145</v>
      </c>
      <c r="H5941" t="s">
        <v>18</v>
      </c>
      <c r="I5941" t="e">
        <f t="shared" ca="1" si="467"/>
        <v>#REF!</v>
      </c>
      <c r="J5941" t="str">
        <f>VLOOKUP($G5941,DefinitionArrays!$I$6:$J$12,2,FALSE)</f>
        <v>Weekend</v>
      </c>
    </row>
    <row r="5942" spans="1:10">
      <c r="A5942" s="159" t="str">
        <f t="shared" si="463"/>
        <v>$N$1:$N$92</v>
      </c>
      <c r="B5942" s="159" t="str">
        <f t="shared" si="464"/>
        <v>$O$1:$O$92</v>
      </c>
      <c r="C5942" s="159" t="str">
        <f t="shared" si="465"/>
        <v>December!$N$1:$N$92</v>
      </c>
      <c r="D5942" s="159" t="str">
        <f t="shared" si="466"/>
        <v>December!$O$1:$O$92</v>
      </c>
      <c r="E5942" t="s">
        <v>10</v>
      </c>
      <c r="F5942" t="s">
        <v>131</v>
      </c>
      <c r="G5942" t="s">
        <v>145</v>
      </c>
      <c r="H5942" t="s">
        <v>153</v>
      </c>
      <c r="I5942" t="e">
        <f t="shared" ca="1" si="467"/>
        <v>#REF!</v>
      </c>
      <c r="J5942" t="str">
        <f>VLOOKUP($G5942,DefinitionArrays!$I$6:$J$12,2,FALSE)</f>
        <v>Weekend</v>
      </c>
    </row>
    <row r="5943" spans="1:10">
      <c r="A5943" s="159" t="str">
        <f t="shared" si="463"/>
        <v>$N$1:$N$92</v>
      </c>
      <c r="B5943" s="159" t="str">
        <f t="shared" si="464"/>
        <v>$O$1:$O$92</v>
      </c>
      <c r="C5943" s="159" t="str">
        <f t="shared" si="465"/>
        <v>December!$N$1:$N$92</v>
      </c>
      <c r="D5943" s="159" t="str">
        <f t="shared" si="466"/>
        <v>December!$O$1:$O$92</v>
      </c>
      <c r="E5943" t="s">
        <v>10</v>
      </c>
      <c r="F5943" t="s">
        <v>131</v>
      </c>
      <c r="G5943" t="s">
        <v>145</v>
      </c>
      <c r="H5943" t="s">
        <v>19</v>
      </c>
      <c r="I5943" t="e">
        <f t="shared" ca="1" si="467"/>
        <v>#REF!</v>
      </c>
      <c r="J5943" t="str">
        <f>VLOOKUP($G5943,DefinitionArrays!$I$6:$J$12,2,FALSE)</f>
        <v>Weekend</v>
      </c>
    </row>
    <row r="5944" spans="1:10">
      <c r="A5944" s="159" t="str">
        <f t="shared" si="463"/>
        <v>$N$1:$N$92</v>
      </c>
      <c r="B5944" s="159" t="str">
        <f t="shared" si="464"/>
        <v>$O$1:$O$92</v>
      </c>
      <c r="C5944" s="159" t="str">
        <f t="shared" si="465"/>
        <v>December!$N$1:$N$92</v>
      </c>
      <c r="D5944" s="159" t="str">
        <f t="shared" si="466"/>
        <v>December!$O$1:$O$92</v>
      </c>
      <c r="E5944" t="s">
        <v>10</v>
      </c>
      <c r="F5944" t="s">
        <v>131</v>
      </c>
      <c r="G5944" t="s">
        <v>145</v>
      </c>
      <c r="H5944" t="s">
        <v>20</v>
      </c>
      <c r="I5944" t="e">
        <f t="shared" ca="1" si="467"/>
        <v>#REF!</v>
      </c>
      <c r="J5944" t="str">
        <f>VLOOKUP($G5944,DefinitionArrays!$I$6:$J$12,2,FALSE)</f>
        <v>Weekend</v>
      </c>
    </row>
    <row r="5945" spans="1:10">
      <c r="A5945" s="159" t="str">
        <f t="shared" si="463"/>
        <v>$N$1:$N$92</v>
      </c>
      <c r="B5945" s="159" t="str">
        <f t="shared" si="464"/>
        <v>$O$1:$O$92</v>
      </c>
      <c r="C5945" s="159" t="str">
        <f t="shared" si="465"/>
        <v>December!$N$1:$N$92</v>
      </c>
      <c r="D5945" s="159" t="str">
        <f t="shared" si="466"/>
        <v>December!$O$1:$O$92</v>
      </c>
      <c r="E5945" t="s">
        <v>10</v>
      </c>
      <c r="F5945" t="s">
        <v>131</v>
      </c>
      <c r="G5945" t="s">
        <v>145</v>
      </c>
      <c r="H5945" t="s">
        <v>21</v>
      </c>
      <c r="I5945" t="e">
        <f t="shared" ca="1" si="467"/>
        <v>#REF!</v>
      </c>
      <c r="J5945" t="str">
        <f>VLOOKUP($G5945,DefinitionArrays!$I$6:$J$12,2,FALSE)</f>
        <v>Weekend</v>
      </c>
    </row>
    <row r="5946" spans="1:10">
      <c r="A5946" s="159" t="str">
        <f t="shared" si="463"/>
        <v>$N$1:$N$92</v>
      </c>
      <c r="B5946" s="159" t="str">
        <f t="shared" si="464"/>
        <v>$O$1:$O$92</v>
      </c>
      <c r="C5946" s="159" t="str">
        <f t="shared" si="465"/>
        <v>December!$N$1:$N$92</v>
      </c>
      <c r="D5946" s="159" t="str">
        <f t="shared" si="466"/>
        <v>December!$O$1:$O$92</v>
      </c>
      <c r="E5946" t="s">
        <v>10</v>
      </c>
      <c r="F5946" t="s">
        <v>131</v>
      </c>
      <c r="G5946" t="s">
        <v>145</v>
      </c>
      <c r="H5946" t="s">
        <v>22</v>
      </c>
      <c r="I5946" t="e">
        <f t="shared" ca="1" si="467"/>
        <v>#REF!</v>
      </c>
      <c r="J5946" t="str">
        <f>VLOOKUP($G5946,DefinitionArrays!$I$6:$J$12,2,FALSE)</f>
        <v>Weekend</v>
      </c>
    </row>
    <row r="5947" spans="1:10">
      <c r="A5947" s="159" t="str">
        <f t="shared" si="463"/>
        <v>$N$1:$N$92</v>
      </c>
      <c r="B5947" s="159" t="str">
        <f t="shared" si="464"/>
        <v>$O$1:$O$92</v>
      </c>
      <c r="C5947" s="159" t="str">
        <f t="shared" si="465"/>
        <v>December!$N$1:$N$92</v>
      </c>
      <c r="D5947" s="159" t="str">
        <f t="shared" si="466"/>
        <v>December!$O$1:$O$92</v>
      </c>
      <c r="E5947" t="s">
        <v>10</v>
      </c>
      <c r="F5947" t="s">
        <v>131</v>
      </c>
      <c r="G5947" t="s">
        <v>145</v>
      </c>
      <c r="H5947" t="s">
        <v>23</v>
      </c>
      <c r="I5947" t="e">
        <f t="shared" ca="1" si="467"/>
        <v>#REF!</v>
      </c>
      <c r="J5947" t="str">
        <f>VLOOKUP($G5947,DefinitionArrays!$I$6:$J$12,2,FALSE)</f>
        <v>Weekend</v>
      </c>
    </row>
    <row r="5948" spans="1:10">
      <c r="A5948" s="159" t="str">
        <f t="shared" si="463"/>
        <v>$N$1:$N$92</v>
      </c>
      <c r="B5948" s="159" t="str">
        <f t="shared" si="464"/>
        <v>$O$1:$O$92</v>
      </c>
      <c r="C5948" s="159" t="str">
        <f t="shared" si="465"/>
        <v>December!$N$1:$N$92</v>
      </c>
      <c r="D5948" s="159" t="str">
        <f t="shared" si="466"/>
        <v>December!$O$1:$O$92</v>
      </c>
      <c r="E5948" t="s">
        <v>10</v>
      </c>
      <c r="F5948" t="s">
        <v>131</v>
      </c>
      <c r="G5948" t="s">
        <v>145</v>
      </c>
      <c r="H5948" t="s">
        <v>24</v>
      </c>
      <c r="I5948" t="e">
        <f t="shared" ca="1" si="467"/>
        <v>#REF!</v>
      </c>
      <c r="J5948" t="str">
        <f>VLOOKUP($G5948,DefinitionArrays!$I$6:$J$12,2,FALSE)</f>
        <v>Weekend</v>
      </c>
    </row>
    <row r="5949" spans="1:10">
      <c r="A5949" s="159" t="str">
        <f t="shared" si="463"/>
        <v>$N$1:$N$92</v>
      </c>
      <c r="B5949" s="159" t="str">
        <f t="shared" si="464"/>
        <v>$O$1:$O$92</v>
      </c>
      <c r="C5949" s="159" t="str">
        <f t="shared" si="465"/>
        <v>December!$N$1:$N$92</v>
      </c>
      <c r="D5949" s="159" t="str">
        <f t="shared" si="466"/>
        <v>December!$O$1:$O$92</v>
      </c>
      <c r="E5949" t="s">
        <v>10</v>
      </c>
      <c r="F5949" t="s">
        <v>131</v>
      </c>
      <c r="G5949" t="s">
        <v>145</v>
      </c>
      <c r="H5949" t="s">
        <v>179</v>
      </c>
      <c r="I5949" t="e">
        <f t="shared" ca="1" si="467"/>
        <v>#REF!</v>
      </c>
      <c r="J5949" t="str">
        <f>VLOOKUP($G5949,DefinitionArrays!$I$6:$J$12,2,FALSE)</f>
        <v>Weekend</v>
      </c>
    </row>
    <row r="5950" spans="1:10">
      <c r="A5950" s="159" t="str">
        <f t="shared" si="463"/>
        <v>$N$1:$N$92</v>
      </c>
      <c r="B5950" s="159" t="str">
        <f t="shared" si="464"/>
        <v>$O$1:$O$92</v>
      </c>
      <c r="C5950" s="159" t="str">
        <f t="shared" si="465"/>
        <v>December!$N$1:$N$92</v>
      </c>
      <c r="D5950" s="159" t="str">
        <f t="shared" si="466"/>
        <v>December!$O$1:$O$92</v>
      </c>
      <c r="E5950" t="s">
        <v>10</v>
      </c>
      <c r="F5950" t="s">
        <v>131</v>
      </c>
      <c r="G5950" t="s">
        <v>145</v>
      </c>
      <c r="H5950" t="s">
        <v>180</v>
      </c>
      <c r="I5950" t="e">
        <f t="shared" ca="1" si="467"/>
        <v>#REF!</v>
      </c>
      <c r="J5950" t="str">
        <f>VLOOKUP($G5950,DefinitionArrays!$I$6:$J$12,2,FALSE)</f>
        <v>Weekend</v>
      </c>
    </row>
    <row r="5951" spans="1:10">
      <c r="A5951" s="159" t="str">
        <f t="shared" si="463"/>
        <v>$N$1:$N$92</v>
      </c>
      <c r="B5951" s="159" t="str">
        <f t="shared" si="464"/>
        <v>$O$1:$O$92</v>
      </c>
      <c r="C5951" s="159" t="str">
        <f t="shared" si="465"/>
        <v>December!$N$1:$N$92</v>
      </c>
      <c r="D5951" s="159" t="str">
        <f t="shared" si="466"/>
        <v>December!$O$1:$O$92</v>
      </c>
      <c r="E5951" t="s">
        <v>10</v>
      </c>
      <c r="F5951" t="s">
        <v>131</v>
      </c>
      <c r="G5951" t="s">
        <v>145</v>
      </c>
      <c r="H5951" t="s">
        <v>44</v>
      </c>
      <c r="I5951" t="e">
        <f t="shared" ca="1" si="467"/>
        <v>#REF!</v>
      </c>
      <c r="J5951" t="str">
        <f>VLOOKUP($G5951,DefinitionArrays!$I$6:$J$12,2,FALSE)</f>
        <v>Weekend</v>
      </c>
    </row>
    <row r="5952" spans="1:10">
      <c r="A5952" s="159" t="str">
        <f t="shared" si="463"/>
        <v>$Q$1:$Q$92</v>
      </c>
      <c r="B5952" s="159" t="str">
        <f t="shared" si="464"/>
        <v>$R$1:$R$92</v>
      </c>
      <c r="C5952" s="159" t="str">
        <f t="shared" si="465"/>
        <v>December!$Q$1:$Q$92</v>
      </c>
      <c r="D5952" s="159" t="str">
        <f t="shared" si="466"/>
        <v>December!$R$1:$R$92</v>
      </c>
      <c r="E5952" t="s">
        <v>10</v>
      </c>
      <c r="F5952" t="s">
        <v>131</v>
      </c>
      <c r="G5952" t="s">
        <v>146</v>
      </c>
      <c r="H5952" t="s">
        <v>159</v>
      </c>
      <c r="I5952" t="e">
        <f t="shared" ca="1" si="467"/>
        <v>#REF!</v>
      </c>
      <c r="J5952" t="str">
        <f>VLOOKUP($G5952,DefinitionArrays!$I$6:$J$12,2,FALSE)</f>
        <v>Weekend</v>
      </c>
    </row>
    <row r="5953" spans="1:10">
      <c r="A5953" s="159" t="str">
        <f t="shared" si="463"/>
        <v>$T$1:$T$92</v>
      </c>
      <c r="B5953" s="159" t="str">
        <f t="shared" si="464"/>
        <v>$U$1:$U$92</v>
      </c>
      <c r="C5953" s="159" t="str">
        <f t="shared" si="465"/>
        <v>December!$T$1:$T$92</v>
      </c>
      <c r="D5953" s="159" t="str">
        <f t="shared" si="466"/>
        <v>December!$U$1:$U$92</v>
      </c>
      <c r="E5953" t="s">
        <v>10</v>
      </c>
      <c r="F5953" t="s">
        <v>131</v>
      </c>
      <c r="G5953" t="s">
        <v>141</v>
      </c>
      <c r="H5953" t="s">
        <v>159</v>
      </c>
      <c r="I5953" t="e">
        <f t="shared" ca="1" si="467"/>
        <v>#REF!</v>
      </c>
      <c r="J5953" t="str">
        <f>VLOOKUP($G5953,DefinitionArrays!$I$6:$J$12,2,FALSE)</f>
        <v>Weekend</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70461907-C424-4570-8784-649546AB76E1}">
  <ds:schemaRefs/>
</ds:datastoreItem>
</file>

<file path=customXml/itemProps2.xml><?xml version="1.0" encoding="utf-8"?>
<ds:datastoreItem xmlns:ds="http://schemas.openxmlformats.org/officeDocument/2006/customXml" ds:itemID="{67287DEA-5D90-4B39-BD18-F5414619F839}">
  <ds:schemaRefs/>
</ds:datastoreItem>
</file>

<file path=customXml/itemProps3.xml><?xml version="1.0" encoding="utf-8"?>
<ds:datastoreItem xmlns:ds="http://schemas.openxmlformats.org/officeDocument/2006/customXml" ds:itemID="{E5EC9A35-1672-4F74-A0FE-6D517D3CB06E}">
  <ds:schemaRefs/>
</ds:datastoreItem>
</file>

<file path=customXml/itemProps4.xml><?xml version="1.0" encoding="utf-8"?>
<ds:datastoreItem xmlns:ds="http://schemas.openxmlformats.org/officeDocument/2006/customXml" ds:itemID="{CCF147F6-04FE-4F97-B751-13F82038B2D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40</vt:i4>
      </vt:variant>
    </vt:vector>
  </HeadingPairs>
  <TitlesOfParts>
    <vt:vector size="49" baseType="lpstr">
      <vt:lpstr>DefinitionArrays</vt:lpstr>
      <vt:lpstr>RangeNames</vt:lpstr>
      <vt:lpstr>OnCallSchedule</vt:lpstr>
      <vt:lpstr>StandingMtgs</vt:lpstr>
      <vt:lpstr>DailyOnCall</vt:lpstr>
      <vt:lpstr>MonthTemplate</vt:lpstr>
      <vt:lpstr>YrAnalysis1</vt:lpstr>
      <vt:lpstr>YrAnalysis2</vt:lpstr>
      <vt:lpstr>YearlyAnalysisData</vt:lpstr>
      <vt:lpstr>DATE</vt:lpstr>
      <vt:lpstr>Dates</vt:lpstr>
      <vt:lpstr>Doc_Code</vt:lpstr>
      <vt:lpstr>Fel_Names</vt:lpstr>
      <vt:lpstr>FellowMonthData</vt:lpstr>
      <vt:lpstr>Fri4Mtg1</vt:lpstr>
      <vt:lpstr>FriBox1</vt:lpstr>
      <vt:lpstr>Fx_Code</vt:lpstr>
      <vt:lpstr>MoDay_Code</vt:lpstr>
      <vt:lpstr>Mon2Mtg1</vt:lpstr>
      <vt:lpstr>Mon2Mtg2</vt:lpstr>
      <vt:lpstr>Mon3Mtg1</vt:lpstr>
      <vt:lpstr>Mon3Mtg2</vt:lpstr>
      <vt:lpstr>Mon3Mtg3</vt:lpstr>
      <vt:lpstr>MonBox1</vt:lpstr>
      <vt:lpstr>Month</vt:lpstr>
      <vt:lpstr>MonthCalendar</vt:lpstr>
      <vt:lpstr>Months</vt:lpstr>
      <vt:lpstr>OnCall_Weekend_Array</vt:lpstr>
      <vt:lpstr>OnCall_Workweek_Array</vt:lpstr>
      <vt:lpstr>MonthTemplate!Print_Area</vt:lpstr>
      <vt:lpstr>S</vt:lpstr>
      <vt:lpstr>SatBox1</vt:lpstr>
      <vt:lpstr>SunBox1</vt:lpstr>
      <vt:lpstr>Thu1Mtg1</vt:lpstr>
      <vt:lpstr>Thu1Mtg2</vt:lpstr>
      <vt:lpstr>Thu2Mtg1</vt:lpstr>
      <vt:lpstr>Thu4Mtg1</vt:lpstr>
      <vt:lpstr>ThuBox1</vt:lpstr>
      <vt:lpstr>Tue1Mtg1</vt:lpstr>
      <vt:lpstr>Tue2Mtg1</vt:lpstr>
      <vt:lpstr>Tue2Mtg2</vt:lpstr>
      <vt:lpstr>Tue3Mtg1</vt:lpstr>
      <vt:lpstr>Tue4Mtg1</vt:lpstr>
      <vt:lpstr>Tue4Mtg2</vt:lpstr>
      <vt:lpstr>TueBox1</vt:lpstr>
      <vt:lpstr>Wday_Code</vt:lpstr>
      <vt:lpstr>Wed2Mtg1</vt:lpstr>
      <vt:lpstr>WedBox1</vt:lpstr>
      <vt:lpstr>WeekDayNum</vt:lpstr>
    </vt:vector>
  </TitlesOfParts>
  <Company>Beaumont Health System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Nowaczyk</dc:creator>
  <cp:lastModifiedBy>Sonal</cp:lastModifiedBy>
  <cp:lastPrinted>2014-12-09T04:46:05Z</cp:lastPrinted>
  <dcterms:created xsi:type="dcterms:W3CDTF">2014-11-13T18:27:57Z</dcterms:created>
  <dcterms:modified xsi:type="dcterms:W3CDTF">2014-12-10T18:04:20Z</dcterms:modified>
</cp:coreProperties>
</file>